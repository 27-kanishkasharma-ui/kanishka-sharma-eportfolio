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arm\OneDrive\Desktop\"/>
    </mc:Choice>
  </mc:AlternateContent>
  <xr:revisionPtr revIDLastSave="0" documentId="13_ncr:1_{006E8CA2-45FC-472B-82DC-A4BC0016FA9F}" xr6:coauthVersionLast="47" xr6:coauthVersionMax="47" xr10:uidLastSave="{00000000-0000-0000-0000-000000000000}"/>
  <bookViews>
    <workbookView xWindow="-108" yWindow="-108" windowWidth="23256" windowHeight="12456" firstSheet="5" activeTab="7" xr2:uid="{64D199C5-8ACD-43C9-A025-8B9B46A19AD6}"/>
  </bookViews>
  <sheets>
    <sheet name="ABOUT THE COMPANY" sheetId="4" r:id="rId1"/>
    <sheet name="PROFIT &amp; LOSS" sheetId="5" r:id="rId2"/>
    <sheet name="BALANCE SHEET" sheetId="6" r:id="rId3"/>
    <sheet name="CASH FLOW STATEMENT" sheetId="7" r:id="rId4"/>
    <sheet name="KEY RATIO ANALYSIS" sheetId="8" r:id="rId5"/>
    <sheet name="KEY PERFORMANCE INDICATORS" sheetId="13" r:id="rId6"/>
    <sheet name="PROJECT FINANCING" sheetId="11" r:id="rId7"/>
    <sheet name="MONTE CARLO SIMULATION"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4" i="13" l="1"/>
  <c r="F164" i="13"/>
  <c r="E164" i="13"/>
  <c r="D164" i="13"/>
  <c r="C164" i="13"/>
  <c r="B164" i="13"/>
  <c r="C154" i="13"/>
  <c r="C156" i="13" s="1"/>
  <c r="D154" i="13"/>
  <c r="D156" i="13" s="1"/>
  <c r="E154" i="13"/>
  <c r="E156" i="13" s="1"/>
  <c r="F154" i="13"/>
  <c r="F156" i="13" s="1"/>
  <c r="G154" i="13"/>
  <c r="G156" i="13" s="1"/>
  <c r="B154" i="13"/>
  <c r="B156" i="13" s="1"/>
  <c r="C146" i="13"/>
  <c r="C148" i="13" s="1"/>
  <c r="D146" i="13"/>
  <c r="D148" i="13" s="1"/>
  <c r="E146" i="13"/>
  <c r="E148" i="13" s="1"/>
  <c r="F146" i="13"/>
  <c r="F148" i="13" s="1"/>
  <c r="G146" i="13"/>
  <c r="B146" i="13"/>
  <c r="B148" i="13" s="1"/>
  <c r="G148" i="13"/>
  <c r="C138" i="13"/>
  <c r="C140" i="13" s="1"/>
  <c r="D138" i="13"/>
  <c r="D140" i="13" s="1"/>
  <c r="E138" i="13"/>
  <c r="E140" i="13" s="1"/>
  <c r="F138" i="13"/>
  <c r="F140" i="13" s="1"/>
  <c r="G138" i="13"/>
  <c r="G140" i="13" s="1"/>
  <c r="B138" i="13"/>
  <c r="B140" i="13" s="1"/>
  <c r="C130" i="13"/>
  <c r="C132" i="13" s="1"/>
  <c r="D130" i="13"/>
  <c r="D132" i="13" s="1"/>
  <c r="E130" i="13"/>
  <c r="E132" i="13" s="1"/>
  <c r="F130" i="13"/>
  <c r="F132" i="13" s="1"/>
  <c r="G130" i="13"/>
  <c r="G132" i="13" s="1"/>
  <c r="B130" i="13"/>
  <c r="B132" i="13" s="1"/>
  <c r="C115" i="13"/>
  <c r="D115" i="13"/>
  <c r="E115" i="13"/>
  <c r="F115" i="13"/>
  <c r="G115" i="13"/>
  <c r="B115" i="13"/>
  <c r="C114" i="13"/>
  <c r="D114" i="13"/>
  <c r="E114" i="13"/>
  <c r="F114" i="13"/>
  <c r="G114" i="13"/>
  <c r="B114" i="13"/>
  <c r="C123" i="13"/>
  <c r="D123" i="13"/>
  <c r="E123" i="13"/>
  <c r="F123" i="13"/>
  <c r="G123" i="13"/>
  <c r="B123" i="13"/>
  <c r="C122" i="13"/>
  <c r="D122" i="13"/>
  <c r="E122" i="13"/>
  <c r="F122" i="13"/>
  <c r="G122" i="13"/>
  <c r="B122" i="13"/>
  <c r="G107" i="13"/>
  <c r="G108" i="13"/>
  <c r="F107" i="13"/>
  <c r="F108" i="13"/>
  <c r="E107" i="13"/>
  <c r="E108" i="13"/>
  <c r="D107" i="13"/>
  <c r="D108" i="13"/>
  <c r="C107" i="13"/>
  <c r="C108" i="13"/>
  <c r="C106" i="13"/>
  <c r="D106" i="13"/>
  <c r="E106" i="13"/>
  <c r="F106" i="13"/>
  <c r="G106" i="13"/>
  <c r="B107" i="13"/>
  <c r="B108" i="13"/>
  <c r="B106" i="13"/>
  <c r="C99" i="13"/>
  <c r="D99" i="13"/>
  <c r="E99" i="13"/>
  <c r="F99" i="13"/>
  <c r="G99" i="13"/>
  <c r="B99" i="13"/>
  <c r="C98" i="13"/>
  <c r="D98" i="13"/>
  <c r="E98" i="13"/>
  <c r="F98" i="13"/>
  <c r="G98" i="13"/>
  <c r="B98" i="13"/>
  <c r="G91" i="13"/>
  <c r="C91" i="13"/>
  <c r="D91" i="13"/>
  <c r="E91" i="13"/>
  <c r="F91" i="13"/>
  <c r="B91" i="13"/>
  <c r="C90" i="13"/>
  <c r="D90" i="13"/>
  <c r="E90" i="13"/>
  <c r="F90" i="13"/>
  <c r="G90" i="13"/>
  <c r="B90" i="13"/>
  <c r="G83" i="13"/>
  <c r="F83" i="13"/>
  <c r="E83" i="13"/>
  <c r="D83" i="13"/>
  <c r="C83" i="13"/>
  <c r="C82" i="13"/>
  <c r="D82" i="13"/>
  <c r="E82" i="13"/>
  <c r="F82" i="13"/>
  <c r="G82" i="13"/>
  <c r="B83" i="13"/>
  <c r="B82" i="13"/>
  <c r="G74" i="13"/>
  <c r="F74" i="13"/>
  <c r="E74" i="13"/>
  <c r="D74" i="13"/>
  <c r="C74" i="13"/>
  <c r="C73" i="13"/>
  <c r="D73" i="13"/>
  <c r="E73" i="13"/>
  <c r="F73" i="13"/>
  <c r="G73" i="13"/>
  <c r="B73" i="13"/>
  <c r="C72" i="13"/>
  <c r="D72" i="13"/>
  <c r="E72" i="13"/>
  <c r="F72" i="13"/>
  <c r="G72" i="13"/>
  <c r="B74" i="13"/>
  <c r="B72" i="13"/>
  <c r="B84" i="13" l="1"/>
  <c r="E116" i="13"/>
  <c r="B124" i="13"/>
  <c r="B116" i="13"/>
  <c r="C116" i="13"/>
  <c r="G124" i="13"/>
  <c r="G116" i="13"/>
  <c r="F116" i="13"/>
  <c r="D116" i="13"/>
  <c r="F124" i="13"/>
  <c r="E92" i="13"/>
  <c r="E84" i="13"/>
  <c r="E124" i="13"/>
  <c r="F84" i="13"/>
  <c r="G84" i="13"/>
  <c r="C84" i="13"/>
  <c r="D84" i="13"/>
  <c r="C76" i="13"/>
  <c r="D124" i="13"/>
  <c r="C124" i="13"/>
  <c r="B100" i="13"/>
  <c r="B76" i="13"/>
  <c r="F100" i="13"/>
  <c r="E76" i="13"/>
  <c r="C100" i="13"/>
  <c r="G76" i="13"/>
  <c r="E100" i="13"/>
  <c r="F76" i="13"/>
  <c r="D92" i="13"/>
  <c r="D100" i="13"/>
  <c r="C92" i="13"/>
  <c r="D76" i="13"/>
  <c r="B92" i="13"/>
  <c r="G92" i="13"/>
  <c r="F92" i="13"/>
  <c r="G100" i="13"/>
  <c r="C48" i="13" l="1"/>
  <c r="D48" i="13"/>
  <c r="E48" i="13"/>
  <c r="F48" i="13"/>
  <c r="G48" i="13"/>
  <c r="B48" i="13"/>
  <c r="C49" i="13"/>
  <c r="D49" i="13"/>
  <c r="E49" i="13"/>
  <c r="F49" i="13"/>
  <c r="G49" i="13"/>
  <c r="B49" i="13"/>
  <c r="B50" i="13" s="1"/>
  <c r="C65" i="13"/>
  <c r="D65" i="13"/>
  <c r="E65" i="13"/>
  <c r="F65" i="13"/>
  <c r="G65" i="13"/>
  <c r="B65" i="13"/>
  <c r="C64" i="13"/>
  <c r="D64" i="13"/>
  <c r="E64" i="13"/>
  <c r="F64" i="13"/>
  <c r="G64" i="13"/>
  <c r="B64" i="13"/>
  <c r="B66" i="13" s="1"/>
  <c r="C57" i="13"/>
  <c r="D57" i="13"/>
  <c r="E57" i="13"/>
  <c r="F57" i="13"/>
  <c r="G57" i="13"/>
  <c r="B57" i="13"/>
  <c r="C42" i="13"/>
  <c r="D42" i="13"/>
  <c r="E42" i="13"/>
  <c r="F42" i="13"/>
  <c r="G42" i="13"/>
  <c r="B42" i="13"/>
  <c r="G41" i="13"/>
  <c r="C41" i="13"/>
  <c r="D41" i="13"/>
  <c r="E41" i="13"/>
  <c r="F41" i="13"/>
  <c r="B41" i="13"/>
  <c r="C35" i="13"/>
  <c r="D35" i="13"/>
  <c r="E35" i="13"/>
  <c r="F35" i="13"/>
  <c r="G35" i="13"/>
  <c r="B35" i="13"/>
  <c r="C34" i="13"/>
  <c r="D34" i="13"/>
  <c r="E34" i="13"/>
  <c r="F34" i="13"/>
  <c r="G34" i="13"/>
  <c r="B34" i="13"/>
  <c r="C27" i="13"/>
  <c r="D27" i="13"/>
  <c r="E27" i="13"/>
  <c r="F27" i="13"/>
  <c r="G27" i="13"/>
  <c r="B27" i="13"/>
  <c r="C26" i="13"/>
  <c r="D26" i="13"/>
  <c r="E26" i="13"/>
  <c r="F26" i="13"/>
  <c r="G26" i="13"/>
  <c r="B26" i="13"/>
  <c r="A20" i="13"/>
  <c r="C13" i="13"/>
  <c r="D13" i="13"/>
  <c r="E13" i="13"/>
  <c r="F13" i="13"/>
  <c r="G13" i="13"/>
  <c r="B13" i="13"/>
  <c r="B6" i="13"/>
  <c r="B56" i="13" s="1"/>
  <c r="C12" i="13"/>
  <c r="D12" i="13"/>
  <c r="E12" i="13"/>
  <c r="F12" i="13"/>
  <c r="G12" i="13"/>
  <c r="B12" i="13"/>
  <c r="D6" i="13"/>
  <c r="D56" i="13" s="1"/>
  <c r="E6" i="13"/>
  <c r="E56" i="13" s="1"/>
  <c r="F6" i="13"/>
  <c r="F56" i="13" s="1"/>
  <c r="F58" i="13" s="1"/>
  <c r="G6" i="13"/>
  <c r="G56" i="13" s="1"/>
  <c r="G58" i="13" s="1"/>
  <c r="C6" i="13"/>
  <c r="C56" i="13" s="1"/>
  <c r="C4" i="13"/>
  <c r="D4" i="13"/>
  <c r="E4" i="13"/>
  <c r="F4" i="13"/>
  <c r="G4" i="13"/>
  <c r="B4" i="13"/>
  <c r="C3" i="13"/>
  <c r="D3" i="13"/>
  <c r="E3" i="13"/>
  <c r="F3" i="13"/>
  <c r="G3" i="13"/>
  <c r="B3" i="13"/>
  <c r="G43" i="13" l="1"/>
  <c r="C50" i="13"/>
  <c r="E50" i="13"/>
  <c r="D50" i="13"/>
  <c r="F66" i="13"/>
  <c r="G28" i="13"/>
  <c r="F43" i="13"/>
  <c r="F28" i="13"/>
  <c r="F36" i="13"/>
  <c r="B58" i="13"/>
  <c r="E43" i="13"/>
  <c r="C19" i="13"/>
  <c r="E28" i="13"/>
  <c r="E36" i="13"/>
  <c r="D43" i="13"/>
  <c r="E66" i="13"/>
  <c r="D28" i="13"/>
  <c r="D36" i="13"/>
  <c r="E58" i="13"/>
  <c r="B19" i="13"/>
  <c r="C43" i="13"/>
  <c r="C28" i="13"/>
  <c r="C36" i="13"/>
  <c r="D66" i="13"/>
  <c r="D58" i="13"/>
  <c r="G36" i="13"/>
  <c r="C58" i="13"/>
  <c r="B36" i="13"/>
  <c r="B43" i="13"/>
  <c r="C66" i="13"/>
  <c r="G19" i="13"/>
  <c r="F19" i="13"/>
  <c r="B14" i="13"/>
  <c r="E19" i="13"/>
  <c r="D19" i="13"/>
  <c r="B28" i="13"/>
  <c r="G50" i="13"/>
  <c r="G66" i="13"/>
  <c r="D14" i="13"/>
  <c r="F50" i="13"/>
  <c r="G14" i="13"/>
  <c r="F14" i="13"/>
  <c r="E14" i="13"/>
  <c r="C14" i="13"/>
  <c r="B5" i="13"/>
  <c r="B7" i="13" s="1"/>
  <c r="B20" i="13" s="1"/>
  <c r="G5" i="13"/>
  <c r="G7" i="13" s="1"/>
  <c r="G20" i="13" s="1"/>
  <c r="F5" i="13"/>
  <c r="F7" i="13" s="1"/>
  <c r="F20" i="13" s="1"/>
  <c r="E5" i="13"/>
  <c r="E7" i="13" s="1"/>
  <c r="E20" i="13" s="1"/>
  <c r="D5" i="13"/>
  <c r="D7" i="13" s="1"/>
  <c r="D20" i="13" s="1"/>
  <c r="C5" i="13"/>
  <c r="C7" i="13" s="1"/>
  <c r="C20" i="13" s="1"/>
  <c r="C21" i="13" l="1"/>
  <c r="B21" i="13"/>
  <c r="E21" i="13"/>
  <c r="F21" i="13"/>
  <c r="G21" i="13"/>
  <c r="D21" i="13"/>
  <c r="E12" i="8"/>
  <c r="D12" i="8"/>
  <c r="E11" i="8"/>
  <c r="D11" i="8"/>
  <c r="F11" i="8"/>
  <c r="E10" i="8"/>
  <c r="D10" i="8"/>
  <c r="E9" i="8"/>
  <c r="D9" i="8"/>
  <c r="F9" i="8"/>
  <c r="E3" i="8"/>
  <c r="D3" i="8"/>
  <c r="F3" i="8"/>
  <c r="E2" i="8"/>
  <c r="D2" i="8"/>
  <c r="F2" i="8"/>
  <c r="E19" i="11"/>
  <c r="F19" i="11"/>
  <c r="F20" i="11" s="1"/>
  <c r="G19" i="11"/>
  <c r="G20" i="11" s="1"/>
  <c r="H19" i="11"/>
  <c r="H20" i="11" s="1"/>
  <c r="I19" i="11"/>
  <c r="I20" i="11" s="1"/>
  <c r="D19" i="11"/>
  <c r="D20" i="11" s="1"/>
  <c r="E11" i="11"/>
  <c r="E21" i="11" s="1"/>
  <c r="F11" i="11"/>
  <c r="F21" i="11" s="1"/>
  <c r="G11" i="11"/>
  <c r="G21" i="11" s="1"/>
  <c r="H11" i="11"/>
  <c r="H21" i="11" s="1"/>
  <c r="I11" i="11"/>
  <c r="I21" i="11" s="1"/>
  <c r="D11" i="11"/>
  <c r="D21" i="11" s="1"/>
  <c r="E9" i="11"/>
  <c r="F9" i="11"/>
  <c r="G9" i="11"/>
  <c r="H9" i="11"/>
  <c r="I9" i="11"/>
  <c r="D9" i="11"/>
  <c r="E7" i="11"/>
  <c r="F7" i="11"/>
  <c r="G7" i="11"/>
  <c r="H7" i="11"/>
  <c r="I7" i="11"/>
  <c r="D7" i="11"/>
  <c r="E6" i="11"/>
  <c r="F6" i="11"/>
  <c r="G6" i="11"/>
  <c r="H6" i="11"/>
  <c r="I6" i="11"/>
  <c r="D6" i="11"/>
  <c r="D22" i="11" l="1"/>
  <c r="D4" i="8"/>
  <c r="E4" i="8"/>
  <c r="D8" i="11"/>
  <c r="D10" i="11" s="1"/>
  <c r="I8" i="11"/>
  <c r="I10" i="11" s="1"/>
  <c r="I22" i="11"/>
  <c r="H8" i="11"/>
  <c r="H10" i="11" s="1"/>
  <c r="G8" i="11"/>
  <c r="G10" i="11" s="1"/>
  <c r="F22" i="11"/>
  <c r="F8" i="11"/>
  <c r="F10" i="11" s="1"/>
  <c r="E8" i="11"/>
  <c r="E10" i="11" s="1"/>
  <c r="E20" i="11"/>
  <c r="E22" i="11" s="1"/>
  <c r="H22" i="11"/>
  <c r="G22" i="11"/>
  <c r="I2" i="12" l="1"/>
  <c r="N4" i="12" l="1"/>
  <c r="E2" i="12"/>
  <c r="G3" i="12"/>
  <c r="E3" i="12"/>
  <c r="G2" i="12"/>
  <c r="C3" i="12"/>
  <c r="B3" i="12"/>
  <c r="C2" i="12"/>
  <c r="B2" i="12"/>
  <c r="I9" i="8"/>
  <c r="H31" i="6"/>
  <c r="I8" i="8" s="1"/>
  <c r="G31" i="6"/>
  <c r="H8" i="8" s="1"/>
  <c r="F31" i="6"/>
  <c r="G8" i="8" s="1"/>
  <c r="E31" i="6"/>
  <c r="F8" i="8" s="1"/>
  <c r="D31" i="6"/>
  <c r="E8" i="8" s="1"/>
  <c r="C31" i="6"/>
  <c r="B31" i="6"/>
  <c r="B36" i="6" s="1"/>
  <c r="G9" i="8"/>
  <c r="I12" i="8"/>
  <c r="H12" i="8"/>
  <c r="G12" i="8"/>
  <c r="F12" i="8"/>
  <c r="I11" i="8"/>
  <c r="H11" i="8"/>
  <c r="G11" i="8"/>
  <c r="I10" i="8"/>
  <c r="H10" i="8"/>
  <c r="G10" i="8"/>
  <c r="F10" i="8"/>
  <c r="H9" i="8"/>
  <c r="B13" i="6"/>
  <c r="C13" i="6"/>
  <c r="D14" i="11" s="1"/>
  <c r="D13" i="6"/>
  <c r="E14" i="11" s="1"/>
  <c r="E13" i="6"/>
  <c r="F14" i="11" s="1"/>
  <c r="F13" i="6"/>
  <c r="G14" i="11" s="1"/>
  <c r="G13" i="6"/>
  <c r="H14" i="11" s="1"/>
  <c r="H13" i="6"/>
  <c r="I14" i="11" s="1"/>
  <c r="B4" i="6"/>
  <c r="C4" i="6"/>
  <c r="D5" i="8" s="1"/>
  <c r="D6" i="8" s="1"/>
  <c r="D4" i="6"/>
  <c r="E5" i="8" s="1"/>
  <c r="E6" i="8" s="1"/>
  <c r="E4" i="6"/>
  <c r="F5" i="8" s="1"/>
  <c r="F4" i="6"/>
  <c r="G5" i="8" s="1"/>
  <c r="G4" i="6"/>
  <c r="H5" i="8" s="1"/>
  <c r="H4" i="6"/>
  <c r="I5" i="8" s="1"/>
  <c r="I3" i="8"/>
  <c r="H3" i="8"/>
  <c r="G3" i="8"/>
  <c r="F4" i="8"/>
  <c r="I2" i="8"/>
  <c r="H2" i="8"/>
  <c r="G2" i="8"/>
  <c r="H36" i="6" l="1"/>
  <c r="G36" i="6"/>
  <c r="F36" i="6"/>
  <c r="I7" i="8"/>
  <c r="I13" i="11"/>
  <c r="I15" i="11" s="1"/>
  <c r="H7" i="8"/>
  <c r="H13" i="11"/>
  <c r="H15" i="11" s="1"/>
  <c r="G7" i="8"/>
  <c r="G13" i="11"/>
  <c r="G15" i="11" s="1"/>
  <c r="E36" i="6"/>
  <c r="D36" i="6"/>
  <c r="C36" i="6"/>
  <c r="D8" i="8"/>
  <c r="G4" i="8"/>
  <c r="G6" i="8" s="1"/>
  <c r="H4" i="8"/>
  <c r="H6" i="8" s="1"/>
  <c r="B4" i="12"/>
  <c r="I4" i="8"/>
  <c r="I6" i="8" s="1"/>
  <c r="C4" i="12"/>
  <c r="G4" i="12"/>
  <c r="D7" i="12" s="1"/>
  <c r="N2" i="12" s="1"/>
  <c r="D3" i="12"/>
  <c r="F3" i="12" s="1"/>
  <c r="D2" i="12"/>
  <c r="F2" i="12" s="1"/>
  <c r="E4" i="12"/>
  <c r="F6" i="8"/>
  <c r="D7" i="8" l="1"/>
  <c r="D13" i="11"/>
  <c r="D15" i="11" s="1"/>
  <c r="D17" i="11" s="1"/>
  <c r="E7" i="8"/>
  <c r="E13" i="11"/>
  <c r="E15" i="11" s="1"/>
  <c r="E17" i="11" s="1"/>
  <c r="E24" i="11" s="1"/>
  <c r="E26" i="11" s="1"/>
  <c r="F7" i="8"/>
  <c r="F13" i="11"/>
  <c r="F15" i="11" s="1"/>
  <c r="F17" i="11" s="1"/>
  <c r="F24" i="11" s="1"/>
  <c r="F26" i="11" s="1"/>
  <c r="G17" i="11"/>
  <c r="G24" i="11" s="1"/>
  <c r="G26" i="11" s="1"/>
  <c r="H17" i="11"/>
  <c r="H24" i="11" s="1"/>
  <c r="H26" i="11" s="1"/>
  <c r="I17" i="11"/>
  <c r="I24" i="11" s="1"/>
  <c r="N6" i="12"/>
  <c r="N3" i="12"/>
  <c r="N5" i="12"/>
  <c r="F4" i="12"/>
  <c r="B7" i="12" s="1"/>
  <c r="D4" i="12"/>
  <c r="I26" i="11" l="1"/>
  <c r="J25" i="11"/>
  <c r="H2" i="12"/>
  <c r="I3" i="12"/>
  <c r="I4" i="12" s="1"/>
  <c r="H7" i="12" s="1"/>
  <c r="H3" i="12"/>
  <c r="D24" i="11"/>
  <c r="M6" i="12" a="1"/>
  <c r="M6" i="12" s="1"/>
  <c r="M2" i="12"/>
  <c r="M3" i="12"/>
  <c r="M4" i="12"/>
  <c r="M5" i="12"/>
  <c r="D26" i="11" l="1"/>
  <c r="J3" i="12"/>
  <c r="J2" i="12"/>
  <c r="P6" i="12"/>
  <c r="P3" i="12"/>
  <c r="P5" i="12"/>
  <c r="P2" i="12"/>
  <c r="P4" i="12"/>
  <c r="H4" i="12"/>
  <c r="F7" i="12" s="1"/>
  <c r="K25" i="11"/>
  <c r="J26" i="11"/>
  <c r="J4" i="12" l="1"/>
  <c r="J7" i="12" s="1"/>
  <c r="L25" i="11"/>
  <c r="L26" i="11" s="1"/>
  <c r="K26" i="11"/>
  <c r="O2" i="12"/>
  <c r="O6" i="12"/>
  <c r="O5" i="12"/>
  <c r="O4" i="12"/>
  <c r="O3" i="12"/>
  <c r="Q6" i="12" l="1" a="1"/>
  <c r="Q6" i="12" s="1"/>
  <c r="Q5" i="12"/>
  <c r="Q3" i="12"/>
  <c r="Q4" i="12"/>
  <c r="Q2" i="12"/>
</calcChain>
</file>

<file path=xl/sharedStrings.xml><?xml version="1.0" encoding="utf-8"?>
<sst xmlns="http://schemas.openxmlformats.org/spreadsheetml/2006/main" count="352" uniqueCount="275">
  <si>
    <t>TTM</t>
  </si>
  <si>
    <t>Sales Growth %</t>
  </si>
  <si>
    <t>Manufacturing Cost %</t>
  </si>
  <si>
    <t>Employee Cost %</t>
  </si>
  <si>
    <t>Other Cost %</t>
  </si>
  <si>
    <t>Operating Profit</t>
  </si>
  <si>
    <t>OPM %</t>
  </si>
  <si>
    <t>Exceptional items</t>
  </si>
  <si>
    <t>Other income normal</t>
  </si>
  <si>
    <t>Interest</t>
  </si>
  <si>
    <t>Depreciation</t>
  </si>
  <si>
    <t>Profit before tax</t>
  </si>
  <si>
    <t>Tax %</t>
  </si>
  <si>
    <t>Exceptional items AT</t>
  </si>
  <si>
    <t>Profit excl Excep</t>
  </si>
  <si>
    <t>Profit for PE</t>
  </si>
  <si>
    <t>Profit for EPS</t>
  </si>
  <si>
    <t>EPS in Rs</t>
  </si>
  <si>
    <t>Dividend Payout %</t>
  </si>
  <si>
    <t>Change in inventory</t>
  </si>
  <si>
    <t>Equity Capital</t>
  </si>
  <si>
    <t>Reserves</t>
  </si>
  <si>
    <t>Long term Borrowings</t>
  </si>
  <si>
    <t>Short term Borrowings</t>
  </si>
  <si>
    <t>Lease Liabilities</t>
  </si>
  <si>
    <t>Trade Payables</t>
  </si>
  <si>
    <t>Advance from Customers</t>
  </si>
  <si>
    <t>Other liability items</t>
  </si>
  <si>
    <t>Total Liabilities</t>
  </si>
  <si>
    <t>Land</t>
  </si>
  <si>
    <t>Building</t>
  </si>
  <si>
    <t>Plant Machinery</t>
  </si>
  <si>
    <t>Equipments</t>
  </si>
  <si>
    <t>Computers</t>
  </si>
  <si>
    <t>Furniture n fittings</t>
  </si>
  <si>
    <t>Other fixed assets</t>
  </si>
  <si>
    <t>Gross Block</t>
  </si>
  <si>
    <t>Accumulated Depreciation</t>
  </si>
  <si>
    <t>CWIP</t>
  </si>
  <si>
    <t>Investments</t>
  </si>
  <si>
    <t>Inventories</t>
  </si>
  <si>
    <t>Cash Equivalents</t>
  </si>
  <si>
    <t>Loans n Advances</t>
  </si>
  <si>
    <t>Other asset items</t>
  </si>
  <si>
    <t>Total Assets</t>
  </si>
  <si>
    <t>Profit from operations</t>
  </si>
  <si>
    <t>Receivables</t>
  </si>
  <si>
    <t>Inventory</t>
  </si>
  <si>
    <t>Payables</t>
  </si>
  <si>
    <t>Loans Advances</t>
  </si>
  <si>
    <t>Other WC items</t>
  </si>
  <si>
    <t>Working capital changes</t>
  </si>
  <si>
    <t>Direct taxes</t>
  </si>
  <si>
    <t>Fixed assets purchased</t>
  </si>
  <si>
    <t>Fixed assets sold</t>
  </si>
  <si>
    <t>Investments purchased</t>
  </si>
  <si>
    <t>Investments sold</t>
  </si>
  <si>
    <t>Interest received</t>
  </si>
  <si>
    <t>Acquisition of companies</t>
  </si>
  <si>
    <t>Other investing items</t>
  </si>
  <si>
    <t>Proceeds from borrowings</t>
  </si>
  <si>
    <t>Repayment of borrowings</t>
  </si>
  <si>
    <t>Interest paid fin</t>
  </si>
  <si>
    <t>Financial liabilities</t>
  </si>
  <si>
    <t>Other financing items</t>
  </si>
  <si>
    <t>Net Cash Flow</t>
  </si>
  <si>
    <t>Invest in subsidiaries</t>
  </si>
  <si>
    <t>Raw material cost</t>
  </si>
  <si>
    <t>Sales -</t>
  </si>
  <si>
    <t>Expenses -</t>
  </si>
  <si>
    <t>Material Cost % -</t>
  </si>
  <si>
    <t>Other Income -</t>
  </si>
  <si>
    <t>Net Profit -</t>
  </si>
  <si>
    <t>Vehicles</t>
  </si>
  <si>
    <t>Intangible Assets</t>
  </si>
  <si>
    <t>Trade receivables</t>
  </si>
  <si>
    <t>TITAN COMPANY (TAANISHQ)</t>
  </si>
  <si>
    <t>Operating borrowings</t>
  </si>
  <si>
    <t>Dividends received</t>
  </si>
  <si>
    <t>Investment in group cos</t>
  </si>
  <si>
    <t>Inter corporate deposits</t>
  </si>
  <si>
    <t>Dividends paid</t>
  </si>
  <si>
    <t>Ratio Name</t>
  </si>
  <si>
    <t>Formula</t>
  </si>
  <si>
    <t>Return on Sales (ROS)</t>
  </si>
  <si>
    <t>Net Income / Net Sales</t>
  </si>
  <si>
    <t>Asset Turnover</t>
  </si>
  <si>
    <t>Net Sales / Total Assets</t>
  </si>
  <si>
    <t>Return on Assets (ROA)</t>
  </si>
  <si>
    <t>Net Income / Total Assets  or  ROS × Asset Turnover</t>
  </si>
  <si>
    <t>Financial Leverage</t>
  </si>
  <si>
    <t>Total Assets / Total Owners’ Equity</t>
  </si>
  <si>
    <t>Return on Equity (ROE)</t>
  </si>
  <si>
    <t>Net Income / Total Owners’ Equity  or  ROA × Financial Leverage</t>
  </si>
  <si>
    <t>Current Ratio</t>
  </si>
  <si>
    <t>Total Current Assets / Total Current Liabilities</t>
  </si>
  <si>
    <t>Inventory Turnover</t>
  </si>
  <si>
    <t>Cost of Goods Sold / Ending Inventory</t>
  </si>
  <si>
    <t>Receivables Collection Period</t>
  </si>
  <si>
    <t>Accounts Receivable / (Net Sales / 365 days)</t>
  </si>
  <si>
    <t>Revenue Growth</t>
  </si>
  <si>
    <t>(This Year’s Net Sales − Last Year’s Net Sales) / Last Year’s Net Sales</t>
  </si>
  <si>
    <t>Gross Margin</t>
  </si>
  <si>
    <t>(Net Sales − Cost of Goods Sold) / Net Sales</t>
  </si>
  <si>
    <t>Dividend Payout Ratio</t>
  </si>
  <si>
    <t>Cash Dividends / Net Income</t>
  </si>
  <si>
    <t>R&amp;D Ratio</t>
  </si>
  <si>
    <t>Research and Development Expense / Net Sales</t>
  </si>
  <si>
    <t>Total Equity</t>
  </si>
  <si>
    <t>Total Current Liability</t>
  </si>
  <si>
    <t>Total Current Assets</t>
  </si>
  <si>
    <t>N/A</t>
  </si>
  <si>
    <t>inventory %</t>
  </si>
  <si>
    <t>OPERATING LEVERAGE</t>
  </si>
  <si>
    <t>SALES</t>
  </si>
  <si>
    <t>VARIABLE COST</t>
  </si>
  <si>
    <t>EBIT</t>
  </si>
  <si>
    <t>PBT+INTEREST</t>
  </si>
  <si>
    <t>NOPAT</t>
  </si>
  <si>
    <t>PBT</t>
  </si>
  <si>
    <t>Mean</t>
  </si>
  <si>
    <t>Maximum</t>
  </si>
  <si>
    <t>Minimum</t>
  </si>
  <si>
    <t>median</t>
  </si>
  <si>
    <t>std. D.</t>
  </si>
  <si>
    <t>Simulation number</t>
  </si>
  <si>
    <t>Simulation Number</t>
  </si>
  <si>
    <t>Capex</t>
  </si>
  <si>
    <t>FCFF</t>
  </si>
  <si>
    <t>NOPAT = EBIT(1-tax)</t>
  </si>
  <si>
    <t>Tax</t>
  </si>
  <si>
    <t>Working capital Changes</t>
  </si>
  <si>
    <t>Working Capital Changes</t>
  </si>
  <si>
    <t>S.No.</t>
  </si>
  <si>
    <t>FCFF CALCULATION</t>
  </si>
  <si>
    <t>NOPAT+DEP AND AMOR - CAPEX -NET CHANGE IN WORKING CAPITAL</t>
  </si>
  <si>
    <t>PARTICULARS</t>
  </si>
  <si>
    <t>EBIT CALCULATIONS</t>
  </si>
  <si>
    <t>WORKING CAPITAL CALCULATION</t>
  </si>
  <si>
    <t>CURRENT ASSET - CURRENT LIABILITY</t>
  </si>
  <si>
    <t>CURRENT ASSET</t>
  </si>
  <si>
    <t>CURRENT LAIBILITIES</t>
  </si>
  <si>
    <t xml:space="preserve">WORKING CAPITAL </t>
  </si>
  <si>
    <t>CHANGE IN WORKING CAPITAL CALCULATION</t>
  </si>
  <si>
    <t>CURRENT WORKING CAPITAL - PREVIOUS WORKING CAPITAL</t>
  </si>
  <si>
    <t>CHANGE IN WORKING CAPITAL</t>
  </si>
  <si>
    <t>CAPEX CALCULATION</t>
  </si>
  <si>
    <t>NET CHANGE IN FIXED ASSET +DEP</t>
  </si>
  <si>
    <t>FIXED ASSET</t>
  </si>
  <si>
    <t>change in fixed asset</t>
  </si>
  <si>
    <t xml:space="preserve">CAPEX </t>
  </si>
  <si>
    <r>
      <rPr>
        <b/>
        <sz val="12"/>
        <color theme="1"/>
        <rFont val="Calibri"/>
        <family val="2"/>
      </rPr>
      <t>NOPAT</t>
    </r>
    <r>
      <rPr>
        <sz val="12"/>
        <color theme="1"/>
        <rFont val="Calibri"/>
        <family val="2"/>
      </rPr>
      <t xml:space="preserve"> EBIT(1-TAX)</t>
    </r>
  </si>
  <si>
    <t>PROJECTED FCFF</t>
  </si>
  <si>
    <t>GROWTH RATE (CAGR)</t>
  </si>
  <si>
    <t>NPV, IF DISCOUNT RATE IS 10%</t>
  </si>
  <si>
    <t>Average</t>
  </si>
  <si>
    <t>Standard Deviation</t>
  </si>
  <si>
    <t>First Iteration</t>
  </si>
  <si>
    <t>SPARKLINES</t>
  </si>
  <si>
    <r>
      <t>Cash from Operating Activity </t>
    </r>
    <r>
      <rPr>
        <b/>
        <sz val="12"/>
        <color rgb="FF665EFD"/>
        <rFont val="Calibri"/>
        <family val="2"/>
      </rPr>
      <t>-</t>
    </r>
  </si>
  <si>
    <r>
      <t>Cash from Investing Activity </t>
    </r>
    <r>
      <rPr>
        <b/>
        <sz val="12"/>
        <color rgb="FF665EFD"/>
        <rFont val="Calibri"/>
        <family val="2"/>
      </rPr>
      <t>-</t>
    </r>
  </si>
  <si>
    <r>
      <t>Cash from Financing Activity </t>
    </r>
    <r>
      <rPr>
        <b/>
        <sz val="12"/>
        <color rgb="FF665EFD"/>
        <rFont val="Calibri"/>
        <family val="2"/>
      </rPr>
      <t>-</t>
    </r>
  </si>
  <si>
    <r>
      <t>Borrowings </t>
    </r>
    <r>
      <rPr>
        <b/>
        <sz val="12"/>
        <color rgb="FF665EFD"/>
        <rFont val="Calibri"/>
        <family val="2"/>
      </rPr>
      <t>-</t>
    </r>
  </si>
  <si>
    <r>
      <t>Other Liabilities </t>
    </r>
    <r>
      <rPr>
        <b/>
        <sz val="12"/>
        <color rgb="FF665EFD"/>
        <rFont val="Calibri"/>
        <family val="2"/>
      </rPr>
      <t>-</t>
    </r>
  </si>
  <si>
    <r>
      <t>Fixed Assets </t>
    </r>
    <r>
      <rPr>
        <b/>
        <sz val="12"/>
        <color rgb="FF665EFD"/>
        <rFont val="Calibri"/>
        <family val="2"/>
      </rPr>
      <t>-</t>
    </r>
  </si>
  <si>
    <r>
      <t>Other Assets </t>
    </r>
    <r>
      <rPr>
        <b/>
        <sz val="12"/>
        <color rgb="FF665EFD"/>
        <rFont val="Calibri"/>
        <family val="2"/>
      </rPr>
      <t>-</t>
    </r>
  </si>
  <si>
    <t>INTERPRETATIONS</t>
  </si>
  <si>
    <t>CONTRIBUTION MARGIN</t>
  </si>
  <si>
    <t>OPERATING LEVERAGE = CONTRIBUTION/EBIT</t>
  </si>
  <si>
    <t>INTERPRETATION FOR 2025: 1% change in Sales leads to 1.67% in Profitability.</t>
  </si>
  <si>
    <t>FINANCIAL LEVERAGE = EBIT/EBT</t>
  </si>
  <si>
    <t>FINANCING LEVERAGE</t>
  </si>
  <si>
    <t>EBT</t>
  </si>
  <si>
    <t>TOTAL LEVERAGE = DOL*DFL or CONTRIBUTION/EBT</t>
  </si>
  <si>
    <t xml:space="preserve">TOTAL LEVERAGE  </t>
  </si>
  <si>
    <t>INTERPRETATION FOR 2025: 1% change in Sales leads to 1.95% in Earning per Share.</t>
  </si>
  <si>
    <t>INTERPRETATION FOR 2025: 1% change in EBIT leads to 1.17% in Earning per Share.</t>
  </si>
  <si>
    <t>EBITDA MARGIN</t>
  </si>
  <si>
    <t xml:space="preserve">EBITDA </t>
  </si>
  <si>
    <t>TOTAL SALES</t>
  </si>
  <si>
    <t>EBITDA MARGIN = EBITDA/TOTAL SALES*100</t>
  </si>
  <si>
    <t>FREE CASH FLOW = CASH FLOW FROM OPERATING ACTIVITIES - CAPITAL EXPENDITURE</t>
  </si>
  <si>
    <t>CASH FLOW FROM OPERATING ACTIVITIES</t>
  </si>
  <si>
    <t>CAPITAL EXPENDITURE</t>
  </si>
  <si>
    <t>FREE CASH FLOW</t>
  </si>
  <si>
    <t>INTERPRETATION FOR 2025: The company has 359 crores cash that can pay dividends, repay debts or reinvest.</t>
  </si>
  <si>
    <t>WORKING CAPITAL = CURRENT ASSETS - CURRENT LIABILITIES</t>
  </si>
  <si>
    <t>CURRENT ASSETS</t>
  </si>
  <si>
    <t>CURRENT LIABILITIES</t>
  </si>
  <si>
    <t xml:space="preserve">WORKING CAPITAL  </t>
  </si>
  <si>
    <t>INTERPRETATION FOR 2025: The company has a working capital of 23391 Cr. to meet its short term obligations.</t>
  </si>
  <si>
    <t>CASH EQUIVALENTS + MARKET SECURITIES + ACCOUNTS RECEIVABLES</t>
  </si>
  <si>
    <t>CURRENT LIABILITIES + LONG TERM DEBT</t>
  </si>
  <si>
    <t>LIQUID CAPITAL = (CASH EQUIVALENTS + MARKET SECURITIES + ACCOUNTS RECEIVABLES)-(CURRENT LIABILITIES + LONG TERM DEBT)</t>
  </si>
  <si>
    <t>NOPAT = EBIT*(1-TAX RATE)</t>
  </si>
  <si>
    <t xml:space="preserve">NOPAT  </t>
  </si>
  <si>
    <t>NET INTEREST EXPENSE AFTER TAX = INTEREST EXPENSE*(1-TAX RATE)</t>
  </si>
  <si>
    <t>INTEREST EXPENSE</t>
  </si>
  <si>
    <t>TAX RATE</t>
  </si>
  <si>
    <t>NET INTERETS EXPENSE AFTER TAX</t>
  </si>
  <si>
    <t xml:space="preserve">LIQUID CAPITAL  </t>
  </si>
  <si>
    <t>LEASE LIABILITIES</t>
  </si>
  <si>
    <t>INTEREST BEARING LIABILITIES</t>
  </si>
  <si>
    <t>LONG TERM BORROWINGS</t>
  </si>
  <si>
    <t>SHORT TERM BORROWINGS</t>
  </si>
  <si>
    <t>NET LONG TERM ASSETS = GROSS FIXED ASSETS- ACCUMULATED ASSETS</t>
  </si>
  <si>
    <t>GROSS FIXED ASSETS</t>
  </si>
  <si>
    <t>ACCUMUKATED DEPRECIATION</t>
  </si>
  <si>
    <t xml:space="preserve">NET LONG TERM ASSETS  </t>
  </si>
  <si>
    <t>INTEREST BEARING LIABILITIES = LONG TERM BORROWINGS+SHORT TERM BORROWING+LEASE LIABILITIES+OTHER BORROWINGS</t>
  </si>
  <si>
    <t>OTHER BORROWINGS</t>
  </si>
  <si>
    <t>NET DEBT = TOTAL DEBT - CASH</t>
  </si>
  <si>
    <t>TOTAL DEBT</t>
  </si>
  <si>
    <t>CASH</t>
  </si>
  <si>
    <t>NET ASSETS = TOTAL ASSETS -TOTAL LIABILTIES</t>
  </si>
  <si>
    <t>TOTAL ASSETS</t>
  </si>
  <si>
    <t>TOTAL LIABILITIES</t>
  </si>
  <si>
    <t xml:space="preserve">NET ASSETS  </t>
  </si>
  <si>
    <t>NET CAPITAL = EQUITY CAPITAL + RESERVES</t>
  </si>
  <si>
    <t>EQUITY CAPITAL</t>
  </si>
  <si>
    <t>RESERVES</t>
  </si>
  <si>
    <t xml:space="preserve">NET CAPITAL  </t>
  </si>
  <si>
    <t>OPERATING WORKING CAPITAL TURNOVER = SALES/WORKING CAPITAL</t>
  </si>
  <si>
    <t>WORKING CAPITAL</t>
  </si>
  <si>
    <t>OPERATING WORKING CAPITAL TURNOVER</t>
  </si>
  <si>
    <t>OPERATING WORKING CAPITAL = SALES - WORKING CAPITAL</t>
  </si>
  <si>
    <t xml:space="preserve">OPERATING WORKING CAPITAL </t>
  </si>
  <si>
    <t>BASIC EPS = (NET INCOME - DIVIDEND PAYMENTS)/WEIGHTED AVERAGE SHARES OUTSTANDING</t>
  </si>
  <si>
    <t>NET INCOME-DIVIDEND PAYMENT</t>
  </si>
  <si>
    <t xml:space="preserve">BASIC EPS  </t>
  </si>
  <si>
    <t>NET INCOME-PREFERENCE DIVIDEND</t>
  </si>
  <si>
    <t>DILUTED EPS = (NET INCOME - PREFERENCE DIVIDEND)/WEIGHTED AVERAGE DILUTED SHARES OUTSTANDING</t>
  </si>
  <si>
    <t xml:space="preserve">DILUTED EPS  </t>
  </si>
  <si>
    <t>CASH EPS = CASH FLOW FROM OPERATING ACTIVITIES/SHARES OUTSTANDING</t>
  </si>
  <si>
    <t xml:space="preserve">CASH EPS  </t>
  </si>
  <si>
    <t>BOOK VALUE PER SHARE = TOTAL SHAREHOLDER's EQUITY/SHARES OUTSTANDING</t>
  </si>
  <si>
    <t>EQUITY SHARESHOLDERS + PREFERRED EQUITY</t>
  </si>
  <si>
    <t xml:space="preserve">BOOK VALUE PER SHARE  </t>
  </si>
  <si>
    <t>WEIGHTED AVERAGE SHARE OUTSTANDING (FROM ANNUAL REPORT)</t>
  </si>
  <si>
    <t>MARKET PRICE PER SHARE = MARKET PRICE/ BOOK VALUE PER SHARE</t>
  </si>
  <si>
    <t>MRKET PRICE</t>
  </si>
  <si>
    <t xml:space="preserve">MARKET PRICE PER SHARE  </t>
  </si>
  <si>
    <t>NO. OF SHARES OUTSTANDING</t>
  </si>
  <si>
    <t>NO. OF SHARE OUTSTANDING (FROM ANNUAL REPORT)</t>
  </si>
  <si>
    <t>According to the Management Discussion and Analysis section of Titan Company Limited’s recent Annual Reports, the company has shown consistent growth across all its business segments. In FY 2024-25, Titan achieved a total consolidated income of ₹57,818 crore, marking a 22% increase over the previous year, while the Q4 FY 25 income stood at ₹12,730 crore, also reflecting a 22% year-on-year growth. The Jewellery Division, which remains Titan’s largest business, recorded a total income of ₹46,571 crore, growing by nearly 21% during the year. Its EBIT stood at ₹4,764 crore, with a margin of about 10.2%, although management acknowledged some margin pressure due to fluctuations in gold prices and changes in customs duty. The Watches and Wearables Division continued its strong performance, registering 46% growth in Net Sales Value in FY 2021-22 and achieving 19% of its total sales through online channels, indicating Titan’s successful digital expansion. The company’s Reserves &amp; Surplus stood at ₹16,722 crore as of March 2025, while short-term borrowings were reported at ₹14,526 crore, reflecting a balanced capital structure. The management emphasised that, despite pandemic-related disruptions and inflationary challenges, all business units exceeded their internal targets through a focus on premiumisation, omnichannel retailing, and customer-centric innovation. Overall, the MDA highlights Titan’s strong operational performance, strategic agility, and readiness to capture growth opportunities in India’s evolving consumer market.</t>
  </si>
  <si>
    <t>FORMULA</t>
  </si>
  <si>
    <t>ASSUMPTION: TAKEN INDUSTRY CAGR AS GROWTH FACTOR</t>
  </si>
  <si>
    <r>
      <t xml:space="preserve">It stayed around </t>
    </r>
    <r>
      <rPr>
        <b/>
        <sz val="11"/>
        <color theme="1"/>
        <rFont val="Aptos Narrow"/>
        <family val="2"/>
        <scheme val="minor"/>
      </rPr>
      <t>0.8%</t>
    </r>
    <r>
      <rPr>
        <sz val="11"/>
        <color theme="1"/>
        <rFont val="Aptos Narrow"/>
        <family val="2"/>
        <scheme val="minor"/>
      </rPr>
      <t xml:space="preserve">, showing Titan’s </t>
    </r>
    <r>
      <rPr>
        <b/>
        <sz val="11"/>
        <color theme="1"/>
        <rFont val="Aptos Narrow"/>
        <family val="2"/>
        <scheme val="minor"/>
      </rPr>
      <t>assets are giving a small return</t>
    </r>
    <r>
      <rPr>
        <sz val="11"/>
        <color theme="1"/>
        <rFont val="Aptos Narrow"/>
        <family val="2"/>
        <scheme val="minor"/>
      </rPr>
      <t>, and efficiency hasn’t improved much over the years.</t>
    </r>
  </si>
  <si>
    <r>
      <t xml:space="preserve">It went up from </t>
    </r>
    <r>
      <rPr>
        <b/>
        <sz val="11"/>
        <color theme="1"/>
        <rFont val="Aptos Narrow"/>
        <family val="2"/>
        <scheme val="minor"/>
      </rPr>
      <t>1.93 to 2.44</t>
    </r>
    <r>
      <rPr>
        <sz val="11"/>
        <color theme="1"/>
        <rFont val="Aptos Narrow"/>
        <family val="2"/>
        <scheme val="minor"/>
      </rPr>
      <t xml:space="preserve">, meaning Titan is </t>
    </r>
    <r>
      <rPr>
        <b/>
        <sz val="11"/>
        <color theme="1"/>
        <rFont val="Aptos Narrow"/>
        <family val="2"/>
        <scheme val="minor"/>
      </rPr>
      <t>using more borrowed money</t>
    </r>
    <r>
      <rPr>
        <sz val="11"/>
        <color theme="1"/>
        <rFont val="Aptos Narrow"/>
        <family val="2"/>
        <scheme val="minor"/>
      </rPr>
      <t xml:space="preserve"> or outside funds to support its assets, increasing both returns and financial risk.</t>
    </r>
  </si>
  <si>
    <r>
      <t xml:space="preserve">It increased from </t>
    </r>
    <r>
      <rPr>
        <b/>
        <sz val="11"/>
        <color theme="1"/>
        <rFont val="Aptos Narrow"/>
        <family val="2"/>
        <scheme val="minor"/>
      </rPr>
      <t>1.6% to 2.1%</t>
    </r>
    <r>
      <rPr>
        <sz val="11"/>
        <color theme="1"/>
        <rFont val="Aptos Narrow"/>
        <family val="2"/>
        <scheme val="minor"/>
      </rPr>
      <t xml:space="preserve">, showing Titan is </t>
    </r>
    <r>
      <rPr>
        <b/>
        <sz val="11"/>
        <color theme="1"/>
        <rFont val="Aptos Narrow"/>
        <family val="2"/>
        <scheme val="minor"/>
      </rPr>
      <t>slightly better at earning profit from shareholders’ money</t>
    </r>
    <r>
      <rPr>
        <sz val="11"/>
        <color theme="1"/>
        <rFont val="Aptos Narrow"/>
        <family val="2"/>
        <scheme val="minor"/>
      </rPr>
      <t xml:space="preserve"> compared to earlier years.</t>
    </r>
  </si>
  <si>
    <r>
      <t xml:space="preserve">It fell from </t>
    </r>
    <r>
      <rPr>
        <b/>
        <sz val="11"/>
        <color theme="1"/>
        <rFont val="Aptos Narrow"/>
        <family val="2"/>
        <scheme val="minor"/>
      </rPr>
      <t>7.6% in 2020</t>
    </r>
    <r>
      <rPr>
        <sz val="11"/>
        <color theme="1"/>
        <rFont val="Aptos Narrow"/>
        <family val="2"/>
        <scheme val="minor"/>
      </rPr>
      <t xml:space="preserve"> to </t>
    </r>
    <r>
      <rPr>
        <b/>
        <sz val="11"/>
        <color theme="1"/>
        <rFont val="Aptos Narrow"/>
        <family val="2"/>
        <scheme val="minor"/>
      </rPr>
      <t>6.0% in 2025</t>
    </r>
    <r>
      <rPr>
        <sz val="11"/>
        <color theme="1"/>
        <rFont val="Aptos Narrow"/>
        <family val="2"/>
        <scheme val="minor"/>
      </rPr>
      <t xml:space="preserve">, meaning sales are </t>
    </r>
    <r>
      <rPr>
        <b/>
        <sz val="11"/>
        <color theme="1"/>
        <rFont val="Aptos Narrow"/>
        <family val="2"/>
        <scheme val="minor"/>
      </rPr>
      <t>earning slightly less profit</t>
    </r>
    <r>
      <rPr>
        <sz val="11"/>
        <color theme="1"/>
        <rFont val="Aptos Narrow"/>
        <family val="2"/>
        <scheme val="minor"/>
      </rPr>
      <t xml:space="preserve"> now, the company is making less money from each rupee of sales.</t>
    </r>
  </si>
  <si>
    <r>
      <t xml:space="preserve">It dropped from </t>
    </r>
    <r>
      <rPr>
        <b/>
        <sz val="11"/>
        <color theme="1"/>
        <rFont val="Aptos Narrow"/>
        <family val="2"/>
        <scheme val="minor"/>
      </rPr>
      <t>0.12 to 0.08</t>
    </r>
    <r>
      <rPr>
        <sz val="11"/>
        <color theme="1"/>
        <rFont val="Aptos Narrow"/>
        <family val="2"/>
        <scheme val="minor"/>
      </rPr>
      <t xml:space="preserve">, showing that Titan is </t>
    </r>
    <r>
      <rPr>
        <b/>
        <sz val="11"/>
        <color theme="1"/>
        <rFont val="Aptos Narrow"/>
        <family val="2"/>
        <scheme val="minor"/>
      </rPr>
      <t>using its assets less efficiently</t>
    </r>
    <r>
      <rPr>
        <sz val="11"/>
        <color theme="1"/>
        <rFont val="Aptos Narrow"/>
        <family val="2"/>
        <scheme val="minor"/>
      </rPr>
      <t xml:space="preserve"> to generate sales, assets are not producing as much revenue as before.</t>
    </r>
  </si>
  <si>
    <r>
      <t xml:space="preserve">It improved from </t>
    </r>
    <r>
      <rPr>
        <b/>
        <sz val="11"/>
        <color theme="1"/>
        <rFont val="Aptos Narrow"/>
        <family val="2"/>
        <scheme val="minor"/>
      </rPr>
      <t>3.3 to 4.3</t>
    </r>
    <r>
      <rPr>
        <sz val="11"/>
        <color theme="1"/>
        <rFont val="Aptos Narrow"/>
        <family val="2"/>
        <scheme val="minor"/>
      </rPr>
      <t xml:space="preserve">, meaning Titan’s </t>
    </r>
    <r>
      <rPr>
        <b/>
        <sz val="11"/>
        <color theme="1"/>
        <rFont val="Aptos Narrow"/>
        <family val="2"/>
        <scheme val="minor"/>
      </rPr>
      <t>short-term assets are more than enough to pay short-term debts</t>
    </r>
    <r>
      <rPr>
        <sz val="11"/>
        <color theme="1"/>
        <rFont val="Aptos Narrow"/>
        <family val="2"/>
        <scheme val="minor"/>
      </rPr>
      <t xml:space="preserve"> very strong liquidity position.</t>
    </r>
  </si>
  <si>
    <r>
      <t xml:space="preserve">It fell from </t>
    </r>
    <r>
      <rPr>
        <b/>
        <sz val="11"/>
        <color theme="1"/>
        <rFont val="Aptos Narrow"/>
        <family val="2"/>
        <scheme val="minor"/>
      </rPr>
      <t>0.0096 to 0.0033</t>
    </r>
    <r>
      <rPr>
        <sz val="11"/>
        <color theme="1"/>
        <rFont val="Aptos Narrow"/>
        <family val="2"/>
        <scheme val="minor"/>
      </rPr>
      <t xml:space="preserve">, which means Titan is </t>
    </r>
    <r>
      <rPr>
        <b/>
        <sz val="11"/>
        <color theme="1"/>
        <rFont val="Aptos Narrow"/>
        <family val="2"/>
        <scheme val="minor"/>
      </rPr>
      <t>taking longer to sell its stock</t>
    </r>
    <r>
      <rPr>
        <sz val="11"/>
        <color theme="1"/>
        <rFont val="Aptos Narrow"/>
        <family val="2"/>
        <scheme val="minor"/>
      </rPr>
      <t xml:space="preserve"> inventory is moving slowly, maybe because of higher stock levels or slower sales.</t>
    </r>
  </si>
  <si>
    <t>It was highest at 32% in 2022 and came down to 16% in 2025, meaning Titan’s sales are still growing, but not as fast as before.</t>
  </si>
  <si>
    <r>
      <t xml:space="preserve">It remained between </t>
    </r>
    <r>
      <rPr>
        <b/>
        <sz val="11"/>
        <color theme="1"/>
        <rFont val="Aptos Narrow"/>
        <family val="2"/>
        <scheme val="minor"/>
      </rPr>
      <t>23% and 41%</t>
    </r>
    <r>
      <rPr>
        <sz val="11"/>
        <color theme="1"/>
        <rFont val="Aptos Narrow"/>
        <family val="2"/>
        <scheme val="minor"/>
      </rPr>
      <t xml:space="preserve">, ending at </t>
    </r>
    <r>
      <rPr>
        <b/>
        <sz val="11"/>
        <color theme="1"/>
        <rFont val="Aptos Narrow"/>
        <family val="2"/>
        <scheme val="minor"/>
      </rPr>
      <t>29%</t>
    </r>
    <r>
      <rPr>
        <sz val="11"/>
        <color theme="1"/>
        <rFont val="Aptos Narrow"/>
        <family val="2"/>
        <scheme val="minor"/>
      </rPr>
      <t xml:space="preserve">, showing Titan is </t>
    </r>
    <r>
      <rPr>
        <b/>
        <sz val="11"/>
        <color theme="1"/>
        <rFont val="Aptos Narrow"/>
        <family val="2"/>
        <scheme val="minor"/>
      </rPr>
      <t>consistently sharing profits with shareholders</t>
    </r>
    <r>
      <rPr>
        <sz val="11"/>
        <color theme="1"/>
        <rFont val="Aptos Narrow"/>
        <family val="2"/>
        <scheme val="minor"/>
      </rPr>
      <t xml:space="preserve"> while keeping enough for business growth.</t>
    </r>
  </si>
  <si>
    <r>
      <t xml:space="preserve">Not available for all years means Titan </t>
    </r>
    <r>
      <rPr>
        <b/>
        <sz val="11"/>
        <color theme="1"/>
        <rFont val="Aptos Narrow"/>
        <family val="2"/>
        <scheme val="minor"/>
      </rPr>
      <t>spends very little or doesn’t separately report R&amp;D costs</t>
    </r>
    <r>
      <rPr>
        <sz val="11"/>
        <color theme="1"/>
        <rFont val="Aptos Narrow"/>
        <family val="2"/>
        <scheme val="minor"/>
      </rPr>
      <t>, which is common in jewellery and lifestyle sectors.</t>
    </r>
  </si>
  <si>
    <r>
      <t xml:space="preserve">It dropped from </t>
    </r>
    <r>
      <rPr>
        <b/>
        <sz val="11"/>
        <color theme="1"/>
        <rFont val="Aptos Narrow"/>
        <family val="2"/>
        <scheme val="minor"/>
      </rPr>
      <t>23% in 2020</t>
    </r>
    <r>
      <rPr>
        <sz val="11"/>
        <color theme="1"/>
        <rFont val="Aptos Narrow"/>
        <family val="2"/>
        <scheme val="minor"/>
      </rPr>
      <t xml:space="preserve"> to </t>
    </r>
    <r>
      <rPr>
        <b/>
        <sz val="11"/>
        <color theme="1"/>
        <rFont val="Aptos Narrow"/>
        <family val="2"/>
        <scheme val="minor"/>
      </rPr>
      <t>8% in 2025</t>
    </r>
    <r>
      <rPr>
        <sz val="11"/>
        <color theme="1"/>
        <rFont val="Aptos Narrow"/>
        <family val="2"/>
        <scheme val="minor"/>
      </rPr>
      <t xml:space="preserve">, showing </t>
    </r>
    <r>
      <rPr>
        <b/>
        <sz val="11"/>
        <color theme="1"/>
        <rFont val="Aptos Narrow"/>
        <family val="2"/>
        <scheme val="minor"/>
      </rPr>
      <t>costs have increased</t>
    </r>
    <r>
      <rPr>
        <sz val="11"/>
        <color theme="1"/>
        <rFont val="Aptos Narrow"/>
        <family val="2"/>
        <scheme val="minor"/>
      </rPr>
      <t xml:space="preserve"> the company is </t>
    </r>
    <r>
      <rPr>
        <b/>
        <sz val="11"/>
        <color theme="1"/>
        <rFont val="Aptos Narrow"/>
        <family val="2"/>
        <scheme val="minor"/>
      </rPr>
      <t>earning less profit from each rupee of sales</t>
    </r>
    <r>
      <rPr>
        <sz val="11"/>
        <color theme="1"/>
        <rFont val="Aptos Narrow"/>
        <family val="2"/>
        <scheme val="minor"/>
      </rPr>
      <t xml:space="preserve"> after covering product costs.</t>
    </r>
  </si>
  <si>
    <t>It rose from 3.9 days to 6.5 days, showing Titan is taking a bit longer to collect cash from customers, though still within a short period, collection efficiency slightly reduced.</t>
  </si>
  <si>
    <t>Titan’s EBITDA margin shows that the company’s operating efficiency dipped in FY22 but recovered steadily to around 8–9% by FY25, indicating strong cost control and stable profitability.</t>
  </si>
  <si>
    <t>Titan’s liquid capital remained negative throughout FY20–FY25, showing that the company’s readily available assets were not enough to cover its total liabilities, indicating higher dependence on long-term funding or borrowings for its operations.</t>
  </si>
  <si>
    <t>Titan’s NOPAT increased from Rs.1,623 crore in FY20 to Rs.3,884 crore in FY25, showing that the company’s core operating profits after tax have strengthened, indicating improved efficiency in core business operations over the years.</t>
  </si>
  <si>
    <t>Titan’s net interest expense after tax increased from Rs.107 crore in FY20 to Rs.568 crore in FY25, showing that even after accounting for tax benefits, the true cost of debt has risen, indicating higher interest obligations over the years.</t>
  </si>
  <si>
    <t>Titan’s interest-bearing liabilities increased sharply from Rs.3,269 crore in FY20 to Rs.17,171 crore in FY25, indicating a significant rise in total debt obligations that require interest payments, reflecting greater reliance on borrowed funds for business expansion.</t>
  </si>
  <si>
    <t>Titan’s net long-term assets increased from Rs.2,053 crore in FY20 to Rs.3,019 crore in FY25, indicating continuous investment in fixed assets and reflecting the company’s growing capital base in property, plant, and equipment.</t>
  </si>
  <si>
    <t>Titan’s net debt rose sharply from Rs.6,007 crore in FY20 to Rs.23,132 crore in FY25, indicating increased leverage and reduced ability to cover debt with available cash, reflecting higher financial dependency on borrowings.</t>
  </si>
  <si>
    <t>Titan’s net assets grew from Rs.6,825 crore in FY20 to Rs.16,811 crore in FY25, indicating strong financial stability and showing that the value remaining for shareholders after paying all liabilities has steadily increased.</t>
  </si>
  <si>
    <t>Titan’s net capital rose from Rs.6,825 crore in FY20 to Rs.16,811 crore in FY25, showing a strong buildup of financial resources that can support the company’s long-term growth, expansion, and dividend payments.</t>
  </si>
  <si>
    <t>Titan’s operating working capital increased from Rs.12,889 crore in FY20 to Rs.31,451 crore in FY25, indicating that the company is using more short-term resources to support daily operations, reflecting business expansion and higher operational activity.</t>
  </si>
  <si>
    <t>Titan’s operating working capital turnover fluctuated between 2.05 and 2.82 times, showing the company’s moderate efficiency in using working capital to generate sales, with stable but slightly declining utilization in recent years.</t>
  </si>
  <si>
    <t>Titan’s basic EPS rose from Rs.11.02 in FY20 to Rs.26.51 in FY25, showing higher profitability per share and reflecting the company’s strong earnings growth and value creation for shareholders.</t>
  </si>
  <si>
    <t>Titan’s diluted EPS increased from Rs.17.04 in FY20 to Rs.37.47 in FY25, indicating strong earnings growth per share even after accounting for potential share dilution, reflecting sustained profitability for shareholders.</t>
  </si>
  <si>
    <t>Titan’s cash EPS fluctuated widely from Rs. -3.25 in FY20 to Rs. -1.91 in FY25, showing inconsistent cash generation per share, which indicates volatile operating cash flow performance over the years.</t>
  </si>
  <si>
    <t>Titan’s book value per share rose from Rs.76.69 in FY20 to Rs.188.89 in FY25, indicating a strong increase in shareholders’ asset backing per share and reflecting steady growth in the company’s net worth.</t>
  </si>
  <si>
    <t>Titan’s market value per share increased from Rs.10.90 in FY20 to Rs.42.36 in FY25, indicating strong investor confidence and consistent market appreciation in the company’s equity value over the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</si>
</sst>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0.0000"/>
    <numFmt numFmtId="165" formatCode="0.0000"/>
  </numFmts>
  <fonts count="15" x14ac:knownFonts="1">
    <font>
      <sz val="11"/>
      <color theme="1"/>
      <name val="Aptos Narrow"/>
      <family val="2"/>
      <scheme val="minor"/>
    </font>
    <font>
      <b/>
      <sz val="11"/>
      <color theme="1"/>
      <name val="Times New Roman"/>
      <family val="1"/>
    </font>
    <font>
      <b/>
      <sz val="12"/>
      <color theme="1"/>
      <name val="Times New Roman"/>
      <family val="1"/>
    </font>
    <font>
      <b/>
      <sz val="16"/>
      <color theme="1"/>
      <name val="Times New Roman"/>
      <family val="1"/>
    </font>
    <font>
      <b/>
      <sz val="11"/>
      <color theme="1"/>
      <name val="Aptos Narrow"/>
      <family val="2"/>
      <scheme val="minor"/>
    </font>
    <font>
      <sz val="11"/>
      <color theme="1"/>
      <name val="Aptos Narrow"/>
      <family val="2"/>
      <scheme val="minor"/>
    </font>
    <font>
      <b/>
      <sz val="11"/>
      <color theme="1"/>
      <name val="Calibri"/>
      <family val="2"/>
    </font>
    <font>
      <b/>
      <sz val="12"/>
      <color theme="1"/>
      <name val="Calibri"/>
      <family val="2"/>
    </font>
    <font>
      <sz val="14"/>
      <color theme="1"/>
      <name val="Calibri"/>
      <family val="2"/>
    </font>
    <font>
      <sz val="11"/>
      <color theme="1"/>
      <name val="Calibri"/>
      <family val="2"/>
    </font>
    <font>
      <sz val="12"/>
      <color theme="1"/>
      <name val="Calibri"/>
      <family val="2"/>
    </font>
    <font>
      <b/>
      <sz val="14"/>
      <color theme="1"/>
      <name val="Calibri"/>
      <family val="2"/>
    </font>
    <font>
      <b/>
      <sz val="12"/>
      <color rgb="FF22222F"/>
      <name val="Calibri"/>
      <family val="2"/>
    </font>
    <font>
      <b/>
      <sz val="12"/>
      <color rgb="FF665EFD"/>
      <name val="Calibri"/>
      <family val="2"/>
    </font>
    <font>
      <b/>
      <sz val="11"/>
      <color rgb="FF22222F"/>
      <name val="Calibri"/>
      <family val="2"/>
    </font>
  </fonts>
  <fills count="14">
    <fill>
      <patternFill patternType="none"/>
    </fill>
    <fill>
      <patternFill patternType="gray125"/>
    </fill>
    <fill>
      <patternFill patternType="solid">
        <fgColor rgb="FFFFFFFF"/>
        <bgColor indexed="64"/>
      </patternFill>
    </fill>
    <fill>
      <patternFill patternType="solid">
        <fgColor rgb="FFF8F8FC"/>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59999389629810485"/>
        <bgColor indexed="64"/>
      </patternFill>
    </fill>
  </fills>
  <borders count="4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1"/>
      </left>
      <right style="thin">
        <color theme="1"/>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right style="thin">
        <color theme="2" tint="-0.249977111117893"/>
      </right>
      <top/>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top/>
      <bottom style="thin">
        <color theme="2" tint="-9.9978637043366805E-2"/>
      </bottom>
      <diagonal/>
    </border>
    <border>
      <left style="thin">
        <color theme="2" tint="-9.9978637043366805E-2"/>
      </left>
      <right/>
      <top/>
      <bottom/>
      <diagonal/>
    </border>
    <border>
      <left style="medium">
        <color indexed="64"/>
      </left>
      <right/>
      <top style="thin">
        <color theme="2" tint="-9.9978637043366805E-2"/>
      </top>
      <bottom/>
      <diagonal/>
    </border>
    <border>
      <left/>
      <right style="thin">
        <color theme="2" tint="-9.9978637043366805E-2"/>
      </right>
      <top style="thin">
        <color theme="2" tint="-9.9978637043366805E-2"/>
      </top>
      <bottom style="thin">
        <color theme="2" tint="-9.9978637043366805E-2"/>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top style="medium">
        <color theme="1"/>
      </top>
      <bottom style="medium">
        <color theme="1"/>
      </bottom>
      <diagonal/>
    </border>
  </borders>
  <cellStyleXfs count="2">
    <xf numFmtId="0" fontId="0" fillId="0" borderId="0"/>
    <xf numFmtId="9" fontId="5" fillId="0" borderId="0" applyFont="0" applyFill="0" applyBorder="0" applyAlignment="0" applyProtection="0"/>
  </cellStyleXfs>
  <cellXfs count="203">
    <xf numFmtId="0" fontId="0" fillId="0" borderId="0" xfId="0"/>
    <xf numFmtId="0" fontId="2" fillId="0" borderId="0" xfId="0" applyFont="1"/>
    <xf numFmtId="0" fontId="1" fillId="0" borderId="0" xfId="0" applyFont="1"/>
    <xf numFmtId="0" fontId="7" fillId="0" borderId="0" xfId="0" applyFont="1" applyAlignment="1">
      <alignment horizontal="center" vertical="center"/>
    </xf>
    <xf numFmtId="0" fontId="8" fillId="0" borderId="0" xfId="0" applyFont="1"/>
    <xf numFmtId="0" fontId="9" fillId="0" borderId="0" xfId="0" applyFont="1"/>
    <xf numFmtId="0" fontId="6" fillId="0" borderId="0" xfId="0" applyFont="1"/>
    <xf numFmtId="165" fontId="7" fillId="0" borderId="4" xfId="0" applyNumberFormat="1" applyFont="1" applyBorder="1" applyAlignment="1">
      <alignment horizontal="center" vertical="center"/>
    </xf>
    <xf numFmtId="165" fontId="7" fillId="0" borderId="4" xfId="1" applyNumberFormat="1" applyFont="1" applyBorder="1" applyAlignment="1">
      <alignment horizontal="center" vertical="center"/>
    </xf>
    <xf numFmtId="0" fontId="8" fillId="0" borderId="4" xfId="0" applyFont="1" applyBorder="1"/>
    <xf numFmtId="0" fontId="7" fillId="0" borderId="4" xfId="0" applyFont="1" applyBorder="1" applyAlignment="1">
      <alignment horizontal="center" vertical="center"/>
    </xf>
    <xf numFmtId="165" fontId="6" fillId="0" borderId="4" xfId="0" applyNumberFormat="1" applyFont="1" applyBorder="1" applyAlignment="1">
      <alignment horizontal="center" vertical="center"/>
    </xf>
    <xf numFmtId="0" fontId="6" fillId="0" borderId="4" xfId="0" applyFont="1" applyBorder="1" applyAlignment="1">
      <alignment horizontal="center" vertical="center"/>
    </xf>
    <xf numFmtId="0" fontId="10" fillId="0" borderId="0" xfId="0" applyFont="1"/>
    <xf numFmtId="0" fontId="7" fillId="11" borderId="7" xfId="0" applyFont="1" applyFill="1" applyBorder="1"/>
    <xf numFmtId="3" fontId="10" fillId="0" borderId="7" xfId="0" applyNumberFormat="1" applyFont="1" applyBorder="1"/>
    <xf numFmtId="0" fontId="10" fillId="0" borderId="7" xfId="0" applyFont="1" applyBorder="1"/>
    <xf numFmtId="0" fontId="7" fillId="10" borderId="7" xfId="0" applyFont="1" applyFill="1" applyBorder="1"/>
    <xf numFmtId="3" fontId="7" fillId="8" borderId="7" xfId="0" applyNumberFormat="1" applyFont="1" applyFill="1" applyBorder="1"/>
    <xf numFmtId="0" fontId="10" fillId="8" borderId="7" xfId="0" applyFont="1" applyFill="1" applyBorder="1"/>
    <xf numFmtId="0" fontId="10" fillId="10" borderId="7" xfId="0" applyFont="1" applyFill="1" applyBorder="1"/>
    <xf numFmtId="4" fontId="10" fillId="0" borderId="7" xfId="0" applyNumberFormat="1" applyFont="1" applyBorder="1"/>
    <xf numFmtId="4" fontId="7" fillId="8" borderId="7" xfId="0" applyNumberFormat="1" applyFont="1" applyFill="1" applyBorder="1"/>
    <xf numFmtId="0" fontId="7" fillId="5" borderId="7" xfId="0" applyFont="1" applyFill="1" applyBorder="1"/>
    <xf numFmtId="10" fontId="7" fillId="5" borderId="7" xfId="0" applyNumberFormat="1" applyFont="1" applyFill="1" applyBorder="1"/>
    <xf numFmtId="3" fontId="10" fillId="8" borderId="7" xfId="0" applyNumberFormat="1" applyFont="1" applyFill="1" applyBorder="1"/>
    <xf numFmtId="0" fontId="7" fillId="8" borderId="8" xfId="0" applyFont="1" applyFill="1" applyBorder="1"/>
    <xf numFmtId="0" fontId="7" fillId="8" borderId="9" xfId="0" applyFont="1" applyFill="1" applyBorder="1"/>
    <xf numFmtId="0" fontId="7" fillId="8" borderId="10" xfId="0" applyFont="1" applyFill="1" applyBorder="1"/>
    <xf numFmtId="0" fontId="7" fillId="11" borderId="11" xfId="0" applyFont="1" applyFill="1" applyBorder="1"/>
    <xf numFmtId="0" fontId="7" fillId="8" borderId="11" xfId="0" applyFont="1" applyFill="1" applyBorder="1"/>
    <xf numFmtId="0" fontId="10" fillId="8" borderId="11" xfId="0" applyFont="1" applyFill="1" applyBorder="1"/>
    <xf numFmtId="0" fontId="10" fillId="0" borderId="11" xfId="0" applyFont="1" applyBorder="1"/>
    <xf numFmtId="0" fontId="7" fillId="5" borderId="11" xfId="0" applyFont="1" applyFill="1" applyBorder="1"/>
    <xf numFmtId="10" fontId="7" fillId="5" borderId="12" xfId="0" applyNumberFormat="1" applyFont="1" applyFill="1" applyBorder="1"/>
    <xf numFmtId="0" fontId="7" fillId="5" borderId="12" xfId="0" applyFont="1" applyFill="1" applyBorder="1"/>
    <xf numFmtId="0" fontId="10" fillId="10" borderId="16" xfId="0" applyFont="1" applyFill="1" applyBorder="1"/>
    <xf numFmtId="0" fontId="4" fillId="8" borderId="13" xfId="0" applyFont="1" applyFill="1" applyBorder="1"/>
    <xf numFmtId="8" fontId="4" fillId="8" borderId="14" xfId="0" applyNumberFormat="1" applyFont="1" applyFill="1" applyBorder="1"/>
    <xf numFmtId="0" fontId="0" fillId="0" borderId="17" xfId="0" applyBorder="1"/>
    <xf numFmtId="0" fontId="0" fillId="0" borderId="12" xfId="0" applyBorder="1"/>
    <xf numFmtId="0" fontId="10" fillId="2" borderId="11" xfId="0" applyFont="1" applyFill="1" applyBorder="1" applyAlignment="1">
      <alignment horizontal="left" vertical="center" indent="1"/>
    </xf>
    <xf numFmtId="0" fontId="10" fillId="10" borderId="7" xfId="0" applyFont="1" applyFill="1" applyBorder="1" applyAlignment="1">
      <alignment horizontal="left" vertical="center" indent="1"/>
    </xf>
    <xf numFmtId="3" fontId="10" fillId="2" borderId="7" xfId="0" applyNumberFormat="1" applyFont="1" applyFill="1" applyBorder="1" applyAlignment="1">
      <alignment horizontal="right" vertical="center" wrapText="1"/>
    </xf>
    <xf numFmtId="0" fontId="0" fillId="8" borderId="12" xfId="0" applyFill="1" applyBorder="1"/>
    <xf numFmtId="0" fontId="10" fillId="3" borderId="11" xfId="0" applyFont="1" applyFill="1" applyBorder="1" applyAlignment="1">
      <alignment horizontal="left" vertical="center" indent="1"/>
    </xf>
    <xf numFmtId="9" fontId="10" fillId="3" borderId="7" xfId="0" applyNumberFormat="1" applyFont="1" applyFill="1" applyBorder="1" applyAlignment="1">
      <alignment horizontal="right" vertical="center" wrapText="1"/>
    </xf>
    <xf numFmtId="3" fontId="10" fillId="3" borderId="7" xfId="0" applyNumberFormat="1" applyFont="1" applyFill="1" applyBorder="1" applyAlignment="1">
      <alignment horizontal="right" vertical="center" wrapText="1"/>
    </xf>
    <xf numFmtId="0" fontId="7" fillId="8" borderId="11" xfId="0" applyFont="1" applyFill="1" applyBorder="1" applyAlignment="1">
      <alignment horizontal="left" vertical="center" indent="1"/>
    </xf>
    <xf numFmtId="0" fontId="7" fillId="10" borderId="7" xfId="0" applyFont="1" applyFill="1" applyBorder="1" applyAlignment="1">
      <alignment horizontal="left" vertical="center" indent="1"/>
    </xf>
    <xf numFmtId="0" fontId="0" fillId="10" borderId="14" xfId="0" applyFill="1" applyBorder="1"/>
    <xf numFmtId="0" fontId="0" fillId="10" borderId="6" xfId="0" applyFill="1" applyBorder="1"/>
    <xf numFmtId="0" fontId="0" fillId="10" borderId="5" xfId="0" applyFill="1" applyBorder="1"/>
    <xf numFmtId="0" fontId="0" fillId="0" borderId="15" xfId="0" applyBorder="1"/>
    <xf numFmtId="0" fontId="0" fillId="10" borderId="16" xfId="0" applyFill="1" applyBorder="1"/>
    <xf numFmtId="0" fontId="10" fillId="9" borderId="18" xfId="0" applyFont="1" applyFill="1" applyBorder="1"/>
    <xf numFmtId="0" fontId="10" fillId="9" borderId="19" xfId="0" applyFont="1" applyFill="1" applyBorder="1"/>
    <xf numFmtId="0" fontId="10" fillId="0" borderId="4" xfId="0" applyFont="1" applyBorder="1"/>
    <xf numFmtId="0" fontId="10" fillId="0" borderId="23" xfId="0" applyFont="1" applyBorder="1"/>
    <xf numFmtId="0" fontId="10" fillId="0" borderId="25" xfId="0" applyFont="1" applyBorder="1"/>
    <xf numFmtId="0" fontId="10" fillId="0" borderId="26" xfId="0" applyFont="1" applyBorder="1"/>
    <xf numFmtId="0" fontId="0" fillId="0" borderId="24" xfId="0" applyBorder="1"/>
    <xf numFmtId="17" fontId="7" fillId="8" borderId="4" xfId="0" applyNumberFormat="1" applyFont="1" applyFill="1" applyBorder="1" applyAlignment="1">
      <alignment vertical="center" wrapText="1"/>
    </xf>
    <xf numFmtId="3" fontId="14"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3" fontId="14" fillId="2" borderId="4" xfId="0" applyNumberFormat="1" applyFont="1" applyFill="1" applyBorder="1" applyAlignment="1">
      <alignment horizontal="center" vertical="center" wrapText="1"/>
    </xf>
    <xf numFmtId="17" fontId="7" fillId="8" borderId="20" xfId="0" applyNumberFormat="1" applyFont="1" applyFill="1" applyBorder="1" applyAlignment="1">
      <alignment vertical="center" wrapText="1"/>
    </xf>
    <xf numFmtId="17" fontId="7" fillId="8" borderId="21" xfId="0" applyNumberFormat="1" applyFont="1" applyFill="1" applyBorder="1" applyAlignment="1">
      <alignment horizontal="right" vertical="center" wrapText="1" indent="1"/>
    </xf>
    <xf numFmtId="17" fontId="7" fillId="8" borderId="22" xfId="0" applyNumberFormat="1" applyFont="1" applyFill="1" applyBorder="1" applyAlignment="1">
      <alignment horizontal="right" vertical="center" wrapText="1" indent="1"/>
    </xf>
    <xf numFmtId="0" fontId="12" fillId="5" borderId="23" xfId="0" applyFont="1" applyFill="1" applyBorder="1" applyAlignment="1">
      <alignment vertical="center"/>
    </xf>
    <xf numFmtId="0" fontId="14" fillId="3" borderId="24" xfId="0" applyFont="1" applyFill="1" applyBorder="1" applyAlignment="1">
      <alignment horizontal="center" vertical="center" wrapText="1"/>
    </xf>
    <xf numFmtId="3" fontId="14" fillId="3" borderId="24" xfId="0" applyNumberFormat="1" applyFont="1" applyFill="1" applyBorder="1" applyAlignment="1">
      <alignment horizontal="center" vertical="center" wrapText="1"/>
    </xf>
    <xf numFmtId="0" fontId="14" fillId="2" borderId="24" xfId="0" applyFont="1" applyFill="1" applyBorder="1" applyAlignment="1">
      <alignment horizontal="center" vertical="center" wrapText="1"/>
    </xf>
    <xf numFmtId="3" fontId="14" fillId="2" borderId="24" xfId="0" applyNumberFormat="1" applyFont="1" applyFill="1" applyBorder="1" applyAlignment="1">
      <alignment horizontal="center" vertical="center" wrapText="1"/>
    </xf>
    <xf numFmtId="0" fontId="12" fillId="5" borderId="25" xfId="0" applyFont="1" applyFill="1" applyBorder="1" applyAlignment="1">
      <alignment vertical="center"/>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3" fontId="14" fillId="2" borderId="26" xfId="0" applyNumberFormat="1" applyFont="1" applyFill="1" applyBorder="1" applyAlignment="1">
      <alignment horizontal="center" vertical="center" wrapText="1"/>
    </xf>
    <xf numFmtId="3" fontId="14" fillId="2" borderId="27" xfId="0" applyNumberFormat="1" applyFont="1" applyFill="1" applyBorder="1" applyAlignment="1">
      <alignment horizontal="center" vertical="center" wrapText="1"/>
    </xf>
    <xf numFmtId="0" fontId="7" fillId="8" borderId="4" xfId="0" applyFont="1" applyFill="1" applyBorder="1" applyAlignment="1">
      <alignment vertical="center" wrapText="1"/>
    </xf>
    <xf numFmtId="0" fontId="7" fillId="5" borderId="4" xfId="0" applyFont="1" applyFill="1" applyBorder="1" applyAlignment="1">
      <alignment vertical="center"/>
    </xf>
    <xf numFmtId="10" fontId="14" fillId="3" borderId="4" xfId="0" applyNumberFormat="1" applyFont="1" applyFill="1" applyBorder="1" applyAlignment="1">
      <alignment horizontal="center" vertical="center" wrapText="1"/>
    </xf>
    <xf numFmtId="9" fontId="14" fillId="2" borderId="4" xfId="0" applyNumberFormat="1" applyFont="1" applyFill="1" applyBorder="1" applyAlignment="1">
      <alignment horizontal="center" vertical="center" wrapText="1"/>
    </xf>
    <xf numFmtId="9" fontId="14" fillId="2" borderId="4" xfId="1" applyFont="1" applyFill="1" applyBorder="1" applyAlignment="1">
      <alignment horizontal="center" vertical="center" wrapText="1"/>
    </xf>
    <xf numFmtId="9" fontId="14" fillId="3" borderId="4" xfId="0" applyNumberFormat="1" applyFont="1" applyFill="1" applyBorder="1" applyAlignment="1">
      <alignment horizontal="center" vertical="center" wrapText="1"/>
    </xf>
    <xf numFmtId="0" fontId="10" fillId="0" borderId="24" xfId="0" applyFont="1" applyBorder="1"/>
    <xf numFmtId="0" fontId="7" fillId="5" borderId="23" xfId="0" applyFont="1" applyFill="1" applyBorder="1"/>
    <xf numFmtId="0" fontId="7" fillId="5" borderId="25" xfId="0" applyFont="1" applyFill="1" applyBorder="1"/>
    <xf numFmtId="3" fontId="6" fillId="0" borderId="4" xfId="0" applyNumberFormat="1" applyFont="1" applyBorder="1" applyAlignment="1">
      <alignment horizontal="center" vertical="center"/>
    </xf>
    <xf numFmtId="3" fontId="6" fillId="0" borderId="24" xfId="0" applyNumberFormat="1" applyFont="1" applyBorder="1" applyAlignment="1">
      <alignment horizontal="center" vertical="center"/>
    </xf>
    <xf numFmtId="0" fontId="6" fillId="0" borderId="24" xfId="0" applyFont="1" applyBorder="1" applyAlignment="1">
      <alignment horizontal="center" vertical="center"/>
    </xf>
    <xf numFmtId="165" fontId="6" fillId="0" borderId="26" xfId="0" applyNumberFormat="1" applyFont="1" applyBorder="1" applyAlignment="1">
      <alignment horizontal="center" vertical="center"/>
    </xf>
    <xf numFmtId="165" fontId="6" fillId="0" borderId="27" xfId="0" applyNumberFormat="1" applyFont="1" applyBorder="1" applyAlignment="1">
      <alignment horizontal="center" vertical="center"/>
    </xf>
    <xf numFmtId="165" fontId="6" fillId="0" borderId="24" xfId="0" applyNumberFormat="1" applyFont="1" applyBorder="1" applyAlignment="1">
      <alignment horizontal="center" vertical="center"/>
    </xf>
    <xf numFmtId="1" fontId="6" fillId="0" borderId="4" xfId="0" applyNumberFormat="1" applyFont="1" applyBorder="1" applyAlignment="1">
      <alignment horizontal="center" vertical="center"/>
    </xf>
    <xf numFmtId="1" fontId="6" fillId="0" borderId="26" xfId="0" applyNumberFormat="1" applyFont="1" applyBorder="1" applyAlignment="1">
      <alignment horizontal="center" vertical="center"/>
    </xf>
    <xf numFmtId="9" fontId="6" fillId="0" borderId="4" xfId="1" applyFont="1" applyBorder="1" applyAlignment="1">
      <alignment horizontal="center" vertical="center"/>
    </xf>
    <xf numFmtId="0" fontId="10" fillId="0" borderId="27" xfId="0" applyFont="1" applyBorder="1"/>
    <xf numFmtId="0" fontId="7" fillId="0" borderId="24" xfId="0" applyFont="1" applyBorder="1"/>
    <xf numFmtId="0" fontId="7" fillId="0" borderId="27" xfId="0" applyFont="1" applyBorder="1"/>
    <xf numFmtId="0" fontId="0" fillId="0" borderId="0" xfId="0" applyAlignment="1">
      <alignment horizontal="left" vertical="top" wrapText="1"/>
    </xf>
    <xf numFmtId="0" fontId="10" fillId="0" borderId="22" xfId="0" applyFont="1" applyBorder="1"/>
    <xf numFmtId="3" fontId="6" fillId="0" borderId="26" xfId="0" applyNumberFormat="1" applyFont="1" applyBorder="1" applyAlignment="1">
      <alignment horizontal="center" vertical="center"/>
    </xf>
    <xf numFmtId="0" fontId="7" fillId="5" borderId="31" xfId="0" applyFont="1" applyFill="1" applyBorder="1"/>
    <xf numFmtId="3" fontId="6" fillId="0" borderId="32" xfId="0" applyNumberFormat="1" applyFont="1" applyBorder="1" applyAlignment="1">
      <alignment horizontal="center" vertical="center"/>
    </xf>
    <xf numFmtId="3" fontId="6" fillId="0" borderId="33" xfId="0" applyNumberFormat="1" applyFont="1" applyBorder="1" applyAlignment="1">
      <alignment horizontal="center" vertical="center"/>
    </xf>
    <xf numFmtId="0" fontId="7" fillId="8" borderId="34" xfId="0" applyFont="1" applyFill="1" applyBorder="1"/>
    <xf numFmtId="17" fontId="7" fillId="8" borderId="35" xfId="0" applyNumberFormat="1" applyFont="1" applyFill="1" applyBorder="1"/>
    <xf numFmtId="17" fontId="7" fillId="8" borderId="36" xfId="0" applyNumberFormat="1" applyFont="1" applyFill="1" applyBorder="1"/>
    <xf numFmtId="165" fontId="6" fillId="0" borderId="32" xfId="0" applyNumberFormat="1" applyFont="1" applyBorder="1" applyAlignment="1">
      <alignment horizontal="center" vertical="center"/>
    </xf>
    <xf numFmtId="165" fontId="6" fillId="0" borderId="33" xfId="0" applyNumberFormat="1" applyFont="1" applyBorder="1" applyAlignment="1">
      <alignment horizontal="center" vertical="center"/>
    </xf>
    <xf numFmtId="1" fontId="6" fillId="0" borderId="32" xfId="0" applyNumberFormat="1" applyFont="1" applyBorder="1" applyAlignment="1">
      <alignment horizontal="center" vertical="center"/>
    </xf>
    <xf numFmtId="0" fontId="7" fillId="0" borderId="33" xfId="0" applyFont="1" applyBorder="1"/>
    <xf numFmtId="0" fontId="7" fillId="8" borderId="36" xfId="0" applyFont="1" applyFill="1" applyBorder="1"/>
    <xf numFmtId="0" fontId="10" fillId="0" borderId="33" xfId="0" applyFont="1" applyBorder="1"/>
    <xf numFmtId="0" fontId="7" fillId="8" borderId="36" xfId="0" applyFont="1" applyFill="1" applyBorder="1" applyAlignment="1">
      <alignment horizontal="right"/>
    </xf>
    <xf numFmtId="0" fontId="7" fillId="5" borderId="20" xfId="0" applyFont="1" applyFill="1" applyBorder="1"/>
    <xf numFmtId="1" fontId="6" fillId="0" borderId="21" xfId="0" applyNumberFormat="1" applyFont="1" applyBorder="1" applyAlignment="1">
      <alignment horizontal="center" vertical="center"/>
    </xf>
    <xf numFmtId="0" fontId="7" fillId="8" borderId="37" xfId="0" applyFont="1" applyFill="1" applyBorder="1"/>
    <xf numFmtId="17" fontId="7" fillId="8" borderId="38" xfId="0" applyNumberFormat="1" applyFont="1" applyFill="1" applyBorder="1"/>
    <xf numFmtId="0" fontId="7" fillId="8" borderId="39" xfId="0" applyFont="1" applyFill="1" applyBorder="1"/>
    <xf numFmtId="0" fontId="10" fillId="0" borderId="22" xfId="0" applyFont="1" applyBorder="1" applyAlignment="1">
      <alignment vertical="center"/>
    </xf>
    <xf numFmtId="0" fontId="0" fillId="0" borderId="0" xfId="0" applyAlignment="1">
      <alignment vertical="top" wrapText="1"/>
    </xf>
    <xf numFmtId="0" fontId="0" fillId="0" borderId="4" xfId="0" applyBorder="1"/>
    <xf numFmtId="0" fontId="0" fillId="0" borderId="26" xfId="0" applyBorder="1"/>
    <xf numFmtId="0" fontId="0" fillId="0" borderId="27" xfId="0" applyBorder="1"/>
    <xf numFmtId="0" fontId="10" fillId="0" borderId="40" xfId="0" applyFont="1" applyBorder="1"/>
    <xf numFmtId="0" fontId="10" fillId="0" borderId="41" xfId="0" applyFont="1" applyBorder="1"/>
    <xf numFmtId="0" fontId="10" fillId="0" borderId="42" xfId="0" applyFont="1" applyBorder="1"/>
    <xf numFmtId="0" fontId="7" fillId="10" borderId="43" xfId="0" applyFont="1" applyFill="1" applyBorder="1" applyAlignment="1">
      <alignment vertical="center" wrapText="1"/>
    </xf>
    <xf numFmtId="0" fontId="7" fillId="8" borderId="44" xfId="0" applyFont="1" applyFill="1" applyBorder="1"/>
    <xf numFmtId="17" fontId="7" fillId="8" borderId="45" xfId="0" applyNumberFormat="1" applyFont="1" applyFill="1" applyBorder="1"/>
    <xf numFmtId="0" fontId="7" fillId="8" borderId="46" xfId="0" applyFont="1" applyFill="1" applyBorder="1"/>
    <xf numFmtId="0" fontId="10" fillId="0" borderId="31" xfId="0" applyFont="1" applyBorder="1"/>
    <xf numFmtId="0" fontId="10" fillId="0" borderId="32" xfId="0" applyFont="1" applyBorder="1"/>
    <xf numFmtId="0" fontId="0" fillId="0" borderId="32" xfId="0" applyBorder="1"/>
    <xf numFmtId="0" fontId="0" fillId="0" borderId="33" xfId="0" applyBorder="1"/>
    <xf numFmtId="0" fontId="7" fillId="8" borderId="35" xfId="0" applyFont="1" applyFill="1" applyBorder="1" applyAlignment="1">
      <alignment horizontal="center" vertical="top"/>
    </xf>
    <xf numFmtId="17" fontId="7" fillId="8" borderId="35" xfId="0" applyNumberFormat="1" applyFont="1" applyFill="1" applyBorder="1" applyAlignment="1">
      <alignment horizontal="right" vertical="top"/>
    </xf>
    <xf numFmtId="0" fontId="7" fillId="8" borderId="35" xfId="0" applyFont="1" applyFill="1" applyBorder="1" applyAlignment="1">
      <alignment horizontal="right"/>
    </xf>
    <xf numFmtId="0" fontId="7" fillId="8" borderId="36" xfId="0" applyFont="1" applyFill="1" applyBorder="1" applyAlignment="1">
      <alignment horizontal="left"/>
    </xf>
    <xf numFmtId="0" fontId="7" fillId="0" borderId="0" xfId="0" applyFont="1" applyAlignment="1">
      <alignment vertical="top" wrapText="1"/>
    </xf>
    <xf numFmtId="0" fontId="10" fillId="0" borderId="0" xfId="0" applyFont="1" applyAlignment="1">
      <alignment vertical="top" wrapText="1"/>
    </xf>
    <xf numFmtId="10"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0" fontId="6" fillId="0" borderId="26" xfId="0" applyFont="1" applyBorder="1" applyAlignment="1">
      <alignment horizontal="center" vertical="center"/>
    </xf>
    <xf numFmtId="0" fontId="7" fillId="12" borderId="32" xfId="0" applyFont="1" applyFill="1" applyBorder="1" applyAlignment="1">
      <alignment vertical="center"/>
    </xf>
    <xf numFmtId="0" fontId="7" fillId="12" borderId="4" xfId="0" applyFont="1" applyFill="1" applyBorder="1" applyAlignment="1">
      <alignment vertical="center"/>
    </xf>
    <xf numFmtId="0" fontId="7" fillId="12" borderId="26" xfId="0" applyFont="1" applyFill="1" applyBorder="1" applyAlignment="1">
      <alignment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0" fillId="0" borderId="0" xfId="0" applyAlignment="1">
      <alignment horizontal="left" vertical="top" wrapText="1"/>
    </xf>
    <xf numFmtId="0" fontId="7" fillId="0" borderId="29" xfId="0" applyFont="1" applyBorder="1" applyAlignment="1">
      <alignment horizontal="left" vertical="top" wrapText="1"/>
    </xf>
    <xf numFmtId="0" fontId="7" fillId="0" borderId="0" xfId="0" applyFont="1" applyAlignment="1">
      <alignment horizontal="left" vertical="top" wrapText="1"/>
    </xf>
    <xf numFmtId="0" fontId="10" fillId="0" borderId="29" xfId="0" applyFont="1" applyBorder="1" applyAlignment="1">
      <alignment horizontal="left" vertical="top" wrapText="1"/>
    </xf>
    <xf numFmtId="0" fontId="10" fillId="0" borderId="0" xfId="0" applyFont="1" applyAlignment="1">
      <alignment horizontal="left" vertical="top" wrapText="1"/>
    </xf>
    <xf numFmtId="0" fontId="7" fillId="13" borderId="1"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3" borderId="3" xfId="0" applyFont="1" applyFill="1" applyBorder="1" applyAlignment="1">
      <alignment horizontal="center" vertical="center" wrapText="1"/>
    </xf>
    <xf numFmtId="0" fontId="7" fillId="13" borderId="28" xfId="0" applyFont="1" applyFill="1" applyBorder="1" applyAlignment="1">
      <alignment horizontal="center" vertical="center" wrapText="1"/>
    </xf>
    <xf numFmtId="0" fontId="7" fillId="13" borderId="29" xfId="0" applyFont="1" applyFill="1" applyBorder="1" applyAlignment="1">
      <alignment horizontal="center" vertical="center" wrapText="1"/>
    </xf>
    <xf numFmtId="0" fontId="7" fillId="13" borderId="30" xfId="0" applyFont="1" applyFill="1" applyBorder="1" applyAlignment="1">
      <alignment horizontal="center" vertical="center" wrapText="1"/>
    </xf>
    <xf numFmtId="0" fontId="7" fillId="13" borderId="18" xfId="0" applyFont="1" applyFill="1" applyBorder="1" applyAlignment="1">
      <alignment horizontal="center" vertical="center" wrapText="1"/>
    </xf>
    <xf numFmtId="0" fontId="7" fillId="13" borderId="47" xfId="0" applyFont="1" applyFill="1" applyBorder="1" applyAlignment="1">
      <alignment horizontal="center" vertical="center" wrapText="1"/>
    </xf>
    <xf numFmtId="0" fontId="7" fillId="13" borderId="19" xfId="0" applyFont="1" applyFill="1" applyBorder="1" applyAlignment="1">
      <alignment horizontal="center" vertical="center" wrapText="1"/>
    </xf>
    <xf numFmtId="0" fontId="7" fillId="0" borderId="24" xfId="0" applyFont="1" applyBorder="1" applyAlignment="1">
      <alignment horizontal="center" vertical="center"/>
    </xf>
    <xf numFmtId="165" fontId="7" fillId="0" borderId="26" xfId="0" applyNumberFormat="1" applyFont="1" applyBorder="1" applyAlignment="1">
      <alignment horizontal="center" vertical="center"/>
    </xf>
    <xf numFmtId="165" fontId="7" fillId="0" borderId="27" xfId="0" applyNumberFormat="1" applyFont="1" applyBorder="1" applyAlignment="1">
      <alignment horizontal="center" vertical="center"/>
    </xf>
    <xf numFmtId="0" fontId="8" fillId="0" borderId="23" xfId="0" applyFont="1" applyBorder="1"/>
    <xf numFmtId="0" fontId="8" fillId="0" borderId="25" xfId="0" applyFont="1" applyBorder="1"/>
    <xf numFmtId="0" fontId="7" fillId="0" borderId="26" xfId="0" applyFont="1" applyBorder="1" applyAlignment="1">
      <alignment horizontal="center" vertical="center"/>
    </xf>
    <xf numFmtId="0" fontId="8" fillId="0" borderId="26" xfId="0" applyFont="1" applyBorder="1"/>
    <xf numFmtId="0" fontId="7" fillId="0" borderId="27" xfId="0" applyFont="1" applyBorder="1" applyAlignment="1">
      <alignment horizontal="center" vertical="center"/>
    </xf>
    <xf numFmtId="0" fontId="6" fillId="0" borderId="27" xfId="0" applyFont="1" applyBorder="1" applyAlignment="1">
      <alignment horizontal="center" vertical="center"/>
    </xf>
    <xf numFmtId="0" fontId="11" fillId="7" borderId="23" xfId="0" applyFont="1" applyFill="1" applyBorder="1"/>
    <xf numFmtId="0" fontId="11" fillId="7" borderId="25" xfId="0" applyFont="1" applyFill="1" applyBorder="1"/>
    <xf numFmtId="164" fontId="7" fillId="0" borderId="32" xfId="0" applyNumberFormat="1" applyFont="1" applyBorder="1" applyAlignment="1">
      <alignment horizontal="center" vertical="center"/>
    </xf>
    <xf numFmtId="9" fontId="7" fillId="0" borderId="32" xfId="0" applyNumberFormat="1" applyFont="1" applyBorder="1" applyAlignment="1">
      <alignment horizontal="center" vertical="center"/>
    </xf>
    <xf numFmtId="165" fontId="7" fillId="0" borderId="32" xfId="0" applyNumberFormat="1" applyFont="1" applyBorder="1" applyAlignment="1">
      <alignment horizontal="center" vertical="center"/>
    </xf>
    <xf numFmtId="0" fontId="7" fillId="0" borderId="32" xfId="0" applyFont="1" applyBorder="1" applyAlignment="1">
      <alignment horizontal="center" vertical="center"/>
    </xf>
    <xf numFmtId="3" fontId="7" fillId="0" borderId="32" xfId="0" applyNumberFormat="1" applyFont="1" applyBorder="1" applyAlignment="1">
      <alignment horizontal="center" vertical="center"/>
    </xf>
    <xf numFmtId="3" fontId="7" fillId="0" borderId="33" xfId="0" applyNumberFormat="1" applyFont="1" applyBorder="1" applyAlignment="1">
      <alignment horizontal="center" vertical="center"/>
    </xf>
    <xf numFmtId="0" fontId="11" fillId="5" borderId="34" xfId="0" applyFont="1" applyFill="1" applyBorder="1"/>
    <xf numFmtId="0" fontId="11" fillId="5" borderId="35" xfId="0" applyFont="1" applyFill="1" applyBorder="1" applyAlignment="1">
      <alignment horizontal="center"/>
    </xf>
    <xf numFmtId="0" fontId="11" fillId="5" borderId="36" xfId="0" applyFont="1" applyFill="1" applyBorder="1" applyAlignment="1">
      <alignment horizontal="center"/>
    </xf>
    <xf numFmtId="0" fontId="11" fillId="5" borderId="23" xfId="0" applyFont="1" applyFill="1" applyBorder="1"/>
    <xf numFmtId="0" fontId="11" fillId="5" borderId="25" xfId="0" applyFont="1" applyFill="1" applyBorder="1"/>
    <xf numFmtId="0" fontId="11" fillId="5" borderId="31" xfId="0" applyFont="1" applyFill="1" applyBorder="1"/>
    <xf numFmtId="0" fontId="8" fillId="0" borderId="31" xfId="0" applyFont="1" applyBorder="1"/>
    <xf numFmtId="1" fontId="8" fillId="0" borderId="32" xfId="0" applyNumberFormat="1" applyFont="1" applyBorder="1"/>
    <xf numFmtId="0" fontId="8" fillId="0" borderId="32" xfId="0" applyFont="1" applyBorder="1"/>
    <xf numFmtId="165" fontId="7" fillId="0" borderId="33" xfId="0" applyNumberFormat="1" applyFont="1" applyBorder="1" applyAlignment="1">
      <alignment horizontal="center" vertical="center"/>
    </xf>
    <xf numFmtId="0" fontId="11" fillId="6" borderId="34" xfId="0" applyFont="1" applyFill="1" applyBorder="1"/>
    <xf numFmtId="0" fontId="11" fillId="6" borderId="35" xfId="0" applyFont="1" applyFill="1" applyBorder="1" applyAlignment="1">
      <alignment horizontal="center"/>
    </xf>
    <xf numFmtId="0" fontId="11" fillId="6" borderId="35" xfId="0" applyFont="1" applyFill="1" applyBorder="1"/>
    <xf numFmtId="0" fontId="11" fillId="6" borderId="36" xfId="0" applyFont="1" applyFill="1" applyBorder="1" applyAlignment="1">
      <alignment horizontal="center"/>
    </xf>
    <xf numFmtId="0" fontId="6" fillId="0" borderId="32" xfId="0" applyFont="1" applyBorder="1" applyAlignment="1">
      <alignment horizontal="center" vertical="center"/>
    </xf>
    <xf numFmtId="0" fontId="11" fillId="7" borderId="34" xfId="0" applyFont="1" applyFill="1" applyBorder="1"/>
    <xf numFmtId="0" fontId="11" fillId="7" borderId="35" xfId="0" applyFont="1" applyFill="1" applyBorder="1"/>
    <xf numFmtId="0" fontId="11" fillId="7" borderId="36" xfId="0" applyFont="1" applyFill="1" applyBorder="1"/>
    <xf numFmtId="0" fontId="11" fillId="7" borderId="31" xfId="0"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8E32-4CFF-49C4-90CE-E3D563BDB587}">
  <dimension ref="A1:V66"/>
  <sheetViews>
    <sheetView showGridLines="0" workbookViewId="0">
      <selection activeCell="R16" sqref="R16"/>
    </sheetView>
  </sheetViews>
  <sheetFormatPr defaultRowHeight="14.4" x14ac:dyDescent="0.3"/>
  <sheetData>
    <row r="1" spans="1:22" ht="35.4" customHeight="1" thickBot="1" x14ac:dyDescent="0.35">
      <c r="A1" s="150" t="s">
        <v>76</v>
      </c>
      <c r="B1" s="151"/>
      <c r="C1" s="151"/>
      <c r="D1" s="151"/>
      <c r="E1" s="151"/>
      <c r="F1" s="151"/>
      <c r="G1" s="151"/>
      <c r="H1" s="152"/>
    </row>
    <row r="3" spans="1:22" x14ac:dyDescent="0.3">
      <c r="A3" s="153" t="s">
        <v>244</v>
      </c>
      <c r="B3" s="153"/>
      <c r="C3" s="153"/>
      <c r="D3" s="153"/>
      <c r="E3" s="153"/>
      <c r="F3" s="153"/>
      <c r="G3" s="153"/>
      <c r="H3" s="153"/>
      <c r="I3" s="153"/>
      <c r="J3" s="153"/>
      <c r="K3" s="153"/>
      <c r="L3" s="153"/>
      <c r="M3" s="153"/>
      <c r="N3" s="153"/>
      <c r="O3" s="153"/>
      <c r="P3" s="153"/>
      <c r="Q3" s="153"/>
      <c r="R3" s="101"/>
      <c r="S3" s="101"/>
      <c r="T3" s="101"/>
      <c r="U3" s="101"/>
      <c r="V3" s="101"/>
    </row>
    <row r="4" spans="1:22" x14ac:dyDescent="0.3">
      <c r="A4" s="153"/>
      <c r="B4" s="153"/>
      <c r="C4" s="153"/>
      <c r="D4" s="153"/>
      <c r="E4" s="153"/>
      <c r="F4" s="153"/>
      <c r="G4" s="153"/>
      <c r="H4" s="153"/>
      <c r="I4" s="153"/>
      <c r="J4" s="153"/>
      <c r="K4" s="153"/>
      <c r="L4" s="153"/>
      <c r="M4" s="153"/>
      <c r="N4" s="153"/>
      <c r="O4" s="153"/>
      <c r="P4" s="153"/>
      <c r="Q4" s="153"/>
      <c r="R4" s="101"/>
      <c r="S4" s="101"/>
      <c r="T4" s="101"/>
      <c r="U4" s="101"/>
      <c r="V4" s="101"/>
    </row>
    <row r="5" spans="1:22" x14ac:dyDescent="0.3">
      <c r="A5" s="153"/>
      <c r="B5" s="153"/>
      <c r="C5" s="153"/>
      <c r="D5" s="153"/>
      <c r="E5" s="153"/>
      <c r="F5" s="153"/>
      <c r="G5" s="153"/>
      <c r="H5" s="153"/>
      <c r="I5" s="153"/>
      <c r="J5" s="153"/>
      <c r="K5" s="153"/>
      <c r="L5" s="153"/>
      <c r="M5" s="153"/>
      <c r="N5" s="153"/>
      <c r="O5" s="153"/>
      <c r="P5" s="153"/>
      <c r="Q5" s="153"/>
      <c r="R5" s="101"/>
      <c r="S5" s="101"/>
      <c r="T5" s="101"/>
      <c r="U5" s="101"/>
      <c r="V5" s="101"/>
    </row>
    <row r="6" spans="1:22" x14ac:dyDescent="0.3">
      <c r="A6" s="153"/>
      <c r="B6" s="153"/>
      <c r="C6" s="153"/>
      <c r="D6" s="153"/>
      <c r="E6" s="153"/>
      <c r="F6" s="153"/>
      <c r="G6" s="153"/>
      <c r="H6" s="153"/>
      <c r="I6" s="153"/>
      <c r="J6" s="153"/>
      <c r="K6" s="153"/>
      <c r="L6" s="153"/>
      <c r="M6" s="153"/>
      <c r="N6" s="153"/>
      <c r="O6" s="153"/>
      <c r="P6" s="153"/>
      <c r="Q6" s="153"/>
      <c r="R6" s="101"/>
      <c r="S6" s="101"/>
      <c r="T6" s="101"/>
      <c r="U6" s="101"/>
      <c r="V6" s="101"/>
    </row>
    <row r="7" spans="1:22" x14ac:dyDescent="0.3">
      <c r="A7" s="153"/>
      <c r="B7" s="153"/>
      <c r="C7" s="153"/>
      <c r="D7" s="153"/>
      <c r="E7" s="153"/>
      <c r="F7" s="153"/>
      <c r="G7" s="153"/>
      <c r="H7" s="153"/>
      <c r="I7" s="153"/>
      <c r="J7" s="153"/>
      <c r="K7" s="153"/>
      <c r="L7" s="153"/>
      <c r="M7" s="153"/>
      <c r="N7" s="153"/>
      <c r="O7" s="153"/>
      <c r="P7" s="153"/>
      <c r="Q7" s="153"/>
      <c r="R7" s="101"/>
      <c r="S7" s="101"/>
      <c r="T7" s="101"/>
      <c r="U7" s="101"/>
      <c r="V7" s="101"/>
    </row>
    <row r="8" spans="1:22" x14ac:dyDescent="0.3">
      <c r="A8" s="153"/>
      <c r="B8" s="153"/>
      <c r="C8" s="153"/>
      <c r="D8" s="153"/>
      <c r="E8" s="153"/>
      <c r="F8" s="153"/>
      <c r="G8" s="153"/>
      <c r="H8" s="153"/>
      <c r="I8" s="153"/>
      <c r="J8" s="153"/>
      <c r="K8" s="153"/>
      <c r="L8" s="153"/>
      <c r="M8" s="153"/>
      <c r="N8" s="153"/>
      <c r="O8" s="153"/>
      <c r="P8" s="153"/>
      <c r="Q8" s="153"/>
      <c r="R8" s="101"/>
      <c r="S8" s="101"/>
      <c r="T8" s="101"/>
      <c r="U8" s="101"/>
      <c r="V8" s="101"/>
    </row>
    <row r="9" spans="1:22" x14ac:dyDescent="0.3">
      <c r="A9" s="153"/>
      <c r="B9" s="153"/>
      <c r="C9" s="153"/>
      <c r="D9" s="153"/>
      <c r="E9" s="153"/>
      <c r="F9" s="153"/>
      <c r="G9" s="153"/>
      <c r="H9" s="153"/>
      <c r="I9" s="153"/>
      <c r="J9" s="153"/>
      <c r="K9" s="153"/>
      <c r="L9" s="153"/>
      <c r="M9" s="153"/>
      <c r="N9" s="153"/>
      <c r="O9" s="153"/>
      <c r="P9" s="153"/>
      <c r="Q9" s="153"/>
      <c r="R9" s="101"/>
      <c r="S9" s="101"/>
      <c r="T9" s="101"/>
      <c r="U9" s="101"/>
      <c r="V9" s="101"/>
    </row>
    <row r="10" spans="1:22" x14ac:dyDescent="0.3">
      <c r="A10" s="153"/>
      <c r="B10" s="153"/>
      <c r="C10" s="153"/>
      <c r="D10" s="153"/>
      <c r="E10" s="153"/>
      <c r="F10" s="153"/>
      <c r="G10" s="153"/>
      <c r="H10" s="153"/>
      <c r="I10" s="153"/>
      <c r="J10" s="153"/>
      <c r="K10" s="153"/>
      <c r="L10" s="153"/>
      <c r="M10" s="153"/>
      <c r="N10" s="153"/>
      <c r="O10" s="153"/>
      <c r="P10" s="153"/>
      <c r="Q10" s="153"/>
      <c r="R10" s="101"/>
      <c r="S10" s="101"/>
      <c r="T10" s="101"/>
      <c r="U10" s="101"/>
      <c r="V10" s="101"/>
    </row>
    <row r="11" spans="1:22" x14ac:dyDescent="0.3">
      <c r="A11" s="153"/>
      <c r="B11" s="153"/>
      <c r="C11" s="153"/>
      <c r="D11" s="153"/>
      <c r="E11" s="153"/>
      <c r="F11" s="153"/>
      <c r="G11" s="153"/>
      <c r="H11" s="153"/>
      <c r="I11" s="153"/>
      <c r="J11" s="153"/>
      <c r="K11" s="153"/>
      <c r="L11" s="153"/>
      <c r="M11" s="153"/>
      <c r="N11" s="153"/>
      <c r="O11" s="153"/>
      <c r="P11" s="153"/>
      <c r="Q11" s="153"/>
      <c r="R11" s="101"/>
      <c r="S11" s="101"/>
      <c r="T11" s="101"/>
      <c r="U11" s="101"/>
      <c r="V11" s="101"/>
    </row>
    <row r="12" spans="1:22" x14ac:dyDescent="0.3">
      <c r="A12" s="153"/>
      <c r="B12" s="153"/>
      <c r="C12" s="153"/>
      <c r="D12" s="153"/>
      <c r="E12" s="153"/>
      <c r="F12" s="153"/>
      <c r="G12" s="153"/>
      <c r="H12" s="153"/>
      <c r="I12" s="153"/>
      <c r="J12" s="153"/>
      <c r="K12" s="153"/>
      <c r="L12" s="153"/>
      <c r="M12" s="153"/>
      <c r="N12" s="153"/>
      <c r="O12" s="153"/>
      <c r="P12" s="153"/>
      <c r="Q12" s="153"/>
      <c r="R12" s="101"/>
      <c r="S12" s="101"/>
      <c r="T12" s="101"/>
      <c r="U12" s="101"/>
      <c r="V12" s="101"/>
    </row>
    <row r="13" spans="1:22" x14ac:dyDescent="0.3">
      <c r="A13" s="153"/>
      <c r="B13" s="153"/>
      <c r="C13" s="153"/>
      <c r="D13" s="153"/>
      <c r="E13" s="153"/>
      <c r="F13" s="153"/>
      <c r="G13" s="153"/>
      <c r="H13" s="153"/>
      <c r="I13" s="153"/>
      <c r="J13" s="153"/>
      <c r="K13" s="153"/>
      <c r="L13" s="153"/>
      <c r="M13" s="153"/>
      <c r="N13" s="153"/>
      <c r="O13" s="153"/>
      <c r="P13" s="153"/>
      <c r="Q13" s="153"/>
      <c r="R13" s="101"/>
      <c r="S13" s="101"/>
      <c r="T13" s="101"/>
      <c r="U13" s="101"/>
      <c r="V13" s="101"/>
    </row>
    <row r="14" spans="1:22" x14ac:dyDescent="0.3">
      <c r="A14" s="153"/>
      <c r="B14" s="153"/>
      <c r="C14" s="153"/>
      <c r="D14" s="153"/>
      <c r="E14" s="153"/>
      <c r="F14" s="153"/>
      <c r="G14" s="153"/>
      <c r="H14" s="153"/>
      <c r="I14" s="153"/>
      <c r="J14" s="153"/>
      <c r="K14" s="153"/>
      <c r="L14" s="153"/>
      <c r="M14" s="153"/>
      <c r="N14" s="153"/>
      <c r="O14" s="153"/>
      <c r="P14" s="153"/>
      <c r="Q14" s="153"/>
      <c r="R14" s="101"/>
      <c r="S14" s="101"/>
      <c r="T14" s="101"/>
      <c r="U14" s="101"/>
      <c r="V14" s="101"/>
    </row>
    <row r="15" spans="1:22" x14ac:dyDescent="0.3">
      <c r="A15" s="153"/>
      <c r="B15" s="153"/>
      <c r="C15" s="153"/>
      <c r="D15" s="153"/>
      <c r="E15" s="153"/>
      <c r="F15" s="153"/>
      <c r="G15" s="153"/>
      <c r="H15" s="153"/>
      <c r="I15" s="153"/>
      <c r="J15" s="153"/>
      <c r="K15" s="153"/>
      <c r="L15" s="153"/>
      <c r="M15" s="153"/>
      <c r="N15" s="153"/>
      <c r="O15" s="153"/>
      <c r="P15" s="153"/>
      <c r="Q15" s="153"/>
      <c r="R15" s="101"/>
      <c r="S15" s="101"/>
      <c r="T15" s="101"/>
      <c r="U15" s="101"/>
      <c r="V15" s="101"/>
    </row>
    <row r="16" spans="1:22" x14ac:dyDescent="0.3">
      <c r="A16" s="153"/>
      <c r="B16" s="153"/>
      <c r="C16" s="153"/>
      <c r="D16" s="153"/>
      <c r="E16" s="153"/>
      <c r="F16" s="153"/>
      <c r="G16" s="153"/>
      <c r="H16" s="153"/>
      <c r="I16" s="153"/>
      <c r="J16" s="153"/>
      <c r="K16" s="153"/>
      <c r="L16" s="153"/>
      <c r="M16" s="153"/>
      <c r="N16" s="153"/>
      <c r="O16" s="153"/>
      <c r="P16" s="153"/>
      <c r="Q16" s="153"/>
      <c r="R16" s="101"/>
      <c r="S16" s="101"/>
      <c r="T16" s="101"/>
      <c r="U16" s="101"/>
      <c r="V16" s="101"/>
    </row>
    <row r="17" spans="1:22" x14ac:dyDescent="0.3">
      <c r="A17" s="153"/>
      <c r="B17" s="153"/>
      <c r="C17" s="153"/>
      <c r="D17" s="153"/>
      <c r="E17" s="153"/>
      <c r="F17" s="153"/>
      <c r="G17" s="153"/>
      <c r="H17" s="153"/>
      <c r="I17" s="153"/>
      <c r="J17" s="153"/>
      <c r="K17" s="153"/>
      <c r="L17" s="153"/>
      <c r="M17" s="153"/>
      <c r="N17" s="153"/>
      <c r="O17" s="153"/>
      <c r="P17" s="153"/>
      <c r="Q17" s="153"/>
      <c r="R17" s="101"/>
      <c r="S17" s="101"/>
      <c r="T17" s="101"/>
      <c r="U17" s="101"/>
      <c r="V17" s="101"/>
    </row>
    <row r="18" spans="1:22" x14ac:dyDescent="0.3">
      <c r="A18" s="153"/>
      <c r="B18" s="153"/>
      <c r="C18" s="153"/>
      <c r="D18" s="153"/>
      <c r="E18" s="153"/>
      <c r="F18" s="153"/>
      <c r="G18" s="153"/>
      <c r="H18" s="153"/>
      <c r="I18" s="153"/>
      <c r="J18" s="153"/>
      <c r="K18" s="153"/>
      <c r="L18" s="153"/>
      <c r="M18" s="153"/>
      <c r="N18" s="153"/>
      <c r="O18" s="153"/>
      <c r="P18" s="153"/>
      <c r="Q18" s="153"/>
      <c r="R18" s="101"/>
      <c r="S18" s="101"/>
      <c r="T18" s="101"/>
      <c r="U18" s="101"/>
      <c r="V18" s="101"/>
    </row>
    <row r="19" spans="1:22" x14ac:dyDescent="0.3">
      <c r="A19" s="153"/>
      <c r="B19" s="153"/>
      <c r="C19" s="153"/>
      <c r="D19" s="153"/>
      <c r="E19" s="153"/>
      <c r="F19" s="153"/>
      <c r="G19" s="153"/>
      <c r="H19" s="153"/>
      <c r="I19" s="153"/>
      <c r="J19" s="153"/>
      <c r="K19" s="153"/>
      <c r="L19" s="153"/>
      <c r="M19" s="153"/>
      <c r="N19" s="153"/>
      <c r="O19" s="153"/>
      <c r="P19" s="153"/>
      <c r="Q19" s="153"/>
      <c r="R19" s="101"/>
      <c r="S19" s="101"/>
      <c r="T19" s="101"/>
      <c r="U19" s="101"/>
      <c r="V19" s="101"/>
    </row>
    <row r="20" spans="1:22" x14ac:dyDescent="0.3">
      <c r="A20" s="153"/>
      <c r="B20" s="153"/>
      <c r="C20" s="153"/>
      <c r="D20" s="153"/>
      <c r="E20" s="153"/>
      <c r="F20" s="153"/>
      <c r="G20" s="153"/>
      <c r="H20" s="153"/>
      <c r="I20" s="153"/>
      <c r="J20" s="153"/>
      <c r="K20" s="153"/>
      <c r="L20" s="153"/>
      <c r="M20" s="153"/>
      <c r="N20" s="153"/>
      <c r="O20" s="153"/>
      <c r="P20" s="153"/>
      <c r="Q20" s="153"/>
      <c r="R20" s="101"/>
      <c r="S20" s="101"/>
      <c r="T20" s="101"/>
      <c r="U20" s="101"/>
      <c r="V20" s="101"/>
    </row>
    <row r="21" spans="1:22" x14ac:dyDescent="0.3">
      <c r="A21" s="153"/>
      <c r="B21" s="153"/>
      <c r="C21" s="153"/>
      <c r="D21" s="153"/>
      <c r="E21" s="153"/>
      <c r="F21" s="153"/>
      <c r="G21" s="153"/>
      <c r="H21" s="153"/>
      <c r="I21" s="153"/>
      <c r="J21" s="153"/>
      <c r="K21" s="153"/>
      <c r="L21" s="153"/>
      <c r="M21" s="153"/>
      <c r="N21" s="153"/>
      <c r="O21" s="153"/>
      <c r="P21" s="153"/>
      <c r="Q21" s="153"/>
      <c r="R21" s="101"/>
      <c r="S21" s="101"/>
      <c r="T21" s="101"/>
      <c r="U21" s="101"/>
      <c r="V21" s="101"/>
    </row>
    <row r="22" spans="1:22" x14ac:dyDescent="0.3">
      <c r="A22" s="153"/>
      <c r="B22" s="153"/>
      <c r="C22" s="153"/>
      <c r="D22" s="153"/>
      <c r="E22" s="153"/>
      <c r="F22" s="153"/>
      <c r="G22" s="153"/>
      <c r="H22" s="153"/>
      <c r="I22" s="153"/>
      <c r="J22" s="153"/>
      <c r="K22" s="153"/>
      <c r="L22" s="153"/>
      <c r="M22" s="153"/>
      <c r="N22" s="153"/>
      <c r="O22" s="153"/>
      <c r="P22" s="153"/>
      <c r="Q22" s="153"/>
      <c r="R22" s="101"/>
      <c r="S22" s="101"/>
      <c r="T22" s="101"/>
      <c r="U22" s="101"/>
      <c r="V22" s="101"/>
    </row>
    <row r="23" spans="1:22" x14ac:dyDescent="0.3">
      <c r="A23" s="153"/>
      <c r="B23" s="153"/>
      <c r="C23" s="153"/>
      <c r="D23" s="153"/>
      <c r="E23" s="153"/>
      <c r="F23" s="153"/>
      <c r="G23" s="153"/>
      <c r="H23" s="153"/>
      <c r="I23" s="153"/>
      <c r="J23" s="153"/>
      <c r="K23" s="153"/>
      <c r="L23" s="153"/>
      <c r="M23" s="153"/>
      <c r="N23" s="153"/>
      <c r="O23" s="153"/>
      <c r="P23" s="153"/>
      <c r="Q23" s="153"/>
      <c r="R23" s="101"/>
      <c r="S23" s="101"/>
      <c r="T23" s="101"/>
      <c r="U23" s="101"/>
      <c r="V23" s="101"/>
    </row>
    <row r="24" spans="1:22" x14ac:dyDescent="0.3">
      <c r="A24" s="153"/>
      <c r="B24" s="153"/>
      <c r="C24" s="153"/>
      <c r="D24" s="153"/>
      <c r="E24" s="153"/>
      <c r="F24" s="153"/>
      <c r="G24" s="153"/>
      <c r="H24" s="153"/>
      <c r="I24" s="153"/>
      <c r="J24" s="153"/>
      <c r="K24" s="153"/>
      <c r="L24" s="153"/>
      <c r="M24" s="153"/>
      <c r="N24" s="153"/>
      <c r="O24" s="153"/>
      <c r="P24" s="153"/>
      <c r="Q24" s="153"/>
      <c r="R24" s="101"/>
      <c r="S24" s="101"/>
      <c r="T24" s="101"/>
      <c r="U24" s="101"/>
      <c r="V24" s="101"/>
    </row>
    <row r="25" spans="1:22" x14ac:dyDescent="0.3">
      <c r="A25" s="153"/>
      <c r="B25" s="153"/>
      <c r="C25" s="153"/>
      <c r="D25" s="153"/>
      <c r="E25" s="153"/>
      <c r="F25" s="153"/>
      <c r="G25" s="153"/>
      <c r="H25" s="153"/>
      <c r="I25" s="153"/>
      <c r="J25" s="153"/>
      <c r="K25" s="153"/>
      <c r="L25" s="153"/>
      <c r="M25" s="153"/>
      <c r="N25" s="153"/>
      <c r="O25" s="153"/>
      <c r="P25" s="153"/>
      <c r="Q25" s="153"/>
      <c r="R25" s="101"/>
      <c r="S25" s="101"/>
      <c r="T25" s="101"/>
      <c r="U25" s="101"/>
      <c r="V25" s="101"/>
    </row>
    <row r="26" spans="1:22" x14ac:dyDescent="0.3">
      <c r="A26" s="153"/>
      <c r="B26" s="153"/>
      <c r="C26" s="153"/>
      <c r="D26" s="153"/>
      <c r="E26" s="153"/>
      <c r="F26" s="153"/>
      <c r="G26" s="153"/>
      <c r="H26" s="153"/>
      <c r="I26" s="153"/>
      <c r="J26" s="153"/>
      <c r="K26" s="153"/>
      <c r="L26" s="153"/>
      <c r="M26" s="153"/>
      <c r="N26" s="153"/>
      <c r="O26" s="153"/>
      <c r="P26" s="153"/>
      <c r="Q26" s="153"/>
      <c r="R26" s="101"/>
      <c r="S26" s="101"/>
      <c r="T26" s="101"/>
      <c r="U26" s="101"/>
      <c r="V26" s="101"/>
    </row>
    <row r="27" spans="1:22" x14ac:dyDescent="0.3">
      <c r="A27" s="153"/>
      <c r="B27" s="153"/>
      <c r="C27" s="153"/>
      <c r="D27" s="153"/>
      <c r="E27" s="153"/>
      <c r="F27" s="153"/>
      <c r="G27" s="153"/>
      <c r="H27" s="153"/>
      <c r="I27" s="153"/>
      <c r="J27" s="153"/>
      <c r="K27" s="153"/>
      <c r="L27" s="153"/>
      <c r="M27" s="153"/>
      <c r="N27" s="153"/>
      <c r="O27" s="153"/>
      <c r="P27" s="153"/>
      <c r="Q27" s="153"/>
      <c r="R27" s="101"/>
      <c r="S27" s="101"/>
      <c r="T27" s="101"/>
      <c r="U27" s="101"/>
      <c r="V27" s="101"/>
    </row>
    <row r="28" spans="1:22" x14ac:dyDescent="0.3">
      <c r="A28" s="153"/>
      <c r="B28" s="153"/>
      <c r="C28" s="153"/>
      <c r="D28" s="153"/>
      <c r="E28" s="153"/>
      <c r="F28" s="153"/>
      <c r="G28" s="153"/>
      <c r="H28" s="153"/>
      <c r="I28" s="153"/>
      <c r="J28" s="153"/>
      <c r="K28" s="153"/>
      <c r="L28" s="153"/>
      <c r="M28" s="153"/>
      <c r="N28" s="153"/>
      <c r="O28" s="153"/>
      <c r="P28" s="153"/>
      <c r="Q28" s="153"/>
      <c r="R28" s="101"/>
      <c r="S28" s="101"/>
      <c r="T28" s="101"/>
      <c r="U28" s="101"/>
      <c r="V28" s="101"/>
    </row>
    <row r="29" spans="1:22" x14ac:dyDescent="0.3">
      <c r="A29" s="153"/>
      <c r="B29" s="153"/>
      <c r="C29" s="153"/>
      <c r="D29" s="153"/>
      <c r="E29" s="153"/>
      <c r="F29" s="153"/>
      <c r="G29" s="153"/>
      <c r="H29" s="153"/>
      <c r="I29" s="153"/>
      <c r="J29" s="153"/>
      <c r="K29" s="153"/>
      <c r="L29" s="153"/>
      <c r="M29" s="153"/>
      <c r="N29" s="153"/>
      <c r="O29" s="153"/>
      <c r="P29" s="153"/>
      <c r="Q29" s="153"/>
      <c r="R29" s="101"/>
      <c r="S29" s="101"/>
      <c r="T29" s="101"/>
      <c r="U29" s="101"/>
      <c r="V29" s="101"/>
    </row>
    <row r="30" spans="1:22" x14ac:dyDescent="0.3">
      <c r="A30" s="153"/>
      <c r="B30" s="153"/>
      <c r="C30" s="153"/>
      <c r="D30" s="153"/>
      <c r="E30" s="153"/>
      <c r="F30" s="153"/>
      <c r="G30" s="153"/>
      <c r="H30" s="153"/>
      <c r="I30" s="153"/>
      <c r="J30" s="153"/>
      <c r="K30" s="153"/>
      <c r="L30" s="153"/>
      <c r="M30" s="153"/>
      <c r="N30" s="153"/>
      <c r="O30" s="153"/>
      <c r="P30" s="153"/>
      <c r="Q30" s="153"/>
      <c r="R30" s="101"/>
      <c r="S30" s="101"/>
      <c r="T30" s="101"/>
      <c r="U30" s="101"/>
      <c r="V30" s="101"/>
    </row>
    <row r="31" spans="1:22" x14ac:dyDescent="0.3">
      <c r="A31" s="153"/>
      <c r="B31" s="153"/>
      <c r="C31" s="153"/>
      <c r="D31" s="153"/>
      <c r="E31" s="153"/>
      <c r="F31" s="153"/>
      <c r="G31" s="153"/>
      <c r="H31" s="153"/>
      <c r="I31" s="153"/>
      <c r="J31" s="153"/>
      <c r="K31" s="153"/>
      <c r="L31" s="153"/>
      <c r="M31" s="153"/>
      <c r="N31" s="153"/>
      <c r="O31" s="153"/>
      <c r="P31" s="153"/>
      <c r="Q31" s="153"/>
      <c r="R31" s="101"/>
      <c r="S31" s="101"/>
      <c r="T31" s="101"/>
      <c r="U31" s="101"/>
      <c r="V31" s="101"/>
    </row>
    <row r="32" spans="1:22" x14ac:dyDescent="0.3">
      <c r="A32" s="101"/>
      <c r="B32" s="101"/>
      <c r="C32" s="101"/>
      <c r="D32" s="101"/>
      <c r="E32" s="101"/>
      <c r="F32" s="101"/>
      <c r="G32" s="101"/>
      <c r="H32" s="101"/>
      <c r="I32" s="101"/>
      <c r="J32" s="101"/>
      <c r="K32" s="101"/>
      <c r="L32" s="101"/>
      <c r="M32" s="101"/>
      <c r="N32" s="101"/>
      <c r="O32" s="101"/>
      <c r="P32" s="101"/>
      <c r="Q32" s="101"/>
      <c r="R32" s="101"/>
      <c r="S32" s="101"/>
      <c r="T32" s="101"/>
      <c r="U32" s="101"/>
      <c r="V32" s="101"/>
    </row>
    <row r="33" spans="1:22" x14ac:dyDescent="0.3">
      <c r="A33" s="101"/>
      <c r="B33" s="101"/>
      <c r="C33" s="101"/>
      <c r="D33" s="101"/>
      <c r="E33" s="101"/>
      <c r="F33" s="101"/>
      <c r="G33" s="101"/>
      <c r="H33" s="101"/>
      <c r="I33" s="101"/>
      <c r="J33" s="101"/>
      <c r="K33" s="101"/>
      <c r="L33" s="101"/>
      <c r="M33" s="101"/>
      <c r="N33" s="101"/>
      <c r="O33" s="101"/>
      <c r="P33" s="101"/>
      <c r="Q33" s="101"/>
      <c r="R33" s="101"/>
      <c r="S33" s="101"/>
      <c r="T33" s="101"/>
      <c r="U33" s="101"/>
      <c r="V33" s="101"/>
    </row>
    <row r="34" spans="1:22" x14ac:dyDescent="0.3">
      <c r="A34" s="101"/>
      <c r="B34" s="101"/>
      <c r="C34" s="101"/>
      <c r="D34" s="101"/>
      <c r="E34" s="101"/>
      <c r="F34" s="101"/>
      <c r="G34" s="101"/>
      <c r="H34" s="101"/>
      <c r="I34" s="101"/>
      <c r="J34" s="101"/>
      <c r="K34" s="101"/>
      <c r="L34" s="101"/>
      <c r="M34" s="101"/>
      <c r="N34" s="101"/>
      <c r="O34" s="101"/>
      <c r="P34" s="101"/>
      <c r="Q34" s="101"/>
      <c r="R34" s="101"/>
      <c r="S34" s="101"/>
      <c r="T34" s="101"/>
      <c r="U34" s="101"/>
      <c r="V34" s="101"/>
    </row>
    <row r="35" spans="1:22" x14ac:dyDescent="0.3">
      <c r="A35" s="101"/>
      <c r="B35" s="101"/>
      <c r="C35" s="101"/>
      <c r="D35" s="101"/>
      <c r="E35" s="101"/>
      <c r="F35" s="101"/>
      <c r="G35" s="101"/>
      <c r="H35" s="101"/>
      <c r="I35" s="101"/>
      <c r="J35" s="101"/>
      <c r="K35" s="101"/>
      <c r="L35" s="101"/>
      <c r="M35" s="101"/>
      <c r="N35" s="101"/>
      <c r="O35" s="101"/>
      <c r="P35" s="101"/>
      <c r="Q35" s="101"/>
      <c r="R35" s="101"/>
      <c r="S35" s="101"/>
      <c r="T35" s="101"/>
      <c r="U35" s="101"/>
      <c r="V35" s="101"/>
    </row>
    <row r="36" spans="1:22" x14ac:dyDescent="0.3">
      <c r="A36" s="101"/>
      <c r="B36" s="101"/>
      <c r="C36" s="101"/>
      <c r="D36" s="101"/>
      <c r="E36" s="101"/>
      <c r="F36" s="101"/>
      <c r="G36" s="101"/>
      <c r="H36" s="101"/>
      <c r="I36" s="101"/>
      <c r="J36" s="101"/>
      <c r="K36" s="101"/>
      <c r="L36" s="101"/>
      <c r="M36" s="101"/>
      <c r="N36" s="101"/>
      <c r="O36" s="101"/>
      <c r="P36" s="101"/>
      <c r="Q36" s="101"/>
      <c r="R36" s="101"/>
      <c r="S36" s="101"/>
      <c r="T36" s="101"/>
      <c r="U36" s="101"/>
      <c r="V36" s="101"/>
    </row>
    <row r="37" spans="1:22" x14ac:dyDescent="0.3">
      <c r="A37" s="101"/>
      <c r="B37" s="101"/>
      <c r="C37" s="101"/>
      <c r="D37" s="101"/>
      <c r="E37" s="101"/>
      <c r="F37" s="101"/>
      <c r="G37" s="101"/>
      <c r="H37" s="101"/>
      <c r="I37" s="101"/>
      <c r="J37" s="101"/>
      <c r="K37" s="101"/>
      <c r="L37" s="101"/>
      <c r="M37" s="101"/>
      <c r="N37" s="101"/>
      <c r="O37" s="101"/>
      <c r="P37" s="101"/>
      <c r="Q37" s="101"/>
      <c r="R37" s="101"/>
      <c r="S37" s="101"/>
      <c r="T37" s="101"/>
      <c r="U37" s="101"/>
      <c r="V37" s="101"/>
    </row>
    <row r="38" spans="1:22" x14ac:dyDescent="0.3">
      <c r="A38" s="101"/>
      <c r="B38" s="101"/>
      <c r="C38" s="101"/>
      <c r="D38" s="101"/>
      <c r="E38" s="101"/>
      <c r="F38" s="101"/>
      <c r="G38" s="101"/>
      <c r="H38" s="101"/>
      <c r="I38" s="101"/>
      <c r="J38" s="101"/>
      <c r="K38" s="101"/>
      <c r="L38" s="101"/>
      <c r="M38" s="101"/>
      <c r="N38" s="101"/>
      <c r="O38" s="101"/>
      <c r="P38" s="101"/>
      <c r="Q38" s="101"/>
      <c r="R38" s="101"/>
      <c r="S38" s="101"/>
      <c r="T38" s="101"/>
      <c r="U38" s="101"/>
      <c r="V38" s="101"/>
    </row>
    <row r="39" spans="1:22" x14ac:dyDescent="0.3">
      <c r="A39" s="101"/>
      <c r="B39" s="101"/>
      <c r="C39" s="101"/>
      <c r="D39" s="101"/>
      <c r="E39" s="101"/>
      <c r="F39" s="101"/>
      <c r="G39" s="101"/>
      <c r="H39" s="101"/>
      <c r="I39" s="101"/>
      <c r="J39" s="101"/>
      <c r="K39" s="101"/>
      <c r="L39" s="101"/>
      <c r="M39" s="101"/>
      <c r="N39" s="101"/>
      <c r="O39" s="101"/>
      <c r="P39" s="101"/>
      <c r="Q39" s="101"/>
      <c r="R39" s="101"/>
      <c r="S39" s="101"/>
      <c r="T39" s="101"/>
      <c r="U39" s="101"/>
      <c r="V39" s="101"/>
    </row>
    <row r="40" spans="1:22" x14ac:dyDescent="0.3">
      <c r="A40" s="101"/>
      <c r="B40" s="101"/>
      <c r="C40" s="101"/>
      <c r="D40" s="101"/>
      <c r="E40" s="101"/>
      <c r="F40" s="101"/>
      <c r="G40" s="101"/>
      <c r="H40" s="101"/>
      <c r="I40" s="101"/>
      <c r="J40" s="101"/>
      <c r="K40" s="101"/>
      <c r="L40" s="101"/>
      <c r="M40" s="101"/>
      <c r="N40" s="101"/>
      <c r="O40" s="101"/>
      <c r="P40" s="101"/>
      <c r="Q40" s="101"/>
      <c r="R40" s="101"/>
      <c r="S40" s="101"/>
      <c r="T40" s="101"/>
      <c r="U40" s="101"/>
      <c r="V40" s="101"/>
    </row>
    <row r="41" spans="1:22" x14ac:dyDescent="0.3">
      <c r="A41" s="101"/>
      <c r="B41" s="101"/>
      <c r="C41" s="101"/>
      <c r="D41" s="101"/>
      <c r="E41" s="101"/>
      <c r="F41" s="101"/>
      <c r="G41" s="101"/>
      <c r="H41" s="101"/>
      <c r="I41" s="101"/>
      <c r="J41" s="101"/>
      <c r="K41" s="101"/>
      <c r="L41" s="101"/>
      <c r="M41" s="101"/>
      <c r="N41" s="101"/>
      <c r="O41" s="101"/>
      <c r="P41" s="101"/>
      <c r="Q41" s="101"/>
      <c r="R41" s="101"/>
      <c r="S41" s="101"/>
      <c r="T41" s="101"/>
      <c r="U41" s="101"/>
      <c r="V41" s="101"/>
    </row>
    <row r="42" spans="1:22" x14ac:dyDescent="0.3">
      <c r="A42" s="101"/>
      <c r="B42" s="101"/>
      <c r="C42" s="101"/>
      <c r="D42" s="101"/>
      <c r="E42" s="101"/>
      <c r="F42" s="101"/>
      <c r="G42" s="101"/>
      <c r="H42" s="101"/>
      <c r="I42" s="101"/>
      <c r="J42" s="101"/>
      <c r="K42" s="101"/>
      <c r="L42" s="101"/>
      <c r="M42" s="101"/>
      <c r="N42" s="101"/>
      <c r="O42" s="101"/>
      <c r="P42" s="101"/>
      <c r="Q42" s="101"/>
      <c r="R42" s="101"/>
      <c r="S42" s="101"/>
      <c r="T42" s="101"/>
      <c r="U42" s="101"/>
      <c r="V42" s="101"/>
    </row>
    <row r="43" spans="1:22" x14ac:dyDescent="0.3">
      <c r="A43" s="101"/>
      <c r="B43" s="101"/>
      <c r="C43" s="101"/>
      <c r="D43" s="101"/>
      <c r="E43" s="101"/>
      <c r="F43" s="101"/>
      <c r="G43" s="101"/>
      <c r="H43" s="101"/>
      <c r="I43" s="101"/>
      <c r="J43" s="101"/>
      <c r="K43" s="101"/>
      <c r="L43" s="101"/>
      <c r="M43" s="101"/>
      <c r="N43" s="101"/>
      <c r="O43" s="101"/>
      <c r="P43" s="101"/>
      <c r="Q43" s="101"/>
      <c r="R43" s="101"/>
      <c r="S43" s="101"/>
      <c r="T43" s="101"/>
      <c r="U43" s="101"/>
      <c r="V43" s="101"/>
    </row>
    <row r="44" spans="1:22" x14ac:dyDescent="0.3">
      <c r="A44" s="101"/>
      <c r="B44" s="101"/>
      <c r="C44" s="101"/>
      <c r="D44" s="101"/>
      <c r="E44" s="101"/>
      <c r="F44" s="101"/>
      <c r="G44" s="101"/>
      <c r="H44" s="101"/>
      <c r="I44" s="101"/>
      <c r="J44" s="101"/>
      <c r="K44" s="101"/>
      <c r="L44" s="101"/>
      <c r="M44" s="101"/>
      <c r="N44" s="101"/>
      <c r="O44" s="101"/>
      <c r="P44" s="101"/>
      <c r="Q44" s="101"/>
      <c r="R44" s="101"/>
      <c r="S44" s="101"/>
      <c r="T44" s="101"/>
      <c r="U44" s="101"/>
      <c r="V44" s="101"/>
    </row>
    <row r="45" spans="1:22" x14ac:dyDescent="0.3">
      <c r="A45" s="101"/>
      <c r="B45" s="101"/>
      <c r="C45" s="101"/>
      <c r="D45" s="101"/>
      <c r="E45" s="101"/>
      <c r="F45" s="101"/>
      <c r="G45" s="101"/>
      <c r="H45" s="101"/>
      <c r="I45" s="101"/>
      <c r="J45" s="101"/>
      <c r="K45" s="101"/>
      <c r="L45" s="101"/>
      <c r="M45" s="101"/>
      <c r="N45" s="101"/>
      <c r="O45" s="101"/>
      <c r="P45" s="101"/>
      <c r="Q45" s="101"/>
      <c r="R45" s="101"/>
      <c r="S45" s="101"/>
      <c r="T45" s="101"/>
      <c r="U45" s="101"/>
      <c r="V45" s="101"/>
    </row>
    <row r="46" spans="1:22" x14ac:dyDescent="0.3">
      <c r="A46" s="101"/>
      <c r="B46" s="101"/>
      <c r="C46" s="101"/>
      <c r="D46" s="101"/>
      <c r="E46" s="101"/>
      <c r="F46" s="101"/>
      <c r="G46" s="101"/>
      <c r="H46" s="101"/>
      <c r="I46" s="101"/>
      <c r="J46" s="101"/>
      <c r="K46" s="101"/>
      <c r="L46" s="101"/>
      <c r="M46" s="101"/>
      <c r="N46" s="101"/>
      <c r="O46" s="101"/>
      <c r="P46" s="101"/>
      <c r="Q46" s="101"/>
      <c r="R46" s="101"/>
      <c r="S46" s="101"/>
      <c r="T46" s="101"/>
      <c r="U46" s="101"/>
      <c r="V46" s="101"/>
    </row>
    <row r="47" spans="1:22" x14ac:dyDescent="0.3">
      <c r="A47" s="101"/>
      <c r="B47" s="101"/>
      <c r="C47" s="101"/>
      <c r="D47" s="101"/>
      <c r="E47" s="101"/>
      <c r="F47" s="101"/>
      <c r="G47" s="101"/>
      <c r="H47" s="101"/>
      <c r="I47" s="101"/>
      <c r="J47" s="101"/>
      <c r="K47" s="101"/>
      <c r="L47" s="101"/>
      <c r="M47" s="101"/>
      <c r="N47" s="101"/>
      <c r="O47" s="101"/>
      <c r="P47" s="101"/>
      <c r="Q47" s="101"/>
      <c r="R47" s="101"/>
      <c r="S47" s="101"/>
      <c r="T47" s="101"/>
      <c r="U47" s="101"/>
      <c r="V47" s="101"/>
    </row>
    <row r="48" spans="1:22" x14ac:dyDescent="0.3">
      <c r="A48" s="101"/>
      <c r="B48" s="101"/>
      <c r="C48" s="101"/>
      <c r="D48" s="101"/>
      <c r="E48" s="101"/>
      <c r="F48" s="101"/>
      <c r="G48" s="101"/>
      <c r="H48" s="101"/>
      <c r="I48" s="101"/>
      <c r="J48" s="101"/>
      <c r="K48" s="101"/>
      <c r="L48" s="101"/>
      <c r="M48" s="101"/>
      <c r="N48" s="101"/>
      <c r="O48" s="101"/>
      <c r="P48" s="101"/>
      <c r="Q48" s="101"/>
      <c r="R48" s="101"/>
      <c r="S48" s="101"/>
      <c r="T48" s="101"/>
      <c r="U48" s="101"/>
      <c r="V48" s="101"/>
    </row>
    <row r="49" spans="1:22" x14ac:dyDescent="0.3">
      <c r="A49" s="101"/>
      <c r="B49" s="101"/>
      <c r="C49" s="101"/>
      <c r="D49" s="101"/>
      <c r="E49" s="101"/>
      <c r="F49" s="101"/>
      <c r="G49" s="101"/>
      <c r="H49" s="101"/>
      <c r="I49" s="101"/>
      <c r="J49" s="101"/>
      <c r="K49" s="101"/>
      <c r="L49" s="101"/>
      <c r="M49" s="101"/>
      <c r="N49" s="101"/>
      <c r="O49" s="101"/>
      <c r="P49" s="101"/>
      <c r="Q49" s="101"/>
      <c r="R49" s="101"/>
      <c r="S49" s="101"/>
      <c r="T49" s="101"/>
      <c r="U49" s="101"/>
      <c r="V49" s="101"/>
    </row>
    <row r="50" spans="1:22" x14ac:dyDescent="0.3">
      <c r="A50" s="101"/>
      <c r="B50" s="101"/>
      <c r="C50" s="101"/>
      <c r="D50" s="101"/>
      <c r="E50" s="101"/>
      <c r="F50" s="101"/>
      <c r="G50" s="101"/>
      <c r="H50" s="101"/>
      <c r="I50" s="101"/>
      <c r="J50" s="101"/>
      <c r="K50" s="101"/>
      <c r="L50" s="101"/>
      <c r="M50" s="101"/>
      <c r="N50" s="101"/>
      <c r="O50" s="101"/>
      <c r="P50" s="101"/>
      <c r="Q50" s="101"/>
      <c r="R50" s="101"/>
      <c r="S50" s="101"/>
      <c r="T50" s="101"/>
      <c r="U50" s="101"/>
      <c r="V50" s="101"/>
    </row>
    <row r="51" spans="1:22" x14ac:dyDescent="0.3">
      <c r="A51" s="101"/>
      <c r="B51" s="101"/>
      <c r="C51" s="101"/>
      <c r="D51" s="101"/>
      <c r="E51" s="101"/>
      <c r="F51" s="101"/>
      <c r="G51" s="101"/>
      <c r="H51" s="101"/>
      <c r="I51" s="101"/>
      <c r="J51" s="101"/>
      <c r="K51" s="101"/>
      <c r="L51" s="101"/>
      <c r="M51" s="101"/>
      <c r="N51" s="101"/>
      <c r="O51" s="101"/>
      <c r="P51" s="101"/>
      <c r="Q51" s="101"/>
      <c r="R51" s="101"/>
      <c r="S51" s="101"/>
      <c r="T51" s="101"/>
      <c r="U51" s="101"/>
      <c r="V51" s="101"/>
    </row>
    <row r="52" spans="1:22" x14ac:dyDescent="0.3">
      <c r="A52" s="101"/>
      <c r="B52" s="101"/>
      <c r="C52" s="101"/>
      <c r="D52" s="101"/>
      <c r="E52" s="101"/>
      <c r="F52" s="101"/>
      <c r="G52" s="101"/>
      <c r="H52" s="101"/>
      <c r="I52" s="101"/>
      <c r="J52" s="101"/>
      <c r="K52" s="101"/>
      <c r="L52" s="101"/>
      <c r="M52" s="101"/>
      <c r="N52" s="101"/>
      <c r="O52" s="101"/>
      <c r="P52" s="101"/>
      <c r="Q52" s="101"/>
      <c r="R52" s="101"/>
      <c r="S52" s="101"/>
      <c r="T52" s="101"/>
      <c r="U52" s="101"/>
      <c r="V52" s="101"/>
    </row>
    <row r="53" spans="1:22" x14ac:dyDescent="0.3">
      <c r="A53" s="101"/>
      <c r="B53" s="101"/>
      <c r="C53" s="101"/>
      <c r="D53" s="101"/>
      <c r="E53" s="101"/>
      <c r="F53" s="101"/>
      <c r="G53" s="101"/>
      <c r="H53" s="101"/>
      <c r="I53" s="101"/>
      <c r="J53" s="101"/>
      <c r="K53" s="101"/>
      <c r="L53" s="101"/>
      <c r="M53" s="101"/>
      <c r="N53" s="101"/>
      <c r="O53" s="101"/>
      <c r="P53" s="101"/>
      <c r="Q53" s="101"/>
      <c r="R53" s="101"/>
      <c r="S53" s="101"/>
      <c r="T53" s="101"/>
      <c r="U53" s="101"/>
      <c r="V53" s="101"/>
    </row>
    <row r="54" spans="1:22" x14ac:dyDescent="0.3">
      <c r="A54" s="101"/>
      <c r="B54" s="101"/>
      <c r="C54" s="101"/>
      <c r="D54" s="101"/>
      <c r="E54" s="101"/>
      <c r="F54" s="101"/>
      <c r="G54" s="101"/>
      <c r="H54" s="101"/>
      <c r="I54" s="101"/>
      <c r="J54" s="101"/>
      <c r="K54" s="101"/>
      <c r="L54" s="101"/>
      <c r="M54" s="101"/>
      <c r="N54" s="101"/>
      <c r="O54" s="101"/>
      <c r="P54" s="101"/>
      <c r="Q54" s="101"/>
      <c r="R54" s="101"/>
      <c r="S54" s="101"/>
      <c r="T54" s="101"/>
      <c r="U54" s="101"/>
      <c r="V54" s="101"/>
    </row>
    <row r="55" spans="1:22" x14ac:dyDescent="0.3">
      <c r="A55" s="101"/>
      <c r="B55" s="101"/>
      <c r="C55" s="101"/>
      <c r="D55" s="101"/>
      <c r="E55" s="101"/>
      <c r="F55" s="101"/>
      <c r="G55" s="101"/>
      <c r="H55" s="101"/>
      <c r="I55" s="101"/>
      <c r="J55" s="101"/>
      <c r="K55" s="101"/>
      <c r="L55" s="101"/>
      <c r="M55" s="101"/>
      <c r="N55" s="101"/>
      <c r="O55" s="101"/>
      <c r="P55" s="101"/>
      <c r="Q55" s="101"/>
      <c r="R55" s="101"/>
      <c r="S55" s="101"/>
      <c r="T55" s="101"/>
      <c r="U55" s="101"/>
      <c r="V55" s="101"/>
    </row>
    <row r="56" spans="1:22" x14ac:dyDescent="0.3">
      <c r="A56" s="101"/>
      <c r="B56" s="101"/>
      <c r="C56" s="101"/>
      <c r="D56" s="101"/>
      <c r="E56" s="101"/>
      <c r="F56" s="101"/>
      <c r="G56" s="101"/>
      <c r="H56" s="101"/>
      <c r="I56" s="101"/>
      <c r="J56" s="101"/>
      <c r="K56" s="101"/>
      <c r="L56" s="101"/>
      <c r="M56" s="101"/>
      <c r="N56" s="101"/>
      <c r="O56" s="101"/>
      <c r="P56" s="101"/>
      <c r="Q56" s="101"/>
      <c r="R56" s="101"/>
      <c r="S56" s="101"/>
      <c r="T56" s="101"/>
      <c r="U56" s="101"/>
      <c r="V56" s="101"/>
    </row>
    <row r="57" spans="1:22" x14ac:dyDescent="0.3">
      <c r="A57" s="101"/>
      <c r="B57" s="101"/>
      <c r="C57" s="101"/>
      <c r="D57" s="101"/>
      <c r="E57" s="101"/>
      <c r="F57" s="101"/>
      <c r="G57" s="101"/>
      <c r="H57" s="101"/>
      <c r="I57" s="101"/>
      <c r="J57" s="101"/>
      <c r="K57" s="101"/>
      <c r="L57" s="101"/>
      <c r="M57" s="101"/>
      <c r="N57" s="101"/>
      <c r="O57" s="101"/>
      <c r="P57" s="101"/>
      <c r="Q57" s="101"/>
      <c r="R57" s="101"/>
      <c r="S57" s="101"/>
      <c r="T57" s="101"/>
      <c r="U57" s="101"/>
      <c r="V57" s="101"/>
    </row>
    <row r="58" spans="1:22" x14ac:dyDescent="0.3">
      <c r="A58" s="101"/>
      <c r="B58" s="101"/>
      <c r="C58" s="101"/>
      <c r="D58" s="101"/>
      <c r="E58" s="101"/>
      <c r="F58" s="101"/>
      <c r="G58" s="101"/>
      <c r="H58" s="101"/>
      <c r="I58" s="101"/>
      <c r="J58" s="101"/>
      <c r="K58" s="101"/>
      <c r="L58" s="101"/>
      <c r="M58" s="101"/>
      <c r="N58" s="101"/>
      <c r="O58" s="101"/>
      <c r="P58" s="101"/>
      <c r="Q58" s="101"/>
      <c r="R58" s="101"/>
      <c r="S58" s="101"/>
      <c r="T58" s="101"/>
      <c r="U58" s="101"/>
      <c r="V58" s="101"/>
    </row>
    <row r="59" spans="1:22" x14ac:dyDescent="0.3">
      <c r="A59" s="101"/>
      <c r="B59" s="101"/>
      <c r="C59" s="101"/>
      <c r="D59" s="101"/>
      <c r="E59" s="101"/>
      <c r="F59" s="101"/>
      <c r="G59" s="101"/>
      <c r="H59" s="101"/>
      <c r="I59" s="101"/>
      <c r="J59" s="101"/>
      <c r="K59" s="101"/>
      <c r="L59" s="101"/>
      <c r="M59" s="101"/>
      <c r="N59" s="101"/>
      <c r="O59" s="101"/>
      <c r="P59" s="101"/>
      <c r="Q59" s="101"/>
      <c r="R59" s="101"/>
      <c r="S59" s="101"/>
      <c r="T59" s="101"/>
      <c r="U59" s="101"/>
      <c r="V59" s="101"/>
    </row>
    <row r="60" spans="1:22" x14ac:dyDescent="0.3">
      <c r="A60" s="101"/>
      <c r="B60" s="101"/>
      <c r="C60" s="101"/>
      <c r="D60" s="101"/>
      <c r="E60" s="101"/>
      <c r="F60" s="101"/>
      <c r="G60" s="101"/>
      <c r="H60" s="101"/>
      <c r="I60" s="101"/>
      <c r="J60" s="101"/>
      <c r="K60" s="101"/>
      <c r="L60" s="101"/>
      <c r="M60" s="101"/>
      <c r="N60" s="101"/>
      <c r="O60" s="101"/>
      <c r="P60" s="101"/>
      <c r="Q60" s="101"/>
      <c r="R60" s="101"/>
      <c r="S60" s="101"/>
      <c r="T60" s="101"/>
      <c r="U60" s="101"/>
      <c r="V60" s="101"/>
    </row>
    <row r="61" spans="1:22" x14ac:dyDescent="0.3">
      <c r="A61" s="123"/>
      <c r="B61" s="123"/>
      <c r="C61" s="123"/>
      <c r="D61" s="123"/>
      <c r="E61" s="123"/>
      <c r="F61" s="123"/>
      <c r="G61" s="123"/>
      <c r="H61" s="123"/>
      <c r="I61" s="123"/>
      <c r="J61" s="123"/>
      <c r="K61" s="123"/>
    </row>
    <row r="62" spans="1:22" x14ac:dyDescent="0.3">
      <c r="A62" s="123"/>
      <c r="B62" s="123"/>
      <c r="C62" s="123"/>
      <c r="D62" s="123"/>
      <c r="E62" s="123"/>
      <c r="F62" s="123"/>
      <c r="G62" s="123"/>
      <c r="H62" s="123"/>
      <c r="I62" s="123"/>
      <c r="J62" s="123"/>
      <c r="K62" s="123"/>
    </row>
    <row r="63" spans="1:22" x14ac:dyDescent="0.3">
      <c r="A63" s="123"/>
      <c r="B63" s="123"/>
      <c r="C63" s="123"/>
      <c r="D63" s="123"/>
      <c r="E63" s="123"/>
      <c r="F63" s="123"/>
      <c r="G63" s="123"/>
      <c r="H63" s="123"/>
      <c r="I63" s="123"/>
      <c r="J63" s="123"/>
      <c r="K63" s="123"/>
    </row>
    <row r="64" spans="1:22" x14ac:dyDescent="0.3">
      <c r="A64" s="123"/>
      <c r="B64" s="123"/>
      <c r="C64" s="123"/>
      <c r="D64" s="123"/>
      <c r="E64" s="123"/>
      <c r="F64" s="123"/>
      <c r="G64" s="123"/>
      <c r="H64" s="123"/>
      <c r="I64" s="123"/>
      <c r="J64" s="123"/>
      <c r="K64" s="123"/>
    </row>
    <row r="65" spans="1:11" x14ac:dyDescent="0.3">
      <c r="A65" s="123"/>
      <c r="B65" s="123"/>
      <c r="C65" s="123"/>
      <c r="D65" s="123"/>
      <c r="E65" s="123"/>
      <c r="F65" s="123"/>
      <c r="G65" s="123"/>
      <c r="H65" s="123"/>
      <c r="I65" s="123"/>
      <c r="J65" s="123"/>
      <c r="K65" s="123"/>
    </row>
    <row r="66" spans="1:11" x14ac:dyDescent="0.3">
      <c r="A66" s="123"/>
      <c r="B66" s="123"/>
      <c r="C66" s="123"/>
      <c r="D66" s="123"/>
      <c r="E66" s="123"/>
      <c r="F66" s="123"/>
      <c r="G66" s="123"/>
      <c r="H66" s="123"/>
      <c r="I66" s="123"/>
      <c r="J66" s="123"/>
      <c r="K66" s="123"/>
    </row>
  </sheetData>
  <mergeCells count="2">
    <mergeCell ref="A1:H1"/>
    <mergeCell ref="A3:Q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3214-F9E4-4998-80EF-9C07CEDEC200}">
  <dimension ref="A1:I26"/>
  <sheetViews>
    <sheetView workbookViewId="0">
      <pane ySplit="1" topLeftCell="A7" activePane="bottomLeft" state="frozen"/>
      <selection pane="bottomLeft" activeCell="H2" sqref="H2"/>
    </sheetView>
  </sheetViews>
  <sheetFormatPr defaultRowHeight="15.6" x14ac:dyDescent="0.3"/>
  <cols>
    <col min="1" max="1" width="20.88671875" style="1" bestFit="1" customWidth="1"/>
    <col min="2" max="9" width="8.77734375" bestFit="1" customWidth="1"/>
  </cols>
  <sheetData>
    <row r="1" spans="1:9" s="1" customFormat="1" x14ac:dyDescent="0.3">
      <c r="A1" s="62"/>
      <c r="B1" s="62">
        <v>43525</v>
      </c>
      <c r="C1" s="62">
        <v>43891</v>
      </c>
      <c r="D1" s="62">
        <v>44256</v>
      </c>
      <c r="E1" s="62">
        <v>44621</v>
      </c>
      <c r="F1" s="62">
        <v>44986</v>
      </c>
      <c r="G1" s="62">
        <v>45352</v>
      </c>
      <c r="H1" s="62">
        <v>45717</v>
      </c>
      <c r="I1" s="80" t="s">
        <v>0</v>
      </c>
    </row>
    <row r="2" spans="1:9" x14ac:dyDescent="0.3">
      <c r="A2" s="81" t="s">
        <v>68</v>
      </c>
      <c r="B2" s="63">
        <v>19070</v>
      </c>
      <c r="C2" s="63">
        <v>20010</v>
      </c>
      <c r="D2" s="63">
        <v>20602</v>
      </c>
      <c r="E2" s="63">
        <v>27210</v>
      </c>
      <c r="F2" s="63">
        <v>38270</v>
      </c>
      <c r="G2" s="63">
        <v>47114</v>
      </c>
      <c r="H2" s="63">
        <v>54842</v>
      </c>
      <c r="I2" s="63">
        <v>57353</v>
      </c>
    </row>
    <row r="3" spans="1:9" x14ac:dyDescent="0.3">
      <c r="A3" s="81" t="s">
        <v>1</v>
      </c>
      <c r="B3" s="82">
        <v>0.2208</v>
      </c>
      <c r="C3" s="82">
        <v>4.9299999999999997E-2</v>
      </c>
      <c r="D3" s="82">
        <v>2.9600000000000001E-2</v>
      </c>
      <c r="E3" s="82">
        <v>0.32069999999999999</v>
      </c>
      <c r="F3" s="82">
        <v>0.40649999999999997</v>
      </c>
      <c r="G3" s="82">
        <v>0.2311</v>
      </c>
      <c r="H3" s="82">
        <v>0.16400000000000001</v>
      </c>
      <c r="I3" s="64"/>
    </row>
    <row r="4" spans="1:9" x14ac:dyDescent="0.3">
      <c r="A4" s="81" t="s">
        <v>69</v>
      </c>
      <c r="B4" s="66">
        <v>17064</v>
      </c>
      <c r="C4" s="66">
        <v>17592</v>
      </c>
      <c r="D4" s="66">
        <v>18896</v>
      </c>
      <c r="E4" s="66">
        <v>23928</v>
      </c>
      <c r="F4" s="66">
        <v>33497</v>
      </c>
      <c r="G4" s="66">
        <v>42090</v>
      </c>
      <c r="H4" s="66">
        <v>49550</v>
      </c>
      <c r="I4" s="66">
        <v>51640</v>
      </c>
    </row>
    <row r="5" spans="1:9" x14ac:dyDescent="0.3">
      <c r="A5" s="81" t="s">
        <v>70</v>
      </c>
      <c r="B5" s="83">
        <v>0.73</v>
      </c>
      <c r="C5" s="83">
        <v>0.73</v>
      </c>
      <c r="D5" s="83">
        <v>0.77</v>
      </c>
      <c r="E5" s="83">
        <v>0.76</v>
      </c>
      <c r="F5" s="83">
        <v>0.76</v>
      </c>
      <c r="G5" s="83">
        <v>0.78</v>
      </c>
      <c r="H5" s="83">
        <v>0.8</v>
      </c>
      <c r="I5" s="65"/>
    </row>
    <row r="6" spans="1:9" x14ac:dyDescent="0.3">
      <c r="A6" s="81" t="s">
        <v>67</v>
      </c>
      <c r="B6" s="66">
        <v>14651</v>
      </c>
      <c r="C6" s="66">
        <v>15348</v>
      </c>
      <c r="D6" s="66">
        <v>15605</v>
      </c>
      <c r="E6" s="66">
        <v>25126</v>
      </c>
      <c r="F6" s="66">
        <v>30523</v>
      </c>
      <c r="G6" s="66">
        <v>39091</v>
      </c>
      <c r="H6" s="66">
        <v>50277</v>
      </c>
      <c r="I6" s="65"/>
    </row>
    <row r="7" spans="1:9" x14ac:dyDescent="0.3">
      <c r="A7" s="81" t="s">
        <v>19</v>
      </c>
      <c r="B7" s="65">
        <v>-664</v>
      </c>
      <c r="C7" s="65">
        <v>-836</v>
      </c>
      <c r="D7" s="65">
        <v>164</v>
      </c>
      <c r="E7" s="66">
        <v>-4468</v>
      </c>
      <c r="F7" s="66">
        <v>-1477</v>
      </c>
      <c r="G7" s="66">
        <v>-2149</v>
      </c>
      <c r="H7" s="66">
        <v>-6537</v>
      </c>
      <c r="I7" s="65"/>
    </row>
    <row r="8" spans="1:9" x14ac:dyDescent="0.3">
      <c r="A8" s="81" t="s">
        <v>2</v>
      </c>
      <c r="B8" s="84">
        <v>0.01</v>
      </c>
      <c r="C8" s="84">
        <v>0.01</v>
      </c>
      <c r="D8" s="84">
        <v>0.01</v>
      </c>
      <c r="E8" s="84">
        <v>0.01</v>
      </c>
      <c r="F8" s="84">
        <v>0.01</v>
      </c>
      <c r="G8" s="84">
        <v>0.01</v>
      </c>
      <c r="H8" s="84">
        <v>0.01</v>
      </c>
      <c r="I8" s="65"/>
    </row>
    <row r="9" spans="1:9" x14ac:dyDescent="0.3">
      <c r="A9" s="81" t="s">
        <v>3</v>
      </c>
      <c r="B9" s="83">
        <v>0.05</v>
      </c>
      <c r="C9" s="83">
        <v>0.05</v>
      </c>
      <c r="D9" s="83">
        <v>0.04</v>
      </c>
      <c r="E9" s="83">
        <v>0.04</v>
      </c>
      <c r="F9" s="83">
        <v>0.04</v>
      </c>
      <c r="G9" s="83">
        <v>0.03</v>
      </c>
      <c r="H9" s="83">
        <v>0.03</v>
      </c>
      <c r="I9" s="65"/>
    </row>
    <row r="10" spans="1:9" x14ac:dyDescent="0.3">
      <c r="A10" s="81" t="s">
        <v>4</v>
      </c>
      <c r="B10" s="83">
        <v>0.1</v>
      </c>
      <c r="C10" s="83">
        <v>0.09</v>
      </c>
      <c r="D10" s="83">
        <v>0.1</v>
      </c>
      <c r="E10" s="83">
        <v>7.0000000000000007E-2</v>
      </c>
      <c r="F10" s="83">
        <v>7.0000000000000007E-2</v>
      </c>
      <c r="G10" s="83">
        <v>7.0000000000000007E-2</v>
      </c>
      <c r="H10" s="83">
        <v>7.0000000000000007E-2</v>
      </c>
      <c r="I10" s="65"/>
    </row>
    <row r="11" spans="1:9" x14ac:dyDescent="0.3">
      <c r="A11" s="81" t="s">
        <v>5</v>
      </c>
      <c r="B11" s="63">
        <v>2006</v>
      </c>
      <c r="C11" s="63">
        <v>2418</v>
      </c>
      <c r="D11" s="63">
        <v>1706</v>
      </c>
      <c r="E11" s="63">
        <v>3282</v>
      </c>
      <c r="F11" s="63">
        <v>4773</v>
      </c>
      <c r="G11" s="63">
        <v>5024</v>
      </c>
      <c r="H11" s="63">
        <v>5292</v>
      </c>
      <c r="I11" s="63">
        <v>5713</v>
      </c>
    </row>
    <row r="12" spans="1:9" x14ac:dyDescent="0.3">
      <c r="A12" s="81" t="s">
        <v>6</v>
      </c>
      <c r="B12" s="83">
        <v>0.11</v>
      </c>
      <c r="C12" s="83">
        <v>0.12</v>
      </c>
      <c r="D12" s="83">
        <v>0.08</v>
      </c>
      <c r="E12" s="83">
        <v>0.12</v>
      </c>
      <c r="F12" s="83">
        <v>0.12</v>
      </c>
      <c r="G12" s="83">
        <v>0.11</v>
      </c>
      <c r="H12" s="83">
        <v>0.1</v>
      </c>
      <c r="I12" s="83">
        <v>0.1</v>
      </c>
    </row>
    <row r="13" spans="1:9" x14ac:dyDescent="0.3">
      <c r="A13" s="81" t="s">
        <v>71</v>
      </c>
      <c r="B13" s="64">
        <v>104</v>
      </c>
      <c r="C13" s="64">
        <v>146</v>
      </c>
      <c r="D13" s="64">
        <v>39</v>
      </c>
      <c r="E13" s="64">
        <v>192</v>
      </c>
      <c r="F13" s="64">
        <v>296</v>
      </c>
      <c r="G13" s="64">
        <v>510</v>
      </c>
      <c r="H13" s="64">
        <v>493</v>
      </c>
      <c r="I13" s="64">
        <v>482</v>
      </c>
    </row>
    <row r="14" spans="1:9" x14ac:dyDescent="0.3">
      <c r="A14" s="81" t="s">
        <v>7</v>
      </c>
      <c r="B14" s="64">
        <v>-74</v>
      </c>
      <c r="C14" s="64">
        <v>0</v>
      </c>
      <c r="D14" s="64">
        <v>-138</v>
      </c>
      <c r="E14" s="64">
        <v>-54</v>
      </c>
      <c r="F14" s="64">
        <v>-3</v>
      </c>
      <c r="G14" s="64">
        <v>0</v>
      </c>
      <c r="H14" s="64">
        <v>0</v>
      </c>
      <c r="I14" s="64"/>
    </row>
    <row r="15" spans="1:9" x14ac:dyDescent="0.3">
      <c r="A15" s="81" t="s">
        <v>8</v>
      </c>
      <c r="B15" s="64">
        <v>178</v>
      </c>
      <c r="C15" s="64">
        <v>146</v>
      </c>
      <c r="D15" s="64">
        <v>177</v>
      </c>
      <c r="E15" s="64">
        <v>246</v>
      </c>
      <c r="F15" s="64">
        <v>299</v>
      </c>
      <c r="G15" s="64">
        <v>510</v>
      </c>
      <c r="H15" s="64">
        <v>493</v>
      </c>
      <c r="I15" s="64"/>
    </row>
    <row r="16" spans="1:9" x14ac:dyDescent="0.3">
      <c r="A16" s="81" t="s">
        <v>9</v>
      </c>
      <c r="B16" s="65">
        <v>44</v>
      </c>
      <c r="C16" s="65">
        <v>149</v>
      </c>
      <c r="D16" s="65">
        <v>181</v>
      </c>
      <c r="E16" s="65">
        <v>195</v>
      </c>
      <c r="F16" s="65">
        <v>240</v>
      </c>
      <c r="G16" s="65">
        <v>480</v>
      </c>
      <c r="H16" s="65">
        <v>767</v>
      </c>
      <c r="I16" s="65">
        <v>801</v>
      </c>
    </row>
    <row r="17" spans="1:9" x14ac:dyDescent="0.3">
      <c r="A17" s="81" t="s">
        <v>10</v>
      </c>
      <c r="B17" s="64">
        <v>139</v>
      </c>
      <c r="C17" s="64">
        <v>310</v>
      </c>
      <c r="D17" s="64">
        <v>331</v>
      </c>
      <c r="E17" s="64">
        <v>347</v>
      </c>
      <c r="F17" s="64">
        <v>364</v>
      </c>
      <c r="G17" s="64">
        <v>447</v>
      </c>
      <c r="H17" s="64">
        <v>537</v>
      </c>
      <c r="I17" s="64">
        <v>554</v>
      </c>
    </row>
    <row r="18" spans="1:9" x14ac:dyDescent="0.3">
      <c r="A18" s="81" t="s">
        <v>11</v>
      </c>
      <c r="B18" s="66">
        <v>1927</v>
      </c>
      <c r="C18" s="66">
        <v>2105</v>
      </c>
      <c r="D18" s="66">
        <v>1233</v>
      </c>
      <c r="E18" s="66">
        <v>2932</v>
      </c>
      <c r="F18" s="66">
        <v>4465</v>
      </c>
      <c r="G18" s="66">
        <v>4607</v>
      </c>
      <c r="H18" s="66">
        <v>4481</v>
      </c>
      <c r="I18" s="66">
        <v>4840</v>
      </c>
    </row>
    <row r="19" spans="1:9" x14ac:dyDescent="0.3">
      <c r="A19" s="81" t="s">
        <v>12</v>
      </c>
      <c r="B19" s="85">
        <v>0.28999999999999998</v>
      </c>
      <c r="C19" s="85">
        <v>0.28000000000000003</v>
      </c>
      <c r="D19" s="85">
        <v>0.28999999999999998</v>
      </c>
      <c r="E19" s="85">
        <v>0.26</v>
      </c>
      <c r="F19" s="85">
        <v>0.25</v>
      </c>
      <c r="G19" s="85">
        <v>0.23</v>
      </c>
      <c r="H19" s="85">
        <v>0.26</v>
      </c>
      <c r="I19" s="64"/>
    </row>
    <row r="20" spans="1:9" x14ac:dyDescent="0.3">
      <c r="A20" s="81" t="s">
        <v>72</v>
      </c>
      <c r="B20" s="66">
        <v>1374</v>
      </c>
      <c r="C20" s="66">
        <v>1517</v>
      </c>
      <c r="D20" s="65">
        <v>877</v>
      </c>
      <c r="E20" s="66">
        <v>2180</v>
      </c>
      <c r="F20" s="66">
        <v>3333</v>
      </c>
      <c r="G20" s="66">
        <v>3544</v>
      </c>
      <c r="H20" s="66">
        <v>3335</v>
      </c>
      <c r="I20" s="66">
        <v>3595</v>
      </c>
    </row>
    <row r="21" spans="1:9" x14ac:dyDescent="0.3">
      <c r="A21" s="81" t="s">
        <v>13</v>
      </c>
      <c r="B21" s="65">
        <v>-51</v>
      </c>
      <c r="C21" s="65">
        <v>0</v>
      </c>
      <c r="D21" s="65">
        <v>-98</v>
      </c>
      <c r="E21" s="65">
        <v>-40</v>
      </c>
      <c r="F21" s="65">
        <v>-2</v>
      </c>
      <c r="G21" s="65">
        <v>0</v>
      </c>
      <c r="H21" s="65">
        <v>0</v>
      </c>
      <c r="I21" s="65"/>
    </row>
    <row r="22" spans="1:9" x14ac:dyDescent="0.3">
      <c r="A22" s="81" t="s">
        <v>14</v>
      </c>
      <c r="B22" s="66">
        <v>1425</v>
      </c>
      <c r="C22" s="66">
        <v>1517</v>
      </c>
      <c r="D22" s="65">
        <v>975</v>
      </c>
      <c r="E22" s="66">
        <v>2220</v>
      </c>
      <c r="F22" s="66">
        <v>3335</v>
      </c>
      <c r="G22" s="66">
        <v>3544</v>
      </c>
      <c r="H22" s="66">
        <v>3335</v>
      </c>
      <c r="I22" s="65"/>
    </row>
    <row r="23" spans="1:9" x14ac:dyDescent="0.3">
      <c r="A23" s="81" t="s">
        <v>15</v>
      </c>
      <c r="B23" s="66">
        <v>1425</v>
      </c>
      <c r="C23" s="66">
        <v>1517</v>
      </c>
      <c r="D23" s="65">
        <v>975</v>
      </c>
      <c r="E23" s="66">
        <v>2220</v>
      </c>
      <c r="F23" s="66">
        <v>3335</v>
      </c>
      <c r="G23" s="66">
        <v>3544</v>
      </c>
      <c r="H23" s="66">
        <v>3335</v>
      </c>
      <c r="I23" s="65"/>
    </row>
    <row r="24" spans="1:9" x14ac:dyDescent="0.3">
      <c r="A24" s="81" t="s">
        <v>16</v>
      </c>
      <c r="B24" s="66">
        <v>1374</v>
      </c>
      <c r="C24" s="66">
        <v>1517</v>
      </c>
      <c r="D24" s="65">
        <v>877</v>
      </c>
      <c r="E24" s="66">
        <v>2180</v>
      </c>
      <c r="F24" s="66">
        <v>3333</v>
      </c>
      <c r="G24" s="66">
        <v>3544</v>
      </c>
      <c r="H24" s="66">
        <v>3335</v>
      </c>
      <c r="I24" s="65"/>
    </row>
    <row r="25" spans="1:9" x14ac:dyDescent="0.3">
      <c r="A25" s="81" t="s">
        <v>17</v>
      </c>
      <c r="B25" s="64">
        <v>15.48</v>
      </c>
      <c r="C25" s="64">
        <v>17.09</v>
      </c>
      <c r="D25" s="64">
        <v>9.8800000000000008</v>
      </c>
      <c r="E25" s="64">
        <v>24.56</v>
      </c>
      <c r="F25" s="64">
        <v>37.54</v>
      </c>
      <c r="G25" s="64">
        <v>39.92</v>
      </c>
      <c r="H25" s="64">
        <v>37.57</v>
      </c>
      <c r="I25" s="64">
        <v>40.49</v>
      </c>
    </row>
    <row r="26" spans="1:9" x14ac:dyDescent="0.3">
      <c r="A26" s="81" t="s">
        <v>18</v>
      </c>
      <c r="B26" s="83">
        <v>0.32</v>
      </c>
      <c r="C26" s="83">
        <v>0.23</v>
      </c>
      <c r="D26" s="83">
        <v>0.41</v>
      </c>
      <c r="E26" s="83">
        <v>0.31</v>
      </c>
      <c r="F26" s="83">
        <v>0.27</v>
      </c>
      <c r="G26" s="83">
        <v>0.28000000000000003</v>
      </c>
      <c r="H26" s="83">
        <v>0.28999999999999998</v>
      </c>
      <c r="I26" s="6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058F-530D-4810-B488-63627B91EB8E}">
  <dimension ref="A1:H37"/>
  <sheetViews>
    <sheetView topLeftCell="WYG1" zoomScaleNormal="100" workbookViewId="0">
      <pane ySplit="1" topLeftCell="A3" activePane="bottomLeft" state="frozen"/>
      <selection pane="bottomLeft" activeCell="XEL8" sqref="XEL8"/>
    </sheetView>
  </sheetViews>
  <sheetFormatPr defaultRowHeight="14.4" x14ac:dyDescent="0.3"/>
  <cols>
    <col min="1" max="1" width="24.44140625" style="2" bestFit="1" customWidth="1"/>
    <col min="2" max="8" width="10.109375" bestFit="1" customWidth="1"/>
  </cols>
  <sheetData>
    <row r="1" spans="1:8" s="1" customFormat="1" ht="15.6" x14ac:dyDescent="0.3">
      <c r="A1" s="67"/>
      <c r="B1" s="68">
        <v>43525</v>
      </c>
      <c r="C1" s="68">
        <v>43891</v>
      </c>
      <c r="D1" s="68">
        <v>44256</v>
      </c>
      <c r="E1" s="68">
        <v>44621</v>
      </c>
      <c r="F1" s="68">
        <v>44986</v>
      </c>
      <c r="G1" s="68">
        <v>45352</v>
      </c>
      <c r="H1" s="69">
        <v>45717</v>
      </c>
    </row>
    <row r="2" spans="1:8" ht="15.6" x14ac:dyDescent="0.3">
      <c r="A2" s="70" t="s">
        <v>20</v>
      </c>
      <c r="B2" s="64">
        <v>89</v>
      </c>
      <c r="C2" s="64">
        <v>89</v>
      </c>
      <c r="D2" s="64">
        <v>89</v>
      </c>
      <c r="E2" s="64">
        <v>89</v>
      </c>
      <c r="F2" s="64">
        <v>89</v>
      </c>
      <c r="G2" s="64">
        <v>89</v>
      </c>
      <c r="H2" s="71">
        <v>89</v>
      </c>
    </row>
    <row r="3" spans="1:8" ht="15.6" x14ac:dyDescent="0.3">
      <c r="A3" s="70" t="s">
        <v>21</v>
      </c>
      <c r="B3" s="66">
        <v>6093</v>
      </c>
      <c r="C3" s="66">
        <v>6736</v>
      </c>
      <c r="D3" s="66">
        <v>7464</v>
      </c>
      <c r="E3" s="66">
        <v>9284</v>
      </c>
      <c r="F3" s="66">
        <v>11905</v>
      </c>
      <c r="G3" s="66">
        <v>14368</v>
      </c>
      <c r="H3" s="74">
        <v>16722</v>
      </c>
    </row>
    <row r="4" spans="1:8" ht="15.6" x14ac:dyDescent="0.3">
      <c r="A4" s="70" t="s">
        <v>108</v>
      </c>
      <c r="B4" s="66">
        <f t="shared" ref="B4:H4" si="0">SUM(B2:B3)</f>
        <v>6182</v>
      </c>
      <c r="C4" s="66">
        <f t="shared" si="0"/>
        <v>6825</v>
      </c>
      <c r="D4" s="66">
        <f t="shared" si="0"/>
        <v>7553</v>
      </c>
      <c r="E4" s="66">
        <f t="shared" si="0"/>
        <v>9373</v>
      </c>
      <c r="F4" s="66">
        <f t="shared" si="0"/>
        <v>11994</v>
      </c>
      <c r="G4" s="66">
        <f t="shared" si="0"/>
        <v>14457</v>
      </c>
      <c r="H4" s="74">
        <f t="shared" si="0"/>
        <v>16811</v>
      </c>
    </row>
    <row r="5" spans="1:8" ht="15.6" x14ac:dyDescent="0.3">
      <c r="A5" s="70" t="s">
        <v>162</v>
      </c>
      <c r="B5" s="63">
        <v>2288</v>
      </c>
      <c r="C5" s="63">
        <v>3269</v>
      </c>
      <c r="D5" s="63">
        <v>5243</v>
      </c>
      <c r="E5" s="63">
        <v>6605</v>
      </c>
      <c r="F5" s="63">
        <v>7862</v>
      </c>
      <c r="G5" s="63">
        <v>12661</v>
      </c>
      <c r="H5" s="72">
        <v>17171</v>
      </c>
    </row>
    <row r="6" spans="1:8" ht="15.6" x14ac:dyDescent="0.3">
      <c r="A6" s="70" t="s">
        <v>22</v>
      </c>
      <c r="B6" s="64">
        <v>0</v>
      </c>
      <c r="C6" s="64">
        <v>0</v>
      </c>
      <c r="D6" s="64">
        <v>0</v>
      </c>
      <c r="E6" s="64">
        <v>0</v>
      </c>
      <c r="F6" s="64">
        <v>0</v>
      </c>
      <c r="G6" s="63">
        <v>3139</v>
      </c>
      <c r="H6" s="71">
        <v>420</v>
      </c>
    </row>
    <row r="7" spans="1:8" ht="15.6" x14ac:dyDescent="0.3">
      <c r="A7" s="70" t="s">
        <v>23</v>
      </c>
      <c r="B7" s="63">
        <v>2288</v>
      </c>
      <c r="C7" s="63">
        <v>2133</v>
      </c>
      <c r="D7" s="63">
        <v>4094</v>
      </c>
      <c r="E7" s="63">
        <v>5386</v>
      </c>
      <c r="F7" s="63">
        <v>6280</v>
      </c>
      <c r="G7" s="63">
        <v>7608</v>
      </c>
      <c r="H7" s="72">
        <v>14526</v>
      </c>
    </row>
    <row r="8" spans="1:8" ht="15.6" x14ac:dyDescent="0.3">
      <c r="A8" s="70" t="s">
        <v>24</v>
      </c>
      <c r="B8" s="64">
        <v>0</v>
      </c>
      <c r="C8" s="63">
        <v>1136</v>
      </c>
      <c r="D8" s="63">
        <v>1149</v>
      </c>
      <c r="E8" s="63">
        <v>1219</v>
      </c>
      <c r="F8" s="63">
        <v>1582</v>
      </c>
      <c r="G8" s="63">
        <v>1914</v>
      </c>
      <c r="H8" s="72">
        <v>2225</v>
      </c>
    </row>
    <row r="9" spans="1:8" ht="15.6" x14ac:dyDescent="0.3">
      <c r="A9" s="70" t="s">
        <v>163</v>
      </c>
      <c r="B9" s="66">
        <v>3000</v>
      </c>
      <c r="C9" s="66">
        <v>3094</v>
      </c>
      <c r="D9" s="66">
        <v>3064</v>
      </c>
      <c r="E9" s="66">
        <v>4159</v>
      </c>
      <c r="F9" s="66">
        <v>5232</v>
      </c>
      <c r="G9" s="66">
        <v>5744</v>
      </c>
      <c r="H9" s="74">
        <v>7093</v>
      </c>
    </row>
    <row r="10" spans="1:8" ht="15.6" x14ac:dyDescent="0.3">
      <c r="A10" s="70" t="s">
        <v>25</v>
      </c>
      <c r="B10" s="65">
        <v>772</v>
      </c>
      <c r="C10" s="65">
        <v>510</v>
      </c>
      <c r="D10" s="65">
        <v>695</v>
      </c>
      <c r="E10" s="66">
        <v>1055</v>
      </c>
      <c r="F10" s="65">
        <v>965</v>
      </c>
      <c r="G10" s="65">
        <v>943</v>
      </c>
      <c r="H10" s="74">
        <v>1472</v>
      </c>
    </row>
    <row r="11" spans="1:8" ht="15.6" x14ac:dyDescent="0.3">
      <c r="A11" s="70" t="s">
        <v>26</v>
      </c>
      <c r="B11" s="65">
        <v>237</v>
      </c>
      <c r="C11" s="65">
        <v>309</v>
      </c>
      <c r="D11" s="65">
        <v>388</v>
      </c>
      <c r="E11" s="65">
        <v>420</v>
      </c>
      <c r="F11" s="65">
        <v>597</v>
      </c>
      <c r="G11" s="65">
        <v>834</v>
      </c>
      <c r="H11" s="74">
        <v>1840</v>
      </c>
    </row>
    <row r="12" spans="1:8" ht="15.6" x14ac:dyDescent="0.3">
      <c r="A12" s="70" t="s">
        <v>27</v>
      </c>
      <c r="B12" s="66">
        <v>1991</v>
      </c>
      <c r="C12" s="66">
        <v>2275</v>
      </c>
      <c r="D12" s="66">
        <v>1981</v>
      </c>
      <c r="E12" s="66">
        <v>2684</v>
      </c>
      <c r="F12" s="66">
        <v>3670</v>
      </c>
      <c r="G12" s="66">
        <v>3967</v>
      </c>
      <c r="H12" s="74">
        <v>3781</v>
      </c>
    </row>
    <row r="13" spans="1:8" ht="15.6" x14ac:dyDescent="0.3">
      <c r="A13" s="70" t="s">
        <v>109</v>
      </c>
      <c r="B13" s="65">
        <f t="shared" ref="B13:H13" si="1">SUM(B10:B12)</f>
        <v>3000</v>
      </c>
      <c r="C13" s="65">
        <f t="shared" si="1"/>
        <v>3094</v>
      </c>
      <c r="D13" s="65">
        <f t="shared" si="1"/>
        <v>3064</v>
      </c>
      <c r="E13" s="65">
        <f t="shared" si="1"/>
        <v>4159</v>
      </c>
      <c r="F13" s="65">
        <f t="shared" si="1"/>
        <v>5232</v>
      </c>
      <c r="G13" s="65">
        <f t="shared" si="1"/>
        <v>5744</v>
      </c>
      <c r="H13" s="73">
        <f t="shared" si="1"/>
        <v>7093</v>
      </c>
    </row>
    <row r="14" spans="1:8" ht="15.6" x14ac:dyDescent="0.3">
      <c r="A14" s="70" t="s">
        <v>28</v>
      </c>
      <c r="B14" s="63">
        <v>11470</v>
      </c>
      <c r="C14" s="63">
        <v>13188</v>
      </c>
      <c r="D14" s="63">
        <v>15860</v>
      </c>
      <c r="E14" s="63">
        <v>20137</v>
      </c>
      <c r="F14" s="63">
        <v>25088</v>
      </c>
      <c r="G14" s="63">
        <v>32862</v>
      </c>
      <c r="H14" s="72">
        <v>41075</v>
      </c>
    </row>
    <row r="15" spans="1:8" ht="15.6" x14ac:dyDescent="0.3">
      <c r="A15" s="70" t="s">
        <v>164</v>
      </c>
      <c r="B15" s="66">
        <v>1069</v>
      </c>
      <c r="C15" s="66">
        <v>2053</v>
      </c>
      <c r="D15" s="66">
        <v>1959</v>
      </c>
      <c r="E15" s="66">
        <v>1925</v>
      </c>
      <c r="F15" s="66">
        <v>2161</v>
      </c>
      <c r="G15" s="66">
        <v>2691</v>
      </c>
      <c r="H15" s="74">
        <v>3019</v>
      </c>
    </row>
    <row r="16" spans="1:8" ht="15.6" x14ac:dyDescent="0.3">
      <c r="A16" s="70" t="s">
        <v>29</v>
      </c>
      <c r="B16" s="65">
        <v>79</v>
      </c>
      <c r="C16" s="65">
        <v>100</v>
      </c>
      <c r="D16" s="65">
        <v>100</v>
      </c>
      <c r="E16" s="65">
        <v>123</v>
      </c>
      <c r="F16" s="65">
        <v>123</v>
      </c>
      <c r="G16" s="65">
        <v>123</v>
      </c>
      <c r="H16" s="73">
        <v>123</v>
      </c>
    </row>
    <row r="17" spans="1:8" ht="15.6" x14ac:dyDescent="0.3">
      <c r="A17" s="70" t="s">
        <v>30</v>
      </c>
      <c r="B17" s="65">
        <v>321</v>
      </c>
      <c r="C17" s="66">
        <v>1341</v>
      </c>
      <c r="D17" s="66">
        <v>1464</v>
      </c>
      <c r="E17" s="66">
        <v>1636</v>
      </c>
      <c r="F17" s="66">
        <v>1982</v>
      </c>
      <c r="G17" s="66">
        <v>2957</v>
      </c>
      <c r="H17" s="74">
        <v>3517</v>
      </c>
    </row>
    <row r="18" spans="1:8" ht="15.6" x14ac:dyDescent="0.3">
      <c r="A18" s="70" t="s">
        <v>31</v>
      </c>
      <c r="B18" s="65">
        <v>508</v>
      </c>
      <c r="C18" s="65">
        <v>574</v>
      </c>
      <c r="D18" s="65">
        <v>583</v>
      </c>
      <c r="E18" s="65">
        <v>610</v>
      </c>
      <c r="F18" s="65">
        <v>662</v>
      </c>
      <c r="G18" s="65">
        <v>666</v>
      </c>
      <c r="H18" s="73">
        <v>738</v>
      </c>
    </row>
    <row r="19" spans="1:8" ht="15.6" x14ac:dyDescent="0.3">
      <c r="A19" s="70" t="s">
        <v>32</v>
      </c>
      <c r="B19" s="65">
        <v>42</v>
      </c>
      <c r="C19" s="65">
        <v>60</v>
      </c>
      <c r="D19" s="65">
        <v>66</v>
      </c>
      <c r="E19" s="65">
        <v>77</v>
      </c>
      <c r="F19" s="65">
        <v>99</v>
      </c>
      <c r="G19" s="65">
        <v>68</v>
      </c>
      <c r="H19" s="73">
        <v>81</v>
      </c>
    </row>
    <row r="20" spans="1:8" ht="15.6" x14ac:dyDescent="0.3">
      <c r="A20" s="70" t="s">
        <v>33</v>
      </c>
      <c r="B20" s="65">
        <v>83</v>
      </c>
      <c r="C20" s="65">
        <v>106</v>
      </c>
      <c r="D20" s="65">
        <v>126</v>
      </c>
      <c r="E20" s="65">
        <v>140</v>
      </c>
      <c r="F20" s="65">
        <v>173</v>
      </c>
      <c r="G20" s="65">
        <v>175</v>
      </c>
      <c r="H20" s="73">
        <v>190</v>
      </c>
    </row>
    <row r="21" spans="1:8" ht="15.6" x14ac:dyDescent="0.3">
      <c r="A21" s="70" t="s">
        <v>34</v>
      </c>
      <c r="B21" s="65">
        <v>234</v>
      </c>
      <c r="C21" s="65">
        <v>293</v>
      </c>
      <c r="D21" s="65">
        <v>294</v>
      </c>
      <c r="E21" s="65">
        <v>303</v>
      </c>
      <c r="F21" s="65">
        <v>350</v>
      </c>
      <c r="G21" s="65">
        <v>138</v>
      </c>
      <c r="H21" s="73">
        <v>152</v>
      </c>
    </row>
    <row r="22" spans="1:8" ht="15.6" x14ac:dyDescent="0.3">
      <c r="A22" s="70" t="s">
        <v>73</v>
      </c>
      <c r="B22" s="65">
        <v>20</v>
      </c>
      <c r="C22" s="65">
        <v>25</v>
      </c>
      <c r="D22" s="65">
        <v>26</v>
      </c>
      <c r="E22" s="65">
        <v>34</v>
      </c>
      <c r="F22" s="65">
        <v>36</v>
      </c>
      <c r="G22" s="65">
        <v>45</v>
      </c>
      <c r="H22" s="73">
        <v>51</v>
      </c>
    </row>
    <row r="23" spans="1:8" ht="15.6" x14ac:dyDescent="0.3">
      <c r="A23" s="70" t="s">
        <v>74</v>
      </c>
      <c r="B23" s="65">
        <v>3</v>
      </c>
      <c r="C23" s="65">
        <v>17</v>
      </c>
      <c r="D23" s="65">
        <v>17</v>
      </c>
      <c r="E23" s="65">
        <v>17</v>
      </c>
      <c r="F23" s="65">
        <v>17</v>
      </c>
      <c r="G23" s="65">
        <v>17</v>
      </c>
      <c r="H23" s="73">
        <v>17</v>
      </c>
    </row>
    <row r="24" spans="1:8" ht="15.6" x14ac:dyDescent="0.3">
      <c r="A24" s="70" t="s">
        <v>35</v>
      </c>
      <c r="B24" s="65">
        <v>86</v>
      </c>
      <c r="C24" s="65">
        <v>118</v>
      </c>
      <c r="D24" s="65">
        <v>137</v>
      </c>
      <c r="E24" s="65">
        <v>123</v>
      </c>
      <c r="F24" s="65">
        <v>145</v>
      </c>
      <c r="G24" s="65">
        <v>220</v>
      </c>
      <c r="H24" s="73">
        <v>269</v>
      </c>
    </row>
    <row r="25" spans="1:8" ht="15.6" x14ac:dyDescent="0.3">
      <c r="A25" s="70" t="s">
        <v>36</v>
      </c>
      <c r="B25" s="66">
        <v>1376</v>
      </c>
      <c r="C25" s="66">
        <v>2634</v>
      </c>
      <c r="D25" s="66">
        <v>2813</v>
      </c>
      <c r="E25" s="66">
        <v>3063</v>
      </c>
      <c r="F25" s="66">
        <v>3587</v>
      </c>
      <c r="G25" s="66">
        <v>4409</v>
      </c>
      <c r="H25" s="74">
        <v>5138</v>
      </c>
    </row>
    <row r="26" spans="1:8" ht="15.6" x14ac:dyDescent="0.3">
      <c r="A26" s="70" t="s">
        <v>37</v>
      </c>
      <c r="B26" s="65">
        <v>307</v>
      </c>
      <c r="C26" s="65">
        <v>581</v>
      </c>
      <c r="D26" s="65">
        <v>854</v>
      </c>
      <c r="E26" s="66">
        <v>1138</v>
      </c>
      <c r="F26" s="66">
        <v>1426</v>
      </c>
      <c r="G26" s="66">
        <v>1718</v>
      </c>
      <c r="H26" s="74">
        <v>2119</v>
      </c>
    </row>
    <row r="27" spans="1:8" ht="15.6" x14ac:dyDescent="0.3">
      <c r="A27" s="70" t="s">
        <v>38</v>
      </c>
      <c r="B27" s="64">
        <v>26</v>
      </c>
      <c r="C27" s="64">
        <v>14</v>
      </c>
      <c r="D27" s="64">
        <v>25</v>
      </c>
      <c r="E27" s="64">
        <v>71</v>
      </c>
      <c r="F27" s="64">
        <v>127</v>
      </c>
      <c r="G27" s="64">
        <v>87</v>
      </c>
      <c r="H27" s="71">
        <v>94</v>
      </c>
    </row>
    <row r="28" spans="1:8" ht="15.6" x14ac:dyDescent="0.3">
      <c r="A28" s="70" t="s">
        <v>39</v>
      </c>
      <c r="B28" s="65">
        <v>876</v>
      </c>
      <c r="C28" s="65">
        <v>983</v>
      </c>
      <c r="D28" s="66">
        <v>3512</v>
      </c>
      <c r="E28" s="65">
        <v>884</v>
      </c>
      <c r="F28" s="66">
        <v>3259</v>
      </c>
      <c r="G28" s="66">
        <v>7813</v>
      </c>
      <c r="H28" s="74">
        <v>7723</v>
      </c>
    </row>
    <row r="29" spans="1:8" ht="15.6" x14ac:dyDescent="0.3">
      <c r="A29" s="70" t="s">
        <v>165</v>
      </c>
      <c r="B29" s="63">
        <v>9499</v>
      </c>
      <c r="C29" s="63">
        <v>10138</v>
      </c>
      <c r="D29" s="63">
        <v>10364</v>
      </c>
      <c r="E29" s="63">
        <v>17257</v>
      </c>
      <c r="F29" s="63">
        <v>19541</v>
      </c>
      <c r="G29" s="63">
        <v>22271</v>
      </c>
      <c r="H29" s="72">
        <v>30239</v>
      </c>
    </row>
    <row r="30" spans="1:8" ht="15.6" x14ac:dyDescent="0.3">
      <c r="A30" s="70" t="s">
        <v>40</v>
      </c>
      <c r="B30" s="63">
        <v>6719</v>
      </c>
      <c r="C30" s="63">
        <v>7741</v>
      </c>
      <c r="D30" s="63">
        <v>7984</v>
      </c>
      <c r="E30" s="63">
        <v>12787</v>
      </c>
      <c r="F30" s="63">
        <v>14952</v>
      </c>
      <c r="G30" s="63">
        <v>16874</v>
      </c>
      <c r="H30" s="72">
        <v>24517</v>
      </c>
    </row>
    <row r="31" spans="1:8" ht="15.6" x14ac:dyDescent="0.3">
      <c r="A31" s="70" t="s">
        <v>112</v>
      </c>
      <c r="B31" s="63">
        <f t="shared" ref="B31:H31" si="2">B30/100</f>
        <v>67.19</v>
      </c>
      <c r="C31" s="63">
        <f t="shared" si="2"/>
        <v>77.41</v>
      </c>
      <c r="D31" s="63">
        <f t="shared" si="2"/>
        <v>79.84</v>
      </c>
      <c r="E31" s="63">
        <f t="shared" si="2"/>
        <v>127.87</v>
      </c>
      <c r="F31" s="63">
        <f t="shared" si="2"/>
        <v>149.52000000000001</v>
      </c>
      <c r="G31" s="63">
        <f t="shared" si="2"/>
        <v>168.74</v>
      </c>
      <c r="H31" s="72">
        <f t="shared" si="2"/>
        <v>245.17</v>
      </c>
    </row>
    <row r="32" spans="1:8" ht="15.6" x14ac:dyDescent="0.3">
      <c r="A32" s="70" t="s">
        <v>75</v>
      </c>
      <c r="B32" s="64">
        <v>358</v>
      </c>
      <c r="C32" s="64">
        <v>214</v>
      </c>
      <c r="D32" s="64">
        <v>291</v>
      </c>
      <c r="E32" s="64">
        <v>495</v>
      </c>
      <c r="F32" s="64">
        <v>908</v>
      </c>
      <c r="G32" s="64">
        <v>937</v>
      </c>
      <c r="H32" s="71">
        <v>984</v>
      </c>
    </row>
    <row r="33" spans="1:8" ht="15.6" x14ac:dyDescent="0.3">
      <c r="A33" s="70" t="s">
        <v>41</v>
      </c>
      <c r="B33" s="63">
        <v>1001</v>
      </c>
      <c r="C33" s="64">
        <v>356</v>
      </c>
      <c r="D33" s="64">
        <v>512</v>
      </c>
      <c r="E33" s="63">
        <v>1049</v>
      </c>
      <c r="F33" s="64">
        <v>792</v>
      </c>
      <c r="G33" s="64">
        <v>805</v>
      </c>
      <c r="H33" s="72">
        <v>1132</v>
      </c>
    </row>
    <row r="34" spans="1:8" ht="15.6" x14ac:dyDescent="0.3">
      <c r="A34" s="70" t="s">
        <v>42</v>
      </c>
      <c r="B34" s="64">
        <v>13</v>
      </c>
      <c r="C34" s="64">
        <v>-17</v>
      </c>
      <c r="D34" s="64">
        <v>-50</v>
      </c>
      <c r="E34" s="64">
        <v>4</v>
      </c>
      <c r="F34" s="64">
        <v>116</v>
      </c>
      <c r="G34" s="64">
        <v>65</v>
      </c>
      <c r="H34" s="71">
        <v>262</v>
      </c>
    </row>
    <row r="35" spans="1:8" ht="15.6" x14ac:dyDescent="0.3">
      <c r="A35" s="70" t="s">
        <v>43</v>
      </c>
      <c r="B35" s="63">
        <v>1407</v>
      </c>
      <c r="C35" s="63">
        <v>1844</v>
      </c>
      <c r="D35" s="63">
        <v>1627</v>
      </c>
      <c r="E35" s="63">
        <v>2922</v>
      </c>
      <c r="F35" s="63">
        <v>2773</v>
      </c>
      <c r="G35" s="63">
        <v>3590</v>
      </c>
      <c r="H35" s="72">
        <v>3344</v>
      </c>
    </row>
    <row r="36" spans="1:8" ht="15.6" x14ac:dyDescent="0.3">
      <c r="A36" s="70" t="s">
        <v>110</v>
      </c>
      <c r="B36" s="63">
        <f t="shared" ref="B36:H36" si="3">SUM(B30:B35)</f>
        <v>9565.1899999999987</v>
      </c>
      <c r="C36" s="63">
        <f t="shared" si="3"/>
        <v>10215.41</v>
      </c>
      <c r="D36" s="63">
        <f t="shared" si="3"/>
        <v>10443.84</v>
      </c>
      <c r="E36" s="63">
        <f t="shared" si="3"/>
        <v>17384.870000000003</v>
      </c>
      <c r="F36" s="63">
        <f t="shared" si="3"/>
        <v>19690.52</v>
      </c>
      <c r="G36" s="63">
        <f t="shared" si="3"/>
        <v>22439.74</v>
      </c>
      <c r="H36" s="72">
        <f t="shared" si="3"/>
        <v>30484.17</v>
      </c>
    </row>
    <row r="37" spans="1:8" ht="16.2" thickBot="1" x14ac:dyDescent="0.35">
      <c r="A37" s="75" t="s">
        <v>44</v>
      </c>
      <c r="B37" s="78">
        <v>11470</v>
      </c>
      <c r="C37" s="78">
        <v>13188</v>
      </c>
      <c r="D37" s="78">
        <v>15860</v>
      </c>
      <c r="E37" s="78">
        <v>20137</v>
      </c>
      <c r="F37" s="78">
        <v>25088</v>
      </c>
      <c r="G37" s="78">
        <v>32862</v>
      </c>
      <c r="H37" s="79">
        <v>41075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FAA8-8FF2-46E2-A338-72CFFFB42519}">
  <dimension ref="A1:H31"/>
  <sheetViews>
    <sheetView workbookViewId="0">
      <pane ySplit="1" topLeftCell="A2" activePane="bottomLeft" state="frozen"/>
      <selection pane="bottomLeft" sqref="A1:XFD1"/>
    </sheetView>
  </sheetViews>
  <sheetFormatPr defaultRowHeight="15.6" x14ac:dyDescent="0.3"/>
  <cols>
    <col min="1" max="1" width="33.33203125" style="1" bestFit="1" customWidth="1"/>
    <col min="2" max="8" width="9.21875" bestFit="1" customWidth="1"/>
  </cols>
  <sheetData>
    <row r="1" spans="1:8" s="1" customFormat="1" x14ac:dyDescent="0.3">
      <c r="A1" s="67" t="s">
        <v>136</v>
      </c>
      <c r="B1" s="68">
        <v>43525</v>
      </c>
      <c r="C1" s="68">
        <v>43891</v>
      </c>
      <c r="D1" s="68">
        <v>44256</v>
      </c>
      <c r="E1" s="68">
        <v>44621</v>
      </c>
      <c r="F1" s="68">
        <v>44986</v>
      </c>
      <c r="G1" s="68">
        <v>45352</v>
      </c>
      <c r="H1" s="69">
        <v>45717</v>
      </c>
    </row>
    <row r="2" spans="1:8" x14ac:dyDescent="0.3">
      <c r="A2" s="70" t="s">
        <v>159</v>
      </c>
      <c r="B2" s="63">
        <v>1249</v>
      </c>
      <c r="C2" s="64">
        <v>-289</v>
      </c>
      <c r="D2" s="63">
        <v>4101</v>
      </c>
      <c r="E2" s="63">
        <v>-1126</v>
      </c>
      <c r="F2" s="63">
        <v>1810</v>
      </c>
      <c r="G2" s="63">
        <v>2030</v>
      </c>
      <c r="H2" s="71">
        <v>-170</v>
      </c>
    </row>
    <row r="3" spans="1:8" x14ac:dyDescent="0.3">
      <c r="A3" s="70" t="s">
        <v>45</v>
      </c>
      <c r="B3" s="63">
        <v>2179</v>
      </c>
      <c r="C3" s="63">
        <v>2425</v>
      </c>
      <c r="D3" s="63">
        <v>1719</v>
      </c>
      <c r="E3" s="63">
        <v>3224</v>
      </c>
      <c r="F3" s="63">
        <v>4814</v>
      </c>
      <c r="G3" s="63">
        <v>5116</v>
      </c>
      <c r="H3" s="72">
        <v>5358</v>
      </c>
    </row>
    <row r="4" spans="1:8" x14ac:dyDescent="0.3">
      <c r="A4" s="70" t="s">
        <v>46</v>
      </c>
      <c r="B4" s="64">
        <v>-164</v>
      </c>
      <c r="C4" s="64">
        <v>144</v>
      </c>
      <c r="D4" s="64">
        <v>-78</v>
      </c>
      <c r="E4" s="64">
        <v>-204</v>
      </c>
      <c r="F4" s="64">
        <v>-414</v>
      </c>
      <c r="G4" s="64">
        <v>-22</v>
      </c>
      <c r="H4" s="71">
        <v>-61</v>
      </c>
    </row>
    <row r="5" spans="1:8" x14ac:dyDescent="0.3">
      <c r="A5" s="70" t="s">
        <v>47</v>
      </c>
      <c r="B5" s="64">
        <v>-970</v>
      </c>
      <c r="C5" s="63">
        <v>-1021</v>
      </c>
      <c r="D5" s="64">
        <v>-243</v>
      </c>
      <c r="E5" s="63">
        <v>-4803</v>
      </c>
      <c r="F5" s="63">
        <v>-2165</v>
      </c>
      <c r="G5" s="63">
        <v>-1922</v>
      </c>
      <c r="H5" s="72">
        <v>-7643</v>
      </c>
    </row>
    <row r="6" spans="1:8" x14ac:dyDescent="0.3">
      <c r="A6" s="70" t="s">
        <v>48</v>
      </c>
      <c r="B6" s="64">
        <v>-14</v>
      </c>
      <c r="C6" s="64">
        <v>-263</v>
      </c>
      <c r="D6" s="64">
        <v>187</v>
      </c>
      <c r="E6" s="64">
        <v>362</v>
      </c>
      <c r="F6" s="64">
        <v>-89</v>
      </c>
      <c r="G6" s="64">
        <v>-24</v>
      </c>
      <c r="H6" s="71">
        <v>539</v>
      </c>
    </row>
    <row r="7" spans="1:8" x14ac:dyDescent="0.3">
      <c r="A7" s="70" t="s">
        <v>49</v>
      </c>
      <c r="B7" s="64">
        <v>-21</v>
      </c>
      <c r="C7" s="64">
        <v>-16</v>
      </c>
      <c r="D7" s="64">
        <v>-6</v>
      </c>
      <c r="E7" s="64">
        <v>-1</v>
      </c>
      <c r="F7" s="64">
        <v>-17</v>
      </c>
      <c r="G7" s="64">
        <v>-8</v>
      </c>
      <c r="H7" s="71">
        <v>-312</v>
      </c>
    </row>
    <row r="8" spans="1:8" x14ac:dyDescent="0.3">
      <c r="A8" s="70" t="s">
        <v>77</v>
      </c>
      <c r="B8" s="64">
        <v>684</v>
      </c>
      <c r="C8" s="64">
        <v>-781</v>
      </c>
      <c r="D8" s="63">
        <v>2587</v>
      </c>
      <c r="E8" s="63">
        <v>1067</v>
      </c>
      <c r="F8" s="64">
        <v>-71</v>
      </c>
      <c r="G8" s="64">
        <v>-152</v>
      </c>
      <c r="H8" s="72">
        <v>2105</v>
      </c>
    </row>
    <row r="9" spans="1:8" x14ac:dyDescent="0.3">
      <c r="A9" s="70" t="s">
        <v>50</v>
      </c>
      <c r="B9" s="64">
        <v>177</v>
      </c>
      <c r="C9" s="64">
        <v>-240</v>
      </c>
      <c r="D9" s="64">
        <v>198</v>
      </c>
      <c r="E9" s="64">
        <v>25</v>
      </c>
      <c r="F9" s="64">
        <v>894</v>
      </c>
      <c r="G9" s="64">
        <v>182</v>
      </c>
      <c r="H9" s="71">
        <v>866</v>
      </c>
    </row>
    <row r="10" spans="1:8" x14ac:dyDescent="0.3">
      <c r="A10" s="70" t="s">
        <v>51</v>
      </c>
      <c r="B10" s="64">
        <v>-309</v>
      </c>
      <c r="C10" s="63">
        <v>-2177</v>
      </c>
      <c r="D10" s="63">
        <v>2645</v>
      </c>
      <c r="E10" s="63">
        <v>-3554</v>
      </c>
      <c r="F10" s="63">
        <v>-1862</v>
      </c>
      <c r="G10" s="63">
        <v>-1946</v>
      </c>
      <c r="H10" s="72">
        <v>-4506</v>
      </c>
    </row>
    <row r="11" spans="1:8" x14ac:dyDescent="0.3">
      <c r="A11" s="70" t="s">
        <v>52</v>
      </c>
      <c r="B11" s="64">
        <v>-622</v>
      </c>
      <c r="C11" s="64">
        <v>-537</v>
      </c>
      <c r="D11" s="64">
        <v>-263</v>
      </c>
      <c r="E11" s="64">
        <v>-796</v>
      </c>
      <c r="F11" s="63">
        <v>-1142</v>
      </c>
      <c r="G11" s="63">
        <v>-1140</v>
      </c>
      <c r="H11" s="72">
        <v>-1022</v>
      </c>
    </row>
    <row r="12" spans="1:8" x14ac:dyDescent="0.3">
      <c r="A12" s="70" t="s">
        <v>160</v>
      </c>
      <c r="B12" s="65">
        <v>-910</v>
      </c>
      <c r="C12" s="65">
        <v>243</v>
      </c>
      <c r="D12" s="66">
        <v>-2744</v>
      </c>
      <c r="E12" s="66">
        <v>1564</v>
      </c>
      <c r="F12" s="66">
        <v>-1653</v>
      </c>
      <c r="G12" s="66">
        <v>-4634</v>
      </c>
      <c r="H12" s="73">
        <v>140</v>
      </c>
    </row>
    <row r="13" spans="1:8" x14ac:dyDescent="0.3">
      <c r="A13" s="70" t="s">
        <v>53</v>
      </c>
      <c r="B13" s="65">
        <v>-226</v>
      </c>
      <c r="C13" s="65">
        <v>-310</v>
      </c>
      <c r="D13" s="65">
        <v>-111</v>
      </c>
      <c r="E13" s="65">
        <v>-173</v>
      </c>
      <c r="F13" s="65">
        <v>-288</v>
      </c>
      <c r="G13" s="65">
        <v>-529</v>
      </c>
      <c r="H13" s="73">
        <v>-382</v>
      </c>
    </row>
    <row r="14" spans="1:8" x14ac:dyDescent="0.3">
      <c r="A14" s="70" t="s">
        <v>54</v>
      </c>
      <c r="B14" s="65">
        <v>1</v>
      </c>
      <c r="C14" s="65">
        <v>8</v>
      </c>
      <c r="D14" s="65">
        <v>7</v>
      </c>
      <c r="E14" s="65">
        <v>6</v>
      </c>
      <c r="F14" s="65">
        <v>10</v>
      </c>
      <c r="G14" s="65">
        <v>9</v>
      </c>
      <c r="H14" s="73">
        <v>12</v>
      </c>
    </row>
    <row r="15" spans="1:8" x14ac:dyDescent="0.3">
      <c r="A15" s="70" t="s">
        <v>55</v>
      </c>
      <c r="B15" s="65">
        <v>-36</v>
      </c>
      <c r="C15" s="65">
        <v>-101</v>
      </c>
      <c r="D15" s="66">
        <v>-2675</v>
      </c>
      <c r="E15" s="65">
        <v>-269</v>
      </c>
      <c r="F15" s="66">
        <v>-2082</v>
      </c>
      <c r="G15" s="66">
        <v>-21111</v>
      </c>
      <c r="H15" s="74">
        <v>-14506</v>
      </c>
    </row>
    <row r="16" spans="1:8" x14ac:dyDescent="0.3">
      <c r="A16" s="70" t="s">
        <v>56</v>
      </c>
      <c r="B16" s="65">
        <v>18</v>
      </c>
      <c r="C16" s="65">
        <v>27</v>
      </c>
      <c r="D16" s="65">
        <v>43</v>
      </c>
      <c r="E16" s="66">
        <v>2815</v>
      </c>
      <c r="F16" s="65">
        <v>0</v>
      </c>
      <c r="G16" s="66">
        <v>21472</v>
      </c>
      <c r="H16" s="74">
        <v>14878</v>
      </c>
    </row>
    <row r="17" spans="1:8" x14ac:dyDescent="0.3">
      <c r="A17" s="70" t="s">
        <v>57</v>
      </c>
      <c r="B17" s="65">
        <v>84</v>
      </c>
      <c r="C17" s="65">
        <v>69</v>
      </c>
      <c r="D17" s="65">
        <v>60</v>
      </c>
      <c r="E17" s="65">
        <v>52</v>
      </c>
      <c r="F17" s="65">
        <v>135</v>
      </c>
      <c r="G17" s="65">
        <v>209</v>
      </c>
      <c r="H17" s="73">
        <v>267</v>
      </c>
    </row>
    <row r="18" spans="1:8" x14ac:dyDescent="0.3">
      <c r="A18" s="70" t="s">
        <v>78</v>
      </c>
      <c r="B18" s="65">
        <v>0</v>
      </c>
      <c r="C18" s="65">
        <v>0</v>
      </c>
      <c r="D18" s="65">
        <v>24</v>
      </c>
      <c r="E18" s="65">
        <v>24</v>
      </c>
      <c r="F18" s="65">
        <v>0</v>
      </c>
      <c r="G18" s="65">
        <v>0</v>
      </c>
      <c r="H18" s="73">
        <v>0</v>
      </c>
    </row>
    <row r="19" spans="1:8" x14ac:dyDescent="0.3">
      <c r="A19" s="70" t="s">
        <v>66</v>
      </c>
      <c r="B19" s="65">
        <v>0</v>
      </c>
      <c r="C19" s="65">
        <v>0</v>
      </c>
      <c r="D19" s="65">
        <v>0</v>
      </c>
      <c r="E19" s="65">
        <v>0</v>
      </c>
      <c r="F19" s="65">
        <v>-15</v>
      </c>
      <c r="G19" s="66">
        <v>-4726</v>
      </c>
      <c r="H19" s="73">
        <v>-126</v>
      </c>
    </row>
    <row r="20" spans="1:8" x14ac:dyDescent="0.3">
      <c r="A20" s="70" t="s">
        <v>79</v>
      </c>
      <c r="B20" s="65">
        <v>0</v>
      </c>
      <c r="C20" s="65">
        <v>0</v>
      </c>
      <c r="D20" s="65">
        <v>0</v>
      </c>
      <c r="E20" s="65">
        <v>0</v>
      </c>
      <c r="F20" s="65">
        <v>0</v>
      </c>
      <c r="G20" s="65">
        <v>0</v>
      </c>
      <c r="H20" s="73">
        <v>0</v>
      </c>
    </row>
    <row r="21" spans="1:8" x14ac:dyDescent="0.3">
      <c r="A21" s="70" t="s">
        <v>58</v>
      </c>
      <c r="B21" s="65">
        <v>-150</v>
      </c>
      <c r="C21" s="65">
        <v>0</v>
      </c>
      <c r="D21" s="65">
        <v>0</v>
      </c>
      <c r="E21" s="65">
        <v>0</v>
      </c>
      <c r="F21" s="65">
        <v>0</v>
      </c>
      <c r="G21" s="65">
        <v>0</v>
      </c>
      <c r="H21" s="73">
        <v>0</v>
      </c>
    </row>
    <row r="22" spans="1:8" x14ac:dyDescent="0.3">
      <c r="A22" s="70" t="s">
        <v>80</v>
      </c>
      <c r="B22" s="65">
        <v>-115</v>
      </c>
      <c r="C22" s="65">
        <v>200</v>
      </c>
      <c r="D22" s="65">
        <v>-50</v>
      </c>
      <c r="E22" s="65">
        <v>-344</v>
      </c>
      <c r="F22" s="65">
        <v>294</v>
      </c>
      <c r="G22" s="65">
        <v>-143</v>
      </c>
      <c r="H22" s="73">
        <v>243</v>
      </c>
    </row>
    <row r="23" spans="1:8" x14ac:dyDescent="0.3">
      <c r="A23" s="70" t="s">
        <v>59</v>
      </c>
      <c r="B23" s="65">
        <v>-485</v>
      </c>
      <c r="C23" s="65">
        <v>350</v>
      </c>
      <c r="D23" s="65">
        <v>-42</v>
      </c>
      <c r="E23" s="65">
        <v>-547</v>
      </c>
      <c r="F23" s="65">
        <v>293</v>
      </c>
      <c r="G23" s="65">
        <v>185</v>
      </c>
      <c r="H23" s="73">
        <v>-246</v>
      </c>
    </row>
    <row r="24" spans="1:8" x14ac:dyDescent="0.3">
      <c r="A24" s="70" t="s">
        <v>161</v>
      </c>
      <c r="B24" s="64">
        <v>-442</v>
      </c>
      <c r="C24" s="64">
        <v>-268</v>
      </c>
      <c r="D24" s="63">
        <v>-1260</v>
      </c>
      <c r="E24" s="64">
        <v>-468</v>
      </c>
      <c r="F24" s="64">
        <v>-155</v>
      </c>
      <c r="G24" s="63">
        <v>2757</v>
      </c>
      <c r="H24" s="71">
        <v>1</v>
      </c>
    </row>
    <row r="25" spans="1:8" x14ac:dyDescent="0.3">
      <c r="A25" s="70" t="s">
        <v>60</v>
      </c>
      <c r="B25" s="64">
        <v>0</v>
      </c>
      <c r="C25" s="64">
        <v>626</v>
      </c>
      <c r="D25" s="64">
        <v>0</v>
      </c>
      <c r="E25" s="64">
        <v>225</v>
      </c>
      <c r="F25" s="64">
        <v>965</v>
      </c>
      <c r="G25" s="63">
        <v>4619</v>
      </c>
      <c r="H25" s="72">
        <v>2093</v>
      </c>
    </row>
    <row r="26" spans="1:8" x14ac:dyDescent="0.3">
      <c r="A26" s="70" t="s">
        <v>61</v>
      </c>
      <c r="B26" s="64">
        <v>0</v>
      </c>
      <c r="C26" s="64">
        <v>0</v>
      </c>
      <c r="D26" s="64">
        <v>-626</v>
      </c>
      <c r="E26" s="64">
        <v>0</v>
      </c>
      <c r="F26" s="64">
        <v>0</v>
      </c>
      <c r="G26" s="64">
        <v>0</v>
      </c>
      <c r="H26" s="71">
        <v>0</v>
      </c>
    </row>
    <row r="27" spans="1:8" x14ac:dyDescent="0.3">
      <c r="A27" s="70" t="s">
        <v>62</v>
      </c>
      <c r="B27" s="64">
        <v>-44</v>
      </c>
      <c r="C27" s="64">
        <v>-149</v>
      </c>
      <c r="D27" s="64">
        <v>-181</v>
      </c>
      <c r="E27" s="64">
        <v>-195</v>
      </c>
      <c r="F27" s="64">
        <v>-240</v>
      </c>
      <c r="G27" s="64">
        <v>-480</v>
      </c>
      <c r="H27" s="71">
        <v>-631</v>
      </c>
    </row>
    <row r="28" spans="1:8" x14ac:dyDescent="0.3">
      <c r="A28" s="70" t="s">
        <v>81</v>
      </c>
      <c r="B28" s="64">
        <v>-397</v>
      </c>
      <c r="C28" s="64">
        <v>-536</v>
      </c>
      <c r="D28" s="64">
        <v>-355</v>
      </c>
      <c r="E28" s="64">
        <v>-355</v>
      </c>
      <c r="F28" s="64">
        <v>-666</v>
      </c>
      <c r="G28" s="64">
        <v>-888</v>
      </c>
      <c r="H28" s="71">
        <v>-976</v>
      </c>
    </row>
    <row r="29" spans="1:8" x14ac:dyDescent="0.3">
      <c r="A29" s="70" t="s">
        <v>63</v>
      </c>
      <c r="B29" s="64">
        <v>0</v>
      </c>
      <c r="C29" s="64">
        <v>-209</v>
      </c>
      <c r="D29" s="64">
        <v>-98</v>
      </c>
      <c r="E29" s="64">
        <v>-143</v>
      </c>
      <c r="F29" s="64">
        <v>-214</v>
      </c>
      <c r="G29" s="64">
        <v>-258</v>
      </c>
      <c r="H29" s="71">
        <v>-479</v>
      </c>
    </row>
    <row r="30" spans="1:8" x14ac:dyDescent="0.3">
      <c r="A30" s="70" t="s">
        <v>64</v>
      </c>
      <c r="B30" s="64">
        <v>0</v>
      </c>
      <c r="C30" s="64">
        <v>0</v>
      </c>
      <c r="D30" s="64">
        <v>0</v>
      </c>
      <c r="E30" s="64">
        <v>0</v>
      </c>
      <c r="F30" s="64">
        <v>0</v>
      </c>
      <c r="G30" s="64">
        <v>-236</v>
      </c>
      <c r="H30" s="71">
        <v>-6</v>
      </c>
    </row>
    <row r="31" spans="1:8" ht="16.2" thickBot="1" x14ac:dyDescent="0.35">
      <c r="A31" s="75" t="s">
        <v>65</v>
      </c>
      <c r="B31" s="76">
        <v>-102</v>
      </c>
      <c r="C31" s="76">
        <v>-314</v>
      </c>
      <c r="D31" s="76">
        <v>97</v>
      </c>
      <c r="E31" s="76">
        <v>-30</v>
      </c>
      <c r="F31" s="76">
        <v>2</v>
      </c>
      <c r="G31" s="76">
        <v>153</v>
      </c>
      <c r="H31" s="77">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EC4C-6797-41E7-9B1A-A8C2F2F0E355}">
  <dimension ref="A1:K13"/>
  <sheetViews>
    <sheetView topLeftCell="B1" workbookViewId="0">
      <selection activeCell="C18" sqref="C18"/>
    </sheetView>
  </sheetViews>
  <sheetFormatPr defaultRowHeight="14.4" x14ac:dyDescent="0.3"/>
  <cols>
    <col min="1" max="1" width="5.77734375" bestFit="1" customWidth="1"/>
    <col min="2" max="2" width="28.77734375" bestFit="1" customWidth="1"/>
    <col min="3" max="3" width="64.44140625" bestFit="1" customWidth="1"/>
    <col min="4" max="4" width="17" customWidth="1"/>
    <col min="5" max="5" width="14.109375" customWidth="1"/>
    <col min="6" max="9" width="13.33203125" bestFit="1" customWidth="1"/>
    <col min="10" max="10" width="12.44140625" customWidth="1"/>
    <col min="11" max="11" width="138.88671875" bestFit="1" customWidth="1"/>
  </cols>
  <sheetData>
    <row r="1" spans="1:11" ht="16.2" thickBot="1" x14ac:dyDescent="0.35">
      <c r="A1" s="107" t="s">
        <v>133</v>
      </c>
      <c r="B1" s="138" t="s">
        <v>82</v>
      </c>
      <c r="C1" s="138" t="s">
        <v>83</v>
      </c>
      <c r="D1" s="139">
        <v>43891</v>
      </c>
      <c r="E1" s="139">
        <v>44256</v>
      </c>
      <c r="F1" s="108">
        <v>44621</v>
      </c>
      <c r="G1" s="108">
        <v>44986</v>
      </c>
      <c r="H1" s="108">
        <v>45352</v>
      </c>
      <c r="I1" s="108">
        <v>45717</v>
      </c>
      <c r="J1" s="140" t="s">
        <v>158</v>
      </c>
      <c r="K1" s="141" t="s">
        <v>166</v>
      </c>
    </row>
    <row r="2" spans="1:11" ht="15.6" x14ac:dyDescent="0.3">
      <c r="A2" s="134">
        <v>1</v>
      </c>
      <c r="B2" s="147" t="s">
        <v>84</v>
      </c>
      <c r="C2" s="135" t="s">
        <v>85</v>
      </c>
      <c r="D2" s="110">
        <f>'PROFIT &amp; LOSS'!C20/'PROFIT &amp; LOSS'!C2</f>
        <v>7.5812093953023491E-2</v>
      </c>
      <c r="E2" s="110">
        <f>'PROFIT &amp; LOSS'!D20/'PROFIT &amp; LOSS'!D2</f>
        <v>4.256868265216969E-2</v>
      </c>
      <c r="F2" s="110">
        <f>'PROFIT &amp; LOSS'!E20/'PROFIT &amp; LOSS'!E2</f>
        <v>8.0117603822124225E-2</v>
      </c>
      <c r="G2" s="110">
        <f>'PROFIT &amp; LOSS'!F20/'PROFIT &amp; LOSS'!F2</f>
        <v>8.7091716749412074E-2</v>
      </c>
      <c r="H2" s="110">
        <f>'PROFIT &amp; LOSS'!G20/'PROFIT &amp; LOSS'!G2</f>
        <v>7.5221802436643032E-2</v>
      </c>
      <c r="I2" s="110">
        <f>'PROFIT &amp; LOSS'!H20/'PROFIT &amp; LOSS'!H2</f>
        <v>6.0811057218919808E-2</v>
      </c>
      <c r="J2" s="136"/>
      <c r="K2" s="137" t="s">
        <v>250</v>
      </c>
    </row>
    <row r="3" spans="1:11" ht="15.6" x14ac:dyDescent="0.3">
      <c r="A3" s="58">
        <v>2</v>
      </c>
      <c r="B3" s="148" t="s">
        <v>86</v>
      </c>
      <c r="C3" s="57" t="s">
        <v>87</v>
      </c>
      <c r="D3" s="11">
        <f>'PROFIT &amp; LOSS'!C20/'BALANCE SHEET'!C37</f>
        <v>0.11502881407340006</v>
      </c>
      <c r="E3" s="11">
        <f>'PROFIT &amp; LOSS'!D20/'BALANCE SHEET'!D37</f>
        <v>5.5296343001261031E-2</v>
      </c>
      <c r="F3" s="11">
        <f>'PROFIT &amp; LOSS'!E20/'BALANCE SHEET'!E37</f>
        <v>0.10825842975617024</v>
      </c>
      <c r="G3" s="11">
        <f>'PROFIT &amp; LOSS'!F20/'BALANCE SHEET'!F37</f>
        <v>0.13285235969387754</v>
      </c>
      <c r="H3" s="11">
        <f>'PROFIT &amp; LOSS'!G20/'BALANCE SHEET'!G37</f>
        <v>0.10784492727162072</v>
      </c>
      <c r="I3" s="11">
        <f>'PROFIT &amp; LOSS'!H20/'BALANCE SHEET'!H37</f>
        <v>8.1192939744370057E-2</v>
      </c>
      <c r="J3" s="124"/>
      <c r="K3" s="61" t="s">
        <v>251</v>
      </c>
    </row>
    <row r="4" spans="1:11" ht="15.6" x14ac:dyDescent="0.3">
      <c r="A4" s="58">
        <v>3</v>
      </c>
      <c r="B4" s="148" t="s">
        <v>88</v>
      </c>
      <c r="C4" s="57" t="s">
        <v>89</v>
      </c>
      <c r="D4" s="11">
        <f>D2*D3</f>
        <v>8.7205752598374757E-3</v>
      </c>
      <c r="E4" s="11">
        <f>E2*E3</f>
        <v>2.3538924770462053E-3</v>
      </c>
      <c r="F4" s="11">
        <f>F2*F3</f>
        <v>8.6734059856101112E-3</v>
      </c>
      <c r="G4" s="11">
        <f t="shared" ref="G4:H4" si="0">G2*G3</f>
        <v>1.1570340079950192E-2</v>
      </c>
      <c r="H4" s="11">
        <f t="shared" si="0"/>
        <v>8.1122898130199898E-3</v>
      </c>
      <c r="I4" s="11">
        <f>I2*I3</f>
        <v>4.937428504567196E-3</v>
      </c>
      <c r="J4" s="124"/>
      <c r="K4" s="61" t="s">
        <v>247</v>
      </c>
    </row>
    <row r="5" spans="1:11" ht="15.6" x14ac:dyDescent="0.3">
      <c r="A5" s="58">
        <v>4</v>
      </c>
      <c r="B5" s="148" t="s">
        <v>90</v>
      </c>
      <c r="C5" s="57" t="s">
        <v>91</v>
      </c>
      <c r="D5" s="11">
        <f>'BALANCE SHEET'!C37/'BALANCE SHEET'!C4</f>
        <v>1.9323076923076923</v>
      </c>
      <c r="E5" s="11">
        <f>'BALANCE SHEET'!D37/'BALANCE SHEET'!D4</f>
        <v>2.0998278829604131</v>
      </c>
      <c r="F5" s="11">
        <f>'BALANCE SHEET'!E37/'BALANCE SHEET'!E4</f>
        <v>2.1484049930651872</v>
      </c>
      <c r="G5" s="11">
        <f>'BALANCE SHEET'!F37/'BALANCE SHEET'!F4</f>
        <v>2.0917125229281308</v>
      </c>
      <c r="H5" s="11">
        <f>'BALANCE SHEET'!G37/'BALANCE SHEET'!G4</f>
        <v>2.2730857024278897</v>
      </c>
      <c r="I5" s="11">
        <f>'BALANCE SHEET'!H37/'BALANCE SHEET'!H4</f>
        <v>2.4433406697995359</v>
      </c>
      <c r="J5" s="124"/>
      <c r="K5" s="61" t="s">
        <v>248</v>
      </c>
    </row>
    <row r="6" spans="1:11" ht="15.6" x14ac:dyDescent="0.3">
      <c r="A6" s="58">
        <v>5</v>
      </c>
      <c r="B6" s="148" t="s">
        <v>92</v>
      </c>
      <c r="C6" s="57" t="s">
        <v>93</v>
      </c>
      <c r="D6" s="11">
        <f>D4*D5</f>
        <v>1.6850834655932106E-2</v>
      </c>
      <c r="E6" s="11">
        <f>E4*E5</f>
        <v>4.942769056792376E-3</v>
      </c>
      <c r="F6" s="11">
        <f>F4*F5</f>
        <v>1.8633988726366246E-2</v>
      </c>
      <c r="G6" s="11">
        <f t="shared" ref="G6:I6" si="1">G4*G5</f>
        <v>2.4201825239769086E-2</v>
      </c>
      <c r="H6" s="11">
        <f t="shared" si="1"/>
        <v>1.8439929987927157E-2</v>
      </c>
      <c r="I6" s="11">
        <f t="shared" si="1"/>
        <v>1.2063819869436533E-2</v>
      </c>
      <c r="J6" s="124"/>
      <c r="K6" s="61" t="s">
        <v>249</v>
      </c>
    </row>
    <row r="7" spans="1:11" ht="15.6" x14ac:dyDescent="0.3">
      <c r="A7" s="58">
        <v>6</v>
      </c>
      <c r="B7" s="148" t="s">
        <v>94</v>
      </c>
      <c r="C7" s="57" t="s">
        <v>95</v>
      </c>
      <c r="D7" s="11">
        <f>'BALANCE SHEET'!C36/'BALANCE SHEET'!C13</f>
        <v>3.3016839043309631</v>
      </c>
      <c r="E7" s="11">
        <f>'BALANCE SHEET'!D36/'BALANCE SHEET'!D13</f>
        <v>3.4085639686684073</v>
      </c>
      <c r="F7" s="11">
        <f>'BALANCE SHEET'!E36/'BALANCE SHEET'!E13</f>
        <v>4.1800601106035113</v>
      </c>
      <c r="G7" s="11">
        <f>'BALANCE SHEET'!F36/'BALANCE SHEET'!F13</f>
        <v>3.7634785932721715</v>
      </c>
      <c r="H7" s="11">
        <f>'BALANCE SHEET'!G36/'BALANCE SHEET'!G13</f>
        <v>3.906639972144847</v>
      </c>
      <c r="I7" s="11">
        <f>'BALANCE SHEET'!H36/'BALANCE SHEET'!H13</f>
        <v>4.2977823205977721</v>
      </c>
      <c r="J7" s="124"/>
      <c r="K7" s="61" t="s">
        <v>252</v>
      </c>
    </row>
    <row r="8" spans="1:11" ht="15.6" x14ac:dyDescent="0.3">
      <c r="A8" s="58">
        <v>7</v>
      </c>
      <c r="B8" s="148" t="s">
        <v>96</v>
      </c>
      <c r="C8" s="57" t="s">
        <v>97</v>
      </c>
      <c r="D8" s="11">
        <f>('PROFIT &amp; LOSS'!C5+'PROFIT &amp; LOSS'!C8)/'BALANCE SHEET'!C31</f>
        <v>9.5594884381862803E-3</v>
      </c>
      <c r="E8" s="11">
        <f>('PROFIT &amp; LOSS'!D5+'PROFIT &amp; LOSS'!D8)/'BALANCE SHEET'!D31</f>
        <v>9.769539078156312E-3</v>
      </c>
      <c r="F8" s="11">
        <f>('PROFIT &amp; LOSS'!E5+'PROFIT &amp; LOSS'!E8)/'BALANCE SHEET'!E31</f>
        <v>6.0217408305310079E-3</v>
      </c>
      <c r="G8" s="11">
        <f>('PROFIT &amp; LOSS'!F5+'PROFIT &amp; LOSS'!F8)/'BALANCE SHEET'!F31</f>
        <v>5.1498127340823966E-3</v>
      </c>
      <c r="H8" s="11">
        <f>('PROFIT &amp; LOSS'!G5+'PROFIT &amp; LOSS'!G8)/'BALANCE SHEET'!G31</f>
        <v>4.6817589190470549E-3</v>
      </c>
      <c r="I8" s="11">
        <f>('PROFIT &amp; LOSS'!H5+'PROFIT &amp; LOSS'!H8)/'BALANCE SHEET'!H31</f>
        <v>3.3038299955133175E-3</v>
      </c>
      <c r="J8" s="124"/>
      <c r="K8" s="61" t="s">
        <v>253</v>
      </c>
    </row>
    <row r="9" spans="1:11" ht="15.6" x14ac:dyDescent="0.3">
      <c r="A9" s="58">
        <v>8</v>
      </c>
      <c r="B9" s="148" t="s">
        <v>98</v>
      </c>
      <c r="C9" s="57" t="s">
        <v>99</v>
      </c>
      <c r="D9" s="11">
        <f>'BALANCE SHEET'!C32/('PROFIT &amp; LOSS'!C2/365)</f>
        <v>3.9035482258870564</v>
      </c>
      <c r="E9" s="11">
        <f>'BALANCE SHEET'!D32/('PROFIT &amp; LOSS'!D2/365)</f>
        <v>5.1555674206387732</v>
      </c>
      <c r="F9" s="11">
        <f>'BALANCE SHEET'!E32/('PROFIT &amp; LOSS'!E2/365)</f>
        <v>6.6400220507166487</v>
      </c>
      <c r="G9" s="11">
        <f>'BALANCE SHEET'!F32/('PROFIT &amp; LOSS'!F2/365)</f>
        <v>8.6600470342304678</v>
      </c>
      <c r="H9" s="11">
        <f>'BALANCE SHEET'!G32/('PROFIT &amp; LOSS'!G2/365)</f>
        <v>7.2590949611580413</v>
      </c>
      <c r="I9" s="11">
        <f>'BALANCE SHEET'!H32/('PROFIT &amp; LOSS'!H2/365)</f>
        <v>6.5489952955763835</v>
      </c>
      <c r="J9" s="124"/>
      <c r="K9" s="61" t="s">
        <v>258</v>
      </c>
    </row>
    <row r="10" spans="1:11" ht="15.6" x14ac:dyDescent="0.3">
      <c r="A10" s="58">
        <v>9</v>
      </c>
      <c r="B10" s="148" t="s">
        <v>100</v>
      </c>
      <c r="C10" s="57" t="s">
        <v>101</v>
      </c>
      <c r="D10" s="144">
        <f>'PROFIT &amp; LOSS'!C3</f>
        <v>4.9299999999999997E-2</v>
      </c>
      <c r="E10" s="144">
        <f>'PROFIT &amp; LOSS'!D3</f>
        <v>2.9600000000000001E-2</v>
      </c>
      <c r="F10" s="144">
        <f>'PROFIT &amp; LOSS'!E3</f>
        <v>0.32069999999999999</v>
      </c>
      <c r="G10" s="144">
        <f>'PROFIT &amp; LOSS'!F3</f>
        <v>0.40649999999999997</v>
      </c>
      <c r="H10" s="144">
        <f>'PROFIT &amp; LOSS'!G3</f>
        <v>0.2311</v>
      </c>
      <c r="I10" s="144">
        <f>'PROFIT &amp; LOSS'!H3</f>
        <v>0.16400000000000001</v>
      </c>
      <c r="J10" s="124"/>
      <c r="K10" s="61" t="s">
        <v>254</v>
      </c>
    </row>
    <row r="11" spans="1:11" ht="15.6" x14ac:dyDescent="0.3">
      <c r="A11" s="58">
        <v>10</v>
      </c>
      <c r="B11" s="148" t="s">
        <v>102</v>
      </c>
      <c r="C11" s="57" t="s">
        <v>103</v>
      </c>
      <c r="D11" s="11">
        <f>('PROFIT &amp; LOSS'!C2-'PROFIT &amp; LOSS'!C6)/'PROFIT &amp; LOSS'!C2</f>
        <v>0.23298350824587707</v>
      </c>
      <c r="E11" s="11">
        <f>('PROFIT &amp; LOSS'!D2-'PROFIT &amp; LOSS'!D6)/'PROFIT &amp; LOSS'!D2</f>
        <v>0.24254926706145036</v>
      </c>
      <c r="F11" s="11">
        <f>('PROFIT &amp; LOSS'!E2-'PROFIT &amp; LOSS'!E6)/'PROFIT &amp; LOSS'!E2</f>
        <v>7.6589489158397653E-2</v>
      </c>
      <c r="G11" s="11">
        <f>('PROFIT &amp; LOSS'!F2-'PROFIT &amp; LOSS'!F6)/'PROFIT &amp; LOSS'!F2</f>
        <v>0.20243010190749935</v>
      </c>
      <c r="H11" s="11">
        <f>('PROFIT &amp; LOSS'!G2-'PROFIT &amp; LOSS'!G6)/'PROFIT &amp; LOSS'!G2</f>
        <v>0.17028908604661036</v>
      </c>
      <c r="I11" s="11">
        <f>('PROFIT &amp; LOSS'!H2-'PROFIT &amp; LOSS'!H6)/'PROFIT &amp; LOSS'!H2</f>
        <v>8.323912329966085E-2</v>
      </c>
      <c r="J11" s="124"/>
      <c r="K11" s="61" t="s">
        <v>257</v>
      </c>
    </row>
    <row r="12" spans="1:11" ht="15.6" x14ac:dyDescent="0.3">
      <c r="A12" s="58">
        <v>11</v>
      </c>
      <c r="B12" s="148" t="s">
        <v>104</v>
      </c>
      <c r="C12" s="57" t="s">
        <v>105</v>
      </c>
      <c r="D12" s="145">
        <f>'PROFIT &amp; LOSS'!C26</f>
        <v>0.23</v>
      </c>
      <c r="E12" s="145">
        <f>'PROFIT &amp; LOSS'!D26</f>
        <v>0.41</v>
      </c>
      <c r="F12" s="145">
        <f>'PROFIT &amp; LOSS'!E26</f>
        <v>0.31</v>
      </c>
      <c r="G12" s="145">
        <f>'PROFIT &amp; LOSS'!F26</f>
        <v>0.27</v>
      </c>
      <c r="H12" s="145">
        <f>'PROFIT &amp; LOSS'!G26</f>
        <v>0.28000000000000003</v>
      </c>
      <c r="I12" s="145">
        <f>'PROFIT &amp; LOSS'!H26</f>
        <v>0.28999999999999998</v>
      </c>
      <c r="J12" s="124"/>
      <c r="K12" s="61" t="s">
        <v>255</v>
      </c>
    </row>
    <row r="13" spans="1:11" ht="16.2" thickBot="1" x14ac:dyDescent="0.35">
      <c r="A13" s="59">
        <v>12</v>
      </c>
      <c r="B13" s="149" t="s">
        <v>106</v>
      </c>
      <c r="C13" s="60" t="s">
        <v>107</v>
      </c>
      <c r="D13" s="146" t="s">
        <v>111</v>
      </c>
      <c r="E13" s="146" t="s">
        <v>111</v>
      </c>
      <c r="F13" s="146" t="s">
        <v>111</v>
      </c>
      <c r="G13" s="146" t="s">
        <v>111</v>
      </c>
      <c r="H13" s="146" t="s">
        <v>111</v>
      </c>
      <c r="I13" s="146" t="s">
        <v>111</v>
      </c>
      <c r="J13" s="125"/>
      <c r="K13" s="126" t="s">
        <v>256</v>
      </c>
    </row>
  </sheetData>
  <pageMargins left="0.7" right="0.7" top="0.75" bottom="0.75" header="0.3" footer="0.3"/>
  <pageSetup orientation="portrait" horizontalDpi="300" verticalDpi="300" r:id="rId1"/>
  <extLst>
    <ext xmlns:x14="http://schemas.microsoft.com/office/spreadsheetml/2009/9/main" uri="{05C60535-1F16-4fd2-B633-F4F36F0B64E0}">
      <x14:sparklineGroups xmlns:xm="http://schemas.microsoft.com/office/excel/2006/main">
        <x14:sparklineGroup displayEmptyCellsAs="gap" xr2:uid="{C7B34ED5-6F01-4168-8F9C-77391E5A8BE8}">
          <x14:colorSeries rgb="FF376092"/>
          <x14:colorNegative rgb="FFD00000"/>
          <x14:colorAxis rgb="FF000000"/>
          <x14:colorMarkers rgb="FFD00000"/>
          <x14:colorFirst rgb="FFD00000"/>
          <x14:colorLast rgb="FFD00000"/>
          <x14:colorHigh rgb="FFD00000"/>
          <x14:colorLow rgb="FFD00000"/>
          <x14:sparklines>
            <x14:sparkline>
              <xm:f>'KEY RATIO ANALYSIS'!D2:I2</xm:f>
              <xm:sqref>J2</xm:sqref>
            </x14:sparkline>
            <x14:sparkline>
              <xm:f>'KEY RATIO ANALYSIS'!D3:I3</xm:f>
              <xm:sqref>J3</xm:sqref>
            </x14:sparkline>
            <x14:sparkline>
              <xm:f>'KEY RATIO ANALYSIS'!D4:I4</xm:f>
              <xm:sqref>J4</xm:sqref>
            </x14:sparkline>
            <x14:sparkline>
              <xm:f>'KEY RATIO ANALYSIS'!D5:I5</xm:f>
              <xm:sqref>J5</xm:sqref>
            </x14:sparkline>
            <x14:sparkline>
              <xm:f>'KEY RATIO ANALYSIS'!D6:I6</xm:f>
              <xm:sqref>J6</xm:sqref>
            </x14:sparkline>
            <x14:sparkline>
              <xm:f>'KEY RATIO ANALYSIS'!D7:I7</xm:f>
              <xm:sqref>J7</xm:sqref>
            </x14:sparkline>
            <x14:sparkline>
              <xm:f>'KEY RATIO ANALYSIS'!D8:I8</xm:f>
              <xm:sqref>J8</xm:sqref>
            </x14:sparkline>
            <x14:sparkline>
              <xm:f>'KEY RATIO ANALYSIS'!D9:I9</xm:f>
              <xm:sqref>J9</xm:sqref>
            </x14:sparkline>
            <x14:sparkline>
              <xm:f>'KEY RATIO ANALYSIS'!D10:I10</xm:f>
              <xm:sqref>J10</xm:sqref>
            </x14:sparkline>
            <x14:sparkline>
              <xm:f>'KEY RATIO ANALYSIS'!D11:I11</xm:f>
              <xm:sqref>J11</xm:sqref>
            </x14:sparkline>
            <x14:sparkline>
              <xm:f>'KEY RATIO ANALYSIS'!D12:I12</xm:f>
              <xm:sqref>J12</xm:sqref>
            </x14:sparkline>
            <x14:sparkline>
              <xm:f>'KEY RATIO ANALYSIS'!D13:I13</xm:f>
              <xm:sqref>J13</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C158-067C-4907-B8D2-A1E140794631}">
  <dimension ref="A1:K166"/>
  <sheetViews>
    <sheetView topLeftCell="A8" workbookViewId="0">
      <selection activeCell="I119" sqref="I119"/>
    </sheetView>
  </sheetViews>
  <sheetFormatPr defaultRowHeight="15.6" x14ac:dyDescent="0.3"/>
  <cols>
    <col min="1" max="1" width="67.21875" style="13" bestFit="1" customWidth="1"/>
    <col min="2" max="2" width="10.6640625" style="13" bestFit="1" customWidth="1"/>
    <col min="3" max="7" width="9.5546875" style="13" bestFit="1" customWidth="1"/>
    <col min="8" max="8" width="11.77734375" style="13" bestFit="1" customWidth="1"/>
    <col min="9" max="9" width="8.88671875" style="13"/>
    <col min="10" max="10" width="30.77734375" style="13" customWidth="1"/>
    <col min="11" max="11" width="29.5546875" style="13" customWidth="1"/>
    <col min="12" max="16384" width="8.88671875" style="13"/>
  </cols>
  <sheetData>
    <row r="1" spans="1:7" ht="16.2" thickBot="1" x14ac:dyDescent="0.35">
      <c r="A1" s="161" t="s">
        <v>168</v>
      </c>
      <c r="B1" s="162"/>
      <c r="C1" s="162"/>
      <c r="D1" s="163"/>
    </row>
    <row r="2" spans="1:7" ht="16.2" thickBot="1" x14ac:dyDescent="0.35">
      <c r="A2" s="107" t="s">
        <v>136</v>
      </c>
      <c r="B2" s="108">
        <v>43891</v>
      </c>
      <c r="C2" s="108">
        <v>44256</v>
      </c>
      <c r="D2" s="108">
        <v>44621</v>
      </c>
      <c r="E2" s="108">
        <v>44986</v>
      </c>
      <c r="F2" s="108">
        <v>45352</v>
      </c>
      <c r="G2" s="109">
        <v>45717</v>
      </c>
    </row>
    <row r="3" spans="1:7" x14ac:dyDescent="0.3">
      <c r="A3" s="104" t="s">
        <v>114</v>
      </c>
      <c r="B3" s="105">
        <f>'PROFIT &amp; LOSS'!C2</f>
        <v>20010</v>
      </c>
      <c r="C3" s="105">
        <f>'PROFIT &amp; LOSS'!D2</f>
        <v>20602</v>
      </c>
      <c r="D3" s="105">
        <f>'PROFIT &amp; LOSS'!E2</f>
        <v>27210</v>
      </c>
      <c r="E3" s="105">
        <f>'PROFIT &amp; LOSS'!F2</f>
        <v>38270</v>
      </c>
      <c r="F3" s="105">
        <f>'PROFIT &amp; LOSS'!G2</f>
        <v>47114</v>
      </c>
      <c r="G3" s="106">
        <f>'PROFIT &amp; LOSS'!H2</f>
        <v>54842</v>
      </c>
    </row>
    <row r="4" spans="1:7" x14ac:dyDescent="0.3">
      <c r="A4" s="87" t="s">
        <v>115</v>
      </c>
      <c r="B4" s="12">
        <f>('PROFIT &amp; LOSS'!C2*'PROFIT &amp; LOSS'!C5)+('PROFIT &amp; LOSS'!C2*'PROFIT &amp; LOSS'!C8)+('PROFIT &amp; LOSS'!C9*'PROFIT &amp; LOSS'!C2)</f>
        <v>15807.9</v>
      </c>
      <c r="C4" s="12">
        <f>('PROFIT &amp; LOSS'!D2*'PROFIT &amp; LOSS'!D5)+('PROFIT &amp; LOSS'!D2*'PROFIT &amp; LOSS'!D8)+('PROFIT &amp; LOSS'!D9*'PROFIT &amp; LOSS'!D2)</f>
        <v>16893.640000000003</v>
      </c>
      <c r="D4" s="12">
        <f>('PROFIT &amp; LOSS'!E2*'PROFIT &amp; LOSS'!E5)+('PROFIT &amp; LOSS'!E2*'PROFIT &amp; LOSS'!E8)+('PROFIT &amp; LOSS'!E9*'PROFIT &amp; LOSS'!E2)</f>
        <v>22040.1</v>
      </c>
      <c r="E4" s="12">
        <f>('PROFIT &amp; LOSS'!F2*'PROFIT &amp; LOSS'!F5)+('PROFIT &amp; LOSS'!F2*'PROFIT &amp; LOSS'!F8)+('PROFIT &amp; LOSS'!F9*'PROFIT &amp; LOSS'!F2)</f>
        <v>30998.7</v>
      </c>
      <c r="F4" s="12">
        <f>('PROFIT &amp; LOSS'!G2*'PROFIT &amp; LOSS'!G5)+('PROFIT &amp; LOSS'!G2*'PROFIT &amp; LOSS'!G8)+('PROFIT &amp; LOSS'!G9*'PROFIT &amp; LOSS'!G2)</f>
        <v>38633.479999999996</v>
      </c>
      <c r="G4" s="91">
        <f>('PROFIT &amp; LOSS'!H2*'PROFIT &amp; LOSS'!H5)+('PROFIT &amp; LOSS'!H2*'PROFIT &amp; LOSS'!H8)+('PROFIT &amp; LOSS'!H9*'PROFIT &amp; LOSS'!H2)</f>
        <v>46067.280000000006</v>
      </c>
    </row>
    <row r="5" spans="1:7" x14ac:dyDescent="0.3">
      <c r="A5" s="87" t="s">
        <v>167</v>
      </c>
      <c r="B5" s="89">
        <f>B3-B4</f>
        <v>4202.1000000000004</v>
      </c>
      <c r="C5" s="89">
        <f t="shared" ref="C5:G5" si="0">C3-C4</f>
        <v>3708.3599999999969</v>
      </c>
      <c r="D5" s="89">
        <f t="shared" si="0"/>
        <v>5169.9000000000015</v>
      </c>
      <c r="E5" s="89">
        <f t="shared" si="0"/>
        <v>7271.2999999999993</v>
      </c>
      <c r="F5" s="89">
        <f t="shared" si="0"/>
        <v>8480.5200000000041</v>
      </c>
      <c r="G5" s="90">
        <f t="shared" si="0"/>
        <v>8774.7199999999939</v>
      </c>
    </row>
    <row r="6" spans="1:7" x14ac:dyDescent="0.3">
      <c r="A6" s="87" t="s">
        <v>116</v>
      </c>
      <c r="B6" s="89">
        <f>'PROFIT &amp; LOSS'!C11-'PROFIT &amp; LOSS'!C17+'PROFIT &amp; LOSS'!C13</f>
        <v>2254</v>
      </c>
      <c r="C6" s="89">
        <f>'PROFIT &amp; LOSS'!D11-'PROFIT &amp; LOSS'!D17+'PROFIT &amp; LOSS'!D13</f>
        <v>1414</v>
      </c>
      <c r="D6" s="89">
        <f>'PROFIT &amp; LOSS'!E11-'PROFIT &amp; LOSS'!E17+'PROFIT &amp; LOSS'!E13</f>
        <v>3127</v>
      </c>
      <c r="E6" s="89">
        <f>'PROFIT &amp; LOSS'!F11-'PROFIT &amp; LOSS'!F17+'PROFIT &amp; LOSS'!F13</f>
        <v>4705</v>
      </c>
      <c r="F6" s="89">
        <f>'PROFIT &amp; LOSS'!G11-'PROFIT &amp; LOSS'!G17+'PROFIT &amp; LOSS'!G13</f>
        <v>5087</v>
      </c>
      <c r="G6" s="90">
        <f>'PROFIT &amp; LOSS'!H11-'PROFIT &amp; LOSS'!H17+'PROFIT &amp; LOSS'!H13</f>
        <v>5248</v>
      </c>
    </row>
    <row r="7" spans="1:7" ht="16.2" thickBot="1" x14ac:dyDescent="0.35">
      <c r="A7" s="88" t="s">
        <v>113</v>
      </c>
      <c r="B7" s="92">
        <f>B5/B6</f>
        <v>1.8642857142857145</v>
      </c>
      <c r="C7" s="92">
        <f t="shared" ref="C7:G7" si="1">C5/C6</f>
        <v>2.6226025459688804</v>
      </c>
      <c r="D7" s="92">
        <f t="shared" si="1"/>
        <v>1.6533098816757279</v>
      </c>
      <c r="E7" s="92">
        <f t="shared" si="1"/>
        <v>1.5454410201912858</v>
      </c>
      <c r="F7" s="92">
        <f t="shared" si="1"/>
        <v>1.6670965205425603</v>
      </c>
      <c r="G7" s="93">
        <f t="shared" si="1"/>
        <v>1.67201219512195</v>
      </c>
    </row>
    <row r="8" spans="1:7" x14ac:dyDescent="0.3">
      <c r="A8" s="154" t="s">
        <v>169</v>
      </c>
      <c r="B8" s="156"/>
      <c r="C8" s="156"/>
      <c r="D8" s="156"/>
      <c r="E8" s="156"/>
      <c r="F8" s="156"/>
      <c r="G8" s="156"/>
    </row>
    <row r="9" spans="1:7" ht="16.2" thickBot="1" x14ac:dyDescent="0.35"/>
    <row r="10" spans="1:7" ht="16.2" thickBot="1" x14ac:dyDescent="0.35">
      <c r="A10" s="161" t="s">
        <v>170</v>
      </c>
      <c r="B10" s="162"/>
      <c r="C10" s="162"/>
      <c r="D10" s="163"/>
    </row>
    <row r="11" spans="1:7" ht="16.2" thickBot="1" x14ac:dyDescent="0.35">
      <c r="A11" s="107" t="s">
        <v>136</v>
      </c>
      <c r="B11" s="108">
        <v>43891</v>
      </c>
      <c r="C11" s="108">
        <v>44256</v>
      </c>
      <c r="D11" s="108">
        <v>44621</v>
      </c>
      <c r="E11" s="108">
        <v>44986</v>
      </c>
      <c r="F11" s="108">
        <v>45352</v>
      </c>
      <c r="G11" s="109">
        <v>45717</v>
      </c>
    </row>
    <row r="12" spans="1:7" x14ac:dyDescent="0.3">
      <c r="A12" s="104" t="s">
        <v>172</v>
      </c>
      <c r="B12" s="105">
        <f>'PROFIT &amp; LOSS'!C18</f>
        <v>2105</v>
      </c>
      <c r="C12" s="105">
        <f>'PROFIT &amp; LOSS'!D18</f>
        <v>1233</v>
      </c>
      <c r="D12" s="105">
        <f>'PROFIT &amp; LOSS'!E18</f>
        <v>2932</v>
      </c>
      <c r="E12" s="105">
        <f>'PROFIT &amp; LOSS'!F18</f>
        <v>4465</v>
      </c>
      <c r="F12" s="105">
        <f>'PROFIT &amp; LOSS'!G18</f>
        <v>4607</v>
      </c>
      <c r="G12" s="106">
        <f>'PROFIT &amp; LOSS'!H18</f>
        <v>4481</v>
      </c>
    </row>
    <row r="13" spans="1:7" x14ac:dyDescent="0.3">
      <c r="A13" s="87" t="s">
        <v>116</v>
      </c>
      <c r="B13" s="89">
        <f>'PROFIT &amp; LOSS'!C11-'PROFIT &amp; LOSS'!C17+'PROFIT &amp; LOSS'!C13</f>
        <v>2254</v>
      </c>
      <c r="C13" s="89">
        <f>'PROFIT &amp; LOSS'!D11-'PROFIT &amp; LOSS'!D17+'PROFIT &amp; LOSS'!D13</f>
        <v>1414</v>
      </c>
      <c r="D13" s="89">
        <f>'PROFIT &amp; LOSS'!E11-'PROFIT &amp; LOSS'!E17+'PROFIT &amp; LOSS'!E13</f>
        <v>3127</v>
      </c>
      <c r="E13" s="89">
        <f>'PROFIT &amp; LOSS'!F11-'PROFIT &amp; LOSS'!F17+'PROFIT &amp; LOSS'!F13</f>
        <v>4705</v>
      </c>
      <c r="F13" s="89">
        <f>'PROFIT &amp; LOSS'!G11-'PROFIT &amp; LOSS'!G17+'PROFIT &amp; LOSS'!G13</f>
        <v>5087</v>
      </c>
      <c r="G13" s="90">
        <f>'PROFIT &amp; LOSS'!H11-'PROFIT &amp; LOSS'!H17+'PROFIT &amp; LOSS'!H13</f>
        <v>5248</v>
      </c>
    </row>
    <row r="14" spans="1:7" ht="16.2" thickBot="1" x14ac:dyDescent="0.35">
      <c r="A14" s="88" t="s">
        <v>171</v>
      </c>
      <c r="B14" s="92">
        <f>B13/B12</f>
        <v>1.0707838479809977</v>
      </c>
      <c r="C14" s="92">
        <f t="shared" ref="C14:G14" si="2">C13/C12</f>
        <v>1.1467964314679644</v>
      </c>
      <c r="D14" s="92">
        <f t="shared" si="2"/>
        <v>1.0665075034106413</v>
      </c>
      <c r="E14" s="92">
        <f t="shared" si="2"/>
        <v>1.0537513997760359</v>
      </c>
      <c r="F14" s="92">
        <f t="shared" si="2"/>
        <v>1.1041892771868895</v>
      </c>
      <c r="G14" s="93">
        <f t="shared" si="2"/>
        <v>1.1711671501896899</v>
      </c>
    </row>
    <row r="15" spans="1:7" x14ac:dyDescent="0.3">
      <c r="A15" s="154" t="s">
        <v>176</v>
      </c>
      <c r="B15" s="156"/>
      <c r="C15" s="156"/>
      <c r="D15" s="156"/>
      <c r="E15" s="156"/>
      <c r="F15" s="156"/>
      <c r="G15" s="156"/>
    </row>
    <row r="16" spans="1:7" ht="16.2" thickBot="1" x14ac:dyDescent="0.35"/>
    <row r="17" spans="1:10" ht="16.2" thickBot="1" x14ac:dyDescent="0.35">
      <c r="A17" s="161" t="s">
        <v>173</v>
      </c>
      <c r="B17" s="162"/>
      <c r="C17" s="162"/>
      <c r="D17" s="163"/>
    </row>
    <row r="18" spans="1:10" ht="16.2" thickBot="1" x14ac:dyDescent="0.35">
      <c r="A18" s="107" t="s">
        <v>136</v>
      </c>
      <c r="B18" s="108">
        <v>43891</v>
      </c>
      <c r="C18" s="108">
        <v>44256</v>
      </c>
      <c r="D18" s="108">
        <v>44621</v>
      </c>
      <c r="E18" s="108">
        <v>44986</v>
      </c>
      <c r="F18" s="108">
        <v>45352</v>
      </c>
      <c r="G18" s="109">
        <v>45717</v>
      </c>
    </row>
    <row r="19" spans="1:10" x14ac:dyDescent="0.3">
      <c r="A19" s="104" t="s">
        <v>171</v>
      </c>
      <c r="B19" s="110">
        <f>B13/B12</f>
        <v>1.0707838479809977</v>
      </c>
      <c r="C19" s="110">
        <f t="shared" ref="C19:G19" si="3">C13/C12</f>
        <v>1.1467964314679644</v>
      </c>
      <c r="D19" s="110">
        <f t="shared" si="3"/>
        <v>1.0665075034106413</v>
      </c>
      <c r="E19" s="110">
        <f t="shared" si="3"/>
        <v>1.0537513997760359</v>
      </c>
      <c r="F19" s="110">
        <f t="shared" si="3"/>
        <v>1.1041892771868895</v>
      </c>
      <c r="G19" s="111">
        <f t="shared" si="3"/>
        <v>1.1711671501896899</v>
      </c>
    </row>
    <row r="20" spans="1:10" x14ac:dyDescent="0.3">
      <c r="A20" s="87" t="str">
        <f>A7</f>
        <v>OPERATING LEVERAGE</v>
      </c>
      <c r="B20" s="11">
        <f>B7</f>
        <v>1.8642857142857145</v>
      </c>
      <c r="C20" s="11">
        <f t="shared" ref="C20:G20" si="4">C7</f>
        <v>2.6226025459688804</v>
      </c>
      <c r="D20" s="11">
        <f t="shared" si="4"/>
        <v>1.6533098816757279</v>
      </c>
      <c r="E20" s="11">
        <f t="shared" si="4"/>
        <v>1.5454410201912858</v>
      </c>
      <c r="F20" s="11">
        <f t="shared" si="4"/>
        <v>1.6670965205425603</v>
      </c>
      <c r="G20" s="94">
        <f t="shared" si="4"/>
        <v>1.67201219512195</v>
      </c>
    </row>
    <row r="21" spans="1:10" ht="16.2" thickBot="1" x14ac:dyDescent="0.35">
      <c r="A21" s="88" t="s">
        <v>174</v>
      </c>
      <c r="B21" s="92">
        <f>B19*B20</f>
        <v>1.9962470308788602</v>
      </c>
      <c r="C21" s="92">
        <f t="shared" ref="C21:G21" si="5">C19*C20</f>
        <v>3.00759124087591</v>
      </c>
      <c r="D21" s="92">
        <f t="shared" si="5"/>
        <v>1.7632673942701234</v>
      </c>
      <c r="E21" s="92">
        <f t="shared" si="5"/>
        <v>1.6285106382978725</v>
      </c>
      <c r="F21" s="92">
        <f t="shared" si="5"/>
        <v>1.8407901020186681</v>
      </c>
      <c r="G21" s="93">
        <f t="shared" si="5"/>
        <v>1.9582057576433818</v>
      </c>
    </row>
    <row r="22" spans="1:10" x14ac:dyDescent="0.3">
      <c r="A22" s="155" t="s">
        <v>175</v>
      </c>
      <c r="B22" s="157"/>
      <c r="C22" s="157"/>
      <c r="D22" s="157"/>
      <c r="E22" s="157"/>
      <c r="F22" s="157"/>
      <c r="G22" s="157"/>
    </row>
    <row r="23" spans="1:10" ht="16.2" thickBot="1" x14ac:dyDescent="0.35"/>
    <row r="24" spans="1:10" ht="16.2" thickBot="1" x14ac:dyDescent="0.35">
      <c r="A24" s="161" t="s">
        <v>180</v>
      </c>
      <c r="B24" s="162"/>
      <c r="C24" s="162"/>
      <c r="D24" s="163"/>
    </row>
    <row r="25" spans="1:10" ht="16.2" thickBot="1" x14ac:dyDescent="0.35">
      <c r="A25" s="107" t="s">
        <v>136</v>
      </c>
      <c r="B25" s="108">
        <v>43891</v>
      </c>
      <c r="C25" s="108">
        <v>44256</v>
      </c>
      <c r="D25" s="108">
        <v>44621</v>
      </c>
      <c r="E25" s="108">
        <v>44986</v>
      </c>
      <c r="F25" s="108">
        <v>45352</v>
      </c>
      <c r="G25" s="108">
        <v>45717</v>
      </c>
      <c r="H25" s="114" t="s">
        <v>158</v>
      </c>
    </row>
    <row r="26" spans="1:10" x14ac:dyDescent="0.3">
      <c r="A26" s="104" t="s">
        <v>178</v>
      </c>
      <c r="B26" s="112">
        <f>'PROFIT &amp; LOSS'!B11-'PROFIT &amp; LOSS'!B14-'PROFIT &amp; LOSS'!B15</f>
        <v>1902</v>
      </c>
      <c r="C26" s="112">
        <f>'PROFIT &amp; LOSS'!C11-'PROFIT &amp; LOSS'!C14-'PROFIT &amp; LOSS'!C15</f>
        <v>2272</v>
      </c>
      <c r="D26" s="112">
        <f>'PROFIT &amp; LOSS'!D11-'PROFIT &amp; LOSS'!D14-'PROFIT &amp; LOSS'!D15</f>
        <v>1667</v>
      </c>
      <c r="E26" s="112">
        <f>'PROFIT &amp; LOSS'!E11-'PROFIT &amp; LOSS'!E14-'PROFIT &amp; LOSS'!E15</f>
        <v>3090</v>
      </c>
      <c r="F26" s="112">
        <f>'PROFIT &amp; LOSS'!F11-'PROFIT &amp; LOSS'!F14-'PROFIT &amp; LOSS'!F15</f>
        <v>4477</v>
      </c>
      <c r="G26" s="112">
        <f>'PROFIT &amp; LOSS'!G11-'PROFIT &amp; LOSS'!G14-'PROFIT &amp; LOSS'!G15</f>
        <v>4514</v>
      </c>
      <c r="H26" s="113"/>
    </row>
    <row r="27" spans="1:10" x14ac:dyDescent="0.3">
      <c r="A27" s="87" t="s">
        <v>179</v>
      </c>
      <c r="B27" s="95">
        <f>'PROFIT &amp; LOSS'!C2</f>
        <v>20010</v>
      </c>
      <c r="C27" s="95">
        <f>'PROFIT &amp; LOSS'!D2</f>
        <v>20602</v>
      </c>
      <c r="D27" s="95">
        <f>'PROFIT &amp; LOSS'!E2</f>
        <v>27210</v>
      </c>
      <c r="E27" s="95">
        <f>'PROFIT &amp; LOSS'!F2</f>
        <v>38270</v>
      </c>
      <c r="F27" s="95">
        <f>'PROFIT &amp; LOSS'!G2</f>
        <v>47114</v>
      </c>
      <c r="G27" s="95">
        <f>'PROFIT &amp; LOSS'!H2</f>
        <v>54842</v>
      </c>
      <c r="H27" s="99"/>
    </row>
    <row r="28" spans="1:10" ht="16.2" thickBot="1" x14ac:dyDescent="0.35">
      <c r="A28" s="88" t="s">
        <v>177</v>
      </c>
      <c r="B28" s="92">
        <f>(B26/B27)*100</f>
        <v>9.5052473763118446</v>
      </c>
      <c r="C28" s="92">
        <f t="shared" ref="C28:G28" si="6">(C26/C27)*100</f>
        <v>11.028055528589457</v>
      </c>
      <c r="D28" s="92">
        <f t="shared" si="6"/>
        <v>6.1264241087835352</v>
      </c>
      <c r="E28" s="92">
        <f t="shared" si="6"/>
        <v>8.0742095636268623</v>
      </c>
      <c r="F28" s="92">
        <f t="shared" si="6"/>
        <v>9.5024833382858596</v>
      </c>
      <c r="G28" s="92">
        <f t="shared" si="6"/>
        <v>8.2309179096313052</v>
      </c>
      <c r="H28" s="100"/>
    </row>
    <row r="29" spans="1:10" ht="15.6" customHeight="1" x14ac:dyDescent="0.3">
      <c r="A29" s="154" t="s">
        <v>259</v>
      </c>
      <c r="B29" s="154"/>
      <c r="C29" s="154"/>
      <c r="D29" s="154"/>
      <c r="E29" s="154"/>
      <c r="F29" s="154"/>
      <c r="G29" s="154"/>
      <c r="H29" s="154"/>
      <c r="I29" s="142"/>
      <c r="J29" s="142"/>
    </row>
    <row r="30" spans="1:10" ht="15.6" customHeight="1" x14ac:dyDescent="0.3">
      <c r="A30" s="155"/>
      <c r="B30" s="155"/>
      <c r="C30" s="155"/>
      <c r="D30" s="155"/>
      <c r="E30" s="155"/>
      <c r="F30" s="155"/>
      <c r="G30" s="155"/>
      <c r="H30" s="155"/>
      <c r="I30" s="142"/>
      <c r="J30" s="142"/>
    </row>
    <row r="31" spans="1:10" ht="16.2" thickBot="1" x14ac:dyDescent="0.35"/>
    <row r="32" spans="1:10" ht="16.2" customHeight="1" thickBot="1" x14ac:dyDescent="0.35">
      <c r="A32" s="161" t="s">
        <v>181</v>
      </c>
      <c r="B32" s="162"/>
      <c r="C32" s="162"/>
      <c r="D32" s="162"/>
      <c r="E32" s="162"/>
      <c r="F32" s="162"/>
      <c r="G32" s="163"/>
    </row>
    <row r="33" spans="1:10" ht="16.2" thickBot="1" x14ac:dyDescent="0.35">
      <c r="A33" s="107" t="s">
        <v>136</v>
      </c>
      <c r="B33" s="108">
        <v>43891</v>
      </c>
      <c r="C33" s="108">
        <v>44256</v>
      </c>
      <c r="D33" s="108">
        <v>44621</v>
      </c>
      <c r="E33" s="108">
        <v>44986</v>
      </c>
      <c r="F33" s="108">
        <v>45352</v>
      </c>
      <c r="G33" s="108">
        <v>45717</v>
      </c>
      <c r="H33" s="114" t="s">
        <v>158</v>
      </c>
    </row>
    <row r="34" spans="1:10" x14ac:dyDescent="0.3">
      <c r="A34" s="104" t="s">
        <v>182</v>
      </c>
      <c r="B34" s="112">
        <f>'CASH FLOW STATEMENT'!C2</f>
        <v>-289</v>
      </c>
      <c r="C34" s="112">
        <f>'CASH FLOW STATEMENT'!D2</f>
        <v>4101</v>
      </c>
      <c r="D34" s="112">
        <f>'CASH FLOW STATEMENT'!E2</f>
        <v>-1126</v>
      </c>
      <c r="E34" s="112">
        <f>'CASH FLOW STATEMENT'!F2</f>
        <v>1810</v>
      </c>
      <c r="F34" s="112">
        <f>'CASH FLOW STATEMENT'!G2</f>
        <v>2030</v>
      </c>
      <c r="G34" s="112">
        <f>'CASH FLOW STATEMENT'!H2</f>
        <v>-170</v>
      </c>
      <c r="H34" s="115"/>
    </row>
    <row r="35" spans="1:10" x14ac:dyDescent="0.3">
      <c r="A35" s="87" t="s">
        <v>183</v>
      </c>
      <c r="B35" s="95">
        <f>'CASH FLOW STATEMENT'!B13</f>
        <v>-226</v>
      </c>
      <c r="C35" s="95">
        <f>'CASH FLOW STATEMENT'!C13</f>
        <v>-310</v>
      </c>
      <c r="D35" s="95">
        <f>'CASH FLOW STATEMENT'!D13</f>
        <v>-111</v>
      </c>
      <c r="E35" s="95">
        <f>'CASH FLOW STATEMENT'!E13</f>
        <v>-173</v>
      </c>
      <c r="F35" s="95">
        <f>'CASH FLOW STATEMENT'!F13</f>
        <v>-288</v>
      </c>
      <c r="G35" s="95">
        <f>'CASH FLOW STATEMENT'!G13</f>
        <v>-529</v>
      </c>
      <c r="H35" s="86"/>
    </row>
    <row r="36" spans="1:10" ht="16.2" thickBot="1" x14ac:dyDescent="0.35">
      <c r="A36" s="88" t="s">
        <v>184</v>
      </c>
      <c r="B36" s="96">
        <f>B34-B35</f>
        <v>-63</v>
      </c>
      <c r="C36" s="96">
        <f t="shared" ref="C36:G36" si="7">C34-C35</f>
        <v>4411</v>
      </c>
      <c r="D36" s="96">
        <f t="shared" si="7"/>
        <v>-1015</v>
      </c>
      <c r="E36" s="96">
        <f t="shared" si="7"/>
        <v>1983</v>
      </c>
      <c r="F36" s="96">
        <f t="shared" si="7"/>
        <v>2318</v>
      </c>
      <c r="G36" s="96">
        <f t="shared" si="7"/>
        <v>359</v>
      </c>
      <c r="H36" s="98"/>
    </row>
    <row r="37" spans="1:10" x14ac:dyDescent="0.3">
      <c r="A37" s="155" t="s">
        <v>185</v>
      </c>
      <c r="B37" s="157"/>
      <c r="C37" s="157"/>
      <c r="D37" s="157"/>
      <c r="E37" s="157"/>
      <c r="F37" s="157"/>
      <c r="G37" s="157"/>
    </row>
    <row r="38" spans="1:10" ht="16.2" thickBot="1" x14ac:dyDescent="0.35"/>
    <row r="39" spans="1:10" ht="16.2" thickBot="1" x14ac:dyDescent="0.35">
      <c r="A39" s="161" t="s">
        <v>186</v>
      </c>
      <c r="B39" s="162"/>
      <c r="C39" s="162"/>
      <c r="D39" s="163"/>
    </row>
    <row r="40" spans="1:10" ht="16.2" thickBot="1" x14ac:dyDescent="0.35">
      <c r="A40" s="107" t="s">
        <v>136</v>
      </c>
      <c r="B40" s="108">
        <v>43891</v>
      </c>
      <c r="C40" s="108">
        <v>44256</v>
      </c>
      <c r="D40" s="108">
        <v>44621</v>
      </c>
      <c r="E40" s="108">
        <v>44986</v>
      </c>
      <c r="F40" s="108">
        <v>45352</v>
      </c>
      <c r="G40" s="108">
        <v>45717</v>
      </c>
      <c r="H40" s="114" t="s">
        <v>158</v>
      </c>
    </row>
    <row r="41" spans="1:10" x14ac:dyDescent="0.3">
      <c r="A41" s="104" t="s">
        <v>187</v>
      </c>
      <c r="B41" s="112">
        <f>'BALANCE SHEET'!C36</f>
        <v>10215.41</v>
      </c>
      <c r="C41" s="112">
        <f>'BALANCE SHEET'!D36</f>
        <v>10443.84</v>
      </c>
      <c r="D41" s="112">
        <f>'BALANCE SHEET'!E36</f>
        <v>17384.870000000003</v>
      </c>
      <c r="E41" s="112">
        <f>'BALANCE SHEET'!F36</f>
        <v>19690.52</v>
      </c>
      <c r="F41" s="112">
        <f>'BALANCE SHEET'!G36</f>
        <v>22439.74</v>
      </c>
      <c r="G41" s="112">
        <f>'BALANCE SHEET'!H36</f>
        <v>30484.17</v>
      </c>
      <c r="H41" s="115"/>
    </row>
    <row r="42" spans="1:10" x14ac:dyDescent="0.3">
      <c r="A42" s="87" t="s">
        <v>188</v>
      </c>
      <c r="B42" s="95">
        <f>'BALANCE SHEET'!C13</f>
        <v>3094</v>
      </c>
      <c r="C42" s="95">
        <f>'BALANCE SHEET'!D13</f>
        <v>3064</v>
      </c>
      <c r="D42" s="95">
        <f>'BALANCE SHEET'!E13</f>
        <v>4159</v>
      </c>
      <c r="E42" s="95">
        <f>'BALANCE SHEET'!F13</f>
        <v>5232</v>
      </c>
      <c r="F42" s="95">
        <f>'BALANCE SHEET'!G13</f>
        <v>5744</v>
      </c>
      <c r="G42" s="95">
        <f>'BALANCE SHEET'!H13</f>
        <v>7093</v>
      </c>
      <c r="H42" s="86"/>
    </row>
    <row r="43" spans="1:10" ht="16.2" thickBot="1" x14ac:dyDescent="0.35">
      <c r="A43" s="88" t="s">
        <v>189</v>
      </c>
      <c r="B43" s="96">
        <f>B41-B42</f>
        <v>7121.41</v>
      </c>
      <c r="C43" s="96">
        <f t="shared" ref="C43:G43" si="8">C41-C42</f>
        <v>7379.84</v>
      </c>
      <c r="D43" s="96">
        <f t="shared" si="8"/>
        <v>13225.870000000003</v>
      </c>
      <c r="E43" s="96">
        <f t="shared" si="8"/>
        <v>14458.52</v>
      </c>
      <c r="F43" s="96">
        <f t="shared" si="8"/>
        <v>16695.740000000002</v>
      </c>
      <c r="G43" s="96">
        <f t="shared" si="8"/>
        <v>23391.17</v>
      </c>
      <c r="H43" s="98"/>
    </row>
    <row r="44" spans="1:10" x14ac:dyDescent="0.3">
      <c r="A44" s="155" t="s">
        <v>190</v>
      </c>
      <c r="B44" s="157"/>
      <c r="C44" s="157"/>
      <c r="D44" s="157"/>
      <c r="E44" s="157"/>
      <c r="F44" s="157"/>
      <c r="G44" s="157"/>
    </row>
    <row r="45" spans="1:10" ht="16.2" thickBot="1" x14ac:dyDescent="0.35">
      <c r="I45" s="127"/>
    </row>
    <row r="46" spans="1:10" ht="16.2" customHeight="1" thickBot="1" x14ac:dyDescent="0.35">
      <c r="A46" s="164" t="s">
        <v>193</v>
      </c>
      <c r="B46" s="165"/>
      <c r="C46" s="165"/>
      <c r="D46" s="165"/>
      <c r="E46" s="165"/>
      <c r="F46" s="165"/>
      <c r="G46" s="165"/>
      <c r="H46" s="166"/>
      <c r="I46" s="130"/>
      <c r="J46" s="128"/>
    </row>
    <row r="47" spans="1:10" ht="16.2" thickBot="1" x14ac:dyDescent="0.35">
      <c r="A47" s="131" t="s">
        <v>136</v>
      </c>
      <c r="B47" s="132">
        <v>43891</v>
      </c>
      <c r="C47" s="132">
        <v>44256</v>
      </c>
      <c r="D47" s="132">
        <v>44621</v>
      </c>
      <c r="E47" s="132">
        <v>44986</v>
      </c>
      <c r="F47" s="132">
        <v>45352</v>
      </c>
      <c r="G47" s="132">
        <v>45717</v>
      </c>
      <c r="H47" s="133" t="s">
        <v>158</v>
      </c>
      <c r="I47" s="129"/>
    </row>
    <row r="48" spans="1:10" x14ac:dyDescent="0.3">
      <c r="A48" s="104" t="s">
        <v>191</v>
      </c>
      <c r="B48" s="112">
        <f>'BALANCE SHEET'!C33+'BALANCE SHEET'!C32</f>
        <v>570</v>
      </c>
      <c r="C48" s="112">
        <f>'BALANCE SHEET'!D33+'BALANCE SHEET'!D32</f>
        <v>803</v>
      </c>
      <c r="D48" s="112">
        <f>'BALANCE SHEET'!E33+'BALANCE SHEET'!E32</f>
        <v>1544</v>
      </c>
      <c r="E48" s="112">
        <f>'BALANCE SHEET'!F33+'BALANCE SHEET'!F32</f>
        <v>1700</v>
      </c>
      <c r="F48" s="112">
        <f>'BALANCE SHEET'!G33+'BALANCE SHEET'!G32</f>
        <v>1742</v>
      </c>
      <c r="G48" s="112">
        <f>'BALANCE SHEET'!H33+'BALANCE SHEET'!H32</f>
        <v>2116</v>
      </c>
      <c r="H48" s="115"/>
    </row>
    <row r="49" spans="1:11" x14ac:dyDescent="0.3">
      <c r="A49" s="87" t="s">
        <v>192</v>
      </c>
      <c r="B49" s="95">
        <f>'BALANCE SHEET'!C13+'BALANCE SHEET'!C6</f>
        <v>3094</v>
      </c>
      <c r="C49" s="95">
        <f>'BALANCE SHEET'!D13+'BALANCE SHEET'!D6</f>
        <v>3064</v>
      </c>
      <c r="D49" s="95">
        <f>'BALANCE SHEET'!E13+'BALANCE SHEET'!E6</f>
        <v>4159</v>
      </c>
      <c r="E49" s="95">
        <f>'BALANCE SHEET'!F13+'BALANCE SHEET'!F6</f>
        <v>5232</v>
      </c>
      <c r="F49" s="95">
        <f>'BALANCE SHEET'!G13+'BALANCE SHEET'!G6</f>
        <v>8883</v>
      </c>
      <c r="G49" s="95">
        <f>'BALANCE SHEET'!H13+'BALANCE SHEET'!H6</f>
        <v>7513</v>
      </c>
      <c r="H49" s="86"/>
    </row>
    <row r="50" spans="1:11" ht="16.2" thickBot="1" x14ac:dyDescent="0.35">
      <c r="A50" s="88" t="s">
        <v>200</v>
      </c>
      <c r="B50" s="96">
        <f>B48-B49</f>
        <v>-2524</v>
      </c>
      <c r="C50" s="96">
        <f t="shared" ref="C50" si="9">C48-C49</f>
        <v>-2261</v>
      </c>
      <c r="D50" s="96">
        <f t="shared" ref="D50" si="10">D48-D49</f>
        <v>-2615</v>
      </c>
      <c r="E50" s="96">
        <f t="shared" ref="E50" si="11">E48-E49</f>
        <v>-3532</v>
      </c>
      <c r="F50" s="96">
        <f t="shared" ref="F50" si="12">F48-F49</f>
        <v>-7141</v>
      </c>
      <c r="G50" s="96">
        <f t="shared" ref="G50" si="13">G48-G49</f>
        <v>-5397</v>
      </c>
      <c r="H50" s="98"/>
    </row>
    <row r="51" spans="1:11" ht="15.6" customHeight="1" x14ac:dyDescent="0.3">
      <c r="A51" s="154" t="s">
        <v>260</v>
      </c>
      <c r="B51" s="154"/>
      <c r="C51" s="154"/>
      <c r="D51" s="154"/>
      <c r="E51" s="154"/>
      <c r="F51" s="154"/>
      <c r="G51" s="154"/>
      <c r="H51" s="154"/>
      <c r="I51" s="142"/>
      <c r="J51" s="142"/>
      <c r="K51" s="142"/>
    </row>
    <row r="52" spans="1:11" x14ac:dyDescent="0.3">
      <c r="A52" s="155"/>
      <c r="B52" s="155"/>
      <c r="C52" s="155"/>
      <c r="D52" s="155"/>
      <c r="E52" s="155"/>
      <c r="F52" s="155"/>
      <c r="G52" s="155"/>
      <c r="H52" s="155"/>
    </row>
    <row r="53" spans="1:11" ht="16.2" thickBot="1" x14ac:dyDescent="0.35"/>
    <row r="54" spans="1:11" ht="16.2" thickBot="1" x14ac:dyDescent="0.35">
      <c r="A54" s="161" t="s">
        <v>194</v>
      </c>
      <c r="B54" s="162"/>
      <c r="C54" s="162"/>
      <c r="D54" s="163"/>
    </row>
    <row r="55" spans="1:11" ht="16.2" thickBot="1" x14ac:dyDescent="0.35">
      <c r="A55" s="107" t="s">
        <v>136</v>
      </c>
      <c r="B55" s="108">
        <v>43891</v>
      </c>
      <c r="C55" s="108">
        <v>44256</v>
      </c>
      <c r="D55" s="108">
        <v>44621</v>
      </c>
      <c r="E55" s="108">
        <v>44986</v>
      </c>
      <c r="F55" s="108">
        <v>45352</v>
      </c>
      <c r="G55" s="108">
        <v>45717</v>
      </c>
      <c r="H55" s="114" t="s">
        <v>158</v>
      </c>
    </row>
    <row r="56" spans="1:11" x14ac:dyDescent="0.3">
      <c r="A56" s="104" t="s">
        <v>116</v>
      </c>
      <c r="B56" s="112">
        <f>B6</f>
        <v>2254</v>
      </c>
      <c r="C56" s="112">
        <f t="shared" ref="C56:G56" si="14">C6</f>
        <v>1414</v>
      </c>
      <c r="D56" s="112">
        <f t="shared" si="14"/>
        <v>3127</v>
      </c>
      <c r="E56" s="112">
        <f t="shared" si="14"/>
        <v>4705</v>
      </c>
      <c r="F56" s="112">
        <f t="shared" si="14"/>
        <v>5087</v>
      </c>
      <c r="G56" s="112">
        <f t="shared" si="14"/>
        <v>5248</v>
      </c>
      <c r="H56" s="115"/>
    </row>
    <row r="57" spans="1:11" x14ac:dyDescent="0.3">
      <c r="A57" s="87" t="s">
        <v>198</v>
      </c>
      <c r="B57" s="97">
        <f>'PROFIT &amp; LOSS'!C19</f>
        <v>0.28000000000000003</v>
      </c>
      <c r="C57" s="97">
        <f>'PROFIT &amp; LOSS'!D19</f>
        <v>0.28999999999999998</v>
      </c>
      <c r="D57" s="97">
        <f>'PROFIT &amp; LOSS'!E19</f>
        <v>0.26</v>
      </c>
      <c r="E57" s="97">
        <f>'PROFIT &amp; LOSS'!F19</f>
        <v>0.25</v>
      </c>
      <c r="F57" s="97">
        <f>'PROFIT &amp; LOSS'!G19</f>
        <v>0.23</v>
      </c>
      <c r="G57" s="97">
        <f>'PROFIT &amp; LOSS'!H19</f>
        <v>0.26</v>
      </c>
      <c r="H57" s="86"/>
    </row>
    <row r="58" spans="1:11" ht="16.2" thickBot="1" x14ac:dyDescent="0.35">
      <c r="A58" s="88" t="s">
        <v>195</v>
      </c>
      <c r="B58" s="96">
        <f>B56*(1-B57)</f>
        <v>1622.8799999999999</v>
      </c>
      <c r="C58" s="96">
        <f t="shared" ref="C58:G58" si="15">C56*(1-C57)</f>
        <v>1003.9399999999999</v>
      </c>
      <c r="D58" s="96">
        <f t="shared" si="15"/>
        <v>2313.98</v>
      </c>
      <c r="E58" s="96">
        <f t="shared" si="15"/>
        <v>3528.75</v>
      </c>
      <c r="F58" s="96">
        <f t="shared" si="15"/>
        <v>3916.9900000000002</v>
      </c>
      <c r="G58" s="96">
        <f t="shared" si="15"/>
        <v>3883.52</v>
      </c>
      <c r="H58" s="98"/>
    </row>
    <row r="59" spans="1:11" ht="15.6" customHeight="1" x14ac:dyDescent="0.3">
      <c r="A59" s="154" t="s">
        <v>261</v>
      </c>
      <c r="B59" s="154"/>
      <c r="C59" s="154"/>
      <c r="D59" s="154"/>
      <c r="E59" s="154"/>
      <c r="F59" s="154"/>
      <c r="G59" s="154"/>
      <c r="H59" s="154"/>
    </row>
    <row r="60" spans="1:11" x14ac:dyDescent="0.3">
      <c r="A60" s="155"/>
      <c r="B60" s="155"/>
      <c r="C60" s="155"/>
      <c r="D60" s="155"/>
      <c r="E60" s="155"/>
      <c r="F60" s="155"/>
      <c r="G60" s="155"/>
      <c r="H60" s="155"/>
    </row>
    <row r="61" spans="1:11" ht="16.2" thickBot="1" x14ac:dyDescent="0.35"/>
    <row r="62" spans="1:11" ht="16.2" thickBot="1" x14ac:dyDescent="0.35">
      <c r="A62" s="161" t="s">
        <v>196</v>
      </c>
      <c r="B62" s="162"/>
      <c r="C62" s="162"/>
      <c r="D62" s="163"/>
    </row>
    <row r="63" spans="1:11" ht="16.2" thickBot="1" x14ac:dyDescent="0.35">
      <c r="A63" s="107" t="s">
        <v>136</v>
      </c>
      <c r="B63" s="108">
        <v>43891</v>
      </c>
      <c r="C63" s="108">
        <v>44256</v>
      </c>
      <c r="D63" s="108">
        <v>44621</v>
      </c>
      <c r="E63" s="108">
        <v>44986</v>
      </c>
      <c r="F63" s="108">
        <v>45352</v>
      </c>
      <c r="G63" s="108">
        <v>45717</v>
      </c>
      <c r="H63" s="114" t="s">
        <v>158</v>
      </c>
    </row>
    <row r="64" spans="1:11" x14ac:dyDescent="0.3">
      <c r="A64" s="104" t="s">
        <v>197</v>
      </c>
      <c r="B64" s="112">
        <f>'PROFIT &amp; LOSS'!C16</f>
        <v>149</v>
      </c>
      <c r="C64" s="112">
        <f>'PROFIT &amp; LOSS'!D16</f>
        <v>181</v>
      </c>
      <c r="D64" s="112">
        <f>'PROFIT &amp; LOSS'!E16</f>
        <v>195</v>
      </c>
      <c r="E64" s="112">
        <f>'PROFIT &amp; LOSS'!F16</f>
        <v>240</v>
      </c>
      <c r="F64" s="112">
        <f>'PROFIT &amp; LOSS'!G16</f>
        <v>480</v>
      </c>
      <c r="G64" s="112">
        <f>'PROFIT &amp; LOSS'!H16</f>
        <v>767</v>
      </c>
      <c r="H64" s="115"/>
    </row>
    <row r="65" spans="1:8" x14ac:dyDescent="0.3">
      <c r="A65" s="87" t="s">
        <v>198</v>
      </c>
      <c r="B65" s="97">
        <f>'PROFIT &amp; LOSS'!C19</f>
        <v>0.28000000000000003</v>
      </c>
      <c r="C65" s="97">
        <f>'PROFIT &amp; LOSS'!D19</f>
        <v>0.28999999999999998</v>
      </c>
      <c r="D65" s="97">
        <f>'PROFIT &amp; LOSS'!E19</f>
        <v>0.26</v>
      </c>
      <c r="E65" s="97">
        <f>'PROFIT &amp; LOSS'!F19</f>
        <v>0.25</v>
      </c>
      <c r="F65" s="97">
        <f>'PROFIT &amp; LOSS'!G19</f>
        <v>0.23</v>
      </c>
      <c r="G65" s="97">
        <f>'PROFIT &amp; LOSS'!H19</f>
        <v>0.26</v>
      </c>
      <c r="H65" s="86"/>
    </row>
    <row r="66" spans="1:8" ht="16.2" thickBot="1" x14ac:dyDescent="0.35">
      <c r="A66" s="88" t="s">
        <v>199</v>
      </c>
      <c r="B66" s="96">
        <f>B64*(1-B65)</f>
        <v>107.28</v>
      </c>
      <c r="C66" s="96">
        <f t="shared" ref="C66" si="16">C64*(1-C65)</f>
        <v>128.51</v>
      </c>
      <c r="D66" s="96">
        <f t="shared" ref="D66" si="17">D64*(1-D65)</f>
        <v>144.30000000000001</v>
      </c>
      <c r="E66" s="96">
        <f t="shared" ref="E66" si="18">E64*(1-E65)</f>
        <v>180</v>
      </c>
      <c r="F66" s="96">
        <f t="shared" ref="F66" si="19">F64*(1-F65)</f>
        <v>369.6</v>
      </c>
      <c r="G66" s="96">
        <f t="shared" ref="G66" si="20">G64*(1-G65)</f>
        <v>567.58000000000004</v>
      </c>
      <c r="H66" s="98"/>
    </row>
    <row r="67" spans="1:8" x14ac:dyDescent="0.3">
      <c r="A67" s="154" t="s">
        <v>262</v>
      </c>
      <c r="B67" s="154"/>
      <c r="C67" s="154"/>
      <c r="D67" s="154"/>
      <c r="E67" s="154"/>
      <c r="F67" s="154"/>
      <c r="G67" s="154"/>
      <c r="H67" s="154"/>
    </row>
    <row r="68" spans="1:8" x14ac:dyDescent="0.3">
      <c r="A68" s="155"/>
      <c r="B68" s="155"/>
      <c r="C68" s="155"/>
      <c r="D68" s="155"/>
      <c r="E68" s="155"/>
      <c r="F68" s="155"/>
      <c r="G68" s="155"/>
      <c r="H68" s="155"/>
    </row>
    <row r="69" spans="1:8" ht="16.2" thickBot="1" x14ac:dyDescent="0.35"/>
    <row r="70" spans="1:8" ht="16.2" customHeight="1" thickBot="1" x14ac:dyDescent="0.35">
      <c r="A70" s="158" t="s">
        <v>209</v>
      </c>
      <c r="B70" s="159"/>
      <c r="C70" s="159"/>
      <c r="D70" s="159"/>
      <c r="E70" s="159"/>
      <c r="F70" s="159"/>
      <c r="G70" s="159"/>
      <c r="H70" s="160"/>
    </row>
    <row r="71" spans="1:8" ht="16.2" thickBot="1" x14ac:dyDescent="0.35">
      <c r="A71" s="107" t="s">
        <v>136</v>
      </c>
      <c r="B71" s="108">
        <v>43891</v>
      </c>
      <c r="C71" s="108">
        <v>44256</v>
      </c>
      <c r="D71" s="108">
        <v>44621</v>
      </c>
      <c r="E71" s="108">
        <v>44986</v>
      </c>
      <c r="F71" s="108">
        <v>45352</v>
      </c>
      <c r="G71" s="108">
        <v>45717</v>
      </c>
      <c r="H71" s="116" t="s">
        <v>158</v>
      </c>
    </row>
    <row r="72" spans="1:8" x14ac:dyDescent="0.3">
      <c r="A72" s="104" t="s">
        <v>203</v>
      </c>
      <c r="B72" s="105">
        <f>'BALANCE SHEET'!C6</f>
        <v>0</v>
      </c>
      <c r="C72" s="105">
        <f>'BALANCE SHEET'!D6</f>
        <v>0</v>
      </c>
      <c r="D72" s="105">
        <f>'BALANCE SHEET'!E6</f>
        <v>0</v>
      </c>
      <c r="E72" s="105">
        <f>'BALANCE SHEET'!F6</f>
        <v>0</v>
      </c>
      <c r="F72" s="105">
        <f>'BALANCE SHEET'!G6</f>
        <v>3139</v>
      </c>
      <c r="G72" s="105">
        <f>'BALANCE SHEET'!H6</f>
        <v>420</v>
      </c>
      <c r="H72" s="115"/>
    </row>
    <row r="73" spans="1:8" x14ac:dyDescent="0.3">
      <c r="A73" s="87" t="s">
        <v>204</v>
      </c>
      <c r="B73" s="89">
        <f>'BALANCE SHEET'!C7</f>
        <v>2133</v>
      </c>
      <c r="C73" s="89">
        <f>'BALANCE SHEET'!D7</f>
        <v>4094</v>
      </c>
      <c r="D73" s="89">
        <f>'BALANCE SHEET'!E7</f>
        <v>5386</v>
      </c>
      <c r="E73" s="89">
        <f>'BALANCE SHEET'!F7</f>
        <v>6280</v>
      </c>
      <c r="F73" s="89">
        <f>'BALANCE SHEET'!G7</f>
        <v>7608</v>
      </c>
      <c r="G73" s="89">
        <f>'BALANCE SHEET'!H7</f>
        <v>14526</v>
      </c>
      <c r="H73" s="86"/>
    </row>
    <row r="74" spans="1:8" x14ac:dyDescent="0.3">
      <c r="A74" s="87" t="s">
        <v>201</v>
      </c>
      <c r="B74" s="89">
        <f>'BALANCE SHEET'!C8</f>
        <v>1136</v>
      </c>
      <c r="C74" s="89">
        <f>'BALANCE SHEET'!D8</f>
        <v>1149</v>
      </c>
      <c r="D74" s="89">
        <f>'BALANCE SHEET'!E8</f>
        <v>1219</v>
      </c>
      <c r="E74" s="89">
        <f>'BALANCE SHEET'!F8</f>
        <v>1582</v>
      </c>
      <c r="F74" s="89">
        <f>'BALANCE SHEET'!G8</f>
        <v>1914</v>
      </c>
      <c r="G74" s="89">
        <f>'BALANCE SHEET'!H8</f>
        <v>2225</v>
      </c>
      <c r="H74" s="86"/>
    </row>
    <row r="75" spans="1:8" x14ac:dyDescent="0.3">
      <c r="A75" s="87" t="s">
        <v>210</v>
      </c>
      <c r="B75" s="89">
        <v>0</v>
      </c>
      <c r="C75" s="89">
        <v>0</v>
      </c>
      <c r="D75" s="89">
        <v>0</v>
      </c>
      <c r="E75" s="89">
        <v>0</v>
      </c>
      <c r="F75" s="89">
        <v>0</v>
      </c>
      <c r="G75" s="89">
        <v>0</v>
      </c>
      <c r="H75" s="86"/>
    </row>
    <row r="76" spans="1:8" ht="16.2" thickBot="1" x14ac:dyDescent="0.35">
      <c r="A76" s="88" t="s">
        <v>202</v>
      </c>
      <c r="B76" s="103">
        <f>B72+B73+B74+B75</f>
        <v>3269</v>
      </c>
      <c r="C76" s="103">
        <f t="shared" ref="C76:G76" si="21">C72+C73+C74+C75</f>
        <v>5243</v>
      </c>
      <c r="D76" s="103">
        <f t="shared" si="21"/>
        <v>6605</v>
      </c>
      <c r="E76" s="103">
        <f t="shared" si="21"/>
        <v>7862</v>
      </c>
      <c r="F76" s="103">
        <f t="shared" si="21"/>
        <v>12661</v>
      </c>
      <c r="G76" s="103">
        <f t="shared" si="21"/>
        <v>17171</v>
      </c>
      <c r="H76" s="98"/>
    </row>
    <row r="77" spans="1:8" ht="15.6" customHeight="1" x14ac:dyDescent="0.3">
      <c r="A77" s="154" t="s">
        <v>263</v>
      </c>
      <c r="B77" s="154"/>
      <c r="C77" s="154"/>
      <c r="D77" s="154"/>
      <c r="E77" s="154"/>
      <c r="F77" s="154"/>
      <c r="G77" s="154"/>
      <c r="H77" s="154"/>
    </row>
    <row r="78" spans="1:8" x14ac:dyDescent="0.3">
      <c r="A78" s="155"/>
      <c r="B78" s="155"/>
      <c r="C78" s="155"/>
      <c r="D78" s="155"/>
      <c r="E78" s="155"/>
      <c r="F78" s="155"/>
      <c r="G78" s="155"/>
      <c r="H78" s="155"/>
    </row>
    <row r="79" spans="1:8" ht="16.2" thickBot="1" x14ac:dyDescent="0.35">
      <c r="A79" s="143"/>
      <c r="B79" s="143"/>
      <c r="C79" s="143"/>
      <c r="D79" s="143"/>
      <c r="E79" s="143"/>
      <c r="F79" s="143"/>
      <c r="G79" s="143"/>
      <c r="H79" s="143"/>
    </row>
    <row r="80" spans="1:8" ht="16.2" thickBot="1" x14ac:dyDescent="0.35">
      <c r="A80" s="161" t="s">
        <v>205</v>
      </c>
      <c r="B80" s="162"/>
      <c r="C80" s="162"/>
      <c r="D80" s="163"/>
    </row>
    <row r="81" spans="1:8" ht="16.2" thickBot="1" x14ac:dyDescent="0.35">
      <c r="A81" s="107" t="s">
        <v>136</v>
      </c>
      <c r="B81" s="108">
        <v>43891</v>
      </c>
      <c r="C81" s="108">
        <v>44256</v>
      </c>
      <c r="D81" s="108">
        <v>44621</v>
      </c>
      <c r="E81" s="108">
        <v>44986</v>
      </c>
      <c r="F81" s="108">
        <v>45352</v>
      </c>
      <c r="G81" s="108">
        <v>45717</v>
      </c>
      <c r="H81" s="114" t="s">
        <v>158</v>
      </c>
    </row>
    <row r="82" spans="1:8" x14ac:dyDescent="0.3">
      <c r="A82" s="117" t="s">
        <v>206</v>
      </c>
      <c r="B82" s="118">
        <f>'BALANCE SHEET'!C25</f>
        <v>2634</v>
      </c>
      <c r="C82" s="118">
        <f>'BALANCE SHEET'!D25</f>
        <v>2813</v>
      </c>
      <c r="D82" s="118">
        <f>'BALANCE SHEET'!E25</f>
        <v>3063</v>
      </c>
      <c r="E82" s="118">
        <f>'BALANCE SHEET'!F25</f>
        <v>3587</v>
      </c>
      <c r="F82" s="118">
        <f>'BALANCE SHEET'!G25</f>
        <v>4409</v>
      </c>
      <c r="G82" s="118">
        <f>'BALANCE SHEET'!H25</f>
        <v>5138</v>
      </c>
      <c r="H82" s="102"/>
    </row>
    <row r="83" spans="1:8" x14ac:dyDescent="0.3">
      <c r="A83" s="87" t="s">
        <v>207</v>
      </c>
      <c r="B83" s="95">
        <f>'BALANCE SHEET'!C26</f>
        <v>581</v>
      </c>
      <c r="C83" s="95">
        <f>'BALANCE SHEET'!D26</f>
        <v>854</v>
      </c>
      <c r="D83" s="95">
        <f>'BALANCE SHEET'!E26</f>
        <v>1138</v>
      </c>
      <c r="E83" s="95">
        <f>'BALANCE SHEET'!F26</f>
        <v>1426</v>
      </c>
      <c r="F83" s="95">
        <f>'BALANCE SHEET'!G26</f>
        <v>1718</v>
      </c>
      <c r="G83" s="95">
        <f>'BALANCE SHEET'!H26</f>
        <v>2119</v>
      </c>
      <c r="H83" s="86"/>
    </row>
    <row r="84" spans="1:8" ht="16.2" thickBot="1" x14ac:dyDescent="0.35">
      <c r="A84" s="88" t="s">
        <v>208</v>
      </c>
      <c r="B84" s="96">
        <f>B82-B83</f>
        <v>2053</v>
      </c>
      <c r="C84" s="96">
        <f t="shared" ref="C84:G84" si="22">C82-C83</f>
        <v>1959</v>
      </c>
      <c r="D84" s="96">
        <f t="shared" si="22"/>
        <v>1925</v>
      </c>
      <c r="E84" s="96">
        <f t="shared" si="22"/>
        <v>2161</v>
      </c>
      <c r="F84" s="96">
        <f t="shared" si="22"/>
        <v>2691</v>
      </c>
      <c r="G84" s="96">
        <f t="shared" si="22"/>
        <v>3019</v>
      </c>
      <c r="H84" s="98"/>
    </row>
    <row r="85" spans="1:8" x14ac:dyDescent="0.3">
      <c r="A85" s="154" t="s">
        <v>264</v>
      </c>
      <c r="B85" s="154"/>
      <c r="C85" s="154"/>
      <c r="D85" s="154"/>
      <c r="E85" s="154"/>
      <c r="F85" s="154"/>
      <c r="G85" s="154"/>
      <c r="H85" s="154"/>
    </row>
    <row r="86" spans="1:8" x14ac:dyDescent="0.3">
      <c r="A86" s="155"/>
      <c r="B86" s="155"/>
      <c r="C86" s="155"/>
      <c r="D86" s="155"/>
      <c r="E86" s="155"/>
      <c r="F86" s="155"/>
      <c r="G86" s="155"/>
      <c r="H86" s="155"/>
    </row>
    <row r="87" spans="1:8" ht="16.2" thickBot="1" x14ac:dyDescent="0.35"/>
    <row r="88" spans="1:8" ht="16.2" thickBot="1" x14ac:dyDescent="0.35">
      <c r="A88" s="161" t="s">
        <v>211</v>
      </c>
      <c r="B88" s="162"/>
      <c r="C88" s="162"/>
      <c r="D88" s="163"/>
    </row>
    <row r="89" spans="1:8" ht="16.2" thickBot="1" x14ac:dyDescent="0.35">
      <c r="A89" s="107" t="s">
        <v>136</v>
      </c>
      <c r="B89" s="108">
        <v>43891</v>
      </c>
      <c r="C89" s="108">
        <v>44256</v>
      </c>
      <c r="D89" s="108">
        <v>44621</v>
      </c>
      <c r="E89" s="108">
        <v>44986</v>
      </c>
      <c r="F89" s="108">
        <v>45352</v>
      </c>
      <c r="G89" s="108">
        <v>45717</v>
      </c>
      <c r="H89" s="114" t="s">
        <v>158</v>
      </c>
    </row>
    <row r="90" spans="1:8" x14ac:dyDescent="0.3">
      <c r="A90" s="117" t="s">
        <v>212</v>
      </c>
      <c r="B90" s="118">
        <f>'BALANCE SHEET'!C5+'BALANCE SHEET'!C9</f>
        <v>6363</v>
      </c>
      <c r="C90" s="118">
        <f>'BALANCE SHEET'!D5+'BALANCE SHEET'!D9</f>
        <v>8307</v>
      </c>
      <c r="D90" s="118">
        <f>'BALANCE SHEET'!E5+'BALANCE SHEET'!E9</f>
        <v>10764</v>
      </c>
      <c r="E90" s="118">
        <f>'BALANCE SHEET'!F5+'BALANCE SHEET'!F9</f>
        <v>13094</v>
      </c>
      <c r="F90" s="118">
        <f>'BALANCE SHEET'!G5+'BALANCE SHEET'!G9</f>
        <v>18405</v>
      </c>
      <c r="G90" s="118">
        <f>'BALANCE SHEET'!H5+'BALANCE SHEET'!H9</f>
        <v>24264</v>
      </c>
      <c r="H90" s="102"/>
    </row>
    <row r="91" spans="1:8" x14ac:dyDescent="0.3">
      <c r="A91" s="87" t="s">
        <v>213</v>
      </c>
      <c r="B91" s="95">
        <f>'BALANCE SHEET'!C33</f>
        <v>356</v>
      </c>
      <c r="C91" s="95">
        <f>'BALANCE SHEET'!D33</f>
        <v>512</v>
      </c>
      <c r="D91" s="95">
        <f>'BALANCE SHEET'!E33</f>
        <v>1049</v>
      </c>
      <c r="E91" s="95">
        <f>'BALANCE SHEET'!F33</f>
        <v>792</v>
      </c>
      <c r="F91" s="95">
        <f>'BALANCE SHEET'!G33</f>
        <v>805</v>
      </c>
      <c r="G91" s="95">
        <f>'BALANCE SHEET'!H33</f>
        <v>1132</v>
      </c>
      <c r="H91" s="86"/>
    </row>
    <row r="92" spans="1:8" ht="16.2" thickBot="1" x14ac:dyDescent="0.35">
      <c r="A92" s="88" t="s">
        <v>211</v>
      </c>
      <c r="B92" s="96">
        <f>B90-B91</f>
        <v>6007</v>
      </c>
      <c r="C92" s="96">
        <f t="shared" ref="C92" si="23">C90-C91</f>
        <v>7795</v>
      </c>
      <c r="D92" s="96">
        <f t="shared" ref="D92" si="24">D90-D91</f>
        <v>9715</v>
      </c>
      <c r="E92" s="96">
        <f t="shared" ref="E92" si="25">E90-E91</f>
        <v>12302</v>
      </c>
      <c r="F92" s="96">
        <f t="shared" ref="F92" si="26">F90-F91</f>
        <v>17600</v>
      </c>
      <c r="G92" s="96">
        <f t="shared" ref="G92" si="27">G90-G91</f>
        <v>23132</v>
      </c>
      <c r="H92" s="98"/>
    </row>
    <row r="93" spans="1:8" x14ac:dyDescent="0.3">
      <c r="A93" s="154" t="s">
        <v>265</v>
      </c>
      <c r="B93" s="154"/>
      <c r="C93" s="154"/>
      <c r="D93" s="154"/>
      <c r="E93" s="154"/>
      <c r="F93" s="154"/>
      <c r="G93" s="154"/>
      <c r="H93" s="154"/>
    </row>
    <row r="94" spans="1:8" x14ac:dyDescent="0.3">
      <c r="A94" s="155"/>
      <c r="B94" s="155"/>
      <c r="C94" s="155"/>
      <c r="D94" s="155"/>
      <c r="E94" s="155"/>
      <c r="F94" s="155"/>
      <c r="G94" s="155"/>
      <c r="H94" s="155"/>
    </row>
    <row r="95" spans="1:8" ht="16.2" thickBot="1" x14ac:dyDescent="0.35"/>
    <row r="96" spans="1:8" ht="16.2" thickBot="1" x14ac:dyDescent="0.35">
      <c r="A96" s="161" t="s">
        <v>214</v>
      </c>
      <c r="B96" s="162"/>
      <c r="C96" s="162"/>
      <c r="D96" s="163"/>
    </row>
    <row r="97" spans="1:8" ht="16.2" thickBot="1" x14ac:dyDescent="0.35">
      <c r="A97" s="107" t="s">
        <v>136</v>
      </c>
      <c r="B97" s="108">
        <v>43891</v>
      </c>
      <c r="C97" s="108">
        <v>44256</v>
      </c>
      <c r="D97" s="108">
        <v>44621</v>
      </c>
      <c r="E97" s="108">
        <v>44986</v>
      </c>
      <c r="F97" s="108">
        <v>45352</v>
      </c>
      <c r="G97" s="108">
        <v>45717</v>
      </c>
      <c r="H97" s="114" t="s">
        <v>158</v>
      </c>
    </row>
    <row r="98" spans="1:8" x14ac:dyDescent="0.3">
      <c r="A98" s="117" t="s">
        <v>215</v>
      </c>
      <c r="B98" s="118">
        <f>'BALANCE SHEET'!C37</f>
        <v>13188</v>
      </c>
      <c r="C98" s="118">
        <f>'BALANCE SHEET'!D37</f>
        <v>15860</v>
      </c>
      <c r="D98" s="118">
        <f>'BALANCE SHEET'!E37</f>
        <v>20137</v>
      </c>
      <c r="E98" s="118">
        <f>'BALANCE SHEET'!F37</f>
        <v>25088</v>
      </c>
      <c r="F98" s="118">
        <f>'BALANCE SHEET'!G37</f>
        <v>32862</v>
      </c>
      <c r="G98" s="118">
        <f>'BALANCE SHEET'!H37</f>
        <v>41075</v>
      </c>
      <c r="H98" s="102"/>
    </row>
    <row r="99" spans="1:8" x14ac:dyDescent="0.3">
      <c r="A99" s="87" t="s">
        <v>216</v>
      </c>
      <c r="B99" s="95">
        <f>'BALANCE SHEET'!C5+'BALANCE SHEET'!C9</f>
        <v>6363</v>
      </c>
      <c r="C99" s="95">
        <f>'BALANCE SHEET'!D5+'BALANCE SHEET'!D9</f>
        <v>8307</v>
      </c>
      <c r="D99" s="95">
        <f>'BALANCE SHEET'!E5+'BALANCE SHEET'!E9</f>
        <v>10764</v>
      </c>
      <c r="E99" s="95">
        <f>'BALANCE SHEET'!F5+'BALANCE SHEET'!F9</f>
        <v>13094</v>
      </c>
      <c r="F99" s="95">
        <f>'BALANCE SHEET'!G5+'BALANCE SHEET'!G9</f>
        <v>18405</v>
      </c>
      <c r="G99" s="95">
        <f>'BALANCE SHEET'!H5+'BALANCE SHEET'!H9</f>
        <v>24264</v>
      </c>
      <c r="H99" s="86"/>
    </row>
    <row r="100" spans="1:8" ht="16.2" thickBot="1" x14ac:dyDescent="0.35">
      <c r="A100" s="88" t="s">
        <v>217</v>
      </c>
      <c r="B100" s="96">
        <f>B98-B99</f>
        <v>6825</v>
      </c>
      <c r="C100" s="96">
        <f t="shared" ref="C100" si="28">C98-C99</f>
        <v>7553</v>
      </c>
      <c r="D100" s="96">
        <f t="shared" ref="D100" si="29">D98-D99</f>
        <v>9373</v>
      </c>
      <c r="E100" s="96">
        <f t="shared" ref="E100" si="30">E98-E99</f>
        <v>11994</v>
      </c>
      <c r="F100" s="96">
        <f t="shared" ref="F100" si="31">F98-F99</f>
        <v>14457</v>
      </c>
      <c r="G100" s="96">
        <f t="shared" ref="G100" si="32">G98-G99</f>
        <v>16811</v>
      </c>
      <c r="H100" s="98"/>
    </row>
    <row r="101" spans="1:8" x14ac:dyDescent="0.3">
      <c r="A101" s="154" t="s">
        <v>266</v>
      </c>
      <c r="B101" s="154"/>
      <c r="C101" s="154"/>
      <c r="D101" s="154"/>
      <c r="E101" s="154"/>
      <c r="F101" s="154"/>
      <c r="G101" s="154"/>
      <c r="H101" s="154"/>
    </row>
    <row r="102" spans="1:8" x14ac:dyDescent="0.3">
      <c r="A102" s="155"/>
      <c r="B102" s="155"/>
      <c r="C102" s="155"/>
      <c r="D102" s="155"/>
      <c r="E102" s="155"/>
      <c r="F102" s="155"/>
      <c r="G102" s="155"/>
      <c r="H102" s="155"/>
    </row>
    <row r="103" spans="1:8" ht="16.2" thickBot="1" x14ac:dyDescent="0.35"/>
    <row r="104" spans="1:8" ht="16.2" thickBot="1" x14ac:dyDescent="0.35">
      <c r="A104" s="161" t="s">
        <v>218</v>
      </c>
      <c r="B104" s="162"/>
      <c r="C104" s="162"/>
      <c r="D104" s="163"/>
    </row>
    <row r="105" spans="1:8" ht="16.2" thickBot="1" x14ac:dyDescent="0.35">
      <c r="A105" s="119" t="s">
        <v>136</v>
      </c>
      <c r="B105" s="120">
        <v>43891</v>
      </c>
      <c r="C105" s="120">
        <v>44256</v>
      </c>
      <c r="D105" s="120">
        <v>44621</v>
      </c>
      <c r="E105" s="120">
        <v>44986</v>
      </c>
      <c r="F105" s="120">
        <v>45352</v>
      </c>
      <c r="G105" s="120">
        <v>45717</v>
      </c>
      <c r="H105" s="121" t="s">
        <v>158</v>
      </c>
    </row>
    <row r="106" spans="1:8" x14ac:dyDescent="0.3">
      <c r="A106" s="117" t="s">
        <v>219</v>
      </c>
      <c r="B106" s="118">
        <f>'BALANCE SHEET'!C2</f>
        <v>89</v>
      </c>
      <c r="C106" s="118">
        <f>'BALANCE SHEET'!D2</f>
        <v>89</v>
      </c>
      <c r="D106" s="118">
        <f>'BALANCE SHEET'!E2</f>
        <v>89</v>
      </c>
      <c r="E106" s="118">
        <f>'BALANCE SHEET'!F2</f>
        <v>89</v>
      </c>
      <c r="F106" s="118">
        <f>'BALANCE SHEET'!G2</f>
        <v>89</v>
      </c>
      <c r="G106" s="118">
        <f>'BALANCE SHEET'!H2</f>
        <v>89</v>
      </c>
      <c r="H106" s="122"/>
    </row>
    <row r="107" spans="1:8" x14ac:dyDescent="0.3">
      <c r="A107" s="87" t="s">
        <v>220</v>
      </c>
      <c r="B107" s="95">
        <f>'BALANCE SHEET'!C3</f>
        <v>6736</v>
      </c>
      <c r="C107" s="95">
        <f>'BALANCE SHEET'!D3</f>
        <v>7464</v>
      </c>
      <c r="D107" s="95">
        <f>'BALANCE SHEET'!E3</f>
        <v>9284</v>
      </c>
      <c r="E107" s="95">
        <f>'BALANCE SHEET'!F3</f>
        <v>11905</v>
      </c>
      <c r="F107" s="95">
        <f>'BALANCE SHEET'!G3</f>
        <v>14368</v>
      </c>
      <c r="G107" s="95">
        <f>'BALANCE SHEET'!H3</f>
        <v>16722</v>
      </c>
      <c r="H107" s="86"/>
    </row>
    <row r="108" spans="1:8" ht="16.2" thickBot="1" x14ac:dyDescent="0.35">
      <c r="A108" s="88" t="s">
        <v>221</v>
      </c>
      <c r="B108" s="96">
        <f>'BALANCE SHEET'!C4</f>
        <v>6825</v>
      </c>
      <c r="C108" s="96">
        <f>'BALANCE SHEET'!D4</f>
        <v>7553</v>
      </c>
      <c r="D108" s="96">
        <f>'BALANCE SHEET'!E4</f>
        <v>9373</v>
      </c>
      <c r="E108" s="96">
        <f>'BALANCE SHEET'!F4</f>
        <v>11994</v>
      </c>
      <c r="F108" s="96">
        <f>'BALANCE SHEET'!G4</f>
        <v>14457</v>
      </c>
      <c r="G108" s="96">
        <f>'BALANCE SHEET'!H4</f>
        <v>16811</v>
      </c>
      <c r="H108" s="98"/>
    </row>
    <row r="109" spans="1:8" x14ac:dyDescent="0.3">
      <c r="A109" s="154" t="s">
        <v>267</v>
      </c>
      <c r="B109" s="154"/>
      <c r="C109" s="154"/>
      <c r="D109" s="154"/>
      <c r="E109" s="154"/>
      <c r="F109" s="154"/>
      <c r="G109" s="154"/>
      <c r="H109" s="154"/>
    </row>
    <row r="110" spans="1:8" x14ac:dyDescent="0.3">
      <c r="A110" s="155"/>
      <c r="B110" s="155"/>
      <c r="C110" s="155"/>
      <c r="D110" s="155"/>
      <c r="E110" s="155"/>
      <c r="F110" s="155"/>
      <c r="G110" s="155"/>
      <c r="H110" s="155"/>
    </row>
    <row r="111" spans="1:8" ht="16.2" thickBot="1" x14ac:dyDescent="0.35"/>
    <row r="112" spans="1:8" ht="16.2" thickBot="1" x14ac:dyDescent="0.35">
      <c r="A112" s="161" t="s">
        <v>225</v>
      </c>
      <c r="B112" s="162"/>
      <c r="C112" s="162"/>
      <c r="D112" s="163"/>
    </row>
    <row r="113" spans="1:8" ht="16.2" thickBot="1" x14ac:dyDescent="0.35">
      <c r="A113" s="119" t="s">
        <v>136</v>
      </c>
      <c r="B113" s="120">
        <v>43891</v>
      </c>
      <c r="C113" s="120">
        <v>44256</v>
      </c>
      <c r="D113" s="120">
        <v>44621</v>
      </c>
      <c r="E113" s="120">
        <v>44986</v>
      </c>
      <c r="F113" s="120">
        <v>45352</v>
      </c>
      <c r="G113" s="120">
        <v>45717</v>
      </c>
      <c r="H113" s="121" t="s">
        <v>158</v>
      </c>
    </row>
    <row r="114" spans="1:8" x14ac:dyDescent="0.3">
      <c r="A114" s="117" t="s">
        <v>114</v>
      </c>
      <c r="B114" s="118">
        <f>'PROFIT &amp; LOSS'!C2</f>
        <v>20010</v>
      </c>
      <c r="C114" s="118">
        <f>'PROFIT &amp; LOSS'!D2</f>
        <v>20602</v>
      </c>
      <c r="D114" s="118">
        <f>'PROFIT &amp; LOSS'!E2</f>
        <v>27210</v>
      </c>
      <c r="E114" s="118">
        <f>'PROFIT &amp; LOSS'!F2</f>
        <v>38270</v>
      </c>
      <c r="F114" s="118">
        <f>'PROFIT &amp; LOSS'!G2</f>
        <v>47114</v>
      </c>
      <c r="G114" s="118">
        <f>'PROFIT &amp; LOSS'!H2</f>
        <v>54842</v>
      </c>
      <c r="H114" s="122"/>
    </row>
    <row r="115" spans="1:8" x14ac:dyDescent="0.3">
      <c r="A115" s="87" t="s">
        <v>223</v>
      </c>
      <c r="B115" s="95">
        <f>'BALANCE SHEET'!C36-'BALANCE SHEET'!C13</f>
        <v>7121.41</v>
      </c>
      <c r="C115" s="95">
        <f>'BALANCE SHEET'!D36-'BALANCE SHEET'!D13</f>
        <v>7379.84</v>
      </c>
      <c r="D115" s="95">
        <f>'BALANCE SHEET'!E36-'BALANCE SHEET'!E13</f>
        <v>13225.870000000003</v>
      </c>
      <c r="E115" s="95">
        <f>'BALANCE SHEET'!F36-'BALANCE SHEET'!F13</f>
        <v>14458.52</v>
      </c>
      <c r="F115" s="95">
        <f>'BALANCE SHEET'!G36-'BALANCE SHEET'!G13</f>
        <v>16695.740000000002</v>
      </c>
      <c r="G115" s="95">
        <f>'BALANCE SHEET'!H36-'BALANCE SHEET'!H13</f>
        <v>23391.17</v>
      </c>
      <c r="H115" s="86"/>
    </row>
    <row r="116" spans="1:8" ht="16.2" thickBot="1" x14ac:dyDescent="0.35">
      <c r="A116" s="88" t="s">
        <v>226</v>
      </c>
      <c r="B116" s="96">
        <f>B114-B115</f>
        <v>12888.59</v>
      </c>
      <c r="C116" s="96">
        <f t="shared" ref="C116:G116" si="33">C114-C115</f>
        <v>13222.16</v>
      </c>
      <c r="D116" s="96">
        <f t="shared" si="33"/>
        <v>13984.129999999997</v>
      </c>
      <c r="E116" s="96">
        <f t="shared" si="33"/>
        <v>23811.48</v>
      </c>
      <c r="F116" s="96">
        <f t="shared" si="33"/>
        <v>30418.26</v>
      </c>
      <c r="G116" s="96">
        <f t="shared" si="33"/>
        <v>31450.83</v>
      </c>
      <c r="H116" s="98"/>
    </row>
    <row r="117" spans="1:8" x14ac:dyDescent="0.3">
      <c r="A117" s="154" t="s">
        <v>268</v>
      </c>
      <c r="B117" s="156"/>
      <c r="C117" s="156"/>
      <c r="D117" s="156"/>
      <c r="E117" s="156"/>
      <c r="F117" s="156"/>
      <c r="G117" s="156"/>
      <c r="H117" s="156"/>
    </row>
    <row r="118" spans="1:8" x14ac:dyDescent="0.3">
      <c r="A118" s="157"/>
      <c r="B118" s="157"/>
      <c r="C118" s="157"/>
      <c r="D118" s="157"/>
      <c r="E118" s="157"/>
      <c r="F118" s="157"/>
      <c r="G118" s="157"/>
      <c r="H118" s="157"/>
    </row>
    <row r="119" spans="1:8" ht="16.2" thickBot="1" x14ac:dyDescent="0.35"/>
    <row r="120" spans="1:8" ht="16.2" thickBot="1" x14ac:dyDescent="0.35">
      <c r="A120" s="161" t="s">
        <v>222</v>
      </c>
      <c r="B120" s="162"/>
      <c r="C120" s="162"/>
      <c r="D120" s="163"/>
    </row>
    <row r="121" spans="1:8" ht="16.2" thickBot="1" x14ac:dyDescent="0.35">
      <c r="A121" s="119" t="s">
        <v>136</v>
      </c>
      <c r="B121" s="120">
        <v>43891</v>
      </c>
      <c r="C121" s="120">
        <v>44256</v>
      </c>
      <c r="D121" s="120">
        <v>44621</v>
      </c>
      <c r="E121" s="120">
        <v>44986</v>
      </c>
      <c r="F121" s="120">
        <v>45352</v>
      </c>
      <c r="G121" s="120">
        <v>45717</v>
      </c>
      <c r="H121" s="121" t="s">
        <v>158</v>
      </c>
    </row>
    <row r="122" spans="1:8" x14ac:dyDescent="0.3">
      <c r="A122" s="117" t="s">
        <v>114</v>
      </c>
      <c r="B122" s="118">
        <f>'PROFIT &amp; LOSS'!C2</f>
        <v>20010</v>
      </c>
      <c r="C122" s="118">
        <f>'PROFIT &amp; LOSS'!D2</f>
        <v>20602</v>
      </c>
      <c r="D122" s="118">
        <f>'PROFIT &amp; LOSS'!E2</f>
        <v>27210</v>
      </c>
      <c r="E122" s="118">
        <f>'PROFIT &amp; LOSS'!F2</f>
        <v>38270</v>
      </c>
      <c r="F122" s="118">
        <f>'PROFIT &amp; LOSS'!G2</f>
        <v>47114</v>
      </c>
      <c r="G122" s="118">
        <f>'PROFIT &amp; LOSS'!H2</f>
        <v>54842</v>
      </c>
      <c r="H122" s="122"/>
    </row>
    <row r="123" spans="1:8" x14ac:dyDescent="0.3">
      <c r="A123" s="87" t="s">
        <v>223</v>
      </c>
      <c r="B123" s="95">
        <f>'BALANCE SHEET'!C36-'BALANCE SHEET'!C13</f>
        <v>7121.41</v>
      </c>
      <c r="C123" s="95">
        <f>'BALANCE SHEET'!D36-'BALANCE SHEET'!D13</f>
        <v>7379.84</v>
      </c>
      <c r="D123" s="95">
        <f>'BALANCE SHEET'!E36-'BALANCE SHEET'!E13</f>
        <v>13225.870000000003</v>
      </c>
      <c r="E123" s="95">
        <f>'BALANCE SHEET'!F36-'BALANCE SHEET'!F13</f>
        <v>14458.52</v>
      </c>
      <c r="F123" s="95">
        <f>'BALANCE SHEET'!G36-'BALANCE SHEET'!G13</f>
        <v>16695.740000000002</v>
      </c>
      <c r="G123" s="95">
        <f>'BALANCE SHEET'!H36-'BALANCE SHEET'!H13</f>
        <v>23391.17</v>
      </c>
      <c r="H123" s="86"/>
    </row>
    <row r="124" spans="1:8" ht="16.2" thickBot="1" x14ac:dyDescent="0.35">
      <c r="A124" s="88" t="s">
        <v>224</v>
      </c>
      <c r="B124" s="92">
        <f>B122/B123</f>
        <v>2.8098368160237932</v>
      </c>
      <c r="C124" s="92">
        <f t="shared" ref="C124:G124" si="34">C122/C123</f>
        <v>2.7916594397710517</v>
      </c>
      <c r="D124" s="92">
        <f t="shared" si="34"/>
        <v>2.0573315781872945</v>
      </c>
      <c r="E124" s="92">
        <f t="shared" si="34"/>
        <v>2.6468822535086578</v>
      </c>
      <c r="F124" s="92">
        <f t="shared" si="34"/>
        <v>2.8219174472050952</v>
      </c>
      <c r="G124" s="92">
        <f t="shared" si="34"/>
        <v>2.3445599343683963</v>
      </c>
      <c r="H124" s="98"/>
    </row>
    <row r="125" spans="1:8" x14ac:dyDescent="0.3">
      <c r="A125" s="154" t="s">
        <v>269</v>
      </c>
      <c r="B125" s="154"/>
      <c r="C125" s="154"/>
      <c r="D125" s="154"/>
      <c r="E125" s="154"/>
      <c r="F125" s="154"/>
      <c r="G125" s="154"/>
      <c r="H125" s="154"/>
    </row>
    <row r="126" spans="1:8" x14ac:dyDescent="0.3">
      <c r="A126" s="155"/>
      <c r="B126" s="155"/>
      <c r="C126" s="155"/>
      <c r="D126" s="155"/>
      <c r="E126" s="155"/>
      <c r="F126" s="155"/>
      <c r="G126" s="155"/>
      <c r="H126" s="155"/>
    </row>
    <row r="127" spans="1:8" ht="16.2" thickBot="1" x14ac:dyDescent="0.35"/>
    <row r="128" spans="1:8" ht="16.2" thickBot="1" x14ac:dyDescent="0.35">
      <c r="A128" s="161" t="s">
        <v>227</v>
      </c>
      <c r="B128" s="162"/>
      <c r="C128" s="162"/>
      <c r="D128" s="163"/>
    </row>
    <row r="129" spans="1:8" ht="16.2" thickBot="1" x14ac:dyDescent="0.35">
      <c r="A129" s="119" t="s">
        <v>136</v>
      </c>
      <c r="B129" s="120">
        <v>43891</v>
      </c>
      <c r="C129" s="120">
        <v>44256</v>
      </c>
      <c r="D129" s="120">
        <v>44621</v>
      </c>
      <c r="E129" s="120">
        <v>44986</v>
      </c>
      <c r="F129" s="120">
        <v>45352</v>
      </c>
      <c r="G129" s="120">
        <v>45717</v>
      </c>
      <c r="H129" s="121" t="s">
        <v>158</v>
      </c>
    </row>
    <row r="130" spans="1:8" x14ac:dyDescent="0.3">
      <c r="A130" s="117" t="s">
        <v>228</v>
      </c>
      <c r="B130" s="118">
        <f>'PROFIT &amp; LOSS'!C20+'CASH FLOW STATEMENT'!C28</f>
        <v>981</v>
      </c>
      <c r="C130" s="118">
        <f>'PROFIT &amp; LOSS'!D20+'CASH FLOW STATEMENT'!D28</f>
        <v>522</v>
      </c>
      <c r="D130" s="118">
        <f>'PROFIT &amp; LOSS'!E20+'CASH FLOW STATEMENT'!E28</f>
        <v>1825</v>
      </c>
      <c r="E130" s="118">
        <f>'PROFIT &amp; LOSS'!F20+'CASH FLOW STATEMENT'!F28</f>
        <v>2667</v>
      </c>
      <c r="F130" s="118">
        <f>'PROFIT &amp; LOSS'!G20+'CASH FLOW STATEMENT'!G28</f>
        <v>2656</v>
      </c>
      <c r="G130" s="118">
        <f>'PROFIT &amp; LOSS'!H20+'CASH FLOW STATEMENT'!H28</f>
        <v>2359</v>
      </c>
      <c r="H130" s="122"/>
    </row>
    <row r="131" spans="1:8" x14ac:dyDescent="0.3">
      <c r="A131" s="87" t="s">
        <v>238</v>
      </c>
      <c r="B131" s="95">
        <v>89</v>
      </c>
      <c r="C131" s="95">
        <v>89</v>
      </c>
      <c r="D131" s="95">
        <v>89</v>
      </c>
      <c r="E131" s="95">
        <v>89</v>
      </c>
      <c r="F131" s="95">
        <v>89</v>
      </c>
      <c r="G131" s="95">
        <v>89</v>
      </c>
      <c r="H131" s="86"/>
    </row>
    <row r="132" spans="1:8" ht="16.2" thickBot="1" x14ac:dyDescent="0.35">
      <c r="A132" s="88" t="s">
        <v>229</v>
      </c>
      <c r="B132" s="92">
        <f>B130/B131</f>
        <v>11.02247191011236</v>
      </c>
      <c r="C132" s="92">
        <f t="shared" ref="C132:G132" si="35">C130/C131</f>
        <v>5.8651685393258424</v>
      </c>
      <c r="D132" s="92">
        <f t="shared" si="35"/>
        <v>20.50561797752809</v>
      </c>
      <c r="E132" s="92">
        <f t="shared" si="35"/>
        <v>29.966292134831459</v>
      </c>
      <c r="F132" s="92">
        <f t="shared" si="35"/>
        <v>29.842696629213481</v>
      </c>
      <c r="G132" s="92">
        <f t="shared" si="35"/>
        <v>26.50561797752809</v>
      </c>
      <c r="H132" s="98"/>
    </row>
    <row r="133" spans="1:8" x14ac:dyDescent="0.3">
      <c r="A133" s="154" t="s">
        <v>270</v>
      </c>
      <c r="B133" s="154"/>
      <c r="C133" s="154"/>
      <c r="D133" s="154"/>
      <c r="E133" s="154"/>
      <c r="F133" s="154"/>
      <c r="G133" s="154"/>
      <c r="H133" s="154"/>
    </row>
    <row r="134" spans="1:8" x14ac:dyDescent="0.3">
      <c r="A134" s="155"/>
      <c r="B134" s="155"/>
      <c r="C134" s="155"/>
      <c r="D134" s="155"/>
      <c r="E134" s="155"/>
      <c r="F134" s="155"/>
      <c r="G134" s="155"/>
      <c r="H134" s="155"/>
    </row>
    <row r="135" spans="1:8" ht="16.2" thickBot="1" x14ac:dyDescent="0.35"/>
    <row r="136" spans="1:8" ht="16.2" customHeight="1" thickBot="1" x14ac:dyDescent="0.35">
      <c r="A136" s="158" t="s">
        <v>231</v>
      </c>
      <c r="B136" s="159"/>
      <c r="C136" s="159"/>
      <c r="D136" s="159"/>
      <c r="E136" s="159"/>
      <c r="F136" s="160"/>
    </row>
    <row r="137" spans="1:8" ht="16.2" thickBot="1" x14ac:dyDescent="0.35">
      <c r="A137" s="119" t="s">
        <v>136</v>
      </c>
      <c r="B137" s="120">
        <v>43891</v>
      </c>
      <c r="C137" s="120">
        <v>44256</v>
      </c>
      <c r="D137" s="120">
        <v>44621</v>
      </c>
      <c r="E137" s="120">
        <v>44986</v>
      </c>
      <c r="F137" s="120">
        <v>45352</v>
      </c>
      <c r="G137" s="120">
        <v>45717</v>
      </c>
      <c r="H137" s="121" t="s">
        <v>158</v>
      </c>
    </row>
    <row r="138" spans="1:8" x14ac:dyDescent="0.3">
      <c r="A138" s="117" t="s">
        <v>230</v>
      </c>
      <c r="B138" s="118">
        <f>'PROFIT &amp; LOSS'!C20</f>
        <v>1517</v>
      </c>
      <c r="C138" s="118">
        <f>'PROFIT &amp; LOSS'!D20</f>
        <v>877</v>
      </c>
      <c r="D138" s="118">
        <f>'PROFIT &amp; LOSS'!E20</f>
        <v>2180</v>
      </c>
      <c r="E138" s="118">
        <f>'PROFIT &amp; LOSS'!F20</f>
        <v>3333</v>
      </c>
      <c r="F138" s="118">
        <f>'PROFIT &amp; LOSS'!G20</f>
        <v>3544</v>
      </c>
      <c r="G138" s="118">
        <f>'PROFIT &amp; LOSS'!H20</f>
        <v>3335</v>
      </c>
      <c r="H138" s="122"/>
    </row>
    <row r="139" spans="1:8" x14ac:dyDescent="0.3">
      <c r="A139" s="87" t="s">
        <v>238</v>
      </c>
      <c r="B139" s="95">
        <v>89</v>
      </c>
      <c r="C139" s="95">
        <v>89</v>
      </c>
      <c r="D139" s="95">
        <v>89</v>
      </c>
      <c r="E139" s="95">
        <v>89</v>
      </c>
      <c r="F139" s="95">
        <v>89</v>
      </c>
      <c r="G139" s="95">
        <v>89</v>
      </c>
      <c r="H139" s="86"/>
    </row>
    <row r="140" spans="1:8" ht="16.2" thickBot="1" x14ac:dyDescent="0.35">
      <c r="A140" s="88" t="s">
        <v>232</v>
      </c>
      <c r="B140" s="92">
        <f>B138/B139</f>
        <v>17.04494382022472</v>
      </c>
      <c r="C140" s="92">
        <f t="shared" ref="C140" si="36">C138/C139</f>
        <v>9.8539325842696623</v>
      </c>
      <c r="D140" s="92">
        <f t="shared" ref="D140" si="37">D138/D139</f>
        <v>24.49438202247191</v>
      </c>
      <c r="E140" s="92">
        <f t="shared" ref="E140" si="38">E138/E139</f>
        <v>37.449438202247194</v>
      </c>
      <c r="F140" s="92">
        <f t="shared" ref="F140" si="39">F138/F139</f>
        <v>39.820224719101127</v>
      </c>
      <c r="G140" s="92">
        <f t="shared" ref="G140" si="40">G138/G139</f>
        <v>37.471910112359552</v>
      </c>
      <c r="H140" s="98"/>
    </row>
    <row r="141" spans="1:8" x14ac:dyDescent="0.3">
      <c r="A141" s="154" t="s">
        <v>271</v>
      </c>
      <c r="B141" s="156"/>
      <c r="C141" s="156"/>
      <c r="D141" s="156"/>
      <c r="E141" s="156"/>
      <c r="F141" s="156"/>
      <c r="G141" s="156"/>
      <c r="H141" s="156"/>
    </row>
    <row r="142" spans="1:8" x14ac:dyDescent="0.3">
      <c r="A142" s="157"/>
      <c r="B142" s="157"/>
      <c r="C142" s="157"/>
      <c r="D142" s="157"/>
      <c r="E142" s="157"/>
      <c r="F142" s="157"/>
      <c r="G142" s="157"/>
      <c r="H142" s="157"/>
    </row>
    <row r="143" spans="1:8" ht="16.2" thickBot="1" x14ac:dyDescent="0.35"/>
    <row r="144" spans="1:8" ht="16.2" thickBot="1" x14ac:dyDescent="0.35">
      <c r="A144" s="158" t="s">
        <v>233</v>
      </c>
      <c r="B144" s="159"/>
      <c r="C144" s="159"/>
      <c r="D144" s="159"/>
      <c r="E144" s="159"/>
      <c r="F144" s="160"/>
    </row>
    <row r="145" spans="1:8" ht="16.2" thickBot="1" x14ac:dyDescent="0.35">
      <c r="A145" s="119" t="s">
        <v>136</v>
      </c>
      <c r="B145" s="120">
        <v>43891</v>
      </c>
      <c r="C145" s="120">
        <v>44256</v>
      </c>
      <c r="D145" s="120">
        <v>44621</v>
      </c>
      <c r="E145" s="120">
        <v>44986</v>
      </c>
      <c r="F145" s="120">
        <v>45352</v>
      </c>
      <c r="G145" s="120">
        <v>45717</v>
      </c>
      <c r="H145" s="121" t="s">
        <v>158</v>
      </c>
    </row>
    <row r="146" spans="1:8" x14ac:dyDescent="0.3">
      <c r="A146" s="117" t="s">
        <v>182</v>
      </c>
      <c r="B146" s="118">
        <f>'CASH FLOW STATEMENT'!C2</f>
        <v>-289</v>
      </c>
      <c r="C146" s="118">
        <f>'CASH FLOW STATEMENT'!D2</f>
        <v>4101</v>
      </c>
      <c r="D146" s="118">
        <f>'CASH FLOW STATEMENT'!E2</f>
        <v>-1126</v>
      </c>
      <c r="E146" s="118">
        <f>'CASH FLOW STATEMENT'!F2</f>
        <v>1810</v>
      </c>
      <c r="F146" s="118">
        <f>'CASH FLOW STATEMENT'!G2</f>
        <v>2030</v>
      </c>
      <c r="G146" s="118">
        <f>'CASH FLOW STATEMENT'!H2</f>
        <v>-170</v>
      </c>
      <c r="H146" s="122"/>
    </row>
    <row r="147" spans="1:8" x14ac:dyDescent="0.3">
      <c r="A147" s="87" t="s">
        <v>243</v>
      </c>
      <c r="B147" s="95">
        <v>89</v>
      </c>
      <c r="C147" s="95">
        <v>89</v>
      </c>
      <c r="D147" s="95">
        <v>89</v>
      </c>
      <c r="E147" s="95">
        <v>89</v>
      </c>
      <c r="F147" s="95">
        <v>89</v>
      </c>
      <c r="G147" s="95">
        <v>89</v>
      </c>
      <c r="H147" s="86"/>
    </row>
    <row r="148" spans="1:8" ht="16.2" thickBot="1" x14ac:dyDescent="0.35">
      <c r="A148" s="88" t="s">
        <v>234</v>
      </c>
      <c r="B148" s="92">
        <f>B146/B147</f>
        <v>-3.2471910112359552</v>
      </c>
      <c r="C148" s="92">
        <f t="shared" ref="C148" si="41">C146/C147</f>
        <v>46.078651685393261</v>
      </c>
      <c r="D148" s="92">
        <f t="shared" ref="D148" si="42">D146/D147</f>
        <v>-12.651685393258427</v>
      </c>
      <c r="E148" s="92">
        <f t="shared" ref="E148" si="43">E146/E147</f>
        <v>20.337078651685392</v>
      </c>
      <c r="F148" s="92">
        <f t="shared" ref="F148" si="44">F146/F147</f>
        <v>22.808988764044944</v>
      </c>
      <c r="G148" s="92">
        <f t="shared" ref="G148" si="45">G146/G147</f>
        <v>-1.9101123595505618</v>
      </c>
      <c r="H148" s="98"/>
    </row>
    <row r="149" spans="1:8" x14ac:dyDescent="0.3">
      <c r="A149" s="154" t="s">
        <v>272</v>
      </c>
      <c r="B149" s="154"/>
      <c r="C149" s="154"/>
      <c r="D149" s="154"/>
      <c r="E149" s="154"/>
      <c r="F149" s="154"/>
      <c r="G149" s="154"/>
      <c r="H149" s="154"/>
    </row>
    <row r="150" spans="1:8" x14ac:dyDescent="0.3">
      <c r="A150" s="155"/>
      <c r="B150" s="155"/>
      <c r="C150" s="155"/>
      <c r="D150" s="155"/>
      <c r="E150" s="155"/>
      <c r="F150" s="155"/>
      <c r="G150" s="155"/>
      <c r="H150" s="155"/>
    </row>
    <row r="151" spans="1:8" ht="16.2" thickBot="1" x14ac:dyDescent="0.35"/>
    <row r="152" spans="1:8" ht="16.2" thickBot="1" x14ac:dyDescent="0.35">
      <c r="A152" s="158" t="s">
        <v>235</v>
      </c>
      <c r="B152" s="159"/>
      <c r="C152" s="159"/>
      <c r="D152" s="159"/>
      <c r="E152" s="159"/>
      <c r="F152" s="160"/>
    </row>
    <row r="153" spans="1:8" ht="16.2" thickBot="1" x14ac:dyDescent="0.35">
      <c r="A153" s="119" t="s">
        <v>136</v>
      </c>
      <c r="B153" s="120">
        <v>43891</v>
      </c>
      <c r="C153" s="120">
        <v>44256</v>
      </c>
      <c r="D153" s="120">
        <v>44621</v>
      </c>
      <c r="E153" s="120">
        <v>44986</v>
      </c>
      <c r="F153" s="120">
        <v>45352</v>
      </c>
      <c r="G153" s="120">
        <v>45717</v>
      </c>
      <c r="H153" s="121" t="s">
        <v>158</v>
      </c>
    </row>
    <row r="154" spans="1:8" x14ac:dyDescent="0.3">
      <c r="A154" s="117" t="s">
        <v>236</v>
      </c>
      <c r="B154" s="118">
        <f>'BALANCE SHEET'!C2+'BALANCE SHEET'!C3</f>
        <v>6825</v>
      </c>
      <c r="C154" s="118">
        <f>'BALANCE SHEET'!D2+'BALANCE SHEET'!D3</f>
        <v>7553</v>
      </c>
      <c r="D154" s="118">
        <f>'BALANCE SHEET'!E2+'BALANCE SHEET'!E3</f>
        <v>9373</v>
      </c>
      <c r="E154" s="118">
        <f>'BALANCE SHEET'!F2+'BALANCE SHEET'!F3</f>
        <v>11994</v>
      </c>
      <c r="F154" s="118">
        <f>'BALANCE SHEET'!G2+'BALANCE SHEET'!G3</f>
        <v>14457</v>
      </c>
      <c r="G154" s="118">
        <f>'BALANCE SHEET'!H2+'BALANCE SHEET'!H3</f>
        <v>16811</v>
      </c>
      <c r="H154" s="122"/>
    </row>
    <row r="155" spans="1:8" x14ac:dyDescent="0.3">
      <c r="A155" s="87" t="s">
        <v>243</v>
      </c>
      <c r="B155" s="95">
        <v>89</v>
      </c>
      <c r="C155" s="95">
        <v>89</v>
      </c>
      <c r="D155" s="95">
        <v>89</v>
      </c>
      <c r="E155" s="95">
        <v>89</v>
      </c>
      <c r="F155" s="95">
        <v>89</v>
      </c>
      <c r="G155" s="95">
        <v>89</v>
      </c>
      <c r="H155" s="86"/>
    </row>
    <row r="156" spans="1:8" ht="16.2" thickBot="1" x14ac:dyDescent="0.35">
      <c r="A156" s="88" t="s">
        <v>237</v>
      </c>
      <c r="B156" s="92">
        <f>B154/B155</f>
        <v>76.68539325842697</v>
      </c>
      <c r="C156" s="92">
        <f t="shared" ref="C156" si="46">C154/C155</f>
        <v>84.865168539325836</v>
      </c>
      <c r="D156" s="92">
        <f t="shared" ref="D156" si="47">D154/D155</f>
        <v>105.31460674157303</v>
      </c>
      <c r="E156" s="92">
        <f t="shared" ref="E156" si="48">E154/E155</f>
        <v>134.76404494382024</v>
      </c>
      <c r="F156" s="92">
        <f t="shared" ref="F156" si="49">F154/F155</f>
        <v>162.43820224719101</v>
      </c>
      <c r="G156" s="92">
        <f t="shared" ref="G156" si="50">G154/G155</f>
        <v>188.88764044943821</v>
      </c>
      <c r="H156" s="98"/>
    </row>
    <row r="157" spans="1:8" x14ac:dyDescent="0.3">
      <c r="A157" s="154" t="s">
        <v>273</v>
      </c>
      <c r="B157" s="156"/>
      <c r="C157" s="156"/>
      <c r="D157" s="156"/>
      <c r="E157" s="156"/>
      <c r="F157" s="156"/>
      <c r="G157" s="156"/>
      <c r="H157" s="156"/>
    </row>
    <row r="158" spans="1:8" x14ac:dyDescent="0.3">
      <c r="A158" s="157"/>
      <c r="B158" s="157"/>
      <c r="C158" s="157"/>
      <c r="D158" s="157"/>
      <c r="E158" s="157"/>
      <c r="F158" s="157"/>
      <c r="G158" s="157"/>
      <c r="H158" s="157"/>
    </row>
    <row r="159" spans="1:8" ht="16.2" thickBot="1" x14ac:dyDescent="0.35"/>
    <row r="160" spans="1:8" ht="16.2" thickBot="1" x14ac:dyDescent="0.35">
      <c r="A160" s="158" t="s">
        <v>239</v>
      </c>
      <c r="B160" s="159"/>
      <c r="C160" s="159"/>
      <c r="D160" s="159"/>
      <c r="E160" s="159"/>
      <c r="F160" s="160"/>
    </row>
    <row r="161" spans="1:8" ht="16.2" thickBot="1" x14ac:dyDescent="0.35">
      <c r="A161" s="119" t="s">
        <v>136</v>
      </c>
      <c r="B161" s="120">
        <v>43891</v>
      </c>
      <c r="C161" s="120">
        <v>44256</v>
      </c>
      <c r="D161" s="120">
        <v>44621</v>
      </c>
      <c r="E161" s="120">
        <v>44986</v>
      </c>
      <c r="F161" s="120">
        <v>45352</v>
      </c>
      <c r="G161" s="120">
        <v>45717</v>
      </c>
      <c r="H161" s="121" t="s">
        <v>158</v>
      </c>
    </row>
    <row r="162" spans="1:8" x14ac:dyDescent="0.3">
      <c r="A162" s="117" t="s">
        <v>240</v>
      </c>
      <c r="B162" s="118">
        <v>970.05</v>
      </c>
      <c r="C162" s="118">
        <v>1491</v>
      </c>
      <c r="D162" s="118">
        <v>2536</v>
      </c>
      <c r="E162" s="118">
        <v>2515</v>
      </c>
      <c r="F162" s="118">
        <v>2925</v>
      </c>
      <c r="G162" s="118">
        <v>3770</v>
      </c>
      <c r="H162" s="122"/>
    </row>
    <row r="163" spans="1:8" x14ac:dyDescent="0.3">
      <c r="A163" s="87" t="s">
        <v>242</v>
      </c>
      <c r="B163" s="95">
        <v>89</v>
      </c>
      <c r="C163" s="95">
        <v>89</v>
      </c>
      <c r="D163" s="95">
        <v>89</v>
      </c>
      <c r="E163" s="95">
        <v>89</v>
      </c>
      <c r="F163" s="95">
        <v>89</v>
      </c>
      <c r="G163" s="95">
        <v>89</v>
      </c>
      <c r="H163" s="86"/>
    </row>
    <row r="164" spans="1:8" ht="16.2" thickBot="1" x14ac:dyDescent="0.35">
      <c r="A164" s="88" t="s">
        <v>241</v>
      </c>
      <c r="B164" s="92">
        <f>B162/B163</f>
        <v>10.89943820224719</v>
      </c>
      <c r="C164" s="92">
        <f t="shared" ref="C164" si="51">C162/C163</f>
        <v>16.752808988764045</v>
      </c>
      <c r="D164" s="92">
        <f t="shared" ref="D164" si="52">D162/D163</f>
        <v>28.49438202247191</v>
      </c>
      <c r="E164" s="92">
        <f t="shared" ref="E164" si="53">E162/E163</f>
        <v>28.258426966292134</v>
      </c>
      <c r="F164" s="92">
        <f t="shared" ref="F164" si="54">F162/F163</f>
        <v>32.865168539325843</v>
      </c>
      <c r="G164" s="92">
        <f t="shared" ref="G164" si="55">G162/G163</f>
        <v>42.359550561797754</v>
      </c>
      <c r="H164" s="98"/>
    </row>
    <row r="165" spans="1:8" x14ac:dyDescent="0.3">
      <c r="A165" s="154" t="s">
        <v>274</v>
      </c>
      <c r="B165" s="154"/>
      <c r="C165" s="154"/>
      <c r="D165" s="154"/>
      <c r="E165" s="154"/>
      <c r="F165" s="154"/>
      <c r="G165" s="154"/>
      <c r="H165" s="154"/>
    </row>
    <row r="166" spans="1:8" x14ac:dyDescent="0.3">
      <c r="A166" s="155"/>
      <c r="B166" s="155"/>
      <c r="C166" s="155"/>
      <c r="D166" s="155"/>
      <c r="E166" s="155"/>
      <c r="F166" s="155"/>
      <c r="G166" s="155"/>
      <c r="H166" s="155"/>
    </row>
  </sheetData>
  <mergeCells count="42">
    <mergeCell ref="A22:G22"/>
    <mergeCell ref="A1:D1"/>
    <mergeCell ref="A8:G8"/>
    <mergeCell ref="A10:D10"/>
    <mergeCell ref="A15:G15"/>
    <mergeCell ref="A17:D17"/>
    <mergeCell ref="A24:D24"/>
    <mergeCell ref="A37:G37"/>
    <mergeCell ref="A32:G32"/>
    <mergeCell ref="A39:D39"/>
    <mergeCell ref="A29:H30"/>
    <mergeCell ref="A70:H70"/>
    <mergeCell ref="A88:D88"/>
    <mergeCell ref="A62:D62"/>
    <mergeCell ref="A44:G44"/>
    <mergeCell ref="A54:D54"/>
    <mergeCell ref="A46:H46"/>
    <mergeCell ref="A51:H52"/>
    <mergeCell ref="A59:H60"/>
    <mergeCell ref="A67:H68"/>
    <mergeCell ref="A77:H78"/>
    <mergeCell ref="A133:H134"/>
    <mergeCell ref="A141:H142"/>
    <mergeCell ref="A149:H150"/>
    <mergeCell ref="A157:H158"/>
    <mergeCell ref="A80:D80"/>
    <mergeCell ref="A165:H166"/>
    <mergeCell ref="A85:H86"/>
    <mergeCell ref="A93:H94"/>
    <mergeCell ref="A101:H102"/>
    <mergeCell ref="A109:H110"/>
    <mergeCell ref="A117:H118"/>
    <mergeCell ref="A136:F136"/>
    <mergeCell ref="A144:F144"/>
    <mergeCell ref="A152:F152"/>
    <mergeCell ref="A160:F160"/>
    <mergeCell ref="A96:D96"/>
    <mergeCell ref="A104:D104"/>
    <mergeCell ref="A120:D120"/>
    <mergeCell ref="A128:D128"/>
    <mergeCell ref="A112:D112"/>
    <mergeCell ref="A125:H126"/>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5BF4B5E5-1AEE-4654-BAEC-65547A736EAB}">
          <x14:colorSeries rgb="FF376092"/>
          <x14:colorNegative rgb="FFD00000"/>
          <x14:colorAxis rgb="FF000000"/>
          <x14:colorMarkers rgb="FFD00000"/>
          <x14:colorFirst rgb="FFD00000"/>
          <x14:colorLast rgb="FFD00000"/>
          <x14:colorHigh rgb="FFD00000"/>
          <x14:colorLow rgb="FFD00000"/>
          <x14:sparklines>
            <x14:sparkline>
              <xm:f>'KEY PERFORMANCE INDICATORS'!B26:G26</xm:f>
              <xm:sqref>H26</xm:sqref>
            </x14:sparkline>
            <x14:sparkline>
              <xm:f>'KEY PERFORMANCE INDICATORS'!B27:G27</xm:f>
              <xm:sqref>H27</xm:sqref>
            </x14:sparkline>
            <x14:sparkline>
              <xm:f>'KEY PERFORMANCE INDICATORS'!B28:G28</xm:f>
              <xm:sqref>H28</xm:sqref>
            </x14:sparkline>
          </x14:sparklines>
        </x14:sparklineGroup>
        <x14:sparklineGroup displayEmptyCellsAs="gap" xr2:uid="{3611D96E-4501-4793-A1DA-96D64584A096}">
          <x14:colorSeries rgb="FF376092"/>
          <x14:colorNegative rgb="FFD00000"/>
          <x14:colorAxis rgb="FF000000"/>
          <x14:colorMarkers rgb="FFD00000"/>
          <x14:colorFirst rgb="FFD00000"/>
          <x14:colorLast rgb="FFD00000"/>
          <x14:colorHigh rgb="FFD00000"/>
          <x14:colorLow rgb="FFD00000"/>
          <x14:sparklines>
            <x14:sparkline>
              <xm:f>'KEY PERFORMANCE INDICATORS'!B34:G34</xm:f>
              <xm:sqref>H34</xm:sqref>
            </x14:sparkline>
            <x14:sparkline>
              <xm:f>'KEY PERFORMANCE INDICATORS'!B35:G35</xm:f>
              <xm:sqref>H35</xm:sqref>
            </x14:sparkline>
            <x14:sparkline>
              <xm:f>'KEY PERFORMANCE INDICATORS'!B36:G36</xm:f>
              <xm:sqref>H36</xm:sqref>
            </x14:sparkline>
          </x14:sparklines>
        </x14:sparklineGroup>
        <x14:sparklineGroup displayEmptyCellsAs="gap" xr2:uid="{C2437EA6-430C-4301-AD51-C58A0C1A91EB}">
          <x14:colorSeries rgb="FF376092"/>
          <x14:colorNegative rgb="FFD00000"/>
          <x14:colorAxis rgb="FF000000"/>
          <x14:colorMarkers rgb="FFD00000"/>
          <x14:colorFirst rgb="FFD00000"/>
          <x14:colorLast rgb="FFD00000"/>
          <x14:colorHigh rgb="FFD00000"/>
          <x14:colorLow rgb="FFD00000"/>
          <x14:sparklines>
            <x14:sparkline>
              <xm:f>'KEY PERFORMANCE INDICATORS'!B41:G41</xm:f>
              <xm:sqref>H41</xm:sqref>
            </x14:sparkline>
            <x14:sparkline>
              <xm:f>'KEY PERFORMANCE INDICATORS'!B42:G42</xm:f>
              <xm:sqref>H42</xm:sqref>
            </x14:sparkline>
            <x14:sparkline>
              <xm:f>'KEY PERFORMANCE INDICATORS'!B43:G43</xm:f>
              <xm:sqref>H43</xm:sqref>
            </x14:sparkline>
          </x14:sparklines>
        </x14:sparklineGroup>
        <x14:sparklineGroup displayEmptyCellsAs="gap" xr2:uid="{2ECD7806-843C-4169-97C7-01C0F7D87BD9}">
          <x14:colorSeries rgb="FF376092"/>
          <x14:colorNegative rgb="FFD00000"/>
          <x14:colorAxis rgb="FF000000"/>
          <x14:colorMarkers rgb="FFD00000"/>
          <x14:colorFirst rgb="FFD00000"/>
          <x14:colorLast rgb="FFD00000"/>
          <x14:colorHigh rgb="FFD00000"/>
          <x14:colorLow rgb="FFD00000"/>
          <x14:sparklines>
            <x14:sparkline>
              <xm:f>'KEY PERFORMANCE INDICATORS'!B48:G48</xm:f>
              <xm:sqref>H48</xm:sqref>
            </x14:sparkline>
            <x14:sparkline>
              <xm:f>'KEY PERFORMANCE INDICATORS'!B49:G49</xm:f>
              <xm:sqref>H49</xm:sqref>
            </x14:sparkline>
            <x14:sparkline>
              <xm:f>'KEY PERFORMANCE INDICATORS'!B50:G50</xm:f>
              <xm:sqref>H50</xm:sqref>
            </x14:sparkline>
          </x14:sparklines>
        </x14:sparklineGroup>
        <x14:sparklineGroup displayEmptyCellsAs="gap" xr2:uid="{0A2AD680-A7D4-44D9-9FBA-37A76AF90BF3}">
          <x14:colorSeries rgb="FF376092"/>
          <x14:colorNegative rgb="FFD00000"/>
          <x14:colorAxis rgb="FF000000"/>
          <x14:colorMarkers rgb="FFD00000"/>
          <x14:colorFirst rgb="FFD00000"/>
          <x14:colorLast rgb="FFD00000"/>
          <x14:colorHigh rgb="FFD00000"/>
          <x14:colorLow rgb="FFD00000"/>
          <x14:sparklines>
            <x14:sparkline>
              <xm:f>'KEY PERFORMANCE INDICATORS'!B56:G56</xm:f>
              <xm:sqref>H56</xm:sqref>
            </x14:sparkline>
            <x14:sparkline>
              <xm:f>'KEY PERFORMANCE INDICATORS'!B57:G57</xm:f>
              <xm:sqref>H57</xm:sqref>
            </x14:sparkline>
            <x14:sparkline>
              <xm:f>'KEY PERFORMANCE INDICATORS'!B58:G58</xm:f>
              <xm:sqref>H58</xm:sqref>
            </x14:sparkline>
          </x14:sparklines>
        </x14:sparklineGroup>
        <x14:sparklineGroup displayEmptyCellsAs="gap" xr2:uid="{DD54E3A9-6093-4F23-AE67-B21ACA0F802E}">
          <x14:colorSeries rgb="FF376092"/>
          <x14:colorNegative rgb="FFD00000"/>
          <x14:colorAxis rgb="FF000000"/>
          <x14:colorMarkers rgb="FFD00000"/>
          <x14:colorFirst rgb="FFD00000"/>
          <x14:colorLast rgb="FFD00000"/>
          <x14:colorHigh rgb="FFD00000"/>
          <x14:colorLow rgb="FFD00000"/>
          <x14:sparklines>
            <x14:sparkline>
              <xm:f>'KEY PERFORMANCE INDICATORS'!B64:G64</xm:f>
              <xm:sqref>H64</xm:sqref>
            </x14:sparkline>
            <x14:sparkline>
              <xm:f>'KEY PERFORMANCE INDICATORS'!B65:G65</xm:f>
              <xm:sqref>H65</xm:sqref>
            </x14:sparkline>
            <x14:sparkline>
              <xm:f>'KEY PERFORMANCE INDICATORS'!B66:G66</xm:f>
              <xm:sqref>H66</xm:sqref>
            </x14:sparkline>
          </x14:sparklines>
        </x14:sparklineGroup>
        <x14:sparklineGroup displayEmptyCellsAs="gap" xr2:uid="{C449CB18-21A0-402E-9639-C9A3C39E7FD0}">
          <x14:colorSeries rgb="FF376092"/>
          <x14:colorNegative rgb="FFD00000"/>
          <x14:colorAxis rgb="FF000000"/>
          <x14:colorMarkers rgb="FFD00000"/>
          <x14:colorFirst rgb="FFD00000"/>
          <x14:colorLast rgb="FFD00000"/>
          <x14:colorHigh rgb="FFD00000"/>
          <x14:colorLow rgb="FFD00000"/>
          <x14:sparklines>
            <x14:sparkline>
              <xm:f>'KEY PERFORMANCE INDICATORS'!B162:G162</xm:f>
              <xm:sqref>H162</xm:sqref>
            </x14:sparkline>
            <x14:sparkline>
              <xm:f>'KEY PERFORMANCE INDICATORS'!B163:G163</xm:f>
              <xm:sqref>H163</xm:sqref>
            </x14:sparkline>
            <x14:sparkline>
              <xm:f>'KEY PERFORMANCE INDICATORS'!B164:G164</xm:f>
              <xm:sqref>H164</xm:sqref>
            </x14:sparkline>
          </x14:sparklines>
        </x14:sparklineGroup>
        <x14:sparklineGroup displayEmptyCellsAs="gap" xr2:uid="{4DE132D8-D37E-4C38-9DEC-C3C4462528B2}">
          <x14:colorSeries rgb="FF376092"/>
          <x14:colorNegative rgb="FFD00000"/>
          <x14:colorAxis rgb="FF000000"/>
          <x14:colorMarkers rgb="FFD00000"/>
          <x14:colorFirst rgb="FFD00000"/>
          <x14:colorLast rgb="FFD00000"/>
          <x14:colorHigh rgb="FFD00000"/>
          <x14:colorLow rgb="FFD00000"/>
          <x14:sparklines>
            <x14:sparkline>
              <xm:f>'KEY PERFORMANCE INDICATORS'!B154:G154</xm:f>
              <xm:sqref>H154</xm:sqref>
            </x14:sparkline>
            <x14:sparkline>
              <xm:f>'KEY PERFORMANCE INDICATORS'!B155:G155</xm:f>
              <xm:sqref>H155</xm:sqref>
            </x14:sparkline>
            <x14:sparkline>
              <xm:f>'KEY PERFORMANCE INDICATORS'!B156:G156</xm:f>
              <xm:sqref>H156</xm:sqref>
            </x14:sparkline>
          </x14:sparklines>
        </x14:sparklineGroup>
        <x14:sparklineGroup displayEmptyCellsAs="gap" xr2:uid="{753016FC-667A-4C42-9DDF-722E9829640E}">
          <x14:colorSeries rgb="FF376092"/>
          <x14:colorNegative rgb="FFD00000"/>
          <x14:colorAxis rgb="FF000000"/>
          <x14:colorMarkers rgb="FFD00000"/>
          <x14:colorFirst rgb="FFD00000"/>
          <x14:colorLast rgb="FFD00000"/>
          <x14:colorHigh rgb="FFD00000"/>
          <x14:colorLow rgb="FFD00000"/>
          <x14:sparklines>
            <x14:sparkline>
              <xm:f>'KEY PERFORMANCE INDICATORS'!B146:G146</xm:f>
              <xm:sqref>H146</xm:sqref>
            </x14:sparkline>
            <x14:sparkline>
              <xm:f>'KEY PERFORMANCE INDICATORS'!B147:G147</xm:f>
              <xm:sqref>H147</xm:sqref>
            </x14:sparkline>
            <x14:sparkline>
              <xm:f>'KEY PERFORMANCE INDICATORS'!B148:G148</xm:f>
              <xm:sqref>H148</xm:sqref>
            </x14:sparkline>
          </x14:sparklines>
        </x14:sparklineGroup>
        <x14:sparklineGroup displayEmptyCellsAs="gap" xr2:uid="{158E76B9-E1A0-40A7-982B-60848B9FAB51}">
          <x14:colorSeries rgb="FF376092"/>
          <x14:colorNegative rgb="FFD00000"/>
          <x14:colorAxis rgb="FF000000"/>
          <x14:colorMarkers rgb="FFD00000"/>
          <x14:colorFirst rgb="FFD00000"/>
          <x14:colorLast rgb="FFD00000"/>
          <x14:colorHigh rgb="FFD00000"/>
          <x14:colorLow rgb="FFD00000"/>
          <x14:sparklines>
            <x14:sparkline>
              <xm:f>'KEY PERFORMANCE INDICATORS'!B138:G138</xm:f>
              <xm:sqref>H138</xm:sqref>
            </x14:sparkline>
            <x14:sparkline>
              <xm:f>'KEY PERFORMANCE INDICATORS'!B139:G139</xm:f>
              <xm:sqref>H139</xm:sqref>
            </x14:sparkline>
            <x14:sparkline>
              <xm:f>'KEY PERFORMANCE INDICATORS'!B140:G140</xm:f>
              <xm:sqref>H140</xm:sqref>
            </x14:sparkline>
          </x14:sparklines>
        </x14:sparklineGroup>
        <x14:sparklineGroup displayEmptyCellsAs="gap" xr2:uid="{3D9ABD75-A924-4436-A0D9-AA02B59EE6EF}">
          <x14:colorSeries rgb="FF376092"/>
          <x14:colorNegative rgb="FFD00000"/>
          <x14:colorAxis rgb="FF000000"/>
          <x14:colorMarkers rgb="FFD00000"/>
          <x14:colorFirst rgb="FFD00000"/>
          <x14:colorLast rgb="FFD00000"/>
          <x14:colorHigh rgb="FFD00000"/>
          <x14:colorLow rgb="FFD00000"/>
          <x14:sparklines>
            <x14:sparkline>
              <xm:f>'KEY PERFORMANCE INDICATORS'!B114:G114</xm:f>
              <xm:sqref>H114</xm:sqref>
            </x14:sparkline>
            <x14:sparkline>
              <xm:f>'KEY PERFORMANCE INDICATORS'!B115:G115</xm:f>
              <xm:sqref>H115</xm:sqref>
            </x14:sparkline>
            <x14:sparkline>
              <xm:f>'KEY PERFORMANCE INDICATORS'!B116:G116</xm:f>
              <xm:sqref>H116</xm:sqref>
            </x14:sparkline>
          </x14:sparklines>
        </x14:sparklineGroup>
        <x14:sparklineGroup displayEmptyCellsAs="gap" xr2:uid="{868C6256-F4EF-4E8D-AE56-3150373AC9FB}">
          <x14:colorSeries rgb="FF376092"/>
          <x14:colorNegative rgb="FFD00000"/>
          <x14:colorAxis rgb="FF000000"/>
          <x14:colorMarkers rgb="FFD00000"/>
          <x14:colorFirst rgb="FFD00000"/>
          <x14:colorLast rgb="FFD00000"/>
          <x14:colorHigh rgb="FFD00000"/>
          <x14:colorLow rgb="FFD00000"/>
          <x14:sparklines>
            <x14:sparkline>
              <xm:f>'KEY PERFORMANCE INDICATORS'!B130:G130</xm:f>
              <xm:sqref>H130</xm:sqref>
            </x14:sparkline>
            <x14:sparkline>
              <xm:f>'KEY PERFORMANCE INDICATORS'!B131:G131</xm:f>
              <xm:sqref>H131</xm:sqref>
            </x14:sparkline>
            <x14:sparkline>
              <xm:f>'KEY PERFORMANCE INDICATORS'!B132:G132</xm:f>
              <xm:sqref>H132</xm:sqref>
            </x14:sparkline>
          </x14:sparklines>
        </x14:sparklineGroup>
        <x14:sparklineGroup displayEmptyCellsAs="gap" xr2:uid="{193B15B2-488D-4360-A78E-1A7BF35D97CC}">
          <x14:colorSeries rgb="FF376092"/>
          <x14:colorNegative rgb="FFD00000"/>
          <x14:colorAxis rgb="FF000000"/>
          <x14:colorMarkers rgb="FFD00000"/>
          <x14:colorFirst rgb="FFD00000"/>
          <x14:colorLast rgb="FFD00000"/>
          <x14:colorHigh rgb="FFD00000"/>
          <x14:colorLow rgb="FFD00000"/>
          <x14:sparklines>
            <x14:sparkline>
              <xm:f>'KEY PERFORMANCE INDICATORS'!B122:G122</xm:f>
              <xm:sqref>H122</xm:sqref>
            </x14:sparkline>
            <x14:sparkline>
              <xm:f>'KEY PERFORMANCE INDICATORS'!B123:G123</xm:f>
              <xm:sqref>H123</xm:sqref>
            </x14:sparkline>
            <x14:sparkline>
              <xm:f>'KEY PERFORMANCE INDICATORS'!B124:G124</xm:f>
              <xm:sqref>H124</xm:sqref>
            </x14:sparkline>
          </x14:sparklines>
        </x14:sparklineGroup>
        <x14:sparklineGroup displayEmptyCellsAs="gap" xr2:uid="{DCF5A601-6AC4-40F0-8FA4-4C0DAD4D5114}">
          <x14:colorSeries rgb="FF376092"/>
          <x14:colorNegative rgb="FFD00000"/>
          <x14:colorAxis rgb="FF000000"/>
          <x14:colorMarkers rgb="FFD00000"/>
          <x14:colorFirst rgb="FFD00000"/>
          <x14:colorLast rgb="FFD00000"/>
          <x14:colorHigh rgb="FFD00000"/>
          <x14:colorLow rgb="FFD00000"/>
          <x14:sparklines>
            <x14:sparkline>
              <xm:f>'KEY PERFORMANCE INDICATORS'!B106:G106</xm:f>
              <xm:sqref>H106</xm:sqref>
            </x14:sparkline>
            <x14:sparkline>
              <xm:f>'KEY PERFORMANCE INDICATORS'!B107:G107</xm:f>
              <xm:sqref>H107</xm:sqref>
            </x14:sparkline>
            <x14:sparkline>
              <xm:f>'KEY PERFORMANCE INDICATORS'!B108:G108</xm:f>
              <xm:sqref>H108</xm:sqref>
            </x14:sparkline>
          </x14:sparklines>
        </x14:sparklineGroup>
        <x14:sparklineGroup displayEmptyCellsAs="gap" xr2:uid="{B92C07A7-C1FA-4DF9-B72E-87F7EBC302C9}">
          <x14:colorSeries rgb="FF376092"/>
          <x14:colorNegative rgb="FFD00000"/>
          <x14:colorAxis rgb="FF000000"/>
          <x14:colorMarkers rgb="FFD00000"/>
          <x14:colorFirst rgb="FFD00000"/>
          <x14:colorLast rgb="FFD00000"/>
          <x14:colorHigh rgb="FFD00000"/>
          <x14:colorLow rgb="FFD00000"/>
          <x14:sparklines>
            <x14:sparkline>
              <xm:f>'KEY PERFORMANCE INDICATORS'!B98:G98</xm:f>
              <xm:sqref>H98</xm:sqref>
            </x14:sparkline>
            <x14:sparkline>
              <xm:f>'KEY PERFORMANCE INDICATORS'!B99:G99</xm:f>
              <xm:sqref>H99</xm:sqref>
            </x14:sparkline>
            <x14:sparkline>
              <xm:f>'KEY PERFORMANCE INDICATORS'!B100:G100</xm:f>
              <xm:sqref>H100</xm:sqref>
            </x14:sparkline>
          </x14:sparklines>
        </x14:sparklineGroup>
        <x14:sparklineGroup displayEmptyCellsAs="gap" xr2:uid="{B1FBBDDA-C161-409A-94CE-B23CD3AB8614}">
          <x14:colorSeries rgb="FF376092"/>
          <x14:colorNegative rgb="FFD00000"/>
          <x14:colorAxis rgb="FF000000"/>
          <x14:colorMarkers rgb="FFD00000"/>
          <x14:colorFirst rgb="FFD00000"/>
          <x14:colorLast rgb="FFD00000"/>
          <x14:colorHigh rgb="FFD00000"/>
          <x14:colorLow rgb="FFD00000"/>
          <x14:sparklines>
            <x14:sparkline>
              <xm:f>'KEY PERFORMANCE INDICATORS'!B90:G90</xm:f>
              <xm:sqref>H90</xm:sqref>
            </x14:sparkline>
            <x14:sparkline>
              <xm:f>'KEY PERFORMANCE INDICATORS'!B91:G91</xm:f>
              <xm:sqref>H91</xm:sqref>
            </x14:sparkline>
            <x14:sparkline>
              <xm:f>'KEY PERFORMANCE INDICATORS'!B92:G92</xm:f>
              <xm:sqref>H92</xm:sqref>
            </x14:sparkline>
          </x14:sparklines>
        </x14:sparklineGroup>
        <x14:sparklineGroup displayEmptyCellsAs="gap" xr2:uid="{FB1271BA-E720-4A06-9172-730FB497B14B}">
          <x14:colorSeries rgb="FF376092"/>
          <x14:colorNegative rgb="FFD00000"/>
          <x14:colorAxis rgb="FF000000"/>
          <x14:colorMarkers rgb="FFD00000"/>
          <x14:colorFirst rgb="FFD00000"/>
          <x14:colorLast rgb="FFD00000"/>
          <x14:colorHigh rgb="FFD00000"/>
          <x14:colorLow rgb="FFD00000"/>
          <x14:sparklines>
            <x14:sparkline>
              <xm:f>'KEY PERFORMANCE INDICATORS'!B82:G82</xm:f>
              <xm:sqref>H82</xm:sqref>
            </x14:sparkline>
            <x14:sparkline>
              <xm:f>'KEY PERFORMANCE INDICATORS'!B83:G83</xm:f>
              <xm:sqref>H83</xm:sqref>
            </x14:sparkline>
            <x14:sparkline>
              <xm:f>'KEY PERFORMANCE INDICATORS'!B84:G84</xm:f>
              <xm:sqref>H84</xm:sqref>
            </x14:sparkline>
          </x14:sparklines>
        </x14:sparklineGroup>
        <x14:sparklineGroup displayEmptyCellsAs="gap" xr2:uid="{3AC52AD2-7E9B-4720-9CF6-E2D60CC06CF9}">
          <x14:colorSeries rgb="FF376092"/>
          <x14:colorNegative rgb="FFD00000"/>
          <x14:colorAxis rgb="FF000000"/>
          <x14:colorMarkers rgb="FFD00000"/>
          <x14:colorFirst rgb="FFD00000"/>
          <x14:colorLast rgb="FFD00000"/>
          <x14:colorHigh rgb="FFD00000"/>
          <x14:colorLow rgb="FFD00000"/>
          <x14:sparklines>
            <x14:sparkline>
              <xm:f>'KEY PERFORMANCE INDICATORS'!B72:G72</xm:f>
              <xm:sqref>H72</xm:sqref>
            </x14:sparkline>
            <x14:sparkline>
              <xm:f>'KEY PERFORMANCE INDICATORS'!B73:G73</xm:f>
              <xm:sqref>H73</xm:sqref>
            </x14:sparkline>
            <x14:sparkline>
              <xm:f>'KEY PERFORMANCE INDICATORS'!B74:G74</xm:f>
              <xm:sqref>H74</xm:sqref>
            </x14:sparkline>
            <x14:sparkline>
              <xm:f>'KEY PERFORMANCE INDICATORS'!B75:G75</xm:f>
              <xm:sqref>H75</xm:sqref>
            </x14:sparkline>
            <x14:sparkline>
              <xm:f>'KEY PERFORMANCE INDICATORS'!B76:G76</xm:f>
              <xm:sqref>H76</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F93F-75C8-460D-9285-9DBEF2BBD688}">
  <dimension ref="A1:L27"/>
  <sheetViews>
    <sheetView workbookViewId="0">
      <selection activeCell="B25" sqref="B25"/>
    </sheetView>
  </sheetViews>
  <sheetFormatPr defaultRowHeight="14.4" x14ac:dyDescent="0.3"/>
  <cols>
    <col min="2" max="2" width="43.6640625" bestFit="1" customWidth="1"/>
    <col min="3" max="3" width="66.109375" style="52" bestFit="1" customWidth="1"/>
    <col min="4" max="4" width="11.5546875" customWidth="1"/>
    <col min="5" max="6" width="12.109375" customWidth="1"/>
    <col min="7" max="7" width="12" customWidth="1"/>
    <col min="8" max="8" width="11.88671875" customWidth="1"/>
    <col min="9" max="9" width="12" customWidth="1"/>
    <col min="10" max="10" width="10.5546875" customWidth="1"/>
    <col min="11" max="11" width="11.21875" customWidth="1"/>
    <col min="12" max="12" width="11" customWidth="1"/>
  </cols>
  <sheetData>
    <row r="1" spans="1:12" ht="15" thickBot="1" x14ac:dyDescent="0.35">
      <c r="B1" s="53"/>
      <c r="C1" s="54"/>
    </row>
    <row r="2" spans="1:12" ht="16.2" thickBot="1" x14ac:dyDescent="0.35">
      <c r="B2" s="55" t="s">
        <v>134</v>
      </c>
      <c r="C2" s="56" t="s">
        <v>135</v>
      </c>
      <c r="D2" s="13"/>
      <c r="E2" s="13"/>
      <c r="F2" s="13"/>
      <c r="G2" s="13"/>
      <c r="H2" s="13"/>
      <c r="I2" s="13"/>
      <c r="J2" s="13"/>
      <c r="K2" s="13"/>
    </row>
    <row r="3" spans="1:12" ht="16.2" thickBot="1" x14ac:dyDescent="0.35">
      <c r="A3" s="39"/>
      <c r="B3" s="36"/>
      <c r="C3" s="36"/>
      <c r="D3" s="13"/>
      <c r="E3" s="13"/>
      <c r="F3" s="13"/>
      <c r="G3" s="13"/>
      <c r="H3" s="13"/>
      <c r="I3" s="13"/>
      <c r="J3" s="13"/>
      <c r="K3" s="13"/>
    </row>
    <row r="4" spans="1:12" ht="15.6" x14ac:dyDescent="0.3">
      <c r="B4" s="26" t="s">
        <v>136</v>
      </c>
      <c r="C4" s="27" t="s">
        <v>245</v>
      </c>
      <c r="D4" s="27">
        <v>2020</v>
      </c>
      <c r="E4" s="27">
        <v>2021</v>
      </c>
      <c r="F4" s="27">
        <v>2022</v>
      </c>
      <c r="G4" s="27">
        <v>2023</v>
      </c>
      <c r="H4" s="27">
        <v>2024</v>
      </c>
      <c r="I4" s="27">
        <v>2025</v>
      </c>
      <c r="J4" s="27">
        <v>2026</v>
      </c>
      <c r="K4" s="27">
        <v>2027</v>
      </c>
      <c r="L4" s="28">
        <v>2028</v>
      </c>
    </row>
    <row r="5" spans="1:12" ht="15.6" x14ac:dyDescent="0.3">
      <c r="B5" s="29" t="s">
        <v>137</v>
      </c>
      <c r="C5" s="14" t="s">
        <v>117</v>
      </c>
      <c r="D5" s="15"/>
      <c r="E5" s="15"/>
      <c r="F5" s="15"/>
      <c r="G5" s="15"/>
      <c r="H5" s="15"/>
      <c r="I5" s="15"/>
      <c r="J5" s="15"/>
      <c r="K5" s="15"/>
      <c r="L5" s="40"/>
    </row>
    <row r="6" spans="1:12" ht="15.6" x14ac:dyDescent="0.3">
      <c r="B6" s="41" t="s">
        <v>11</v>
      </c>
      <c r="C6" s="42"/>
      <c r="D6" s="43">
        <f>'PROFIT &amp; LOSS'!C18</f>
        <v>2105</v>
      </c>
      <c r="E6" s="43">
        <f>'PROFIT &amp; LOSS'!D18</f>
        <v>1233</v>
      </c>
      <c r="F6" s="43">
        <f>'PROFIT &amp; LOSS'!E18</f>
        <v>2932</v>
      </c>
      <c r="G6" s="43">
        <f>'PROFIT &amp; LOSS'!F18</f>
        <v>4465</v>
      </c>
      <c r="H6" s="43">
        <f>'PROFIT &amp; LOSS'!G18</f>
        <v>4607</v>
      </c>
      <c r="I6" s="43">
        <f>'PROFIT &amp; LOSS'!H18</f>
        <v>4481</v>
      </c>
      <c r="J6" s="16"/>
      <c r="K6" s="16"/>
      <c r="L6" s="40"/>
    </row>
    <row r="7" spans="1:12" ht="15.6" x14ac:dyDescent="0.3">
      <c r="B7" s="41" t="s">
        <v>9</v>
      </c>
      <c r="C7" s="42"/>
      <c r="D7" s="43">
        <f>'PROFIT &amp; LOSS'!C16</f>
        <v>149</v>
      </c>
      <c r="E7" s="43">
        <f>'PROFIT &amp; LOSS'!D16</f>
        <v>181</v>
      </c>
      <c r="F7" s="43">
        <f>'PROFIT &amp; LOSS'!E16</f>
        <v>195</v>
      </c>
      <c r="G7" s="43">
        <f>'PROFIT &amp; LOSS'!F16</f>
        <v>240</v>
      </c>
      <c r="H7" s="43">
        <f>'PROFIT &amp; LOSS'!G16</f>
        <v>480</v>
      </c>
      <c r="I7" s="43">
        <f>'PROFIT &amp; LOSS'!H16</f>
        <v>767</v>
      </c>
      <c r="J7" s="16"/>
      <c r="K7" s="16"/>
      <c r="L7" s="40"/>
    </row>
    <row r="8" spans="1:12" ht="15.6" x14ac:dyDescent="0.3">
      <c r="B8" s="30" t="s">
        <v>116</v>
      </c>
      <c r="C8" s="17"/>
      <c r="D8" s="18">
        <f>SUM(D6:D7)</f>
        <v>2254</v>
      </c>
      <c r="E8" s="18">
        <f t="shared" ref="E8:I8" si="0">SUM(E6:E7)</f>
        <v>1414</v>
      </c>
      <c r="F8" s="18">
        <f t="shared" si="0"/>
        <v>3127</v>
      </c>
      <c r="G8" s="18">
        <f t="shared" si="0"/>
        <v>4705</v>
      </c>
      <c r="H8" s="18">
        <f t="shared" si="0"/>
        <v>5087</v>
      </c>
      <c r="I8" s="18">
        <f t="shared" si="0"/>
        <v>5248</v>
      </c>
      <c r="J8" s="19"/>
      <c r="K8" s="19"/>
      <c r="L8" s="44"/>
    </row>
    <row r="9" spans="1:12" ht="15.6" x14ac:dyDescent="0.3">
      <c r="B9" s="45" t="s">
        <v>12</v>
      </c>
      <c r="C9" s="42"/>
      <c r="D9" s="46">
        <f>'PROFIT &amp; LOSS'!C19</f>
        <v>0.28000000000000003</v>
      </c>
      <c r="E9" s="46">
        <f>'PROFIT &amp; LOSS'!D19</f>
        <v>0.28999999999999998</v>
      </c>
      <c r="F9" s="46">
        <f>'PROFIT &amp; LOSS'!E19</f>
        <v>0.26</v>
      </c>
      <c r="G9" s="46">
        <f>'PROFIT &amp; LOSS'!F19</f>
        <v>0.25</v>
      </c>
      <c r="H9" s="46">
        <f>'PROFIT &amp; LOSS'!G19</f>
        <v>0.23</v>
      </c>
      <c r="I9" s="46">
        <f>'PROFIT &amp; LOSS'!H19</f>
        <v>0.26</v>
      </c>
      <c r="J9" s="16"/>
      <c r="K9" s="16"/>
      <c r="L9" s="40"/>
    </row>
    <row r="10" spans="1:12" ht="15.6" x14ac:dyDescent="0.3">
      <c r="B10" s="31" t="s">
        <v>151</v>
      </c>
      <c r="C10" s="20"/>
      <c r="D10" s="18">
        <f>D8*(1-D9)</f>
        <v>1622.8799999999999</v>
      </c>
      <c r="E10" s="18">
        <f t="shared" ref="E10:I10" si="1">E8*(1-E9)</f>
        <v>1003.9399999999999</v>
      </c>
      <c r="F10" s="18">
        <f t="shared" si="1"/>
        <v>2313.98</v>
      </c>
      <c r="G10" s="18">
        <f t="shared" si="1"/>
        <v>3528.75</v>
      </c>
      <c r="H10" s="18">
        <f t="shared" si="1"/>
        <v>3916.9900000000002</v>
      </c>
      <c r="I10" s="18">
        <f t="shared" si="1"/>
        <v>3883.52</v>
      </c>
      <c r="J10" s="19"/>
      <c r="K10" s="19"/>
      <c r="L10" s="44"/>
    </row>
    <row r="11" spans="1:12" ht="15.6" x14ac:dyDescent="0.3">
      <c r="B11" s="45" t="s">
        <v>10</v>
      </c>
      <c r="C11" s="16"/>
      <c r="D11" s="47">
        <f>'PROFIT &amp; LOSS'!C17</f>
        <v>310</v>
      </c>
      <c r="E11" s="47">
        <f>'PROFIT &amp; LOSS'!D17</f>
        <v>331</v>
      </c>
      <c r="F11" s="47">
        <f>'PROFIT &amp; LOSS'!E17</f>
        <v>347</v>
      </c>
      <c r="G11" s="47">
        <f>'PROFIT &amp; LOSS'!F17</f>
        <v>364</v>
      </c>
      <c r="H11" s="47">
        <f>'PROFIT &amp; LOSS'!G17</f>
        <v>447</v>
      </c>
      <c r="I11" s="47">
        <f>'PROFIT &amp; LOSS'!H17</f>
        <v>537</v>
      </c>
      <c r="J11" s="16"/>
      <c r="K11" s="16"/>
      <c r="L11" s="40"/>
    </row>
    <row r="12" spans="1:12" ht="15.6" x14ac:dyDescent="0.3">
      <c r="B12" s="29" t="s">
        <v>138</v>
      </c>
      <c r="C12" s="14" t="s">
        <v>139</v>
      </c>
      <c r="D12" s="16"/>
      <c r="E12" s="16"/>
      <c r="F12" s="16"/>
      <c r="G12" s="16"/>
      <c r="H12" s="16"/>
      <c r="I12" s="16"/>
      <c r="J12" s="16"/>
      <c r="K12" s="16"/>
      <c r="L12" s="40"/>
    </row>
    <row r="13" spans="1:12" ht="15.6" x14ac:dyDescent="0.3">
      <c r="B13" s="45" t="s">
        <v>140</v>
      </c>
      <c r="C13" s="42"/>
      <c r="D13" s="21">
        <f>'BALANCE SHEET'!C36</f>
        <v>10215.41</v>
      </c>
      <c r="E13" s="21">
        <f>'BALANCE SHEET'!D36</f>
        <v>10443.84</v>
      </c>
      <c r="F13" s="21">
        <f>'BALANCE SHEET'!E36</f>
        <v>17384.870000000003</v>
      </c>
      <c r="G13" s="21">
        <f>'BALANCE SHEET'!F36</f>
        <v>19690.52</v>
      </c>
      <c r="H13" s="21">
        <f>'BALANCE SHEET'!G36</f>
        <v>22439.74</v>
      </c>
      <c r="I13" s="21">
        <f>'BALANCE SHEET'!H36</f>
        <v>30484.17</v>
      </c>
      <c r="J13" s="16"/>
      <c r="K13" s="16"/>
      <c r="L13" s="40"/>
    </row>
    <row r="14" spans="1:12" ht="15.6" x14ac:dyDescent="0.3">
      <c r="B14" s="32" t="s">
        <v>141</v>
      </c>
      <c r="C14" s="20"/>
      <c r="D14" s="21">
        <f>'BALANCE SHEET'!C13</f>
        <v>3094</v>
      </c>
      <c r="E14" s="21">
        <f>'BALANCE SHEET'!D13</f>
        <v>3064</v>
      </c>
      <c r="F14" s="21">
        <f>'BALANCE SHEET'!E13</f>
        <v>4159</v>
      </c>
      <c r="G14" s="21">
        <f>'BALANCE SHEET'!F13</f>
        <v>5232</v>
      </c>
      <c r="H14" s="21">
        <f>'BALANCE SHEET'!G13</f>
        <v>5744</v>
      </c>
      <c r="I14" s="21">
        <f>'BALANCE SHEET'!H13</f>
        <v>7093</v>
      </c>
      <c r="J14" s="16"/>
      <c r="K14" s="16"/>
      <c r="L14" s="40"/>
    </row>
    <row r="15" spans="1:12" ht="15.6" x14ac:dyDescent="0.3">
      <c r="B15" s="48" t="s">
        <v>142</v>
      </c>
      <c r="C15" s="49"/>
      <c r="D15" s="22">
        <f>D13-D14</f>
        <v>7121.41</v>
      </c>
      <c r="E15" s="22">
        <f t="shared" ref="E15:I15" si="2">E13-E14</f>
        <v>7379.84</v>
      </c>
      <c r="F15" s="22">
        <f t="shared" si="2"/>
        <v>13225.870000000003</v>
      </c>
      <c r="G15" s="22">
        <f t="shared" si="2"/>
        <v>14458.52</v>
      </c>
      <c r="H15" s="22">
        <f t="shared" si="2"/>
        <v>16695.740000000002</v>
      </c>
      <c r="I15" s="22">
        <f t="shared" si="2"/>
        <v>23391.17</v>
      </c>
      <c r="J15" s="19"/>
      <c r="K15" s="19"/>
      <c r="L15" s="44"/>
    </row>
    <row r="16" spans="1:12" ht="15.6" x14ac:dyDescent="0.3">
      <c r="B16" s="29" t="s">
        <v>143</v>
      </c>
      <c r="C16" s="14" t="s">
        <v>144</v>
      </c>
      <c r="D16" s="16"/>
      <c r="E16" s="16"/>
      <c r="F16" s="16"/>
      <c r="G16" s="16"/>
      <c r="H16" s="16"/>
      <c r="I16" s="16"/>
      <c r="J16" s="16"/>
      <c r="K16" s="16"/>
      <c r="L16" s="40"/>
    </row>
    <row r="17" spans="2:12" ht="15.6" x14ac:dyDescent="0.3">
      <c r="B17" s="31" t="s">
        <v>145</v>
      </c>
      <c r="C17" s="20"/>
      <c r="D17" s="22">
        <f>'PROJECT FINANCING'!D15-('BALANCE SHEET'!B36-'BALANCE SHEET'!B13)</f>
        <v>556.22000000000116</v>
      </c>
      <c r="E17" s="22">
        <f>E15-D15</f>
        <v>258.43000000000029</v>
      </c>
      <c r="F17" s="22">
        <f t="shared" ref="F17:I17" si="3">F15-E15</f>
        <v>5846.0300000000025</v>
      </c>
      <c r="G17" s="22">
        <f t="shared" si="3"/>
        <v>1232.6499999999978</v>
      </c>
      <c r="H17" s="22">
        <f t="shared" si="3"/>
        <v>2237.2200000000012</v>
      </c>
      <c r="I17" s="22">
        <f t="shared" si="3"/>
        <v>6695.4299999999967</v>
      </c>
      <c r="J17" s="19"/>
      <c r="K17" s="19"/>
      <c r="L17" s="44"/>
    </row>
    <row r="18" spans="2:12" ht="15.6" x14ac:dyDescent="0.3">
      <c r="B18" s="29" t="s">
        <v>146</v>
      </c>
      <c r="C18" s="14" t="s">
        <v>147</v>
      </c>
      <c r="D18" s="16"/>
      <c r="E18" s="16"/>
      <c r="F18" s="16"/>
      <c r="G18" s="16"/>
      <c r="H18" s="16"/>
      <c r="I18" s="16"/>
      <c r="J18" s="16"/>
      <c r="K18" s="16"/>
      <c r="L18" s="40"/>
    </row>
    <row r="19" spans="2:12" ht="15.6" x14ac:dyDescent="0.3">
      <c r="B19" s="32" t="s">
        <v>148</v>
      </c>
      <c r="C19" s="20"/>
      <c r="D19" s="15">
        <f>'BALANCE SHEET'!C15</f>
        <v>2053</v>
      </c>
      <c r="E19" s="15">
        <f>'BALANCE SHEET'!D15</f>
        <v>1959</v>
      </c>
      <c r="F19" s="15">
        <f>'BALANCE SHEET'!E15</f>
        <v>1925</v>
      </c>
      <c r="G19" s="15">
        <f>'BALANCE SHEET'!F15</f>
        <v>2161</v>
      </c>
      <c r="H19" s="15">
        <f>'BALANCE SHEET'!G15</f>
        <v>2691</v>
      </c>
      <c r="I19" s="15">
        <f>'BALANCE SHEET'!H15</f>
        <v>3019</v>
      </c>
      <c r="J19" s="16"/>
      <c r="K19" s="16"/>
      <c r="L19" s="40"/>
    </row>
    <row r="20" spans="2:12" ht="15.6" x14ac:dyDescent="0.3">
      <c r="B20" s="32" t="s">
        <v>149</v>
      </c>
      <c r="C20" s="20"/>
      <c r="D20" s="15">
        <f>D19-'BALANCE SHEET'!B15</f>
        <v>984</v>
      </c>
      <c r="E20" s="15">
        <f>E19-D19</f>
        <v>-94</v>
      </c>
      <c r="F20" s="15">
        <f t="shared" ref="F20:I20" si="4">F19-E19</f>
        <v>-34</v>
      </c>
      <c r="G20" s="15">
        <f t="shared" si="4"/>
        <v>236</v>
      </c>
      <c r="H20" s="15">
        <f t="shared" si="4"/>
        <v>530</v>
      </c>
      <c r="I20" s="15">
        <f t="shared" si="4"/>
        <v>328</v>
      </c>
      <c r="J20" s="16"/>
      <c r="K20" s="16"/>
      <c r="L20" s="40"/>
    </row>
    <row r="21" spans="2:12" ht="15.6" x14ac:dyDescent="0.3">
      <c r="B21" s="32" t="s">
        <v>10</v>
      </c>
      <c r="C21" s="20"/>
      <c r="D21" s="15">
        <f>D11</f>
        <v>310</v>
      </c>
      <c r="E21" s="15">
        <f t="shared" ref="E21:H21" si="5">E11</f>
        <v>331</v>
      </c>
      <c r="F21" s="15">
        <f t="shared" si="5"/>
        <v>347</v>
      </c>
      <c r="G21" s="15">
        <f t="shared" si="5"/>
        <v>364</v>
      </c>
      <c r="H21" s="15">
        <f t="shared" si="5"/>
        <v>447</v>
      </c>
      <c r="I21" s="15">
        <f>I11</f>
        <v>537</v>
      </c>
      <c r="J21" s="16"/>
      <c r="K21" s="16"/>
      <c r="L21" s="40"/>
    </row>
    <row r="22" spans="2:12" ht="15.6" x14ac:dyDescent="0.3">
      <c r="B22" s="30" t="s">
        <v>150</v>
      </c>
      <c r="C22" s="17"/>
      <c r="D22" s="25">
        <f>D20+D21</f>
        <v>1294</v>
      </c>
      <c r="E22" s="18">
        <f>E20+E21</f>
        <v>237</v>
      </c>
      <c r="F22" s="18">
        <f t="shared" ref="F22:I22" si="6">F20+F21</f>
        <v>313</v>
      </c>
      <c r="G22" s="18">
        <f t="shared" si="6"/>
        <v>600</v>
      </c>
      <c r="H22" s="18">
        <f t="shared" si="6"/>
        <v>977</v>
      </c>
      <c r="I22" s="18">
        <f t="shared" si="6"/>
        <v>865</v>
      </c>
      <c r="J22" s="19"/>
      <c r="K22" s="19"/>
      <c r="L22" s="44"/>
    </row>
    <row r="23" spans="2:12" ht="15.6" x14ac:dyDescent="0.3">
      <c r="B23" s="33" t="s">
        <v>153</v>
      </c>
      <c r="C23" s="20" t="s">
        <v>246</v>
      </c>
      <c r="D23" s="24">
        <v>0.06</v>
      </c>
      <c r="E23" s="24">
        <v>0.06</v>
      </c>
      <c r="F23" s="24">
        <v>0.06</v>
      </c>
      <c r="G23" s="24">
        <v>0.06</v>
      </c>
      <c r="H23" s="24">
        <v>0.06</v>
      </c>
      <c r="I23" s="24">
        <v>0.06</v>
      </c>
      <c r="J23" s="24">
        <v>0.06</v>
      </c>
      <c r="K23" s="24">
        <v>0.06</v>
      </c>
      <c r="L23" s="34">
        <v>0.06</v>
      </c>
    </row>
    <row r="24" spans="2:12" ht="15.6" x14ac:dyDescent="0.3">
      <c r="B24" s="30" t="s">
        <v>128</v>
      </c>
      <c r="C24" s="20"/>
      <c r="D24" s="18">
        <f>D10+D11-D17-D22</f>
        <v>82.659999999998718</v>
      </c>
      <c r="E24" s="18">
        <f t="shared" ref="E24:I24" si="7">E10+E11-E17-E22</f>
        <v>839.50999999999976</v>
      </c>
      <c r="F24" s="18">
        <f t="shared" si="7"/>
        <v>-3498.0500000000025</v>
      </c>
      <c r="G24" s="18">
        <f t="shared" si="7"/>
        <v>2060.1000000000022</v>
      </c>
      <c r="H24" s="18">
        <f t="shared" si="7"/>
        <v>1149.7699999999986</v>
      </c>
      <c r="I24" s="18">
        <f t="shared" si="7"/>
        <v>-3139.9099999999962</v>
      </c>
      <c r="J24" s="25"/>
      <c r="K24" s="19"/>
      <c r="L24" s="44"/>
    </row>
    <row r="25" spans="2:12" ht="15.6" x14ac:dyDescent="0.3">
      <c r="B25" s="33" t="s">
        <v>152</v>
      </c>
      <c r="C25" s="20"/>
      <c r="D25" s="16"/>
      <c r="E25" s="16"/>
      <c r="F25" s="16"/>
      <c r="G25" s="16"/>
      <c r="H25" s="16"/>
      <c r="I25" s="16"/>
      <c r="J25" s="23">
        <f>I24*(1+I23)</f>
        <v>-3328.3045999999963</v>
      </c>
      <c r="K25" s="23">
        <f>J25*(1+J23)</f>
        <v>-3528.0028759999964</v>
      </c>
      <c r="L25" s="35">
        <f>K25*(1+K23)</f>
        <v>-3739.6830485599962</v>
      </c>
    </row>
    <row r="26" spans="2:12" ht="15" thickBot="1" x14ac:dyDescent="0.35">
      <c r="B26" s="37" t="s">
        <v>154</v>
      </c>
      <c r="C26" s="50"/>
      <c r="D26" s="38">
        <f>NPV(10%,D24)</f>
        <v>75.145454545453376</v>
      </c>
      <c r="E26" s="38">
        <f t="shared" ref="E26:I26" si="8">NPV(10%,E24)</f>
        <v>763.1909090909088</v>
      </c>
      <c r="F26" s="38">
        <f t="shared" si="8"/>
        <v>-3180.0454545454563</v>
      </c>
      <c r="G26" s="38">
        <f t="shared" si="8"/>
        <v>1872.8181818181836</v>
      </c>
      <c r="H26" s="38">
        <f t="shared" si="8"/>
        <v>1045.2454545454532</v>
      </c>
      <c r="I26" s="38">
        <f t="shared" si="8"/>
        <v>-2854.4636363636328</v>
      </c>
      <c r="J26" s="38">
        <f>NPV(10%,J25)</f>
        <v>-3025.731454545451</v>
      </c>
      <c r="K26" s="38">
        <f t="shared" ref="K26:L26" si="9">NPV(10%,K25)</f>
        <v>-3207.2753418181783</v>
      </c>
      <c r="L26" s="38">
        <f t="shared" si="9"/>
        <v>-3399.711862327269</v>
      </c>
    </row>
    <row r="27" spans="2:12" x14ac:dyDescent="0.3">
      <c r="C27" s="5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4A2EB-8611-4B24-BF5F-2636441626D4}">
  <dimension ref="A1:Q1005"/>
  <sheetViews>
    <sheetView tabSelected="1" workbookViewId="0">
      <selection activeCell="N14" sqref="N14"/>
    </sheetView>
  </sheetViews>
  <sheetFormatPr defaultRowHeight="18" x14ac:dyDescent="0.35"/>
  <cols>
    <col min="1" max="1" width="22" style="4" bestFit="1" customWidth="1"/>
    <col min="2" max="2" width="14" style="6" bestFit="1" customWidth="1"/>
    <col min="3" max="3" width="21.6640625" style="5" bestFit="1" customWidth="1"/>
    <col min="4" max="4" width="14.88671875" style="5" bestFit="1" customWidth="1"/>
    <col min="5" max="5" width="21.6640625" style="5" bestFit="1" customWidth="1"/>
    <col min="6" max="6" width="27.6640625" style="3" bestFit="1" customWidth="1"/>
    <col min="7" max="7" width="21.6640625" style="5" bestFit="1" customWidth="1"/>
    <col min="8" max="8" width="27.44140625" style="3" bestFit="1" customWidth="1"/>
    <col min="9" max="9" width="21.6640625" style="5" bestFit="1" customWidth="1"/>
    <col min="10" max="10" width="14" style="3" bestFit="1" customWidth="1"/>
    <col min="11" max="11" width="26.109375" style="5" customWidth="1"/>
    <col min="12" max="12" width="11.44140625" style="4" bestFit="1" customWidth="1"/>
    <col min="13" max="13" width="12" style="5" bestFit="1" customWidth="1"/>
    <col min="14" max="14" width="14.33203125" style="5" bestFit="1" customWidth="1"/>
    <col min="15" max="15" width="27" style="5" bestFit="1" customWidth="1"/>
    <col min="16" max="17" width="12" style="5" bestFit="1" customWidth="1"/>
    <col min="18" max="16384" width="8.88671875" style="5"/>
  </cols>
  <sheetData>
    <row r="1" spans="1:17" s="4" customFormat="1" ht="18.600000000000001" thickBot="1" x14ac:dyDescent="0.4">
      <c r="A1" s="184"/>
      <c r="B1" s="185" t="s">
        <v>119</v>
      </c>
      <c r="C1" s="185" t="s">
        <v>9</v>
      </c>
      <c r="D1" s="185" t="s">
        <v>116</v>
      </c>
      <c r="E1" s="185" t="s">
        <v>130</v>
      </c>
      <c r="F1" s="185" t="s">
        <v>129</v>
      </c>
      <c r="G1" s="185" t="s">
        <v>10</v>
      </c>
      <c r="H1" s="185" t="s">
        <v>131</v>
      </c>
      <c r="I1" s="185" t="s">
        <v>127</v>
      </c>
      <c r="J1" s="186" t="s">
        <v>128</v>
      </c>
      <c r="L1" s="199"/>
      <c r="M1" s="200" t="s">
        <v>118</v>
      </c>
      <c r="N1" s="200" t="s">
        <v>10</v>
      </c>
      <c r="O1" s="200" t="s">
        <v>132</v>
      </c>
      <c r="P1" s="200" t="s">
        <v>127</v>
      </c>
      <c r="Q1" s="201" t="s">
        <v>128</v>
      </c>
    </row>
    <row r="2" spans="1:17" x14ac:dyDescent="0.35">
      <c r="A2" s="189" t="s">
        <v>155</v>
      </c>
      <c r="B2" s="182">
        <f>AVERAGE('PROFIT &amp; LOSS'!C18:H18)</f>
        <v>3303.8333333333335</v>
      </c>
      <c r="C2" s="180">
        <f>AVERAGE('PROFIT &amp; LOSS'!C16:H16)</f>
        <v>335.33333333333331</v>
      </c>
      <c r="D2" s="178">
        <f>B2+C2</f>
        <v>3639.166666666667</v>
      </c>
      <c r="E2" s="179">
        <f>AVERAGE('PROFIT &amp; LOSS'!C19:H19)</f>
        <v>0.26166666666666666</v>
      </c>
      <c r="F2" s="180">
        <f>D2*(1-E2)</f>
        <v>2686.9180555555554</v>
      </c>
      <c r="G2" s="180">
        <f>AVERAGE('PROFIT &amp; LOSS'!C17:H17)</f>
        <v>389.33333333333331</v>
      </c>
      <c r="H2" s="181">
        <f>AVERAGE('PROJECT FINANCING'!D17:I17)</f>
        <v>2804.33</v>
      </c>
      <c r="I2" s="182">
        <f>AVERAGE('PROJECT FINANCING'!D22:I22)</f>
        <v>714.33333333333337</v>
      </c>
      <c r="J2" s="183">
        <f>AVERAGE('PROJECT FINANCING'!D24:I24)</f>
        <v>-417.65333333333319</v>
      </c>
      <c r="L2" s="202" t="s">
        <v>120</v>
      </c>
      <c r="M2" s="110">
        <f ca="1">AVERAGE(B7:B1005)</f>
        <v>2744.9003889823671</v>
      </c>
      <c r="N2" s="110">
        <f ca="1">AVERAGE(D7:D1005)</f>
        <v>394.37722438145505</v>
      </c>
      <c r="O2" s="110">
        <f ca="1">AVERAGE(F7:F1005)</f>
        <v>2740.8765447492324</v>
      </c>
      <c r="P2" s="198">
        <f ca="1">AVEDEV(H7:H1005)</f>
        <v>2176.2632607710302</v>
      </c>
      <c r="Q2" s="111">
        <f ca="1">AVERAGE(J7:J1005)</f>
        <v>-615.48810254905857</v>
      </c>
    </row>
    <row r="3" spans="1:17" x14ac:dyDescent="0.35">
      <c r="A3" s="187" t="s">
        <v>156</v>
      </c>
      <c r="B3" s="7">
        <f>_xlfn.STDEV.S('PROFIT &amp; LOSS'!C18:H18)</f>
        <v>1434.9972009264225</v>
      </c>
      <c r="C3" s="7">
        <f>_xlfn.STDEV.S('PROFIT &amp; LOSS'!C16:H16)</f>
        <v>242.72838043102144</v>
      </c>
      <c r="D3" s="7">
        <f>C3+B3</f>
        <v>1677.7255813574438</v>
      </c>
      <c r="E3" s="8">
        <f>_xlfn.STDEV.S('PROFIT &amp; LOSS'!C19:H19)</f>
        <v>2.1369760566432805E-2</v>
      </c>
      <c r="F3" s="7">
        <f>D3*(1-E3)</f>
        <v>1641.8729873876559</v>
      </c>
      <c r="G3" s="7">
        <f>_xlfn.STDEV.S('PROFIT &amp; LOSS'!C17:H17)</f>
        <v>86.32651195702671</v>
      </c>
      <c r="H3" s="10">
        <f>_xlfn.STDEV.S('PROJECT FINANCING'!D17:I17)</f>
        <v>2782.8041704942152</v>
      </c>
      <c r="I3" s="10">
        <f>_xlfn.STDEV.S('PROJECT FINANCING'!D17:I17)</f>
        <v>2782.8041704942152</v>
      </c>
      <c r="J3" s="167">
        <f>_xlfn.STDEV.S('PROJECT FINANCING'!D24:I24)</f>
        <v>2337.7927858616267</v>
      </c>
      <c r="L3" s="176" t="s">
        <v>121</v>
      </c>
      <c r="M3" s="11">
        <f ca="1">MAX(B7:B1005)</f>
        <v>8234.0303625044417</v>
      </c>
      <c r="N3" s="11">
        <f ca="1">MAX(D7:D1005)</f>
        <v>669.12507208874831</v>
      </c>
      <c r="O3" s="11">
        <f ca="1">MAX(F7:F1005)</f>
        <v>11694.439306817774</v>
      </c>
      <c r="P3" s="11">
        <f ca="1">MAX(H7:H1005)</f>
        <v>10282.57479097153</v>
      </c>
      <c r="Q3" s="94">
        <f ca="1">MAX(J7:J1005)</f>
        <v>6582.7050396743361</v>
      </c>
    </row>
    <row r="4" spans="1:17" ht="18.600000000000001" thickBot="1" x14ac:dyDescent="0.4">
      <c r="A4" s="188" t="s">
        <v>157</v>
      </c>
      <c r="B4" s="168">
        <f ca="1">_xlfn.NORM.INV(RAND(),B2,B3)</f>
        <v>1806.8225906334183</v>
      </c>
      <c r="C4" s="168">
        <f t="shared" ref="C4:J4" ca="1" si="0">_xlfn.NORM.INV(RAND(),C2,C3)</f>
        <v>188.22292507438064</v>
      </c>
      <c r="D4" s="168">
        <f t="shared" ca="1" si="0"/>
        <v>3328.2806343477164</v>
      </c>
      <c r="E4" s="168">
        <f t="shared" ca="1" si="0"/>
        <v>0.26324380714750101</v>
      </c>
      <c r="F4" s="168">
        <f t="shared" ca="1" si="0"/>
        <v>2920.1332568359367</v>
      </c>
      <c r="G4" s="168">
        <f t="shared" ca="1" si="0"/>
        <v>373.28926159006204</v>
      </c>
      <c r="H4" s="168">
        <f t="shared" ca="1" si="0"/>
        <v>2398.8558492957777</v>
      </c>
      <c r="I4" s="168">
        <f t="shared" ca="1" si="0"/>
        <v>1979.2113044311841</v>
      </c>
      <c r="J4" s="169">
        <f t="shared" ca="1" si="0"/>
        <v>-3434.0950738337142</v>
      </c>
      <c r="L4" s="176" t="s">
        <v>122</v>
      </c>
      <c r="M4" s="11">
        <f ca="1">MIN(B7:B1005)</f>
        <v>-3143.6513405399096</v>
      </c>
      <c r="N4" s="12">
        <f>MIN(D989)</f>
        <v>404.56232204752854</v>
      </c>
      <c r="O4" s="11">
        <f ca="1">MIN(F7:F1005)</f>
        <v>-6360.2237181379733</v>
      </c>
      <c r="P4" s="11">
        <f ca="1">MIN(H7:H1005)</f>
        <v>-8606.5128421878071</v>
      </c>
      <c r="Q4" s="94">
        <f ca="1">MIN(J7:J1005)</f>
        <v>-8768.2858152081208</v>
      </c>
    </row>
    <row r="5" spans="1:17" ht="18.600000000000001" thickBot="1" x14ac:dyDescent="0.4">
      <c r="F5" s="5"/>
      <c r="H5" s="5"/>
      <c r="J5" s="5"/>
      <c r="L5" s="176" t="s">
        <v>123</v>
      </c>
      <c r="M5" s="11">
        <f ca="1">MEDIAN(B7:B1005)</f>
        <v>2795.9640510689796</v>
      </c>
      <c r="N5" s="11">
        <f ca="1">MEDIAN(D7:D1005)</f>
        <v>397.00403463456587</v>
      </c>
      <c r="O5" s="11">
        <f ca="1">MEDIAN(F7:F1005)</f>
        <v>2659.2114557162517</v>
      </c>
      <c r="P5" s="11">
        <f ca="1">MEDIAN(H7:H1005)</f>
        <v>802.07184375884731</v>
      </c>
      <c r="Q5" s="94">
        <f ca="1">MEDIAN(J7:J1005)</f>
        <v>-666.61226940156553</v>
      </c>
    </row>
    <row r="6" spans="1:17" s="4" customFormat="1" ht="18.600000000000001" thickBot="1" x14ac:dyDescent="0.4">
      <c r="A6" s="194" t="s">
        <v>126</v>
      </c>
      <c r="B6" s="195" t="s">
        <v>118</v>
      </c>
      <c r="C6" s="196" t="s">
        <v>125</v>
      </c>
      <c r="D6" s="195" t="s">
        <v>10</v>
      </c>
      <c r="E6" s="196" t="s">
        <v>125</v>
      </c>
      <c r="F6" s="196" t="s">
        <v>132</v>
      </c>
      <c r="G6" s="196" t="s">
        <v>125</v>
      </c>
      <c r="H6" s="195" t="s">
        <v>127</v>
      </c>
      <c r="I6" s="196" t="s">
        <v>125</v>
      </c>
      <c r="J6" s="197" t="s">
        <v>128</v>
      </c>
      <c r="L6" s="177" t="s">
        <v>124</v>
      </c>
      <c r="M6" s="146">
        <f t="array" aca="1" ref="M6" ca="1">_xlfn.STDEV.S(B7:B1005)</f>
        <v>1613.0371159063716</v>
      </c>
      <c r="N6" s="146">
        <f ca="1">_xlfn.STDEV.S(D7:D1005)</f>
        <v>85.533880837381332</v>
      </c>
      <c r="O6" s="146">
        <f ca="1">_xlfn.STDEV.S(F7:F1005)</f>
        <v>2888.4443821846808</v>
      </c>
      <c r="P6" s="146">
        <f ca="1">_xlfn.STDEV.S(H7:H1005)</f>
        <v>2727.9149456762325</v>
      </c>
      <c r="Q6" s="175">
        <f t="array" aca="1" ref="Q6" ca="1">_xlfn.STDEV.S(J7:J1005)</f>
        <v>2376.3473382363159</v>
      </c>
    </row>
    <row r="7" spans="1:17" x14ac:dyDescent="0.35">
      <c r="A7" s="190">
        <v>1</v>
      </c>
      <c r="B7" s="180">
        <f ca="1">F4</f>
        <v>2920.1332568359367</v>
      </c>
      <c r="C7" s="191">
        <v>1</v>
      </c>
      <c r="D7" s="180">
        <f ca="1">G4</f>
        <v>373.28926159006204</v>
      </c>
      <c r="E7" s="192">
        <v>1</v>
      </c>
      <c r="F7" s="180">
        <f ca="1">H4</f>
        <v>2398.8558492957777</v>
      </c>
      <c r="G7" s="192">
        <v>1</v>
      </c>
      <c r="H7" s="180">
        <f ca="1">I4</f>
        <v>1979.2113044311841</v>
      </c>
      <c r="I7" s="192">
        <v>1</v>
      </c>
      <c r="J7" s="193">
        <f ca="1">J4</f>
        <v>-3434.0950738337142</v>
      </c>
    </row>
    <row r="8" spans="1:17" x14ac:dyDescent="0.35">
      <c r="A8" s="170">
        <v>2</v>
      </c>
      <c r="B8" s="10">
        <f t="dataTable" ref="B8:B1005" dt2D="0" dtr="0" r1="AC1" ca="1"/>
        <v>3080.2333618808811</v>
      </c>
      <c r="C8" s="9">
        <v>2</v>
      </c>
      <c r="D8" s="10">
        <f t="dataTable" ref="D8:D1005" dt2D="0" dtr="0" r1="Y1" ca="1"/>
        <v>421.39922428273832</v>
      </c>
      <c r="E8" s="9">
        <v>2</v>
      </c>
      <c r="F8" s="10">
        <f t="dataTable" ref="F8:F1005" dt2D="0" dtr="0" r1="AA1" ca="1"/>
        <v>1127.9340695682508</v>
      </c>
      <c r="G8" s="9">
        <v>2</v>
      </c>
      <c r="H8" s="10">
        <f t="dataTable" ref="H8:H1005" dt2D="0" dtr="0" r1="AB1" ca="1"/>
        <v>3143.7600987118703</v>
      </c>
      <c r="I8" s="9">
        <v>2</v>
      </c>
      <c r="J8" s="167">
        <f t="dataTable" ref="J8:J1005" dt2D="0" dtr="0" r1="AH1" ca="1"/>
        <v>-3400.0646510198835</v>
      </c>
    </row>
    <row r="9" spans="1:17" x14ac:dyDescent="0.35">
      <c r="A9" s="170">
        <v>3</v>
      </c>
      <c r="B9" s="10">
        <v>4605.4277750384845</v>
      </c>
      <c r="C9" s="9">
        <v>3</v>
      </c>
      <c r="D9" s="10">
        <v>312.7096341388895</v>
      </c>
      <c r="E9" s="9">
        <v>3</v>
      </c>
      <c r="F9" s="10">
        <v>3732.4984721978385</v>
      </c>
      <c r="G9" s="9">
        <v>3</v>
      </c>
      <c r="H9" s="10">
        <v>198.81414479463047</v>
      </c>
      <c r="I9" s="9">
        <v>3</v>
      </c>
      <c r="J9" s="167">
        <v>-1691.8769240909432</v>
      </c>
    </row>
    <row r="10" spans="1:17" x14ac:dyDescent="0.35">
      <c r="A10" s="170">
        <v>4</v>
      </c>
      <c r="B10" s="10">
        <v>2233.9297652870814</v>
      </c>
      <c r="C10" s="9">
        <v>4</v>
      </c>
      <c r="D10" s="10">
        <v>382.16600117714546</v>
      </c>
      <c r="E10" s="9">
        <v>4</v>
      </c>
      <c r="F10" s="10">
        <v>6109.2659732706516</v>
      </c>
      <c r="G10" s="9">
        <v>4</v>
      </c>
      <c r="H10" s="10">
        <v>4221.6356544759774</v>
      </c>
      <c r="I10" s="9">
        <v>4</v>
      </c>
      <c r="J10" s="167">
        <v>-3545.2070186332321</v>
      </c>
    </row>
    <row r="11" spans="1:17" x14ac:dyDescent="0.35">
      <c r="A11" s="170">
        <v>5</v>
      </c>
      <c r="B11" s="10">
        <v>3745.65979081143</v>
      </c>
      <c r="C11" s="9">
        <v>5</v>
      </c>
      <c r="D11" s="10">
        <v>544.86293304526089</v>
      </c>
      <c r="E11" s="9">
        <v>5</v>
      </c>
      <c r="F11" s="10">
        <v>1257.4834967289969</v>
      </c>
      <c r="G11" s="9">
        <v>5</v>
      </c>
      <c r="H11" s="10">
        <v>-1994.3167180114674</v>
      </c>
      <c r="I11" s="9">
        <v>5</v>
      </c>
      <c r="J11" s="167">
        <v>-3001.25001764024</v>
      </c>
    </row>
    <row r="12" spans="1:17" x14ac:dyDescent="0.35">
      <c r="A12" s="170">
        <v>6</v>
      </c>
      <c r="B12" s="10">
        <v>2088.0943842321703</v>
      </c>
      <c r="C12" s="9">
        <v>6</v>
      </c>
      <c r="D12" s="10">
        <v>531.27805377256357</v>
      </c>
      <c r="E12" s="9">
        <v>6</v>
      </c>
      <c r="F12" s="10">
        <v>2060.214047259637</v>
      </c>
      <c r="G12" s="9">
        <v>6</v>
      </c>
      <c r="H12" s="10">
        <v>4294.9008987829238</v>
      </c>
      <c r="I12" s="9">
        <v>6</v>
      </c>
      <c r="J12" s="167">
        <v>-10.301245006368447</v>
      </c>
    </row>
    <row r="13" spans="1:17" x14ac:dyDescent="0.35">
      <c r="A13" s="170">
        <v>7</v>
      </c>
      <c r="B13" s="10">
        <v>4477.6423444905486</v>
      </c>
      <c r="C13" s="9">
        <v>7</v>
      </c>
      <c r="D13" s="10">
        <v>454.75891073944695</v>
      </c>
      <c r="E13" s="9">
        <v>7</v>
      </c>
      <c r="F13" s="10">
        <v>4038.5047043575805</v>
      </c>
      <c r="G13" s="9">
        <v>7</v>
      </c>
      <c r="H13" s="10">
        <v>-823.79737477977221</v>
      </c>
      <c r="I13" s="9">
        <v>7</v>
      </c>
      <c r="J13" s="167">
        <v>943.28559152575417</v>
      </c>
    </row>
    <row r="14" spans="1:17" x14ac:dyDescent="0.35">
      <c r="A14" s="170">
        <v>8</v>
      </c>
      <c r="B14" s="10">
        <v>3106.1912570437585</v>
      </c>
      <c r="C14" s="9">
        <v>8</v>
      </c>
      <c r="D14" s="10">
        <v>284.28936599856354</v>
      </c>
      <c r="E14" s="9">
        <v>8</v>
      </c>
      <c r="F14" s="10">
        <v>2315.9934470610433</v>
      </c>
      <c r="G14" s="9">
        <v>8</v>
      </c>
      <c r="H14" s="10">
        <v>-1280.3852192227391</v>
      </c>
      <c r="I14" s="9">
        <v>8</v>
      </c>
      <c r="J14" s="167">
        <v>1576.6021774864455</v>
      </c>
    </row>
    <row r="15" spans="1:17" x14ac:dyDescent="0.35">
      <c r="A15" s="170">
        <v>9</v>
      </c>
      <c r="B15" s="10">
        <v>-7.2649469125176438</v>
      </c>
      <c r="C15" s="9">
        <v>9</v>
      </c>
      <c r="D15" s="10">
        <v>413.33141724946893</v>
      </c>
      <c r="E15" s="9">
        <v>9</v>
      </c>
      <c r="F15" s="10">
        <v>6449.4520220263794</v>
      </c>
      <c r="G15" s="9">
        <v>9</v>
      </c>
      <c r="H15" s="10">
        <v>692.81782812126619</v>
      </c>
      <c r="I15" s="9">
        <v>9</v>
      </c>
      <c r="J15" s="167">
        <v>5084.282585846935</v>
      </c>
    </row>
    <row r="16" spans="1:17" x14ac:dyDescent="0.35">
      <c r="A16" s="170">
        <v>10</v>
      </c>
      <c r="B16" s="10">
        <v>4245.3495993423248</v>
      </c>
      <c r="C16" s="9">
        <v>10</v>
      </c>
      <c r="D16" s="10">
        <v>449.45786267287104</v>
      </c>
      <c r="E16" s="9">
        <v>10</v>
      </c>
      <c r="F16" s="10">
        <v>6072.9214287283503</v>
      </c>
      <c r="G16" s="9">
        <v>10</v>
      </c>
      <c r="H16" s="10">
        <v>-39.244886476151805</v>
      </c>
      <c r="I16" s="9">
        <v>10</v>
      </c>
      <c r="J16" s="167">
        <v>3469.9261396831448</v>
      </c>
    </row>
    <row r="17" spans="1:10" x14ac:dyDescent="0.35">
      <c r="A17" s="170">
        <v>11</v>
      </c>
      <c r="B17" s="10">
        <v>4244.0953178349155</v>
      </c>
      <c r="C17" s="9">
        <v>11</v>
      </c>
      <c r="D17" s="10">
        <v>531.79497389482776</v>
      </c>
      <c r="E17" s="9">
        <v>11</v>
      </c>
      <c r="F17" s="10">
        <v>2147.7891315554652</v>
      </c>
      <c r="G17" s="9">
        <v>11</v>
      </c>
      <c r="H17" s="10">
        <v>-774.0506047535165</v>
      </c>
      <c r="I17" s="9">
        <v>11</v>
      </c>
      <c r="J17" s="167">
        <v>-1945.2325320443297</v>
      </c>
    </row>
    <row r="18" spans="1:10" x14ac:dyDescent="0.35">
      <c r="A18" s="170">
        <v>12</v>
      </c>
      <c r="B18" s="10">
        <v>3023.4726747936543</v>
      </c>
      <c r="C18" s="9">
        <v>12</v>
      </c>
      <c r="D18" s="10">
        <v>257.40772869693342</v>
      </c>
      <c r="E18" s="9">
        <v>12</v>
      </c>
      <c r="F18" s="10">
        <v>4538.7404780683592</v>
      </c>
      <c r="G18" s="9">
        <v>12</v>
      </c>
      <c r="H18" s="10">
        <v>2562.0414785538815</v>
      </c>
      <c r="I18" s="9">
        <v>12</v>
      </c>
      <c r="J18" s="167">
        <v>2434.7259670724911</v>
      </c>
    </row>
    <row r="19" spans="1:10" x14ac:dyDescent="0.35">
      <c r="A19" s="170">
        <v>13</v>
      </c>
      <c r="B19" s="10">
        <v>3722.8655884073569</v>
      </c>
      <c r="C19" s="9">
        <v>13</v>
      </c>
      <c r="D19" s="10">
        <v>500.78242603277607</v>
      </c>
      <c r="E19" s="9">
        <v>13</v>
      </c>
      <c r="F19" s="10">
        <v>1969.2012864445558</v>
      </c>
      <c r="G19" s="9">
        <v>13</v>
      </c>
      <c r="H19" s="10">
        <v>-632.07100219970437</v>
      </c>
      <c r="I19" s="9">
        <v>13</v>
      </c>
      <c r="J19" s="167">
        <v>-1097.8658456354617</v>
      </c>
    </row>
    <row r="20" spans="1:10" x14ac:dyDescent="0.35">
      <c r="A20" s="170">
        <v>14</v>
      </c>
      <c r="B20" s="10">
        <v>3228.8517352323847</v>
      </c>
      <c r="C20" s="9">
        <v>14</v>
      </c>
      <c r="D20" s="10">
        <v>309.85147791437873</v>
      </c>
      <c r="E20" s="9">
        <v>14</v>
      </c>
      <c r="F20" s="10">
        <v>10569.182141621801</v>
      </c>
      <c r="G20" s="9">
        <v>14</v>
      </c>
      <c r="H20" s="10">
        <v>-158.24227914532116</v>
      </c>
      <c r="I20" s="9">
        <v>14</v>
      </c>
      <c r="J20" s="167">
        <v>-2593.9768542647685</v>
      </c>
    </row>
    <row r="21" spans="1:10" x14ac:dyDescent="0.35">
      <c r="A21" s="170">
        <v>15</v>
      </c>
      <c r="B21" s="10">
        <v>1271.7793833256808</v>
      </c>
      <c r="C21" s="9">
        <v>15</v>
      </c>
      <c r="D21" s="10">
        <v>252.5009763264718</v>
      </c>
      <c r="E21" s="9">
        <v>15</v>
      </c>
      <c r="F21" s="10">
        <v>7682.411039299529</v>
      </c>
      <c r="G21" s="9">
        <v>15</v>
      </c>
      <c r="H21" s="10">
        <v>-844.83016271391273</v>
      </c>
      <c r="I21" s="9">
        <v>15</v>
      </c>
      <c r="J21" s="167">
        <v>-1517.5201105682581</v>
      </c>
    </row>
    <row r="22" spans="1:10" x14ac:dyDescent="0.35">
      <c r="A22" s="170">
        <v>16</v>
      </c>
      <c r="B22" s="10">
        <v>1538.4950369201063</v>
      </c>
      <c r="C22" s="9">
        <v>16</v>
      </c>
      <c r="D22" s="10">
        <v>545.76242119387575</v>
      </c>
      <c r="E22" s="9">
        <v>16</v>
      </c>
      <c r="F22" s="10">
        <v>6440.7897969812111</v>
      </c>
      <c r="G22" s="9">
        <v>16</v>
      </c>
      <c r="H22" s="10">
        <v>2877.9576984305854</v>
      </c>
      <c r="I22" s="9">
        <v>16</v>
      </c>
      <c r="J22" s="167">
        <v>-880.29634124907739</v>
      </c>
    </row>
    <row r="23" spans="1:10" x14ac:dyDescent="0.35">
      <c r="A23" s="170">
        <v>17</v>
      </c>
      <c r="B23" s="10">
        <v>2286.3766011686639</v>
      </c>
      <c r="C23" s="9">
        <v>17</v>
      </c>
      <c r="D23" s="10">
        <v>377.95098598271005</v>
      </c>
      <c r="E23" s="9">
        <v>17</v>
      </c>
      <c r="F23" s="10">
        <v>2678.0384043753156</v>
      </c>
      <c r="G23" s="9">
        <v>17</v>
      </c>
      <c r="H23" s="10">
        <v>-2391.201908326525</v>
      </c>
      <c r="I23" s="9">
        <v>17</v>
      </c>
      <c r="J23" s="167">
        <v>-2246.9058788695588</v>
      </c>
    </row>
    <row r="24" spans="1:10" x14ac:dyDescent="0.35">
      <c r="A24" s="170">
        <v>18</v>
      </c>
      <c r="B24" s="10">
        <v>3064.4925424574685</v>
      </c>
      <c r="C24" s="9">
        <v>18</v>
      </c>
      <c r="D24" s="10">
        <v>366.20438412944122</v>
      </c>
      <c r="E24" s="9">
        <v>18</v>
      </c>
      <c r="F24" s="10">
        <v>391.4414392053568</v>
      </c>
      <c r="G24" s="9">
        <v>18</v>
      </c>
      <c r="H24" s="10">
        <v>-2745.2361395481444</v>
      </c>
      <c r="I24" s="9">
        <v>18</v>
      </c>
      <c r="J24" s="167">
        <v>-1169.9331944649844</v>
      </c>
    </row>
    <row r="25" spans="1:10" x14ac:dyDescent="0.35">
      <c r="A25" s="170">
        <v>19</v>
      </c>
      <c r="B25" s="10">
        <v>2993.3115968210518</v>
      </c>
      <c r="C25" s="9">
        <v>19</v>
      </c>
      <c r="D25" s="10">
        <v>413.63067363594473</v>
      </c>
      <c r="E25" s="9">
        <v>19</v>
      </c>
      <c r="F25" s="10">
        <v>3385.1319782955679</v>
      </c>
      <c r="G25" s="9">
        <v>19</v>
      </c>
      <c r="H25" s="10">
        <v>-453.76259534217718</v>
      </c>
      <c r="I25" s="9">
        <v>19</v>
      </c>
      <c r="J25" s="167">
        <v>21.497016237252467</v>
      </c>
    </row>
    <row r="26" spans="1:10" x14ac:dyDescent="0.35">
      <c r="A26" s="170">
        <v>20</v>
      </c>
      <c r="B26" s="10">
        <v>4191.6042771770835</v>
      </c>
      <c r="C26" s="9">
        <v>20</v>
      </c>
      <c r="D26" s="10">
        <v>262.16141775101437</v>
      </c>
      <c r="E26" s="9">
        <v>20</v>
      </c>
      <c r="F26" s="10">
        <v>3308.2569588515653</v>
      </c>
      <c r="G26" s="9">
        <v>20</v>
      </c>
      <c r="H26" s="10">
        <v>-1619.5468362333149</v>
      </c>
      <c r="I26" s="9">
        <v>20</v>
      </c>
      <c r="J26" s="167">
        <v>3541.0028011087611</v>
      </c>
    </row>
    <row r="27" spans="1:10" x14ac:dyDescent="0.35">
      <c r="A27" s="170">
        <v>21</v>
      </c>
      <c r="B27" s="10">
        <v>6586.6621300943698</v>
      </c>
      <c r="C27" s="9">
        <v>21</v>
      </c>
      <c r="D27" s="10">
        <v>189.04475070620197</v>
      </c>
      <c r="E27" s="9">
        <v>21</v>
      </c>
      <c r="F27" s="10">
        <v>6232.0861504336299</v>
      </c>
      <c r="G27" s="9">
        <v>21</v>
      </c>
      <c r="H27" s="10">
        <v>-88.7382307774119</v>
      </c>
      <c r="I27" s="9">
        <v>21</v>
      </c>
      <c r="J27" s="167">
        <v>-4103.3003492316202</v>
      </c>
    </row>
    <row r="28" spans="1:10" x14ac:dyDescent="0.35">
      <c r="A28" s="170">
        <v>22</v>
      </c>
      <c r="B28" s="10">
        <v>1138.2766673522365</v>
      </c>
      <c r="C28" s="9">
        <v>22</v>
      </c>
      <c r="D28" s="10">
        <v>429.06787873613985</v>
      </c>
      <c r="E28" s="9">
        <v>22</v>
      </c>
      <c r="F28" s="10">
        <v>7335.4550545766406</v>
      </c>
      <c r="G28" s="9">
        <v>22</v>
      </c>
      <c r="H28" s="10">
        <v>247.85795842788542</v>
      </c>
      <c r="I28" s="9">
        <v>22</v>
      </c>
      <c r="J28" s="167">
        <v>2875.1335093017251</v>
      </c>
    </row>
    <row r="29" spans="1:10" x14ac:dyDescent="0.35">
      <c r="A29" s="170">
        <v>23</v>
      </c>
      <c r="B29" s="10">
        <v>2062.2599289752388</v>
      </c>
      <c r="C29" s="9">
        <v>23</v>
      </c>
      <c r="D29" s="10">
        <v>405.35373565229924</v>
      </c>
      <c r="E29" s="9">
        <v>23</v>
      </c>
      <c r="F29" s="10">
        <v>4963.4828202218887</v>
      </c>
      <c r="G29" s="9">
        <v>23</v>
      </c>
      <c r="H29" s="10">
        <v>3609.1735315665169</v>
      </c>
      <c r="I29" s="9">
        <v>23</v>
      </c>
      <c r="J29" s="167">
        <v>1084.3399402370019</v>
      </c>
    </row>
    <row r="30" spans="1:10" x14ac:dyDescent="0.35">
      <c r="A30" s="170">
        <v>24</v>
      </c>
      <c r="B30" s="10">
        <v>3949.8188272124794</v>
      </c>
      <c r="C30" s="9">
        <v>24</v>
      </c>
      <c r="D30" s="10">
        <v>516.17829341304991</v>
      </c>
      <c r="E30" s="9">
        <v>24</v>
      </c>
      <c r="F30" s="10">
        <v>4396.7091684024854</v>
      </c>
      <c r="G30" s="9">
        <v>24</v>
      </c>
      <c r="H30" s="10">
        <v>-3492.95176378729</v>
      </c>
      <c r="I30" s="9">
        <v>24</v>
      </c>
      <c r="J30" s="167">
        <v>1987.2135810542363</v>
      </c>
    </row>
    <row r="31" spans="1:10" x14ac:dyDescent="0.35">
      <c r="A31" s="170">
        <v>25</v>
      </c>
      <c r="B31" s="10">
        <v>7003.3383013772655</v>
      </c>
      <c r="C31" s="9">
        <v>25</v>
      </c>
      <c r="D31" s="10">
        <v>552.15550079475906</v>
      </c>
      <c r="E31" s="9">
        <v>25</v>
      </c>
      <c r="F31" s="10">
        <v>3069.5860786663284</v>
      </c>
      <c r="G31" s="9">
        <v>25</v>
      </c>
      <c r="H31" s="10">
        <v>2141.3777882129671</v>
      </c>
      <c r="I31" s="9">
        <v>25</v>
      </c>
      <c r="J31" s="167">
        <v>-2426.9013232852358</v>
      </c>
    </row>
    <row r="32" spans="1:10" x14ac:dyDescent="0.35">
      <c r="A32" s="170">
        <v>26</v>
      </c>
      <c r="B32" s="10">
        <v>4461.6867797473224</v>
      </c>
      <c r="C32" s="9">
        <v>26</v>
      </c>
      <c r="D32" s="10">
        <v>291.39070528659772</v>
      </c>
      <c r="E32" s="9">
        <v>26</v>
      </c>
      <c r="F32" s="10">
        <v>6872.1476076158906</v>
      </c>
      <c r="G32" s="9">
        <v>26</v>
      </c>
      <c r="H32" s="10">
        <v>-1839.7174833462209</v>
      </c>
      <c r="I32" s="9">
        <v>26</v>
      </c>
      <c r="J32" s="167">
        <v>-2744.3900795303794</v>
      </c>
    </row>
    <row r="33" spans="1:10" x14ac:dyDescent="0.35">
      <c r="A33" s="170">
        <v>27</v>
      </c>
      <c r="B33" s="10">
        <v>-257.86830781511117</v>
      </c>
      <c r="C33" s="9">
        <v>27</v>
      </c>
      <c r="D33" s="10">
        <v>428.65529354524239</v>
      </c>
      <c r="E33" s="9">
        <v>27</v>
      </c>
      <c r="F33" s="10">
        <v>3091.320863959591</v>
      </c>
      <c r="G33" s="9">
        <v>27</v>
      </c>
      <c r="H33" s="10">
        <v>3899.4423212926517</v>
      </c>
      <c r="I33" s="9">
        <v>27</v>
      </c>
      <c r="J33" s="167">
        <v>1054.3130634560596</v>
      </c>
    </row>
    <row r="34" spans="1:10" x14ac:dyDescent="0.35">
      <c r="A34" s="170">
        <v>28</v>
      </c>
      <c r="B34" s="10">
        <v>3246.3907219657644</v>
      </c>
      <c r="C34" s="9">
        <v>28</v>
      </c>
      <c r="D34" s="10">
        <v>210.77480560917158</v>
      </c>
      <c r="E34" s="9">
        <v>28</v>
      </c>
      <c r="F34" s="10">
        <v>1557.3988490961583</v>
      </c>
      <c r="G34" s="9">
        <v>28</v>
      </c>
      <c r="H34" s="10">
        <v>-681.24894708818113</v>
      </c>
      <c r="I34" s="9">
        <v>28</v>
      </c>
      <c r="J34" s="167">
        <v>-1371.7450360644643</v>
      </c>
    </row>
    <row r="35" spans="1:10" x14ac:dyDescent="0.35">
      <c r="A35" s="170">
        <v>29</v>
      </c>
      <c r="B35" s="10">
        <v>4360.4425520740442</v>
      </c>
      <c r="C35" s="9">
        <v>29</v>
      </c>
      <c r="D35" s="10">
        <v>577.63363094135309</v>
      </c>
      <c r="E35" s="9">
        <v>29</v>
      </c>
      <c r="F35" s="10">
        <v>68.402790062922122</v>
      </c>
      <c r="G35" s="9">
        <v>29</v>
      </c>
      <c r="H35" s="10">
        <v>-118.32039616282555</v>
      </c>
      <c r="I35" s="9">
        <v>29</v>
      </c>
      <c r="J35" s="167">
        <v>731.52554972950793</v>
      </c>
    </row>
    <row r="36" spans="1:10" x14ac:dyDescent="0.35">
      <c r="A36" s="170">
        <v>30</v>
      </c>
      <c r="B36" s="10">
        <v>3536.6083794951478</v>
      </c>
      <c r="C36" s="9">
        <v>30</v>
      </c>
      <c r="D36" s="10">
        <v>350.57369820273328</v>
      </c>
      <c r="E36" s="9">
        <v>30</v>
      </c>
      <c r="F36" s="10">
        <v>3841.5247127136008</v>
      </c>
      <c r="G36" s="9">
        <v>30</v>
      </c>
      <c r="H36" s="10">
        <v>-628.34909071760251</v>
      </c>
      <c r="I36" s="9">
        <v>30</v>
      </c>
      <c r="J36" s="167">
        <v>-1191.3926276673612</v>
      </c>
    </row>
    <row r="37" spans="1:10" x14ac:dyDescent="0.35">
      <c r="A37" s="170">
        <v>31</v>
      </c>
      <c r="B37" s="10">
        <v>367.61659887446831</v>
      </c>
      <c r="C37" s="9">
        <v>31</v>
      </c>
      <c r="D37" s="10">
        <v>377.60227904234063</v>
      </c>
      <c r="E37" s="9">
        <v>31</v>
      </c>
      <c r="F37" s="10">
        <v>267.38793566413869</v>
      </c>
      <c r="G37" s="9">
        <v>31</v>
      </c>
      <c r="H37" s="10">
        <v>-1715.0414749124266</v>
      </c>
      <c r="I37" s="9">
        <v>31</v>
      </c>
      <c r="J37" s="167">
        <v>-113.11359081486603</v>
      </c>
    </row>
    <row r="38" spans="1:10" x14ac:dyDescent="0.35">
      <c r="A38" s="170">
        <v>32</v>
      </c>
      <c r="B38" s="10">
        <v>3636.6182534570803</v>
      </c>
      <c r="C38" s="9">
        <v>32</v>
      </c>
      <c r="D38" s="10">
        <v>402.37050866648644</v>
      </c>
      <c r="E38" s="9">
        <v>32</v>
      </c>
      <c r="F38" s="10">
        <v>638.21525605894067</v>
      </c>
      <c r="G38" s="9">
        <v>32</v>
      </c>
      <c r="H38" s="10">
        <v>-2072.0424021307076</v>
      </c>
      <c r="I38" s="9">
        <v>32</v>
      </c>
      <c r="J38" s="167">
        <v>652.08883461150776</v>
      </c>
    </row>
    <row r="39" spans="1:10" x14ac:dyDescent="0.35">
      <c r="A39" s="170">
        <v>33</v>
      </c>
      <c r="B39" s="10">
        <v>2013.9130146515915</v>
      </c>
      <c r="C39" s="9">
        <v>33</v>
      </c>
      <c r="D39" s="10">
        <v>493.5636618664534</v>
      </c>
      <c r="E39" s="9">
        <v>33</v>
      </c>
      <c r="F39" s="10">
        <v>971.09689141135323</v>
      </c>
      <c r="G39" s="9">
        <v>33</v>
      </c>
      <c r="H39" s="10">
        <v>-146.53809791580852</v>
      </c>
      <c r="I39" s="9">
        <v>33</v>
      </c>
      <c r="J39" s="167">
        <v>-1592.6762522581487</v>
      </c>
    </row>
    <row r="40" spans="1:10" x14ac:dyDescent="0.35">
      <c r="A40" s="170">
        <v>34</v>
      </c>
      <c r="B40" s="10">
        <v>1981.8484315112519</v>
      </c>
      <c r="C40" s="9">
        <v>34</v>
      </c>
      <c r="D40" s="10">
        <v>421.55156475128359</v>
      </c>
      <c r="E40" s="9">
        <v>34</v>
      </c>
      <c r="F40" s="10">
        <v>3964.1731102788408</v>
      </c>
      <c r="G40" s="9">
        <v>34</v>
      </c>
      <c r="H40" s="10">
        <v>-510.49194739381426</v>
      </c>
      <c r="I40" s="9">
        <v>34</v>
      </c>
      <c r="J40" s="167">
        <v>-2127.9531532904984</v>
      </c>
    </row>
    <row r="41" spans="1:10" x14ac:dyDescent="0.35">
      <c r="A41" s="170">
        <v>35</v>
      </c>
      <c r="B41" s="10">
        <v>4252.7725561420502</v>
      </c>
      <c r="C41" s="9">
        <v>35</v>
      </c>
      <c r="D41" s="10">
        <v>433.19404796922692</v>
      </c>
      <c r="E41" s="9">
        <v>35</v>
      </c>
      <c r="F41" s="10">
        <v>-1790.5749917267649</v>
      </c>
      <c r="G41" s="9">
        <v>35</v>
      </c>
      <c r="H41" s="10">
        <v>-541.67905635126783</v>
      </c>
      <c r="I41" s="9">
        <v>35</v>
      </c>
      <c r="J41" s="167">
        <v>-3906.6607143530287</v>
      </c>
    </row>
    <row r="42" spans="1:10" x14ac:dyDescent="0.35">
      <c r="A42" s="170">
        <v>36</v>
      </c>
      <c r="B42" s="10">
        <v>1771.9985037487452</v>
      </c>
      <c r="C42" s="9">
        <v>36</v>
      </c>
      <c r="D42" s="10">
        <v>404.27162744764877</v>
      </c>
      <c r="E42" s="9">
        <v>36</v>
      </c>
      <c r="F42" s="10">
        <v>3298.7532396593574</v>
      </c>
      <c r="G42" s="9">
        <v>36</v>
      </c>
      <c r="H42" s="10">
        <v>2377.7931933416608</v>
      </c>
      <c r="I42" s="9">
        <v>36</v>
      </c>
      <c r="J42" s="167">
        <v>-1402.1326970156547</v>
      </c>
    </row>
    <row r="43" spans="1:10" x14ac:dyDescent="0.35">
      <c r="A43" s="170">
        <v>37</v>
      </c>
      <c r="B43" s="10">
        <v>6154.3941986064337</v>
      </c>
      <c r="C43" s="9">
        <v>37</v>
      </c>
      <c r="D43" s="10">
        <v>435.76683476171866</v>
      </c>
      <c r="E43" s="9">
        <v>37</v>
      </c>
      <c r="F43" s="10">
        <v>6396.7007902821624</v>
      </c>
      <c r="G43" s="9">
        <v>37</v>
      </c>
      <c r="H43" s="10">
        <v>2014.352679888033</v>
      </c>
      <c r="I43" s="9">
        <v>37</v>
      </c>
      <c r="J43" s="167">
        <v>-3461.464970490611</v>
      </c>
    </row>
    <row r="44" spans="1:10" x14ac:dyDescent="0.35">
      <c r="A44" s="170">
        <v>38</v>
      </c>
      <c r="B44" s="10">
        <v>2846.4643004235836</v>
      </c>
      <c r="C44" s="9">
        <v>38</v>
      </c>
      <c r="D44" s="10">
        <v>405.57400696664558</v>
      </c>
      <c r="E44" s="9">
        <v>38</v>
      </c>
      <c r="F44" s="10">
        <v>2103.591040482177</v>
      </c>
      <c r="G44" s="9">
        <v>38</v>
      </c>
      <c r="H44" s="10">
        <v>1571.3622522318115</v>
      </c>
      <c r="I44" s="9">
        <v>38</v>
      </c>
      <c r="J44" s="167">
        <v>-348.71972940918158</v>
      </c>
    </row>
    <row r="45" spans="1:10" x14ac:dyDescent="0.35">
      <c r="A45" s="170">
        <v>39</v>
      </c>
      <c r="B45" s="10">
        <v>4641.6148175706903</v>
      </c>
      <c r="C45" s="9">
        <v>39</v>
      </c>
      <c r="D45" s="10">
        <v>370.75706169713101</v>
      </c>
      <c r="E45" s="9">
        <v>39</v>
      </c>
      <c r="F45" s="10">
        <v>2735.2381948387679</v>
      </c>
      <c r="G45" s="9">
        <v>39</v>
      </c>
      <c r="H45" s="10">
        <v>2216.8583877624992</v>
      </c>
      <c r="I45" s="9">
        <v>39</v>
      </c>
      <c r="J45" s="167">
        <v>-670.70645637724385</v>
      </c>
    </row>
    <row r="46" spans="1:10" x14ac:dyDescent="0.35">
      <c r="A46" s="170">
        <v>40</v>
      </c>
      <c r="B46" s="10">
        <v>3164.6885773623121</v>
      </c>
      <c r="C46" s="9">
        <v>40</v>
      </c>
      <c r="D46" s="10">
        <v>426.27254662392465</v>
      </c>
      <c r="E46" s="9">
        <v>40</v>
      </c>
      <c r="F46" s="10">
        <v>2479.5144873278837</v>
      </c>
      <c r="G46" s="9">
        <v>40</v>
      </c>
      <c r="H46" s="10">
        <v>2168.5457434444902</v>
      </c>
      <c r="I46" s="9">
        <v>40</v>
      </c>
      <c r="J46" s="167">
        <v>-186.88530820982004</v>
      </c>
    </row>
    <row r="47" spans="1:10" x14ac:dyDescent="0.35">
      <c r="A47" s="170">
        <v>41</v>
      </c>
      <c r="B47" s="10">
        <v>2054.8714720107032</v>
      </c>
      <c r="C47" s="9">
        <v>41</v>
      </c>
      <c r="D47" s="10">
        <v>345.52358558148939</v>
      </c>
      <c r="E47" s="9">
        <v>41</v>
      </c>
      <c r="F47" s="10">
        <v>-1901.947382108825</v>
      </c>
      <c r="G47" s="9">
        <v>41</v>
      </c>
      <c r="H47" s="10">
        <v>-2789.9459840311574</v>
      </c>
      <c r="I47" s="9">
        <v>41</v>
      </c>
      <c r="J47" s="167">
        <v>1430.7102312106667</v>
      </c>
    </row>
    <row r="48" spans="1:10" x14ac:dyDescent="0.35">
      <c r="A48" s="170">
        <v>42</v>
      </c>
      <c r="B48" s="10">
        <v>8234.0303625044417</v>
      </c>
      <c r="C48" s="9">
        <v>42</v>
      </c>
      <c r="D48" s="10">
        <v>449.70886490305674</v>
      </c>
      <c r="E48" s="9">
        <v>42</v>
      </c>
      <c r="F48" s="10">
        <v>-2503.5533007079675</v>
      </c>
      <c r="G48" s="9">
        <v>42</v>
      </c>
      <c r="H48" s="10">
        <v>498.47701567977902</v>
      </c>
      <c r="I48" s="9">
        <v>42</v>
      </c>
      <c r="J48" s="167">
        <v>-6203.0369656451312</v>
      </c>
    </row>
    <row r="49" spans="1:10" x14ac:dyDescent="0.35">
      <c r="A49" s="170">
        <v>43</v>
      </c>
      <c r="B49" s="10">
        <v>1664.6114767169151</v>
      </c>
      <c r="C49" s="9">
        <v>43</v>
      </c>
      <c r="D49" s="10">
        <v>438.00753730515623</v>
      </c>
      <c r="E49" s="9">
        <v>43</v>
      </c>
      <c r="F49" s="10">
        <v>2286.0262232272166</v>
      </c>
      <c r="G49" s="9">
        <v>43</v>
      </c>
      <c r="H49" s="10">
        <v>4975.9632797935192</v>
      </c>
      <c r="I49" s="9">
        <v>43</v>
      </c>
      <c r="J49" s="167">
        <v>-4451.8001787812045</v>
      </c>
    </row>
    <row r="50" spans="1:10" x14ac:dyDescent="0.35">
      <c r="A50" s="170">
        <v>44</v>
      </c>
      <c r="B50" s="10">
        <v>1194.6690782002145</v>
      </c>
      <c r="C50" s="9">
        <v>44</v>
      </c>
      <c r="D50" s="10">
        <v>322.79708760152016</v>
      </c>
      <c r="E50" s="9">
        <v>44</v>
      </c>
      <c r="F50" s="10">
        <v>3929.1723418315423</v>
      </c>
      <c r="G50" s="9">
        <v>44</v>
      </c>
      <c r="H50" s="10">
        <v>748.10755761820224</v>
      </c>
      <c r="I50" s="9">
        <v>44</v>
      </c>
      <c r="J50" s="167">
        <v>-3971.6362277474218</v>
      </c>
    </row>
    <row r="51" spans="1:10" x14ac:dyDescent="0.35">
      <c r="A51" s="170">
        <v>45</v>
      </c>
      <c r="B51" s="10">
        <v>2697.181643715413</v>
      </c>
      <c r="C51" s="9">
        <v>45</v>
      </c>
      <c r="D51" s="10">
        <v>445.02535188258349</v>
      </c>
      <c r="E51" s="9">
        <v>45</v>
      </c>
      <c r="F51" s="10">
        <v>3393.1138111743999</v>
      </c>
      <c r="G51" s="9">
        <v>45</v>
      </c>
      <c r="H51" s="10">
        <v>-444.29745097053126</v>
      </c>
      <c r="I51" s="9">
        <v>45</v>
      </c>
      <c r="J51" s="167">
        <v>-3095.1673178918008</v>
      </c>
    </row>
    <row r="52" spans="1:10" x14ac:dyDescent="0.35">
      <c r="A52" s="170">
        <v>46</v>
      </c>
      <c r="B52" s="10">
        <v>1984.0803896254815</v>
      </c>
      <c r="C52" s="9">
        <v>46</v>
      </c>
      <c r="D52" s="10">
        <v>276.36246479447118</v>
      </c>
      <c r="E52" s="9">
        <v>46</v>
      </c>
      <c r="F52" s="10">
        <v>1662.1206432423032</v>
      </c>
      <c r="G52" s="9">
        <v>46</v>
      </c>
      <c r="H52" s="10">
        <v>2518.4370473286704</v>
      </c>
      <c r="I52" s="9">
        <v>46</v>
      </c>
      <c r="J52" s="167">
        <v>-5315.0536521148115</v>
      </c>
    </row>
    <row r="53" spans="1:10" x14ac:dyDescent="0.35">
      <c r="A53" s="170">
        <v>47</v>
      </c>
      <c r="B53" s="10">
        <v>3348.494247396402</v>
      </c>
      <c r="C53" s="9">
        <v>47</v>
      </c>
      <c r="D53" s="10">
        <v>419.02090531899381</v>
      </c>
      <c r="E53" s="9">
        <v>47</v>
      </c>
      <c r="F53" s="10">
        <v>747.10240853331743</v>
      </c>
      <c r="G53" s="9">
        <v>47</v>
      </c>
      <c r="H53" s="10">
        <v>2412.8014375223215</v>
      </c>
      <c r="I53" s="9">
        <v>47</v>
      </c>
      <c r="J53" s="167">
        <v>-6805.7919565790653</v>
      </c>
    </row>
    <row r="54" spans="1:10" x14ac:dyDescent="0.35">
      <c r="A54" s="170">
        <v>48</v>
      </c>
      <c r="B54" s="10">
        <v>2939.4778699984317</v>
      </c>
      <c r="C54" s="9">
        <v>48</v>
      </c>
      <c r="D54" s="10">
        <v>318.2215355795617</v>
      </c>
      <c r="E54" s="9">
        <v>48</v>
      </c>
      <c r="F54" s="10">
        <v>3029.2507814035662</v>
      </c>
      <c r="G54" s="9">
        <v>48</v>
      </c>
      <c r="H54" s="10">
        <v>-109.55378791137741</v>
      </c>
      <c r="I54" s="9">
        <v>48</v>
      </c>
      <c r="J54" s="167">
        <v>-12.070452580143922</v>
      </c>
    </row>
    <row r="55" spans="1:10" x14ac:dyDescent="0.35">
      <c r="A55" s="170">
        <v>49</v>
      </c>
      <c r="B55" s="10">
        <v>3129.4763745058817</v>
      </c>
      <c r="C55" s="9">
        <v>49</v>
      </c>
      <c r="D55" s="10">
        <v>390.93050913909065</v>
      </c>
      <c r="E55" s="9">
        <v>49</v>
      </c>
      <c r="F55" s="10">
        <v>1957.4454136217896</v>
      </c>
      <c r="G55" s="9">
        <v>49</v>
      </c>
      <c r="H55" s="10">
        <v>3117.620362324315</v>
      </c>
      <c r="I55" s="9">
        <v>49</v>
      </c>
      <c r="J55" s="167">
        <v>648.21104072115872</v>
      </c>
    </row>
    <row r="56" spans="1:10" x14ac:dyDescent="0.35">
      <c r="A56" s="170">
        <v>50</v>
      </c>
      <c r="B56" s="10">
        <v>1864.0648064930238</v>
      </c>
      <c r="C56" s="9">
        <v>50</v>
      </c>
      <c r="D56" s="10">
        <v>350.08902626014384</v>
      </c>
      <c r="E56" s="9">
        <v>50</v>
      </c>
      <c r="F56" s="10">
        <v>5292.5463433925361</v>
      </c>
      <c r="G56" s="9">
        <v>50</v>
      </c>
      <c r="H56" s="10">
        <v>-1857.060721012966</v>
      </c>
      <c r="I56" s="9">
        <v>50</v>
      </c>
      <c r="J56" s="167">
        <v>-3649.7193515302879</v>
      </c>
    </row>
    <row r="57" spans="1:10" x14ac:dyDescent="0.35">
      <c r="A57" s="170">
        <v>51</v>
      </c>
      <c r="B57" s="10">
        <v>3913.6874681609456</v>
      </c>
      <c r="C57" s="9">
        <v>51</v>
      </c>
      <c r="D57" s="10">
        <v>364.34187042841984</v>
      </c>
      <c r="E57" s="9">
        <v>51</v>
      </c>
      <c r="F57" s="10">
        <v>10.938880188501116</v>
      </c>
      <c r="G57" s="9">
        <v>51</v>
      </c>
      <c r="H57" s="10">
        <v>-340.63268627624132</v>
      </c>
      <c r="I57" s="9">
        <v>51</v>
      </c>
      <c r="J57" s="167">
        <v>-5005.9296938906045</v>
      </c>
    </row>
    <row r="58" spans="1:10" x14ac:dyDescent="0.35">
      <c r="A58" s="170">
        <v>52</v>
      </c>
      <c r="B58" s="10">
        <v>3001.5179917090677</v>
      </c>
      <c r="C58" s="9">
        <v>52</v>
      </c>
      <c r="D58" s="10">
        <v>381.11371873615974</v>
      </c>
      <c r="E58" s="9">
        <v>52</v>
      </c>
      <c r="F58" s="10">
        <v>4744.0882143038998</v>
      </c>
      <c r="G58" s="9">
        <v>52</v>
      </c>
      <c r="H58" s="10">
        <v>-3673.6489902691114</v>
      </c>
      <c r="I58" s="9">
        <v>52</v>
      </c>
      <c r="J58" s="167">
        <v>-747.63793115006138</v>
      </c>
    </row>
    <row r="59" spans="1:10" x14ac:dyDescent="0.35">
      <c r="A59" s="170">
        <v>53</v>
      </c>
      <c r="B59" s="10">
        <v>2848.0591170349917</v>
      </c>
      <c r="C59" s="9">
        <v>53</v>
      </c>
      <c r="D59" s="10">
        <v>300.2612692032252</v>
      </c>
      <c r="E59" s="9">
        <v>53</v>
      </c>
      <c r="F59" s="10">
        <v>7642.8381264086938</v>
      </c>
      <c r="G59" s="9">
        <v>53</v>
      </c>
      <c r="H59" s="10">
        <v>1515.8205422935353</v>
      </c>
      <c r="I59" s="9">
        <v>53</v>
      </c>
      <c r="J59" s="167">
        <v>-3402.344996168139</v>
      </c>
    </row>
    <row r="60" spans="1:10" x14ac:dyDescent="0.35">
      <c r="A60" s="170">
        <v>54</v>
      </c>
      <c r="B60" s="10">
        <v>-653.16232883733346</v>
      </c>
      <c r="C60" s="9">
        <v>54</v>
      </c>
      <c r="D60" s="10">
        <v>365.81516566466445</v>
      </c>
      <c r="E60" s="9">
        <v>54</v>
      </c>
      <c r="F60" s="10">
        <v>3502.2654523943747</v>
      </c>
      <c r="G60" s="9">
        <v>54</v>
      </c>
      <c r="H60" s="10">
        <v>2099.4800000031032</v>
      </c>
      <c r="I60" s="9">
        <v>54</v>
      </c>
      <c r="J60" s="167">
        <v>-5283.3614313760154</v>
      </c>
    </row>
    <row r="61" spans="1:10" x14ac:dyDescent="0.35">
      <c r="A61" s="170">
        <v>55</v>
      </c>
      <c r="B61" s="10">
        <v>5397.8838353111296</v>
      </c>
      <c r="C61" s="9">
        <v>55</v>
      </c>
      <c r="D61" s="10">
        <v>306.71270119539849</v>
      </c>
      <c r="E61" s="9">
        <v>55</v>
      </c>
      <c r="F61" s="10">
        <v>1133.0388352028783</v>
      </c>
      <c r="G61" s="9">
        <v>55</v>
      </c>
      <c r="H61" s="10">
        <v>-3305.9178476752427</v>
      </c>
      <c r="I61" s="9">
        <v>55</v>
      </c>
      <c r="J61" s="167">
        <v>-364.80758145236177</v>
      </c>
    </row>
    <row r="62" spans="1:10" x14ac:dyDescent="0.35">
      <c r="A62" s="170">
        <v>56</v>
      </c>
      <c r="B62" s="10">
        <v>3239.9383864187871</v>
      </c>
      <c r="C62" s="9">
        <v>56</v>
      </c>
      <c r="D62" s="10">
        <v>408.5167070479169</v>
      </c>
      <c r="E62" s="9">
        <v>56</v>
      </c>
      <c r="F62" s="10">
        <v>-1140.5376402922848</v>
      </c>
      <c r="G62" s="9">
        <v>56</v>
      </c>
      <c r="H62" s="10">
        <v>-3422.5910807655314</v>
      </c>
      <c r="I62" s="9">
        <v>56</v>
      </c>
      <c r="J62" s="167">
        <v>-1455.7324960356489</v>
      </c>
    </row>
    <row r="63" spans="1:10" x14ac:dyDescent="0.35">
      <c r="A63" s="170">
        <v>57</v>
      </c>
      <c r="B63" s="10">
        <v>2510.5054572996282</v>
      </c>
      <c r="C63" s="9">
        <v>57</v>
      </c>
      <c r="D63" s="10">
        <v>440.68821542367488</v>
      </c>
      <c r="E63" s="9">
        <v>57</v>
      </c>
      <c r="F63" s="10">
        <v>4048.5640915545082</v>
      </c>
      <c r="G63" s="9">
        <v>57</v>
      </c>
      <c r="H63" s="10">
        <v>-1062.5740112408889</v>
      </c>
      <c r="I63" s="9">
        <v>57</v>
      </c>
      <c r="J63" s="167">
        <v>1550.5778863787675</v>
      </c>
    </row>
    <row r="64" spans="1:10" x14ac:dyDescent="0.35">
      <c r="A64" s="170">
        <v>58</v>
      </c>
      <c r="B64" s="10">
        <v>1112.4002782641137</v>
      </c>
      <c r="C64" s="9">
        <v>58</v>
      </c>
      <c r="D64" s="10">
        <v>339.28008928359202</v>
      </c>
      <c r="E64" s="9">
        <v>58</v>
      </c>
      <c r="F64" s="10">
        <v>2950.5155556365862</v>
      </c>
      <c r="G64" s="9">
        <v>58</v>
      </c>
      <c r="H64" s="10">
        <v>2975.4481960026369</v>
      </c>
      <c r="I64" s="9">
        <v>58</v>
      </c>
      <c r="J64" s="167">
        <v>1621.2651318604608</v>
      </c>
    </row>
    <row r="65" spans="1:10" x14ac:dyDescent="0.35">
      <c r="A65" s="170">
        <v>59</v>
      </c>
      <c r="B65" s="10">
        <v>33.183090468050068</v>
      </c>
      <c r="C65" s="9">
        <v>59</v>
      </c>
      <c r="D65" s="10">
        <v>196.61238036655348</v>
      </c>
      <c r="E65" s="9">
        <v>59</v>
      </c>
      <c r="F65" s="10">
        <v>4981.9380688468727</v>
      </c>
      <c r="G65" s="9">
        <v>59</v>
      </c>
      <c r="H65" s="10">
        <v>4244.8669912468858</v>
      </c>
      <c r="I65" s="9">
        <v>59</v>
      </c>
      <c r="J65" s="167">
        <v>-397.82683956225128</v>
      </c>
    </row>
    <row r="66" spans="1:10" x14ac:dyDescent="0.35">
      <c r="A66" s="170">
        <v>60</v>
      </c>
      <c r="B66" s="10">
        <v>-572.98893566377092</v>
      </c>
      <c r="C66" s="9">
        <v>60</v>
      </c>
      <c r="D66" s="10">
        <v>252.13129988924263</v>
      </c>
      <c r="E66" s="9">
        <v>60</v>
      </c>
      <c r="F66" s="10">
        <v>1034.7302487719671</v>
      </c>
      <c r="G66" s="9">
        <v>60</v>
      </c>
      <c r="H66" s="10">
        <v>-228.78665645674573</v>
      </c>
      <c r="I66" s="9">
        <v>60</v>
      </c>
      <c r="J66" s="167">
        <v>-2893.7462051987363</v>
      </c>
    </row>
    <row r="67" spans="1:10" x14ac:dyDescent="0.35">
      <c r="A67" s="170">
        <v>61</v>
      </c>
      <c r="B67" s="10">
        <v>2961.3459479955036</v>
      </c>
      <c r="C67" s="9">
        <v>61</v>
      </c>
      <c r="D67" s="10">
        <v>263.67996443478864</v>
      </c>
      <c r="E67" s="9">
        <v>61</v>
      </c>
      <c r="F67" s="10">
        <v>1510.0891339853847</v>
      </c>
      <c r="G67" s="9">
        <v>61</v>
      </c>
      <c r="H67" s="10">
        <v>-821.18791409103449</v>
      </c>
      <c r="I67" s="9">
        <v>61</v>
      </c>
      <c r="J67" s="167">
        <v>973.07760926147125</v>
      </c>
    </row>
    <row r="68" spans="1:10" x14ac:dyDescent="0.35">
      <c r="A68" s="170">
        <v>62</v>
      </c>
      <c r="B68" s="10">
        <v>5350.5388687288578</v>
      </c>
      <c r="C68" s="9">
        <v>62</v>
      </c>
      <c r="D68" s="10">
        <v>507.05691066667634</v>
      </c>
      <c r="E68" s="9">
        <v>62</v>
      </c>
      <c r="F68" s="10">
        <v>2546.047131019699</v>
      </c>
      <c r="G68" s="9">
        <v>62</v>
      </c>
      <c r="H68" s="10">
        <v>1623.0489168050135</v>
      </c>
      <c r="I68" s="9">
        <v>62</v>
      </c>
      <c r="J68" s="167">
        <v>391.31477503369956</v>
      </c>
    </row>
    <row r="69" spans="1:10" x14ac:dyDescent="0.35">
      <c r="A69" s="170">
        <v>63</v>
      </c>
      <c r="B69" s="10">
        <v>1101.1808825877915</v>
      </c>
      <c r="C69" s="9">
        <v>63</v>
      </c>
      <c r="D69" s="10">
        <v>426.63298255438053</v>
      </c>
      <c r="E69" s="9">
        <v>63</v>
      </c>
      <c r="F69" s="10">
        <v>3993.4819002632316</v>
      </c>
      <c r="G69" s="9">
        <v>63</v>
      </c>
      <c r="H69" s="10">
        <v>-616.0115316649136</v>
      </c>
      <c r="I69" s="9">
        <v>63</v>
      </c>
      <c r="J69" s="167">
        <v>2138.4655016884403</v>
      </c>
    </row>
    <row r="70" spans="1:10" x14ac:dyDescent="0.35">
      <c r="A70" s="170">
        <v>64</v>
      </c>
      <c r="B70" s="10">
        <v>562.99649554362895</v>
      </c>
      <c r="C70" s="9">
        <v>64</v>
      </c>
      <c r="D70" s="10">
        <v>388.54655307731559</v>
      </c>
      <c r="E70" s="9">
        <v>64</v>
      </c>
      <c r="F70" s="10">
        <v>6238.3973542806398</v>
      </c>
      <c r="G70" s="9">
        <v>64</v>
      </c>
      <c r="H70" s="10">
        <v>285.54892333892809</v>
      </c>
      <c r="I70" s="9">
        <v>64</v>
      </c>
      <c r="J70" s="167">
        <v>2309.0527333796613</v>
      </c>
    </row>
    <row r="71" spans="1:10" x14ac:dyDescent="0.35">
      <c r="A71" s="170">
        <v>65</v>
      </c>
      <c r="B71" s="10">
        <v>4607.6231701609468</v>
      </c>
      <c r="C71" s="9">
        <v>65</v>
      </c>
      <c r="D71" s="10">
        <v>516.23994811314992</v>
      </c>
      <c r="E71" s="9">
        <v>65</v>
      </c>
      <c r="F71" s="10">
        <v>3192.2159387900997</v>
      </c>
      <c r="G71" s="9">
        <v>65</v>
      </c>
      <c r="H71" s="10">
        <v>-586.9870329343438</v>
      </c>
      <c r="I71" s="9">
        <v>65</v>
      </c>
      <c r="J71" s="167">
        <v>1705.5560981628764</v>
      </c>
    </row>
    <row r="72" spans="1:10" x14ac:dyDescent="0.35">
      <c r="A72" s="170">
        <v>66</v>
      </c>
      <c r="B72" s="10">
        <v>1568.0191743822968</v>
      </c>
      <c r="C72" s="9">
        <v>66</v>
      </c>
      <c r="D72" s="10">
        <v>470.33115843525883</v>
      </c>
      <c r="E72" s="9">
        <v>66</v>
      </c>
      <c r="F72" s="10">
        <v>4210.7562172297248</v>
      </c>
      <c r="G72" s="9">
        <v>66</v>
      </c>
      <c r="H72" s="10">
        <v>8.3156007811180643</v>
      </c>
      <c r="I72" s="9">
        <v>66</v>
      </c>
      <c r="J72" s="167">
        <v>-706.18601632409377</v>
      </c>
    </row>
    <row r="73" spans="1:10" x14ac:dyDescent="0.35">
      <c r="A73" s="170">
        <v>67</v>
      </c>
      <c r="B73" s="10">
        <v>3952.9995682745225</v>
      </c>
      <c r="C73" s="9">
        <v>67</v>
      </c>
      <c r="D73" s="10">
        <v>405.13978872793888</v>
      </c>
      <c r="E73" s="9">
        <v>67</v>
      </c>
      <c r="F73" s="10">
        <v>3178.2941463211482</v>
      </c>
      <c r="G73" s="9">
        <v>67</v>
      </c>
      <c r="H73" s="10">
        <v>4094.5156075643727</v>
      </c>
      <c r="I73" s="9">
        <v>67</v>
      </c>
      <c r="J73" s="167">
        <v>-4592.0762046653617</v>
      </c>
    </row>
    <row r="74" spans="1:10" x14ac:dyDescent="0.35">
      <c r="A74" s="170">
        <v>68</v>
      </c>
      <c r="B74" s="10">
        <v>582.2313210301968</v>
      </c>
      <c r="C74" s="9">
        <v>68</v>
      </c>
      <c r="D74" s="10">
        <v>458.95884969442147</v>
      </c>
      <c r="E74" s="9">
        <v>68</v>
      </c>
      <c r="F74" s="10">
        <v>9451.8122411740223</v>
      </c>
      <c r="G74" s="9">
        <v>68</v>
      </c>
      <c r="H74" s="10">
        <v>-461.85985813224886</v>
      </c>
      <c r="I74" s="9">
        <v>68</v>
      </c>
      <c r="J74" s="167">
        <v>3.3240653508238438</v>
      </c>
    </row>
    <row r="75" spans="1:10" x14ac:dyDescent="0.35">
      <c r="A75" s="170">
        <v>69</v>
      </c>
      <c r="B75" s="10">
        <v>-1606.2752324934204</v>
      </c>
      <c r="C75" s="9">
        <v>69</v>
      </c>
      <c r="D75" s="10">
        <v>324.12808510945536</v>
      </c>
      <c r="E75" s="9">
        <v>69</v>
      </c>
      <c r="F75" s="10">
        <v>4450.1683828294817</v>
      </c>
      <c r="G75" s="9">
        <v>69</v>
      </c>
      <c r="H75" s="10">
        <v>881.64055654055051</v>
      </c>
      <c r="I75" s="9">
        <v>69</v>
      </c>
      <c r="J75" s="167">
        <v>209.95153728500509</v>
      </c>
    </row>
    <row r="76" spans="1:10" x14ac:dyDescent="0.35">
      <c r="A76" s="170">
        <v>70</v>
      </c>
      <c r="B76" s="10">
        <v>3792.3457126387684</v>
      </c>
      <c r="C76" s="9">
        <v>70</v>
      </c>
      <c r="D76" s="10">
        <v>471.39540305265001</v>
      </c>
      <c r="E76" s="9">
        <v>70</v>
      </c>
      <c r="F76" s="10">
        <v>269.24176527313966</v>
      </c>
      <c r="G76" s="9">
        <v>70</v>
      </c>
      <c r="H76" s="10">
        <v>1303.2940251906248</v>
      </c>
      <c r="I76" s="9">
        <v>70</v>
      </c>
      <c r="J76" s="167">
        <v>-1645.3935339479469</v>
      </c>
    </row>
    <row r="77" spans="1:10" x14ac:dyDescent="0.35">
      <c r="A77" s="170">
        <v>71</v>
      </c>
      <c r="B77" s="10">
        <v>2206.8353122772942</v>
      </c>
      <c r="C77" s="9">
        <v>71</v>
      </c>
      <c r="D77" s="10">
        <v>222.27589433344829</v>
      </c>
      <c r="E77" s="9">
        <v>71</v>
      </c>
      <c r="F77" s="10">
        <v>6756.5979704253277</v>
      </c>
      <c r="G77" s="9">
        <v>71</v>
      </c>
      <c r="H77" s="10">
        <v>1501.0973365878799</v>
      </c>
      <c r="I77" s="9">
        <v>71</v>
      </c>
      <c r="J77" s="167">
        <v>1918.2817693199881</v>
      </c>
    </row>
    <row r="78" spans="1:10" x14ac:dyDescent="0.35">
      <c r="A78" s="170">
        <v>72</v>
      </c>
      <c r="B78" s="10">
        <v>3287.4331733183726</v>
      </c>
      <c r="C78" s="9">
        <v>72</v>
      </c>
      <c r="D78" s="10">
        <v>460.51775790071008</v>
      </c>
      <c r="E78" s="9">
        <v>72</v>
      </c>
      <c r="F78" s="10">
        <v>-851.94846592455724</v>
      </c>
      <c r="G78" s="9">
        <v>72</v>
      </c>
      <c r="H78" s="10">
        <v>97.12127672014276</v>
      </c>
      <c r="I78" s="9">
        <v>72</v>
      </c>
      <c r="J78" s="167">
        <v>1749.299306987019</v>
      </c>
    </row>
    <row r="79" spans="1:10" x14ac:dyDescent="0.35">
      <c r="A79" s="170">
        <v>73</v>
      </c>
      <c r="B79" s="10">
        <v>5039.4381692271563</v>
      </c>
      <c r="C79" s="9">
        <v>73</v>
      </c>
      <c r="D79" s="10">
        <v>329.08174030985157</v>
      </c>
      <c r="E79" s="9">
        <v>73</v>
      </c>
      <c r="F79" s="10">
        <v>6826.4931481138829</v>
      </c>
      <c r="G79" s="9">
        <v>73</v>
      </c>
      <c r="H79" s="10">
        <v>-4339.5971275598949</v>
      </c>
      <c r="I79" s="9">
        <v>73</v>
      </c>
      <c r="J79" s="167">
        <v>-1627.205091481841</v>
      </c>
    </row>
    <row r="80" spans="1:10" x14ac:dyDescent="0.35">
      <c r="A80" s="170">
        <v>74</v>
      </c>
      <c r="B80" s="10">
        <v>3609.1727231554241</v>
      </c>
      <c r="C80" s="9">
        <v>74</v>
      </c>
      <c r="D80" s="10">
        <v>356.74275738101232</v>
      </c>
      <c r="E80" s="9">
        <v>74</v>
      </c>
      <c r="F80" s="10">
        <v>8297.6362872919144</v>
      </c>
      <c r="G80" s="9">
        <v>74</v>
      </c>
      <c r="H80" s="10">
        <v>2851.5031521210763</v>
      </c>
      <c r="I80" s="9">
        <v>74</v>
      </c>
      <c r="J80" s="167">
        <v>-5228.4710711843472</v>
      </c>
    </row>
    <row r="81" spans="1:10" x14ac:dyDescent="0.35">
      <c r="A81" s="170">
        <v>75</v>
      </c>
      <c r="B81" s="10">
        <v>4494.1104335556684</v>
      </c>
      <c r="C81" s="9">
        <v>75</v>
      </c>
      <c r="D81" s="10">
        <v>345.16807871647927</v>
      </c>
      <c r="E81" s="9">
        <v>75</v>
      </c>
      <c r="F81" s="10">
        <v>4308.664713042388</v>
      </c>
      <c r="G81" s="9">
        <v>75</v>
      </c>
      <c r="H81" s="10">
        <v>340.24700352289904</v>
      </c>
      <c r="I81" s="9">
        <v>75</v>
      </c>
      <c r="J81" s="167">
        <v>4115.7150517347509</v>
      </c>
    </row>
    <row r="82" spans="1:10" x14ac:dyDescent="0.35">
      <c r="A82" s="170">
        <v>76</v>
      </c>
      <c r="B82" s="10">
        <v>4776.8717945451517</v>
      </c>
      <c r="C82" s="9">
        <v>76</v>
      </c>
      <c r="D82" s="10">
        <v>335.16047916077417</v>
      </c>
      <c r="E82" s="9">
        <v>76</v>
      </c>
      <c r="F82" s="10">
        <v>4080.2781451240353</v>
      </c>
      <c r="G82" s="9">
        <v>76</v>
      </c>
      <c r="H82" s="10">
        <v>1930.9875909859634</v>
      </c>
      <c r="I82" s="9">
        <v>76</v>
      </c>
      <c r="J82" s="167">
        <v>-3866.7640749661077</v>
      </c>
    </row>
    <row r="83" spans="1:10" x14ac:dyDescent="0.35">
      <c r="A83" s="170">
        <v>77</v>
      </c>
      <c r="B83" s="10">
        <v>-71.389346824211316</v>
      </c>
      <c r="C83" s="9">
        <v>77</v>
      </c>
      <c r="D83" s="10">
        <v>418.71455294833987</v>
      </c>
      <c r="E83" s="9">
        <v>77</v>
      </c>
      <c r="F83" s="10">
        <v>5322.0007787118684</v>
      </c>
      <c r="G83" s="9">
        <v>77</v>
      </c>
      <c r="H83" s="10">
        <v>-1429.3853707998701</v>
      </c>
      <c r="I83" s="9">
        <v>77</v>
      </c>
      <c r="J83" s="167">
        <v>-1607.3518207918655</v>
      </c>
    </row>
    <row r="84" spans="1:10" x14ac:dyDescent="0.35">
      <c r="A84" s="170">
        <v>78</v>
      </c>
      <c r="B84" s="10">
        <v>1359.8578498259626</v>
      </c>
      <c r="C84" s="9">
        <v>78</v>
      </c>
      <c r="D84" s="10">
        <v>252.37437559248369</v>
      </c>
      <c r="E84" s="9">
        <v>78</v>
      </c>
      <c r="F84" s="10">
        <v>3365.6749291520091</v>
      </c>
      <c r="G84" s="9">
        <v>78</v>
      </c>
      <c r="H84" s="10">
        <v>-1336.5483404039951</v>
      </c>
      <c r="I84" s="9">
        <v>78</v>
      </c>
      <c r="J84" s="167">
        <v>-5531.3655326406679</v>
      </c>
    </row>
    <row r="85" spans="1:10" x14ac:dyDescent="0.35">
      <c r="A85" s="170">
        <v>79</v>
      </c>
      <c r="B85" s="10">
        <v>5387.5010285393455</v>
      </c>
      <c r="C85" s="9">
        <v>79</v>
      </c>
      <c r="D85" s="10">
        <v>504.79591766080506</v>
      </c>
      <c r="E85" s="9">
        <v>79</v>
      </c>
      <c r="F85" s="10">
        <v>469.30216816777465</v>
      </c>
      <c r="G85" s="9">
        <v>79</v>
      </c>
      <c r="H85" s="10">
        <v>-1007.7034955027024</v>
      </c>
      <c r="I85" s="9">
        <v>79</v>
      </c>
      <c r="J85" s="167">
        <v>-1516.2974599166585</v>
      </c>
    </row>
    <row r="86" spans="1:10" x14ac:dyDescent="0.35">
      <c r="A86" s="170">
        <v>80</v>
      </c>
      <c r="B86" s="10">
        <v>3136.8766942238826</v>
      </c>
      <c r="C86" s="9">
        <v>80</v>
      </c>
      <c r="D86" s="10">
        <v>326.17967442262648</v>
      </c>
      <c r="E86" s="9">
        <v>80</v>
      </c>
      <c r="F86" s="10">
        <v>6764.7838132769375</v>
      </c>
      <c r="G86" s="9">
        <v>80</v>
      </c>
      <c r="H86" s="10">
        <v>1156.6691757902488</v>
      </c>
      <c r="I86" s="9">
        <v>80</v>
      </c>
      <c r="J86" s="167">
        <v>332.3537739164575</v>
      </c>
    </row>
    <row r="87" spans="1:10" x14ac:dyDescent="0.35">
      <c r="A87" s="170">
        <v>81</v>
      </c>
      <c r="B87" s="10">
        <v>-689.73469414026295</v>
      </c>
      <c r="C87" s="9">
        <v>81</v>
      </c>
      <c r="D87" s="10">
        <v>422.09652923589817</v>
      </c>
      <c r="E87" s="9">
        <v>81</v>
      </c>
      <c r="F87" s="10">
        <v>7817.8666695104912</v>
      </c>
      <c r="G87" s="9">
        <v>81</v>
      </c>
      <c r="H87" s="10">
        <v>278.3253959939974</v>
      </c>
      <c r="I87" s="9">
        <v>81</v>
      </c>
      <c r="J87" s="167">
        <v>23.374323241784168</v>
      </c>
    </row>
    <row r="88" spans="1:10" x14ac:dyDescent="0.35">
      <c r="A88" s="170">
        <v>82</v>
      </c>
      <c r="B88" s="10">
        <v>4596.4152362128552</v>
      </c>
      <c r="C88" s="9">
        <v>82</v>
      </c>
      <c r="D88" s="10">
        <v>370.22789508577762</v>
      </c>
      <c r="E88" s="9">
        <v>82</v>
      </c>
      <c r="F88" s="10">
        <v>1033.4873852286673</v>
      </c>
      <c r="G88" s="9">
        <v>82</v>
      </c>
      <c r="H88" s="10">
        <v>368.38798595705822</v>
      </c>
      <c r="I88" s="9">
        <v>82</v>
      </c>
      <c r="J88" s="167">
        <v>813.29651012640556</v>
      </c>
    </row>
    <row r="89" spans="1:10" x14ac:dyDescent="0.35">
      <c r="A89" s="170">
        <v>83</v>
      </c>
      <c r="B89" s="10">
        <v>4827.569282504046</v>
      </c>
      <c r="C89" s="9">
        <v>83</v>
      </c>
      <c r="D89" s="10">
        <v>563.02608741270694</v>
      </c>
      <c r="E89" s="9">
        <v>83</v>
      </c>
      <c r="F89" s="10">
        <v>6090.7613651908996</v>
      </c>
      <c r="G89" s="9">
        <v>83</v>
      </c>
      <c r="H89" s="10">
        <v>2670.4818195097041</v>
      </c>
      <c r="I89" s="9">
        <v>83</v>
      </c>
      <c r="J89" s="167">
        <v>-1694.6467325953204</v>
      </c>
    </row>
    <row r="90" spans="1:10" x14ac:dyDescent="0.35">
      <c r="A90" s="170">
        <v>84</v>
      </c>
      <c r="B90" s="10">
        <v>5177.5183851652928</v>
      </c>
      <c r="C90" s="9">
        <v>84</v>
      </c>
      <c r="D90" s="10">
        <v>265.30036656374432</v>
      </c>
      <c r="E90" s="9">
        <v>84</v>
      </c>
      <c r="F90" s="10">
        <v>4105.8968703839</v>
      </c>
      <c r="G90" s="9">
        <v>84</v>
      </c>
      <c r="H90" s="10">
        <v>3015.7508295820094</v>
      </c>
      <c r="I90" s="9">
        <v>84</v>
      </c>
      <c r="J90" s="167">
        <v>360.25579677254098</v>
      </c>
    </row>
    <row r="91" spans="1:10" x14ac:dyDescent="0.35">
      <c r="A91" s="170">
        <v>85</v>
      </c>
      <c r="B91" s="10">
        <v>1269.9531393663722</v>
      </c>
      <c r="C91" s="9">
        <v>85</v>
      </c>
      <c r="D91" s="10">
        <v>336.60450798377053</v>
      </c>
      <c r="E91" s="9">
        <v>85</v>
      </c>
      <c r="F91" s="10">
        <v>6265.6789314989537</v>
      </c>
      <c r="G91" s="9">
        <v>85</v>
      </c>
      <c r="H91" s="10">
        <v>-471.22404912154832</v>
      </c>
      <c r="I91" s="9">
        <v>85</v>
      </c>
      <c r="J91" s="167">
        <v>-192.90157961751112</v>
      </c>
    </row>
    <row r="92" spans="1:10" x14ac:dyDescent="0.35">
      <c r="A92" s="170">
        <v>86</v>
      </c>
      <c r="B92" s="10">
        <v>249.57978991454456</v>
      </c>
      <c r="C92" s="9">
        <v>86</v>
      </c>
      <c r="D92" s="10">
        <v>378.59902512522888</v>
      </c>
      <c r="E92" s="9">
        <v>86</v>
      </c>
      <c r="F92" s="10">
        <v>5962.7523777153192</v>
      </c>
      <c r="G92" s="9">
        <v>86</v>
      </c>
      <c r="H92" s="10">
        <v>-1714.6418345531142</v>
      </c>
      <c r="I92" s="9">
        <v>86</v>
      </c>
      <c r="J92" s="167">
        <v>-670.65016823560381</v>
      </c>
    </row>
    <row r="93" spans="1:10" x14ac:dyDescent="0.35">
      <c r="A93" s="170">
        <v>87</v>
      </c>
      <c r="B93" s="10">
        <v>920.14990665495156</v>
      </c>
      <c r="C93" s="9">
        <v>87</v>
      </c>
      <c r="D93" s="10">
        <v>349.11638376466516</v>
      </c>
      <c r="E93" s="9">
        <v>87</v>
      </c>
      <c r="F93" s="10">
        <v>-1982.294052258906</v>
      </c>
      <c r="G93" s="9">
        <v>87</v>
      </c>
      <c r="H93" s="10">
        <v>-3358.4091286340863</v>
      </c>
      <c r="I93" s="9">
        <v>87</v>
      </c>
      <c r="J93" s="167">
        <v>2381.4135716795549</v>
      </c>
    </row>
    <row r="94" spans="1:10" x14ac:dyDescent="0.35">
      <c r="A94" s="170">
        <v>88</v>
      </c>
      <c r="B94" s="10">
        <v>2002.5039843778143</v>
      </c>
      <c r="C94" s="9">
        <v>88</v>
      </c>
      <c r="D94" s="10">
        <v>559.27682089987059</v>
      </c>
      <c r="E94" s="9">
        <v>88</v>
      </c>
      <c r="F94" s="10">
        <v>1350.2767883904867</v>
      </c>
      <c r="G94" s="9">
        <v>88</v>
      </c>
      <c r="H94" s="10">
        <v>-2516.1800240387379</v>
      </c>
      <c r="I94" s="9">
        <v>88</v>
      </c>
      <c r="J94" s="167">
        <v>-4418.5124952507431</v>
      </c>
    </row>
    <row r="95" spans="1:10" x14ac:dyDescent="0.35">
      <c r="A95" s="170">
        <v>89</v>
      </c>
      <c r="B95" s="10">
        <v>916.86530061828421</v>
      </c>
      <c r="C95" s="9">
        <v>89</v>
      </c>
      <c r="D95" s="10">
        <v>599.32846215346456</v>
      </c>
      <c r="E95" s="9">
        <v>89</v>
      </c>
      <c r="F95" s="10">
        <v>6765.6775733985651</v>
      </c>
      <c r="G95" s="9">
        <v>89</v>
      </c>
      <c r="H95" s="10">
        <v>713.19661833285159</v>
      </c>
      <c r="I95" s="9">
        <v>89</v>
      </c>
      <c r="J95" s="167">
        <v>-1176.0667151710686</v>
      </c>
    </row>
    <row r="96" spans="1:10" x14ac:dyDescent="0.35">
      <c r="A96" s="170">
        <v>90</v>
      </c>
      <c r="B96" s="10">
        <v>2973.1045070523728</v>
      </c>
      <c r="C96" s="9">
        <v>90</v>
      </c>
      <c r="D96" s="10">
        <v>310.53997126949059</v>
      </c>
      <c r="E96" s="9">
        <v>90</v>
      </c>
      <c r="F96" s="10">
        <v>951.09067823288001</v>
      </c>
      <c r="G96" s="9">
        <v>90</v>
      </c>
      <c r="H96" s="10">
        <v>391.04493091656667</v>
      </c>
      <c r="I96" s="9">
        <v>90</v>
      </c>
      <c r="J96" s="167">
        <v>-217.25548245271278</v>
      </c>
    </row>
    <row r="97" spans="1:10" x14ac:dyDescent="0.35">
      <c r="A97" s="170">
        <v>91</v>
      </c>
      <c r="B97" s="10">
        <v>4510.8187998644262</v>
      </c>
      <c r="C97" s="9">
        <v>91</v>
      </c>
      <c r="D97" s="10">
        <v>347.12524460891279</v>
      </c>
      <c r="E97" s="9">
        <v>91</v>
      </c>
      <c r="F97" s="10">
        <v>1848.747975809908</v>
      </c>
      <c r="G97" s="9">
        <v>91</v>
      </c>
      <c r="H97" s="10">
        <v>3492.1413111037064</v>
      </c>
      <c r="I97" s="9">
        <v>91</v>
      </c>
      <c r="J97" s="167">
        <v>-2047.1761811898866</v>
      </c>
    </row>
    <row r="98" spans="1:10" x14ac:dyDescent="0.35">
      <c r="A98" s="170">
        <v>92</v>
      </c>
      <c r="B98" s="10">
        <v>1993.8272922775977</v>
      </c>
      <c r="C98" s="9">
        <v>92</v>
      </c>
      <c r="D98" s="10">
        <v>463.40757379874992</v>
      </c>
      <c r="E98" s="9">
        <v>92</v>
      </c>
      <c r="F98" s="10">
        <v>-453.95277474320574</v>
      </c>
      <c r="G98" s="9">
        <v>92</v>
      </c>
      <c r="H98" s="10">
        <v>1831.9571222766122</v>
      </c>
      <c r="I98" s="9">
        <v>92</v>
      </c>
      <c r="J98" s="167">
        <v>-2448.4916370561514</v>
      </c>
    </row>
    <row r="99" spans="1:10" x14ac:dyDescent="0.35">
      <c r="A99" s="170">
        <v>93</v>
      </c>
      <c r="B99" s="10">
        <v>1974.5399193843232</v>
      </c>
      <c r="C99" s="9">
        <v>93</v>
      </c>
      <c r="D99" s="10">
        <v>364.55164831220299</v>
      </c>
      <c r="E99" s="9">
        <v>93</v>
      </c>
      <c r="F99" s="10">
        <v>-849.60456779566766</v>
      </c>
      <c r="G99" s="9">
        <v>93</v>
      </c>
      <c r="H99" s="10">
        <v>3649.2217040718597</v>
      </c>
      <c r="I99" s="9">
        <v>93</v>
      </c>
      <c r="J99" s="167">
        <v>-1817.764802362183</v>
      </c>
    </row>
    <row r="100" spans="1:10" x14ac:dyDescent="0.35">
      <c r="A100" s="170">
        <v>94</v>
      </c>
      <c r="B100" s="10">
        <v>1210.9875060140198</v>
      </c>
      <c r="C100" s="9">
        <v>94</v>
      </c>
      <c r="D100" s="10">
        <v>446.86583530997819</v>
      </c>
      <c r="E100" s="9">
        <v>94</v>
      </c>
      <c r="F100" s="10">
        <v>3656.2009615887496</v>
      </c>
      <c r="G100" s="9">
        <v>94</v>
      </c>
      <c r="H100" s="10">
        <v>3036.6206029086302</v>
      </c>
      <c r="I100" s="9">
        <v>94</v>
      </c>
      <c r="J100" s="167">
        <v>4065.2064925739728</v>
      </c>
    </row>
    <row r="101" spans="1:10" x14ac:dyDescent="0.35">
      <c r="A101" s="170">
        <v>95</v>
      </c>
      <c r="B101" s="10">
        <v>5930.6271698352648</v>
      </c>
      <c r="C101" s="9">
        <v>95</v>
      </c>
      <c r="D101" s="10">
        <v>422.16845395342989</v>
      </c>
      <c r="E101" s="9">
        <v>95</v>
      </c>
      <c r="F101" s="10">
        <v>3247.8282403649946</v>
      </c>
      <c r="G101" s="9">
        <v>95</v>
      </c>
      <c r="H101" s="10">
        <v>237.97933439424935</v>
      </c>
      <c r="I101" s="9">
        <v>95</v>
      </c>
      <c r="J101" s="167">
        <v>-408.34752573577447</v>
      </c>
    </row>
    <row r="102" spans="1:10" x14ac:dyDescent="0.35">
      <c r="A102" s="170">
        <v>96</v>
      </c>
      <c r="B102" s="10">
        <v>2107.9115752512816</v>
      </c>
      <c r="C102" s="9">
        <v>96</v>
      </c>
      <c r="D102" s="10">
        <v>363.46154824968158</v>
      </c>
      <c r="E102" s="9">
        <v>96</v>
      </c>
      <c r="F102" s="10">
        <v>3522.9469362433902</v>
      </c>
      <c r="G102" s="9">
        <v>96</v>
      </c>
      <c r="H102" s="10">
        <v>3083.0570282719013</v>
      </c>
      <c r="I102" s="9">
        <v>96</v>
      </c>
      <c r="J102" s="167">
        <v>-919.56813265742903</v>
      </c>
    </row>
    <row r="103" spans="1:10" x14ac:dyDescent="0.35">
      <c r="A103" s="170">
        <v>97</v>
      </c>
      <c r="B103" s="10">
        <v>-702.03901904512759</v>
      </c>
      <c r="C103" s="9">
        <v>97</v>
      </c>
      <c r="D103" s="10">
        <v>406.77463103799499</v>
      </c>
      <c r="E103" s="9">
        <v>97</v>
      </c>
      <c r="F103" s="10">
        <v>-232.9887471869165</v>
      </c>
      <c r="G103" s="9">
        <v>97</v>
      </c>
      <c r="H103" s="10">
        <v>-5651.5854921434948</v>
      </c>
      <c r="I103" s="9">
        <v>97</v>
      </c>
      <c r="J103" s="167">
        <v>2658.8077831389396</v>
      </c>
    </row>
    <row r="104" spans="1:10" x14ac:dyDescent="0.35">
      <c r="A104" s="170">
        <v>98</v>
      </c>
      <c r="B104" s="10">
        <v>2207.3919751520725</v>
      </c>
      <c r="C104" s="9">
        <v>98</v>
      </c>
      <c r="D104" s="10">
        <v>559.94211082854451</v>
      </c>
      <c r="E104" s="9">
        <v>98</v>
      </c>
      <c r="F104" s="10">
        <v>1357.4544621746768</v>
      </c>
      <c r="G104" s="9">
        <v>98</v>
      </c>
      <c r="H104" s="10">
        <v>3631.955216911927</v>
      </c>
      <c r="I104" s="9">
        <v>98</v>
      </c>
      <c r="J104" s="167">
        <v>3474.6012378885453</v>
      </c>
    </row>
    <row r="105" spans="1:10" x14ac:dyDescent="0.35">
      <c r="A105" s="170">
        <v>99</v>
      </c>
      <c r="B105" s="10">
        <v>1465.3937845250564</v>
      </c>
      <c r="C105" s="9">
        <v>99</v>
      </c>
      <c r="D105" s="10">
        <v>465.40902247075041</v>
      </c>
      <c r="E105" s="9">
        <v>99</v>
      </c>
      <c r="F105" s="10">
        <v>1476.4588943499675</v>
      </c>
      <c r="G105" s="9">
        <v>99</v>
      </c>
      <c r="H105" s="10">
        <v>3412.7446362190203</v>
      </c>
      <c r="I105" s="9">
        <v>99</v>
      </c>
      <c r="J105" s="167">
        <v>1712.3962960456925</v>
      </c>
    </row>
    <row r="106" spans="1:10" x14ac:dyDescent="0.35">
      <c r="A106" s="170">
        <v>100</v>
      </c>
      <c r="B106" s="10">
        <v>3473.2821482519039</v>
      </c>
      <c r="C106" s="9">
        <v>100</v>
      </c>
      <c r="D106" s="10">
        <v>376.97647825826567</v>
      </c>
      <c r="E106" s="9">
        <v>100</v>
      </c>
      <c r="F106" s="10">
        <v>1306.8283828171066</v>
      </c>
      <c r="G106" s="9">
        <v>100</v>
      </c>
      <c r="H106" s="10">
        <v>-2261.9424186601759</v>
      </c>
      <c r="I106" s="9">
        <v>100</v>
      </c>
      <c r="J106" s="167">
        <v>-4927.0671837359514</v>
      </c>
    </row>
    <row r="107" spans="1:10" x14ac:dyDescent="0.35">
      <c r="A107" s="170">
        <v>101</v>
      </c>
      <c r="B107" s="10">
        <v>1820.9000084785628</v>
      </c>
      <c r="C107" s="9">
        <v>101</v>
      </c>
      <c r="D107" s="10">
        <v>538.03041810231207</v>
      </c>
      <c r="E107" s="9">
        <v>101</v>
      </c>
      <c r="F107" s="10">
        <v>3050.2527107008214</v>
      </c>
      <c r="G107" s="9">
        <v>101</v>
      </c>
      <c r="H107" s="10">
        <v>1421.0951525158439</v>
      </c>
      <c r="I107" s="9">
        <v>101</v>
      </c>
      <c r="J107" s="167">
        <v>-4860.7261049245208</v>
      </c>
    </row>
    <row r="108" spans="1:10" x14ac:dyDescent="0.35">
      <c r="A108" s="170">
        <v>102</v>
      </c>
      <c r="B108" s="10">
        <v>4222.5319907826779</v>
      </c>
      <c r="C108" s="9">
        <v>102</v>
      </c>
      <c r="D108" s="10">
        <v>440.11028456196618</v>
      </c>
      <c r="E108" s="9">
        <v>102</v>
      </c>
      <c r="F108" s="10">
        <v>1556.1699258787344</v>
      </c>
      <c r="G108" s="9">
        <v>102</v>
      </c>
      <c r="H108" s="10">
        <v>-3184.7015209083111</v>
      </c>
      <c r="I108" s="9">
        <v>102</v>
      </c>
      <c r="J108" s="167">
        <v>-1865.7112693627294</v>
      </c>
    </row>
    <row r="109" spans="1:10" x14ac:dyDescent="0.35">
      <c r="A109" s="170">
        <v>103</v>
      </c>
      <c r="B109" s="10">
        <v>2009.2986683506947</v>
      </c>
      <c r="C109" s="9">
        <v>103</v>
      </c>
      <c r="D109" s="10">
        <v>301.013891503379</v>
      </c>
      <c r="E109" s="9">
        <v>103</v>
      </c>
      <c r="F109" s="10">
        <v>1907.5392544484398</v>
      </c>
      <c r="G109" s="9">
        <v>103</v>
      </c>
      <c r="H109" s="10">
        <v>-2907.6924319611485</v>
      </c>
      <c r="I109" s="9">
        <v>103</v>
      </c>
      <c r="J109" s="167">
        <v>1055.8148427855954</v>
      </c>
    </row>
    <row r="110" spans="1:10" x14ac:dyDescent="0.35">
      <c r="A110" s="170">
        <v>104</v>
      </c>
      <c r="B110" s="10">
        <v>6035.6010964162415</v>
      </c>
      <c r="C110" s="9">
        <v>104</v>
      </c>
      <c r="D110" s="10">
        <v>546.97793772200373</v>
      </c>
      <c r="E110" s="9">
        <v>104</v>
      </c>
      <c r="F110" s="10">
        <v>4150.1860807770136</v>
      </c>
      <c r="G110" s="9">
        <v>104</v>
      </c>
      <c r="H110" s="10">
        <v>750.11824450487029</v>
      </c>
      <c r="I110" s="9">
        <v>104</v>
      </c>
      <c r="J110" s="167">
        <v>-1541.7876752620086</v>
      </c>
    </row>
    <row r="111" spans="1:10" x14ac:dyDescent="0.35">
      <c r="A111" s="170">
        <v>105</v>
      </c>
      <c r="B111" s="10">
        <v>1927.0830908724461</v>
      </c>
      <c r="C111" s="9">
        <v>105</v>
      </c>
      <c r="D111" s="10">
        <v>349.65059525485083</v>
      </c>
      <c r="E111" s="9">
        <v>105</v>
      </c>
      <c r="F111" s="10">
        <v>6700.0477420846919</v>
      </c>
      <c r="G111" s="9">
        <v>105</v>
      </c>
      <c r="H111" s="10">
        <v>-2795.6922133983376</v>
      </c>
      <c r="I111" s="9">
        <v>105</v>
      </c>
      <c r="J111" s="167">
        <v>-900.2759699741714</v>
      </c>
    </row>
    <row r="112" spans="1:10" x14ac:dyDescent="0.35">
      <c r="A112" s="170">
        <v>106</v>
      </c>
      <c r="B112" s="10">
        <v>3127.6534800875643</v>
      </c>
      <c r="C112" s="9">
        <v>106</v>
      </c>
      <c r="D112" s="10">
        <v>228.03017371673297</v>
      </c>
      <c r="E112" s="9">
        <v>106</v>
      </c>
      <c r="F112" s="10">
        <v>3189.39974832296</v>
      </c>
      <c r="G112" s="9">
        <v>106</v>
      </c>
      <c r="H112" s="10">
        <v>-810.56678779965603</v>
      </c>
      <c r="I112" s="9">
        <v>106</v>
      </c>
      <c r="J112" s="167">
        <v>-1788.8985145986821</v>
      </c>
    </row>
    <row r="113" spans="1:10" x14ac:dyDescent="0.35">
      <c r="A113" s="170">
        <v>107</v>
      </c>
      <c r="B113" s="10">
        <v>2033.951329000191</v>
      </c>
      <c r="C113" s="9">
        <v>107</v>
      </c>
      <c r="D113" s="10">
        <v>396.37603064696788</v>
      </c>
      <c r="E113" s="9">
        <v>107</v>
      </c>
      <c r="F113" s="10">
        <v>5316.2909944741878</v>
      </c>
      <c r="G113" s="9">
        <v>107</v>
      </c>
      <c r="H113" s="10">
        <v>4368.9953689331378</v>
      </c>
      <c r="I113" s="9">
        <v>107</v>
      </c>
      <c r="J113" s="167">
        <v>1409.017827853613</v>
      </c>
    </row>
    <row r="114" spans="1:10" x14ac:dyDescent="0.35">
      <c r="A114" s="170">
        <v>108</v>
      </c>
      <c r="B114" s="10">
        <v>4742.5880626126163</v>
      </c>
      <c r="C114" s="9">
        <v>108</v>
      </c>
      <c r="D114" s="10">
        <v>451.21280192433295</v>
      </c>
      <c r="E114" s="9">
        <v>108</v>
      </c>
      <c r="F114" s="10">
        <v>-1321.4111239477679</v>
      </c>
      <c r="G114" s="9">
        <v>108</v>
      </c>
      <c r="H114" s="10">
        <v>-323.59220386621871</v>
      </c>
      <c r="I114" s="9">
        <v>108</v>
      </c>
      <c r="J114" s="167">
        <v>-3852.692174155216</v>
      </c>
    </row>
    <row r="115" spans="1:10" x14ac:dyDescent="0.35">
      <c r="A115" s="170">
        <v>109</v>
      </c>
      <c r="B115" s="10">
        <v>3306.9210808616099</v>
      </c>
      <c r="C115" s="9">
        <v>109</v>
      </c>
      <c r="D115" s="10">
        <v>380.40127779167233</v>
      </c>
      <c r="E115" s="9">
        <v>109</v>
      </c>
      <c r="F115" s="10">
        <v>7059.1689739562635</v>
      </c>
      <c r="G115" s="9">
        <v>109</v>
      </c>
      <c r="H115" s="10">
        <v>1024.5562542270297</v>
      </c>
      <c r="I115" s="9">
        <v>109</v>
      </c>
      <c r="J115" s="167">
        <v>-40.489399837683209</v>
      </c>
    </row>
    <row r="116" spans="1:10" x14ac:dyDescent="0.35">
      <c r="A116" s="170">
        <v>110</v>
      </c>
      <c r="B116" s="10">
        <v>2909.8799357301909</v>
      </c>
      <c r="C116" s="9">
        <v>110</v>
      </c>
      <c r="D116" s="10">
        <v>289.25580702515242</v>
      </c>
      <c r="E116" s="9">
        <v>110</v>
      </c>
      <c r="F116" s="10">
        <v>2119.9166950214258</v>
      </c>
      <c r="G116" s="9">
        <v>110</v>
      </c>
      <c r="H116" s="10">
        <v>2734.5000185118652</v>
      </c>
      <c r="I116" s="9">
        <v>110</v>
      </c>
      <c r="J116" s="167">
        <v>-1313.2075738828453</v>
      </c>
    </row>
    <row r="117" spans="1:10" x14ac:dyDescent="0.35">
      <c r="A117" s="170">
        <v>111</v>
      </c>
      <c r="B117" s="10">
        <v>1936.7439575608755</v>
      </c>
      <c r="C117" s="9">
        <v>111</v>
      </c>
      <c r="D117" s="10">
        <v>321.69028324381463</v>
      </c>
      <c r="E117" s="9">
        <v>111</v>
      </c>
      <c r="F117" s="10">
        <v>-127.6373816764517</v>
      </c>
      <c r="G117" s="9">
        <v>111</v>
      </c>
      <c r="H117" s="10">
        <v>1238.0555979372853</v>
      </c>
      <c r="I117" s="9">
        <v>111</v>
      </c>
      <c r="J117" s="167">
        <v>-784.06922973235612</v>
      </c>
    </row>
    <row r="118" spans="1:10" x14ac:dyDescent="0.35">
      <c r="A118" s="170">
        <v>112</v>
      </c>
      <c r="B118" s="10">
        <v>4521.2880531237424</v>
      </c>
      <c r="C118" s="9">
        <v>112</v>
      </c>
      <c r="D118" s="10">
        <v>372.6146497376036</v>
      </c>
      <c r="E118" s="9">
        <v>112</v>
      </c>
      <c r="F118" s="10">
        <v>2302.7259405152035</v>
      </c>
      <c r="G118" s="9">
        <v>112</v>
      </c>
      <c r="H118" s="10">
        <v>-772.72349663996522</v>
      </c>
      <c r="I118" s="9">
        <v>112</v>
      </c>
      <c r="J118" s="167">
        <v>-4873.8864090131938</v>
      </c>
    </row>
    <row r="119" spans="1:10" x14ac:dyDescent="0.35">
      <c r="A119" s="170">
        <v>113</v>
      </c>
      <c r="B119" s="10">
        <v>5200.4481215949418</v>
      </c>
      <c r="C119" s="9">
        <v>113</v>
      </c>
      <c r="D119" s="10">
        <v>429.84845623203842</v>
      </c>
      <c r="E119" s="9">
        <v>113</v>
      </c>
      <c r="F119" s="10">
        <v>-3142.7659528605127</v>
      </c>
      <c r="G119" s="9">
        <v>113</v>
      </c>
      <c r="H119" s="10">
        <v>-715.13586384990128</v>
      </c>
      <c r="I119" s="9">
        <v>113</v>
      </c>
      <c r="J119" s="167">
        <v>2483.1113715190768</v>
      </c>
    </row>
    <row r="120" spans="1:10" x14ac:dyDescent="0.35">
      <c r="A120" s="170">
        <v>114</v>
      </c>
      <c r="B120" s="10">
        <v>1856.4123335822505</v>
      </c>
      <c r="C120" s="9">
        <v>114</v>
      </c>
      <c r="D120" s="10">
        <v>447.61710400484912</v>
      </c>
      <c r="E120" s="9">
        <v>114</v>
      </c>
      <c r="F120" s="10">
        <v>5826.2017143195299</v>
      </c>
      <c r="G120" s="9">
        <v>114</v>
      </c>
      <c r="H120" s="10">
        <v>3850.2031072210293</v>
      </c>
      <c r="I120" s="9">
        <v>114</v>
      </c>
      <c r="J120" s="167">
        <v>845.52511540201021</v>
      </c>
    </row>
    <row r="121" spans="1:10" x14ac:dyDescent="0.35">
      <c r="A121" s="170">
        <v>115</v>
      </c>
      <c r="B121" s="10">
        <v>2564.3045714454711</v>
      </c>
      <c r="C121" s="9">
        <v>115</v>
      </c>
      <c r="D121" s="10">
        <v>485.08397423112069</v>
      </c>
      <c r="E121" s="9">
        <v>115</v>
      </c>
      <c r="F121" s="10">
        <v>1690.665810879676</v>
      </c>
      <c r="G121" s="9">
        <v>115</v>
      </c>
      <c r="H121" s="10">
        <v>7637.5357862478932</v>
      </c>
      <c r="I121" s="9">
        <v>115</v>
      </c>
      <c r="J121" s="167">
        <v>-842.72596278625429</v>
      </c>
    </row>
    <row r="122" spans="1:10" x14ac:dyDescent="0.35">
      <c r="A122" s="170">
        <v>116</v>
      </c>
      <c r="B122" s="10">
        <v>3247.4040897111122</v>
      </c>
      <c r="C122" s="9">
        <v>116</v>
      </c>
      <c r="D122" s="10">
        <v>452.99153896640138</v>
      </c>
      <c r="E122" s="9">
        <v>116</v>
      </c>
      <c r="F122" s="10">
        <v>3346.6913387138484</v>
      </c>
      <c r="G122" s="9">
        <v>116</v>
      </c>
      <c r="H122" s="10">
        <v>2788.1599059966325</v>
      </c>
      <c r="I122" s="9">
        <v>116</v>
      </c>
      <c r="J122" s="167">
        <v>-3872.5996924986252</v>
      </c>
    </row>
    <row r="123" spans="1:10" x14ac:dyDescent="0.35">
      <c r="A123" s="170">
        <v>117</v>
      </c>
      <c r="B123" s="10">
        <v>3219.507623124</v>
      </c>
      <c r="C123" s="9">
        <v>117</v>
      </c>
      <c r="D123" s="10">
        <v>192.10758189320592</v>
      </c>
      <c r="E123" s="9">
        <v>117</v>
      </c>
      <c r="F123" s="10">
        <v>5792.9804324275628</v>
      </c>
      <c r="G123" s="9">
        <v>117</v>
      </c>
      <c r="H123" s="10">
        <v>-283.65208214281449</v>
      </c>
      <c r="I123" s="9">
        <v>117</v>
      </c>
      <c r="J123" s="167">
        <v>-712.01512424548719</v>
      </c>
    </row>
    <row r="124" spans="1:10" x14ac:dyDescent="0.35">
      <c r="A124" s="170">
        <v>118</v>
      </c>
      <c r="B124" s="10">
        <v>57.674332774036429</v>
      </c>
      <c r="C124" s="9">
        <v>118</v>
      </c>
      <c r="D124" s="10">
        <v>441.7026057845863</v>
      </c>
      <c r="E124" s="9">
        <v>118</v>
      </c>
      <c r="F124" s="10">
        <v>1279.0911745529841</v>
      </c>
      <c r="G124" s="9">
        <v>118</v>
      </c>
      <c r="H124" s="10">
        <v>1078.5336195749737</v>
      </c>
      <c r="I124" s="9">
        <v>118</v>
      </c>
      <c r="J124" s="167">
        <v>774.47128241135442</v>
      </c>
    </row>
    <row r="125" spans="1:10" x14ac:dyDescent="0.35">
      <c r="A125" s="170">
        <v>119</v>
      </c>
      <c r="B125" s="10">
        <v>3154.9539811988934</v>
      </c>
      <c r="C125" s="9">
        <v>119</v>
      </c>
      <c r="D125" s="10">
        <v>391.82460933566273</v>
      </c>
      <c r="E125" s="9">
        <v>119</v>
      </c>
      <c r="F125" s="10">
        <v>-3779.4318535362409</v>
      </c>
      <c r="G125" s="9">
        <v>119</v>
      </c>
      <c r="H125" s="10">
        <v>2940.8470942578515</v>
      </c>
      <c r="I125" s="9">
        <v>119</v>
      </c>
      <c r="J125" s="167">
        <v>-1964.5772502933321</v>
      </c>
    </row>
    <row r="126" spans="1:10" x14ac:dyDescent="0.35">
      <c r="A126" s="170">
        <v>120</v>
      </c>
      <c r="B126" s="10">
        <v>3265.3713983141151</v>
      </c>
      <c r="C126" s="9">
        <v>120</v>
      </c>
      <c r="D126" s="10">
        <v>400.53717956403671</v>
      </c>
      <c r="E126" s="9">
        <v>120</v>
      </c>
      <c r="F126" s="10">
        <v>2057.8198352669915</v>
      </c>
      <c r="G126" s="9">
        <v>120</v>
      </c>
      <c r="H126" s="10">
        <v>-1971.7600201317332</v>
      </c>
      <c r="I126" s="9">
        <v>120</v>
      </c>
      <c r="J126" s="167">
        <v>-4306.8689448818568</v>
      </c>
    </row>
    <row r="127" spans="1:10" x14ac:dyDescent="0.35">
      <c r="A127" s="170">
        <v>121</v>
      </c>
      <c r="B127" s="10">
        <v>702.50542743712981</v>
      </c>
      <c r="C127" s="9">
        <v>121</v>
      </c>
      <c r="D127" s="10">
        <v>473.86922467820676</v>
      </c>
      <c r="E127" s="9">
        <v>121</v>
      </c>
      <c r="F127" s="10">
        <v>-1473.3453510045638</v>
      </c>
      <c r="G127" s="9">
        <v>121</v>
      </c>
      <c r="H127" s="10">
        <v>5742.4126681535117</v>
      </c>
      <c r="I127" s="9">
        <v>121</v>
      </c>
      <c r="J127" s="167">
        <v>-246.58762040687537</v>
      </c>
    </row>
    <row r="128" spans="1:10" x14ac:dyDescent="0.35">
      <c r="A128" s="170">
        <v>122</v>
      </c>
      <c r="B128" s="10">
        <v>-29.328659278598479</v>
      </c>
      <c r="C128" s="9">
        <v>122</v>
      </c>
      <c r="D128" s="10">
        <v>445.41616407748376</v>
      </c>
      <c r="E128" s="9">
        <v>122</v>
      </c>
      <c r="F128" s="10">
        <v>4457.0003865748758</v>
      </c>
      <c r="G128" s="9">
        <v>122</v>
      </c>
      <c r="H128" s="10">
        <v>-3557.5370929391861</v>
      </c>
      <c r="I128" s="9">
        <v>122</v>
      </c>
      <c r="J128" s="167">
        <v>790.13481219215828</v>
      </c>
    </row>
    <row r="129" spans="1:10" x14ac:dyDescent="0.35">
      <c r="A129" s="170">
        <v>123</v>
      </c>
      <c r="B129" s="10">
        <v>1920.692328412772</v>
      </c>
      <c r="C129" s="9">
        <v>123</v>
      </c>
      <c r="D129" s="10">
        <v>438.2608695432956</v>
      </c>
      <c r="E129" s="9">
        <v>123</v>
      </c>
      <c r="F129" s="10">
        <v>4942.478457577562</v>
      </c>
      <c r="G129" s="9">
        <v>123</v>
      </c>
      <c r="H129" s="10">
        <v>1009.8908236351356</v>
      </c>
      <c r="I129" s="9">
        <v>123</v>
      </c>
      <c r="J129" s="167">
        <v>-3525.5631405172894</v>
      </c>
    </row>
    <row r="130" spans="1:10" x14ac:dyDescent="0.35">
      <c r="A130" s="170">
        <v>124</v>
      </c>
      <c r="B130" s="10">
        <v>2298.0812651209985</v>
      </c>
      <c r="C130" s="9">
        <v>124</v>
      </c>
      <c r="D130" s="10">
        <v>428.3323481263302</v>
      </c>
      <c r="E130" s="9">
        <v>124</v>
      </c>
      <c r="F130" s="10">
        <v>5015.9605685498364</v>
      </c>
      <c r="G130" s="9">
        <v>124</v>
      </c>
      <c r="H130" s="10">
        <v>1695.6673953197328</v>
      </c>
      <c r="I130" s="9">
        <v>124</v>
      </c>
      <c r="J130" s="167">
        <v>-1780.2552514670624</v>
      </c>
    </row>
    <row r="131" spans="1:10" x14ac:dyDescent="0.35">
      <c r="A131" s="170">
        <v>125</v>
      </c>
      <c r="B131" s="10">
        <v>3529.9686591121158</v>
      </c>
      <c r="C131" s="9">
        <v>125</v>
      </c>
      <c r="D131" s="10">
        <v>305.10352657846738</v>
      </c>
      <c r="E131" s="9">
        <v>125</v>
      </c>
      <c r="F131" s="10">
        <v>4347.4720669174512</v>
      </c>
      <c r="G131" s="9">
        <v>125</v>
      </c>
      <c r="H131" s="10">
        <v>276.87362610111876</v>
      </c>
      <c r="I131" s="9">
        <v>125</v>
      </c>
      <c r="J131" s="167">
        <v>3333.6010163071896</v>
      </c>
    </row>
    <row r="132" spans="1:10" x14ac:dyDescent="0.35">
      <c r="A132" s="170">
        <v>126</v>
      </c>
      <c r="B132" s="10">
        <v>4069.6385202965403</v>
      </c>
      <c r="C132" s="9">
        <v>126</v>
      </c>
      <c r="D132" s="10">
        <v>303.20577734374751</v>
      </c>
      <c r="E132" s="9">
        <v>126</v>
      </c>
      <c r="F132" s="10">
        <v>5439.8048753505263</v>
      </c>
      <c r="G132" s="9">
        <v>126</v>
      </c>
      <c r="H132" s="10">
        <v>947.51142218515611</v>
      </c>
      <c r="I132" s="9">
        <v>126</v>
      </c>
      <c r="J132" s="167">
        <v>574.04931350646893</v>
      </c>
    </row>
    <row r="133" spans="1:10" x14ac:dyDescent="0.35">
      <c r="A133" s="170">
        <v>127</v>
      </c>
      <c r="B133" s="10">
        <v>3740.6657312741568</v>
      </c>
      <c r="C133" s="9">
        <v>127</v>
      </c>
      <c r="D133" s="10">
        <v>362.80083339230322</v>
      </c>
      <c r="E133" s="9">
        <v>127</v>
      </c>
      <c r="F133" s="10">
        <v>3472.1368595247991</v>
      </c>
      <c r="G133" s="9">
        <v>127</v>
      </c>
      <c r="H133" s="10">
        <v>1116.5260898767697</v>
      </c>
      <c r="I133" s="9">
        <v>127</v>
      </c>
      <c r="J133" s="167">
        <v>-3638.5876570877326</v>
      </c>
    </row>
    <row r="134" spans="1:10" x14ac:dyDescent="0.35">
      <c r="A134" s="170">
        <v>128</v>
      </c>
      <c r="B134" s="10">
        <v>3592.8580138782731</v>
      </c>
      <c r="C134" s="9">
        <v>128</v>
      </c>
      <c r="D134" s="10">
        <v>431.94573189796904</v>
      </c>
      <c r="E134" s="9">
        <v>128</v>
      </c>
      <c r="F134" s="10">
        <v>540.08843178780717</v>
      </c>
      <c r="G134" s="9">
        <v>128</v>
      </c>
      <c r="H134" s="10">
        <v>-3184.4769935161294</v>
      </c>
      <c r="I134" s="9">
        <v>128</v>
      </c>
      <c r="J134" s="167">
        <v>385.37020860268626</v>
      </c>
    </row>
    <row r="135" spans="1:10" x14ac:dyDescent="0.35">
      <c r="A135" s="170">
        <v>129</v>
      </c>
      <c r="B135" s="10">
        <v>2307.5792672427424</v>
      </c>
      <c r="C135" s="9">
        <v>129</v>
      </c>
      <c r="D135" s="10">
        <v>412.09729494972555</v>
      </c>
      <c r="E135" s="9">
        <v>129</v>
      </c>
      <c r="F135" s="10">
        <v>-1201.268698851849</v>
      </c>
      <c r="G135" s="9">
        <v>129</v>
      </c>
      <c r="H135" s="10">
        <v>2152.3524942518184</v>
      </c>
      <c r="I135" s="9">
        <v>129</v>
      </c>
      <c r="J135" s="167">
        <v>-215.88574996696531</v>
      </c>
    </row>
    <row r="136" spans="1:10" x14ac:dyDescent="0.35">
      <c r="A136" s="170">
        <v>130</v>
      </c>
      <c r="B136" s="10">
        <v>2499.4174121578999</v>
      </c>
      <c r="C136" s="9">
        <v>130</v>
      </c>
      <c r="D136" s="10">
        <v>422.25220284049493</v>
      </c>
      <c r="E136" s="9">
        <v>130</v>
      </c>
      <c r="F136" s="10">
        <v>652.1257308217655</v>
      </c>
      <c r="G136" s="9">
        <v>130</v>
      </c>
      <c r="H136" s="10">
        <v>-3299.1126009336017</v>
      </c>
      <c r="I136" s="9">
        <v>130</v>
      </c>
      <c r="J136" s="167">
        <v>-4258.3492626828011</v>
      </c>
    </row>
    <row r="137" spans="1:10" x14ac:dyDescent="0.35">
      <c r="A137" s="170">
        <v>131</v>
      </c>
      <c r="B137" s="10">
        <v>4078.7183905123184</v>
      </c>
      <c r="C137" s="9">
        <v>131</v>
      </c>
      <c r="D137" s="10">
        <v>270.09680800112886</v>
      </c>
      <c r="E137" s="9">
        <v>131</v>
      </c>
      <c r="F137" s="10">
        <v>-1932.4334983786866</v>
      </c>
      <c r="G137" s="9">
        <v>131</v>
      </c>
      <c r="H137" s="10">
        <v>-2309.8474556465158</v>
      </c>
      <c r="I137" s="9">
        <v>131</v>
      </c>
      <c r="J137" s="167">
        <v>3666.2654428291726</v>
      </c>
    </row>
    <row r="138" spans="1:10" x14ac:dyDescent="0.35">
      <c r="A138" s="170">
        <v>132</v>
      </c>
      <c r="B138" s="10">
        <v>5613.4610925296201</v>
      </c>
      <c r="C138" s="9">
        <v>132</v>
      </c>
      <c r="D138" s="10">
        <v>381.82304574496493</v>
      </c>
      <c r="E138" s="9">
        <v>132</v>
      </c>
      <c r="F138" s="10">
        <v>-2010.032905681559</v>
      </c>
      <c r="G138" s="9">
        <v>132</v>
      </c>
      <c r="H138" s="10">
        <v>-917.4230765474498</v>
      </c>
      <c r="I138" s="9">
        <v>132</v>
      </c>
      <c r="J138" s="167">
        <v>-542.241025001156</v>
      </c>
    </row>
    <row r="139" spans="1:10" x14ac:dyDescent="0.35">
      <c r="A139" s="170">
        <v>133</v>
      </c>
      <c r="B139" s="10">
        <v>4943.2267877659724</v>
      </c>
      <c r="C139" s="9">
        <v>133</v>
      </c>
      <c r="D139" s="10">
        <v>456.73757008454697</v>
      </c>
      <c r="E139" s="9">
        <v>133</v>
      </c>
      <c r="F139" s="10">
        <v>6094.9843711202393</v>
      </c>
      <c r="G139" s="9">
        <v>133</v>
      </c>
      <c r="H139" s="10">
        <v>217.11134355349924</v>
      </c>
      <c r="I139" s="9">
        <v>133</v>
      </c>
      <c r="J139" s="167">
        <v>695.45527724582666</v>
      </c>
    </row>
    <row r="140" spans="1:10" x14ac:dyDescent="0.35">
      <c r="A140" s="170">
        <v>134</v>
      </c>
      <c r="B140" s="10">
        <v>3475.4530111511444</v>
      </c>
      <c r="C140" s="9">
        <v>134</v>
      </c>
      <c r="D140" s="10">
        <v>426.01126483248214</v>
      </c>
      <c r="E140" s="9">
        <v>134</v>
      </c>
      <c r="F140" s="10">
        <v>3390.8355927321263</v>
      </c>
      <c r="G140" s="9">
        <v>134</v>
      </c>
      <c r="H140" s="10">
        <v>-755.18390728141105</v>
      </c>
      <c r="I140" s="9">
        <v>134</v>
      </c>
      <c r="J140" s="167">
        <v>-5447.6535133584275</v>
      </c>
    </row>
    <row r="141" spans="1:10" x14ac:dyDescent="0.35">
      <c r="A141" s="170">
        <v>135</v>
      </c>
      <c r="B141" s="10">
        <v>3777.0227924926126</v>
      </c>
      <c r="C141" s="9">
        <v>135</v>
      </c>
      <c r="D141" s="10">
        <v>510.73442781997363</v>
      </c>
      <c r="E141" s="9">
        <v>135</v>
      </c>
      <c r="F141" s="10">
        <v>3926.3211232177568</v>
      </c>
      <c r="G141" s="9">
        <v>135</v>
      </c>
      <c r="H141" s="10">
        <v>4312.6787685948029</v>
      </c>
      <c r="I141" s="9">
        <v>135</v>
      </c>
      <c r="J141" s="167">
        <v>4308.0296497590789</v>
      </c>
    </row>
    <row r="142" spans="1:10" x14ac:dyDescent="0.35">
      <c r="A142" s="170">
        <v>136</v>
      </c>
      <c r="B142" s="10">
        <v>4884.0113681100329</v>
      </c>
      <c r="C142" s="9">
        <v>136</v>
      </c>
      <c r="D142" s="10">
        <v>537.97802679482345</v>
      </c>
      <c r="E142" s="9">
        <v>136</v>
      </c>
      <c r="F142" s="10">
        <v>-558.1861032689676</v>
      </c>
      <c r="G142" s="9">
        <v>136</v>
      </c>
      <c r="H142" s="10">
        <v>210.95897831153002</v>
      </c>
      <c r="I142" s="9">
        <v>136</v>
      </c>
      <c r="J142" s="167">
        <v>3232.0035096815182</v>
      </c>
    </row>
    <row r="143" spans="1:10" x14ac:dyDescent="0.35">
      <c r="A143" s="170">
        <v>137</v>
      </c>
      <c r="B143" s="10">
        <v>3993.371001473271</v>
      </c>
      <c r="C143" s="9">
        <v>137</v>
      </c>
      <c r="D143" s="10">
        <v>320.88151009542969</v>
      </c>
      <c r="E143" s="9">
        <v>137</v>
      </c>
      <c r="F143" s="10">
        <v>-570.08159597446092</v>
      </c>
      <c r="G143" s="9">
        <v>137</v>
      </c>
      <c r="H143" s="10">
        <v>-3158.7755093123078</v>
      </c>
      <c r="I143" s="9">
        <v>137</v>
      </c>
      <c r="J143" s="167">
        <v>809.87666464918902</v>
      </c>
    </row>
    <row r="144" spans="1:10" x14ac:dyDescent="0.35">
      <c r="A144" s="170">
        <v>138</v>
      </c>
      <c r="B144" s="10">
        <v>4789.9317773373668</v>
      </c>
      <c r="C144" s="9">
        <v>138</v>
      </c>
      <c r="D144" s="10">
        <v>279.93564359546389</v>
      </c>
      <c r="E144" s="9">
        <v>138</v>
      </c>
      <c r="F144" s="10">
        <v>4245.4907725119501</v>
      </c>
      <c r="G144" s="9">
        <v>138</v>
      </c>
      <c r="H144" s="10">
        <v>666.42601738453357</v>
      </c>
      <c r="I144" s="9">
        <v>138</v>
      </c>
      <c r="J144" s="167">
        <v>-1979.2748340657949</v>
      </c>
    </row>
    <row r="145" spans="1:10" x14ac:dyDescent="0.35">
      <c r="A145" s="170">
        <v>139</v>
      </c>
      <c r="B145" s="10">
        <v>4902.7425153968434</v>
      </c>
      <c r="C145" s="9">
        <v>139</v>
      </c>
      <c r="D145" s="10">
        <v>432.14752970196457</v>
      </c>
      <c r="E145" s="9">
        <v>139</v>
      </c>
      <c r="F145" s="10">
        <v>3309.2801961797404</v>
      </c>
      <c r="G145" s="9">
        <v>139</v>
      </c>
      <c r="H145" s="10">
        <v>4746.4336470648586</v>
      </c>
      <c r="I145" s="9">
        <v>139</v>
      </c>
      <c r="J145" s="167">
        <v>775.60283476310929</v>
      </c>
    </row>
    <row r="146" spans="1:10" x14ac:dyDescent="0.35">
      <c r="A146" s="170">
        <v>140</v>
      </c>
      <c r="B146" s="10">
        <v>4343.5261724416177</v>
      </c>
      <c r="C146" s="9">
        <v>140</v>
      </c>
      <c r="D146" s="10">
        <v>451.50622821260981</v>
      </c>
      <c r="E146" s="9">
        <v>140</v>
      </c>
      <c r="F146" s="10">
        <v>4626.3452449516426</v>
      </c>
      <c r="G146" s="9">
        <v>140</v>
      </c>
      <c r="H146" s="10">
        <v>3054.7755584301713</v>
      </c>
      <c r="I146" s="9">
        <v>140</v>
      </c>
      <c r="J146" s="167">
        <v>623.80084922879314</v>
      </c>
    </row>
    <row r="147" spans="1:10" x14ac:dyDescent="0.35">
      <c r="A147" s="170">
        <v>141</v>
      </c>
      <c r="B147" s="10">
        <v>1778.494080318977</v>
      </c>
      <c r="C147" s="9">
        <v>141</v>
      </c>
      <c r="D147" s="10">
        <v>260.21650952528705</v>
      </c>
      <c r="E147" s="9">
        <v>141</v>
      </c>
      <c r="F147" s="10">
        <v>6521.4404525364171</v>
      </c>
      <c r="G147" s="9">
        <v>141</v>
      </c>
      <c r="H147" s="10">
        <v>2050.3055171378455</v>
      </c>
      <c r="I147" s="9">
        <v>141</v>
      </c>
      <c r="J147" s="167">
        <v>-5186.6615216689897</v>
      </c>
    </row>
    <row r="148" spans="1:10" x14ac:dyDescent="0.35">
      <c r="A148" s="170">
        <v>142</v>
      </c>
      <c r="B148" s="10">
        <v>2620.769448308663</v>
      </c>
      <c r="C148" s="9">
        <v>142</v>
      </c>
      <c r="D148" s="10">
        <v>485.64678998252481</v>
      </c>
      <c r="E148" s="9">
        <v>142</v>
      </c>
      <c r="F148" s="10">
        <v>1759.3529177845367</v>
      </c>
      <c r="G148" s="9">
        <v>142</v>
      </c>
      <c r="H148" s="10">
        <v>3119.5764468113498</v>
      </c>
      <c r="I148" s="9">
        <v>142</v>
      </c>
      <c r="J148" s="167">
        <v>-1959.1462713512665</v>
      </c>
    </row>
    <row r="149" spans="1:10" x14ac:dyDescent="0.35">
      <c r="A149" s="170">
        <v>143</v>
      </c>
      <c r="B149" s="10">
        <v>4009.4606454514906</v>
      </c>
      <c r="C149" s="9">
        <v>143</v>
      </c>
      <c r="D149" s="10">
        <v>381.4745440731441</v>
      </c>
      <c r="E149" s="9">
        <v>143</v>
      </c>
      <c r="F149" s="10">
        <v>1280.810354752236</v>
      </c>
      <c r="G149" s="9">
        <v>143</v>
      </c>
      <c r="H149" s="10">
        <v>191.24984005005399</v>
      </c>
      <c r="I149" s="9">
        <v>143</v>
      </c>
      <c r="J149" s="167">
        <v>-1297.6790878713691</v>
      </c>
    </row>
    <row r="150" spans="1:10" x14ac:dyDescent="0.35">
      <c r="A150" s="170">
        <v>144</v>
      </c>
      <c r="B150" s="10">
        <v>2833.6136035761137</v>
      </c>
      <c r="C150" s="9">
        <v>144</v>
      </c>
      <c r="D150" s="10">
        <v>444.63349022370119</v>
      </c>
      <c r="E150" s="9">
        <v>144</v>
      </c>
      <c r="F150" s="10">
        <v>1168.2745841088117</v>
      </c>
      <c r="G150" s="9">
        <v>144</v>
      </c>
      <c r="H150" s="10">
        <v>3872.5256724465594</v>
      </c>
      <c r="I150" s="9">
        <v>144</v>
      </c>
      <c r="J150" s="167">
        <v>2316.2110287583969</v>
      </c>
    </row>
    <row r="151" spans="1:10" x14ac:dyDescent="0.35">
      <c r="A151" s="170">
        <v>145</v>
      </c>
      <c r="B151" s="10">
        <v>1560.4653983610269</v>
      </c>
      <c r="C151" s="9">
        <v>145</v>
      </c>
      <c r="D151" s="10">
        <v>388.6098962679464</v>
      </c>
      <c r="E151" s="9">
        <v>145</v>
      </c>
      <c r="F151" s="10">
        <v>858.11613757405144</v>
      </c>
      <c r="G151" s="9">
        <v>145</v>
      </c>
      <c r="H151" s="10">
        <v>-1696.5062189743871</v>
      </c>
      <c r="I151" s="9">
        <v>145</v>
      </c>
      <c r="J151" s="167">
        <v>-631.91696628118393</v>
      </c>
    </row>
    <row r="152" spans="1:10" x14ac:dyDescent="0.35">
      <c r="A152" s="170">
        <v>146</v>
      </c>
      <c r="B152" s="10">
        <v>4109.6411054036198</v>
      </c>
      <c r="C152" s="9">
        <v>146</v>
      </c>
      <c r="D152" s="10">
        <v>321.45216537052193</v>
      </c>
      <c r="E152" s="9">
        <v>146</v>
      </c>
      <c r="F152" s="10">
        <v>2582.87411852166</v>
      </c>
      <c r="G152" s="9">
        <v>146</v>
      </c>
      <c r="H152" s="10">
        <v>-491.26530017399557</v>
      </c>
      <c r="I152" s="9">
        <v>146</v>
      </c>
      <c r="J152" s="167">
        <v>-506.48701295218655</v>
      </c>
    </row>
    <row r="153" spans="1:10" x14ac:dyDescent="0.35">
      <c r="A153" s="170">
        <v>147</v>
      </c>
      <c r="B153" s="10">
        <v>3186.0243748176058</v>
      </c>
      <c r="C153" s="9">
        <v>147</v>
      </c>
      <c r="D153" s="10">
        <v>307.37220807401116</v>
      </c>
      <c r="E153" s="9">
        <v>147</v>
      </c>
      <c r="F153" s="10">
        <v>4632.4323480500661</v>
      </c>
      <c r="G153" s="9">
        <v>147</v>
      </c>
      <c r="H153" s="10">
        <v>-2606.4475261264915</v>
      </c>
      <c r="I153" s="9">
        <v>147</v>
      </c>
      <c r="J153" s="167">
        <v>4900.3362951333511</v>
      </c>
    </row>
    <row r="154" spans="1:10" x14ac:dyDescent="0.35">
      <c r="A154" s="170">
        <v>148</v>
      </c>
      <c r="B154" s="10">
        <v>2559.4117516053502</v>
      </c>
      <c r="C154" s="9">
        <v>148</v>
      </c>
      <c r="D154" s="10">
        <v>494.81349427541619</v>
      </c>
      <c r="E154" s="9">
        <v>148</v>
      </c>
      <c r="F154" s="10">
        <v>1442.6822314236333</v>
      </c>
      <c r="G154" s="9">
        <v>148</v>
      </c>
      <c r="H154" s="10">
        <v>-1313.4488722287042</v>
      </c>
      <c r="I154" s="9">
        <v>148</v>
      </c>
      <c r="J154" s="167">
        <v>3578.3768487862603</v>
      </c>
    </row>
    <row r="155" spans="1:10" x14ac:dyDescent="0.35">
      <c r="A155" s="170">
        <v>149</v>
      </c>
      <c r="B155" s="10">
        <v>529.61994806974008</v>
      </c>
      <c r="C155" s="9">
        <v>149</v>
      </c>
      <c r="D155" s="10">
        <v>511.8795568713914</v>
      </c>
      <c r="E155" s="9">
        <v>149</v>
      </c>
      <c r="F155" s="10">
        <v>-183.75415881580057</v>
      </c>
      <c r="G155" s="9">
        <v>149</v>
      </c>
      <c r="H155" s="10">
        <v>-1793.2757008658796</v>
      </c>
      <c r="I155" s="9">
        <v>149</v>
      </c>
      <c r="J155" s="167">
        <v>508.73478827117685</v>
      </c>
    </row>
    <row r="156" spans="1:10" x14ac:dyDescent="0.35">
      <c r="A156" s="170">
        <v>150</v>
      </c>
      <c r="B156" s="10">
        <v>1850.515109398096</v>
      </c>
      <c r="C156" s="9">
        <v>150</v>
      </c>
      <c r="D156" s="10">
        <v>363.72603699378629</v>
      </c>
      <c r="E156" s="9">
        <v>150</v>
      </c>
      <c r="F156" s="10">
        <v>1228.8278449146742</v>
      </c>
      <c r="G156" s="9">
        <v>150</v>
      </c>
      <c r="H156" s="10">
        <v>-1765.2118198911162</v>
      </c>
      <c r="I156" s="9">
        <v>150</v>
      </c>
      <c r="J156" s="167">
        <v>852.58003988176119</v>
      </c>
    </row>
    <row r="157" spans="1:10" x14ac:dyDescent="0.35">
      <c r="A157" s="170">
        <v>151</v>
      </c>
      <c r="B157" s="10">
        <v>3476.8111972620909</v>
      </c>
      <c r="C157" s="9">
        <v>151</v>
      </c>
      <c r="D157" s="10">
        <v>384.44074747714018</v>
      </c>
      <c r="E157" s="9">
        <v>151</v>
      </c>
      <c r="F157" s="10">
        <v>4530.1549571098103</v>
      </c>
      <c r="G157" s="9">
        <v>151</v>
      </c>
      <c r="H157" s="10">
        <v>1279.8079849687811</v>
      </c>
      <c r="I157" s="9">
        <v>151</v>
      </c>
      <c r="J157" s="167">
        <v>1506.039195933176</v>
      </c>
    </row>
    <row r="158" spans="1:10" x14ac:dyDescent="0.35">
      <c r="A158" s="170">
        <v>152</v>
      </c>
      <c r="B158" s="10">
        <v>6539.2293575329477</v>
      </c>
      <c r="C158" s="9">
        <v>152</v>
      </c>
      <c r="D158" s="10">
        <v>407.34027224219381</v>
      </c>
      <c r="E158" s="9">
        <v>152</v>
      </c>
      <c r="F158" s="10">
        <v>99.987478814251062</v>
      </c>
      <c r="G158" s="9">
        <v>152</v>
      </c>
      <c r="H158" s="10">
        <v>1147.3445738375603</v>
      </c>
      <c r="I158" s="9">
        <v>152</v>
      </c>
      <c r="J158" s="167">
        <v>2049.7607499953629</v>
      </c>
    </row>
    <row r="159" spans="1:10" x14ac:dyDescent="0.35">
      <c r="A159" s="170">
        <v>153</v>
      </c>
      <c r="B159" s="10">
        <v>2203.7376475690166</v>
      </c>
      <c r="C159" s="9">
        <v>153</v>
      </c>
      <c r="D159" s="10">
        <v>474.01948451545047</v>
      </c>
      <c r="E159" s="9">
        <v>153</v>
      </c>
      <c r="F159" s="10">
        <v>645.66757263008049</v>
      </c>
      <c r="G159" s="9">
        <v>153</v>
      </c>
      <c r="H159" s="10">
        <v>-825.48746267013792</v>
      </c>
      <c r="I159" s="9">
        <v>153</v>
      </c>
      <c r="J159" s="167">
        <v>697.82344498667521</v>
      </c>
    </row>
    <row r="160" spans="1:10" x14ac:dyDescent="0.35">
      <c r="A160" s="170">
        <v>154</v>
      </c>
      <c r="B160" s="10">
        <v>3714.3548233143365</v>
      </c>
      <c r="C160" s="9">
        <v>154</v>
      </c>
      <c r="D160" s="10">
        <v>290.44755258290024</v>
      </c>
      <c r="E160" s="9">
        <v>154</v>
      </c>
      <c r="F160" s="10">
        <v>4669.9787290755503</v>
      </c>
      <c r="G160" s="9">
        <v>154</v>
      </c>
      <c r="H160" s="10">
        <v>2633.0385030321822</v>
      </c>
      <c r="I160" s="9">
        <v>154</v>
      </c>
      <c r="J160" s="167">
        <v>-84.56102543886135</v>
      </c>
    </row>
    <row r="161" spans="1:10" x14ac:dyDescent="0.35">
      <c r="A161" s="170">
        <v>155</v>
      </c>
      <c r="B161" s="10">
        <v>703.72472338148918</v>
      </c>
      <c r="C161" s="9">
        <v>155</v>
      </c>
      <c r="D161" s="10">
        <v>484.88407920794873</v>
      </c>
      <c r="E161" s="9">
        <v>155</v>
      </c>
      <c r="F161" s="10">
        <v>-1743.4852077461119</v>
      </c>
      <c r="G161" s="9">
        <v>155</v>
      </c>
      <c r="H161" s="10">
        <v>3921.4512161061098</v>
      </c>
      <c r="I161" s="9">
        <v>155</v>
      </c>
      <c r="J161" s="167">
        <v>-2410.6223634129869</v>
      </c>
    </row>
    <row r="162" spans="1:10" x14ac:dyDescent="0.35">
      <c r="A162" s="170">
        <v>156</v>
      </c>
      <c r="B162" s="10">
        <v>3226.7851388881204</v>
      </c>
      <c r="C162" s="9">
        <v>156</v>
      </c>
      <c r="D162" s="10">
        <v>500.81814951410109</v>
      </c>
      <c r="E162" s="9">
        <v>156</v>
      </c>
      <c r="F162" s="10">
        <v>-1102.9389214611974</v>
      </c>
      <c r="G162" s="9">
        <v>156</v>
      </c>
      <c r="H162" s="10">
        <v>-1044.4170993672819</v>
      </c>
      <c r="I162" s="9">
        <v>156</v>
      </c>
      <c r="J162" s="167">
        <v>-2634.3373018359625</v>
      </c>
    </row>
    <row r="163" spans="1:10" x14ac:dyDescent="0.35">
      <c r="A163" s="170">
        <v>157</v>
      </c>
      <c r="B163" s="10">
        <v>4279.5718852731252</v>
      </c>
      <c r="C163" s="9">
        <v>157</v>
      </c>
      <c r="D163" s="10">
        <v>314.31969593220282</v>
      </c>
      <c r="E163" s="9">
        <v>157</v>
      </c>
      <c r="F163" s="10">
        <v>4674.0149496387958</v>
      </c>
      <c r="G163" s="9">
        <v>157</v>
      </c>
      <c r="H163" s="10">
        <v>-695.6483364647471</v>
      </c>
      <c r="I163" s="9">
        <v>157</v>
      </c>
      <c r="J163" s="167">
        <v>-1664.8159919469415</v>
      </c>
    </row>
    <row r="164" spans="1:10" x14ac:dyDescent="0.35">
      <c r="A164" s="170">
        <v>158</v>
      </c>
      <c r="B164" s="10">
        <v>940.13983959259599</v>
      </c>
      <c r="C164" s="9">
        <v>158</v>
      </c>
      <c r="D164" s="10">
        <v>430.11913875130983</v>
      </c>
      <c r="E164" s="9">
        <v>158</v>
      </c>
      <c r="F164" s="10">
        <v>500.05388609875672</v>
      </c>
      <c r="G164" s="9">
        <v>158</v>
      </c>
      <c r="H164" s="10">
        <v>3053.3282182798084</v>
      </c>
      <c r="I164" s="9">
        <v>158</v>
      </c>
      <c r="J164" s="167">
        <v>614.04706248460366</v>
      </c>
    </row>
    <row r="165" spans="1:10" x14ac:dyDescent="0.35">
      <c r="A165" s="170">
        <v>159</v>
      </c>
      <c r="B165" s="10">
        <v>2598.9951583481716</v>
      </c>
      <c r="C165" s="9">
        <v>159</v>
      </c>
      <c r="D165" s="10">
        <v>320.2713440284449</v>
      </c>
      <c r="E165" s="9">
        <v>159</v>
      </c>
      <c r="F165" s="10">
        <v>10652.796370262462</v>
      </c>
      <c r="G165" s="9">
        <v>159</v>
      </c>
      <c r="H165" s="10">
        <v>4406.9442947769921</v>
      </c>
      <c r="I165" s="9">
        <v>159</v>
      </c>
      <c r="J165" s="167">
        <v>-2773.6215284339232</v>
      </c>
    </row>
    <row r="166" spans="1:10" x14ac:dyDescent="0.35">
      <c r="A166" s="170">
        <v>160</v>
      </c>
      <c r="B166" s="10">
        <v>2469.7447266072436</v>
      </c>
      <c r="C166" s="9">
        <v>160</v>
      </c>
      <c r="D166" s="10">
        <v>474.66175044800508</v>
      </c>
      <c r="E166" s="9">
        <v>160</v>
      </c>
      <c r="F166" s="10">
        <v>620.50467974166122</v>
      </c>
      <c r="G166" s="9">
        <v>160</v>
      </c>
      <c r="H166" s="10">
        <v>4988.1138715129428</v>
      </c>
      <c r="I166" s="9">
        <v>160</v>
      </c>
      <c r="J166" s="167">
        <v>2926.6871691791948</v>
      </c>
    </row>
    <row r="167" spans="1:10" x14ac:dyDescent="0.35">
      <c r="A167" s="170">
        <v>161</v>
      </c>
      <c r="B167" s="10">
        <v>3780.7359889523705</v>
      </c>
      <c r="C167" s="9">
        <v>161</v>
      </c>
      <c r="D167" s="10">
        <v>409.07750072962119</v>
      </c>
      <c r="E167" s="9">
        <v>161</v>
      </c>
      <c r="F167" s="10">
        <v>-1796.8343338039995</v>
      </c>
      <c r="G167" s="9">
        <v>161</v>
      </c>
      <c r="H167" s="10">
        <v>2683.6443432191327</v>
      </c>
      <c r="I167" s="9">
        <v>161</v>
      </c>
      <c r="J167" s="167">
        <v>-1798.8868730895067</v>
      </c>
    </row>
    <row r="168" spans="1:10" x14ac:dyDescent="0.35">
      <c r="A168" s="170">
        <v>162</v>
      </c>
      <c r="B168" s="10">
        <v>3714.1383614938136</v>
      </c>
      <c r="C168" s="9">
        <v>162</v>
      </c>
      <c r="D168" s="10">
        <v>534.38459045508046</v>
      </c>
      <c r="E168" s="9">
        <v>162</v>
      </c>
      <c r="F168" s="10">
        <v>-642.10475638381331</v>
      </c>
      <c r="G168" s="9">
        <v>162</v>
      </c>
      <c r="H168" s="10">
        <v>-255.31656443012503</v>
      </c>
      <c r="I168" s="9">
        <v>162</v>
      </c>
      <c r="J168" s="167">
        <v>1376.2671173702838</v>
      </c>
    </row>
    <row r="169" spans="1:10" x14ac:dyDescent="0.35">
      <c r="A169" s="170">
        <v>163</v>
      </c>
      <c r="B169" s="10">
        <v>4002.4442416523871</v>
      </c>
      <c r="C169" s="9">
        <v>163</v>
      </c>
      <c r="D169" s="10">
        <v>365.69978973329557</v>
      </c>
      <c r="E169" s="9">
        <v>163</v>
      </c>
      <c r="F169" s="10">
        <v>3337.7878446984232</v>
      </c>
      <c r="G169" s="9">
        <v>163</v>
      </c>
      <c r="H169" s="10">
        <v>16.700806997886616</v>
      </c>
      <c r="I169" s="9">
        <v>163</v>
      </c>
      <c r="J169" s="167">
        <v>-590.86489409908449</v>
      </c>
    </row>
    <row r="170" spans="1:10" x14ac:dyDescent="0.35">
      <c r="A170" s="170">
        <v>164</v>
      </c>
      <c r="B170" s="10">
        <v>4222.3313829635345</v>
      </c>
      <c r="C170" s="9">
        <v>164</v>
      </c>
      <c r="D170" s="10">
        <v>406.89726900293135</v>
      </c>
      <c r="E170" s="9">
        <v>164</v>
      </c>
      <c r="F170" s="10">
        <v>3643.1024913822816</v>
      </c>
      <c r="G170" s="9">
        <v>164</v>
      </c>
      <c r="H170" s="10">
        <v>-5311.0524047869476</v>
      </c>
      <c r="I170" s="9">
        <v>164</v>
      </c>
      <c r="J170" s="167">
        <v>-911.4177411709187</v>
      </c>
    </row>
    <row r="171" spans="1:10" x14ac:dyDescent="0.35">
      <c r="A171" s="170">
        <v>165</v>
      </c>
      <c r="B171" s="10">
        <v>1318.3276038728277</v>
      </c>
      <c r="C171" s="9">
        <v>165</v>
      </c>
      <c r="D171" s="10">
        <v>417.51996817801029</v>
      </c>
      <c r="E171" s="9">
        <v>165</v>
      </c>
      <c r="F171" s="10">
        <v>4450.7961401454249</v>
      </c>
      <c r="G171" s="9">
        <v>165</v>
      </c>
      <c r="H171" s="10">
        <v>2435.4927714705727</v>
      </c>
      <c r="I171" s="9">
        <v>165</v>
      </c>
      <c r="J171" s="167">
        <v>-123.76266126226153</v>
      </c>
    </row>
    <row r="172" spans="1:10" x14ac:dyDescent="0.35">
      <c r="A172" s="170">
        <v>166</v>
      </c>
      <c r="B172" s="10">
        <v>2149.1982803380556</v>
      </c>
      <c r="C172" s="9">
        <v>166</v>
      </c>
      <c r="D172" s="10">
        <v>368.00814299460734</v>
      </c>
      <c r="E172" s="9">
        <v>166</v>
      </c>
      <c r="F172" s="10">
        <v>4080.4780051551315</v>
      </c>
      <c r="G172" s="9">
        <v>166</v>
      </c>
      <c r="H172" s="10">
        <v>281.98440873030228</v>
      </c>
      <c r="I172" s="9">
        <v>166</v>
      </c>
      <c r="J172" s="167">
        <v>-999.96344087607827</v>
      </c>
    </row>
    <row r="173" spans="1:10" x14ac:dyDescent="0.35">
      <c r="A173" s="170">
        <v>167</v>
      </c>
      <c r="B173" s="10">
        <v>3269.1145499540339</v>
      </c>
      <c r="C173" s="9">
        <v>167</v>
      </c>
      <c r="D173" s="10">
        <v>236.89762262973375</v>
      </c>
      <c r="E173" s="9">
        <v>167</v>
      </c>
      <c r="F173" s="10">
        <v>-468.03031399657766</v>
      </c>
      <c r="G173" s="9">
        <v>167</v>
      </c>
      <c r="H173" s="10">
        <v>1056.0128501472884</v>
      </c>
      <c r="I173" s="9">
        <v>167</v>
      </c>
      <c r="J173" s="167">
        <v>-846.94140957824095</v>
      </c>
    </row>
    <row r="174" spans="1:10" x14ac:dyDescent="0.35">
      <c r="A174" s="170">
        <v>168</v>
      </c>
      <c r="B174" s="10">
        <v>499.55131408761963</v>
      </c>
      <c r="C174" s="9">
        <v>168</v>
      </c>
      <c r="D174" s="10">
        <v>368.41217459341743</v>
      </c>
      <c r="E174" s="9">
        <v>168</v>
      </c>
      <c r="F174" s="10">
        <v>3943.335986542962</v>
      </c>
      <c r="G174" s="9">
        <v>168</v>
      </c>
      <c r="H174" s="10">
        <v>-634.22358712693779</v>
      </c>
      <c r="I174" s="9">
        <v>168</v>
      </c>
      <c r="J174" s="167">
        <v>3981.998043009607</v>
      </c>
    </row>
    <row r="175" spans="1:10" x14ac:dyDescent="0.35">
      <c r="A175" s="170">
        <v>169</v>
      </c>
      <c r="B175" s="10">
        <v>2339.108702502202</v>
      </c>
      <c r="C175" s="9">
        <v>169</v>
      </c>
      <c r="D175" s="10">
        <v>411.09441650724369</v>
      </c>
      <c r="E175" s="9">
        <v>169</v>
      </c>
      <c r="F175" s="10">
        <v>-1773.6436148178345</v>
      </c>
      <c r="G175" s="9">
        <v>169</v>
      </c>
      <c r="H175" s="10">
        <v>-517.48846737528436</v>
      </c>
      <c r="I175" s="9">
        <v>169</v>
      </c>
      <c r="J175" s="167">
        <v>-52.892307566160014</v>
      </c>
    </row>
    <row r="176" spans="1:10" x14ac:dyDescent="0.35">
      <c r="A176" s="170">
        <v>170</v>
      </c>
      <c r="B176" s="10">
        <v>1597.0406862697989</v>
      </c>
      <c r="C176" s="9">
        <v>170</v>
      </c>
      <c r="D176" s="10">
        <v>389.73720085602054</v>
      </c>
      <c r="E176" s="9">
        <v>170</v>
      </c>
      <c r="F176" s="10">
        <v>1861.5031299004036</v>
      </c>
      <c r="G176" s="9">
        <v>170</v>
      </c>
      <c r="H176" s="10">
        <v>1839.0669338978037</v>
      </c>
      <c r="I176" s="9">
        <v>170</v>
      </c>
      <c r="J176" s="167">
        <v>1684.323094347892</v>
      </c>
    </row>
    <row r="177" spans="1:10" x14ac:dyDescent="0.35">
      <c r="A177" s="170">
        <v>171</v>
      </c>
      <c r="B177" s="10">
        <v>1857.3997881017317</v>
      </c>
      <c r="C177" s="9">
        <v>171</v>
      </c>
      <c r="D177" s="10">
        <v>262.98497406541094</v>
      </c>
      <c r="E177" s="9">
        <v>171</v>
      </c>
      <c r="F177" s="10">
        <v>3890.1499087178336</v>
      </c>
      <c r="G177" s="9">
        <v>171</v>
      </c>
      <c r="H177" s="10">
        <v>5354.4813748888118</v>
      </c>
      <c r="I177" s="9">
        <v>171</v>
      </c>
      <c r="J177" s="167">
        <v>-185.76638735753457</v>
      </c>
    </row>
    <row r="178" spans="1:10" x14ac:dyDescent="0.35">
      <c r="A178" s="170">
        <v>172</v>
      </c>
      <c r="B178" s="10">
        <v>2080.3872449888431</v>
      </c>
      <c r="C178" s="9">
        <v>172</v>
      </c>
      <c r="D178" s="10">
        <v>495.06211479479066</v>
      </c>
      <c r="E178" s="9">
        <v>172</v>
      </c>
      <c r="F178" s="10">
        <v>335.01383647810053</v>
      </c>
      <c r="G178" s="9">
        <v>172</v>
      </c>
      <c r="H178" s="10">
        <v>4089.5385616130834</v>
      </c>
      <c r="I178" s="9">
        <v>172</v>
      </c>
      <c r="J178" s="167">
        <v>-3371.4659174802327</v>
      </c>
    </row>
    <row r="179" spans="1:10" x14ac:dyDescent="0.35">
      <c r="A179" s="170">
        <v>173</v>
      </c>
      <c r="B179" s="10">
        <v>2362.8578607979866</v>
      </c>
      <c r="C179" s="9">
        <v>173</v>
      </c>
      <c r="D179" s="10">
        <v>359.56178321255885</v>
      </c>
      <c r="E179" s="9">
        <v>173</v>
      </c>
      <c r="F179" s="10">
        <v>5691.084528586156</v>
      </c>
      <c r="G179" s="9">
        <v>173</v>
      </c>
      <c r="H179" s="10">
        <v>-873.23671835536618</v>
      </c>
      <c r="I179" s="9">
        <v>173</v>
      </c>
      <c r="J179" s="167">
        <v>1221.2165611857706</v>
      </c>
    </row>
    <row r="180" spans="1:10" x14ac:dyDescent="0.35">
      <c r="A180" s="170">
        <v>174</v>
      </c>
      <c r="B180" s="10">
        <v>3597.9343262586231</v>
      </c>
      <c r="C180" s="9">
        <v>174</v>
      </c>
      <c r="D180" s="10">
        <v>381.15344118369018</v>
      </c>
      <c r="E180" s="9">
        <v>174</v>
      </c>
      <c r="F180" s="10">
        <v>4269.987434063888</v>
      </c>
      <c r="G180" s="9">
        <v>174</v>
      </c>
      <c r="H180" s="10">
        <v>2554.0085273714099</v>
      </c>
      <c r="I180" s="9">
        <v>174</v>
      </c>
      <c r="J180" s="167">
        <v>-6168.4745321119517</v>
      </c>
    </row>
    <row r="181" spans="1:10" x14ac:dyDescent="0.35">
      <c r="A181" s="170">
        <v>175</v>
      </c>
      <c r="B181" s="10">
        <v>84.828072743677239</v>
      </c>
      <c r="C181" s="9">
        <v>175</v>
      </c>
      <c r="D181" s="10">
        <v>339.34112787904627</v>
      </c>
      <c r="E181" s="9">
        <v>175</v>
      </c>
      <c r="F181" s="10">
        <v>4594.4492841980073</v>
      </c>
      <c r="G181" s="9">
        <v>175</v>
      </c>
      <c r="H181" s="10">
        <v>6364.4514708303323</v>
      </c>
      <c r="I181" s="9">
        <v>175</v>
      </c>
      <c r="J181" s="167">
        <v>-1541.4057840204221</v>
      </c>
    </row>
    <row r="182" spans="1:10" x14ac:dyDescent="0.35">
      <c r="A182" s="170">
        <v>176</v>
      </c>
      <c r="B182" s="10">
        <v>326.14368272415595</v>
      </c>
      <c r="C182" s="9">
        <v>176</v>
      </c>
      <c r="D182" s="10">
        <v>544.40759818340302</v>
      </c>
      <c r="E182" s="9">
        <v>176</v>
      </c>
      <c r="F182" s="10">
        <v>2935.6735110596546</v>
      </c>
      <c r="G182" s="9">
        <v>176</v>
      </c>
      <c r="H182" s="10">
        <v>-3082.4183666618906</v>
      </c>
      <c r="I182" s="9">
        <v>176</v>
      </c>
      <c r="J182" s="167">
        <v>-255.17240229156261</v>
      </c>
    </row>
    <row r="183" spans="1:10" x14ac:dyDescent="0.35">
      <c r="A183" s="170">
        <v>177</v>
      </c>
      <c r="B183" s="10">
        <v>-1009.2804783392912</v>
      </c>
      <c r="C183" s="9">
        <v>177</v>
      </c>
      <c r="D183" s="10">
        <v>495.88565355615583</v>
      </c>
      <c r="E183" s="9">
        <v>177</v>
      </c>
      <c r="F183" s="10">
        <v>6685.6161189248432</v>
      </c>
      <c r="G183" s="9">
        <v>177</v>
      </c>
      <c r="H183" s="10">
        <v>-2014.179825835789</v>
      </c>
      <c r="I183" s="9">
        <v>177</v>
      </c>
      <c r="J183" s="167">
        <v>-890.78622587842642</v>
      </c>
    </row>
    <row r="184" spans="1:10" x14ac:dyDescent="0.35">
      <c r="A184" s="170">
        <v>178</v>
      </c>
      <c r="B184" s="10">
        <v>2365.8149870629054</v>
      </c>
      <c r="C184" s="9">
        <v>178</v>
      </c>
      <c r="D184" s="10">
        <v>307.56510739999305</v>
      </c>
      <c r="E184" s="9">
        <v>178</v>
      </c>
      <c r="F184" s="10">
        <v>3646.8115790152206</v>
      </c>
      <c r="G184" s="9">
        <v>178</v>
      </c>
      <c r="H184" s="10">
        <v>1876.6851130937193</v>
      </c>
      <c r="I184" s="9">
        <v>178</v>
      </c>
      <c r="J184" s="167">
        <v>-1224.5290538452323</v>
      </c>
    </row>
    <row r="185" spans="1:10" x14ac:dyDescent="0.35">
      <c r="A185" s="170">
        <v>179</v>
      </c>
      <c r="B185" s="10">
        <v>2518.0842224544681</v>
      </c>
      <c r="C185" s="9">
        <v>179</v>
      </c>
      <c r="D185" s="10">
        <v>368.19753906763088</v>
      </c>
      <c r="E185" s="9">
        <v>179</v>
      </c>
      <c r="F185" s="10">
        <v>975.10302608050688</v>
      </c>
      <c r="G185" s="9">
        <v>179</v>
      </c>
      <c r="H185" s="10">
        <v>5981.6005884994929</v>
      </c>
      <c r="I185" s="9">
        <v>179</v>
      </c>
      <c r="J185" s="167">
        <v>-3972.8278867777881</v>
      </c>
    </row>
    <row r="186" spans="1:10" x14ac:dyDescent="0.35">
      <c r="A186" s="170">
        <v>180</v>
      </c>
      <c r="B186" s="10">
        <v>4681.6875081390963</v>
      </c>
      <c r="C186" s="9">
        <v>180</v>
      </c>
      <c r="D186" s="10">
        <v>504.11425699956442</v>
      </c>
      <c r="E186" s="9">
        <v>180</v>
      </c>
      <c r="F186" s="10">
        <v>4898.4656057783213</v>
      </c>
      <c r="G186" s="9">
        <v>180</v>
      </c>
      <c r="H186" s="10">
        <v>1687.1951903946167</v>
      </c>
      <c r="I186" s="9">
        <v>180</v>
      </c>
      <c r="J186" s="167">
        <v>-2333.9327425441197</v>
      </c>
    </row>
    <row r="187" spans="1:10" x14ac:dyDescent="0.35">
      <c r="A187" s="170">
        <v>181</v>
      </c>
      <c r="B187" s="10">
        <v>2877.3154111259551</v>
      </c>
      <c r="C187" s="9">
        <v>181</v>
      </c>
      <c r="D187" s="10">
        <v>387.93739022329061</v>
      </c>
      <c r="E187" s="9">
        <v>181</v>
      </c>
      <c r="F187" s="10">
        <v>1267.664077334015</v>
      </c>
      <c r="G187" s="9">
        <v>181</v>
      </c>
      <c r="H187" s="10">
        <v>1011.3525713119188</v>
      </c>
      <c r="I187" s="9">
        <v>181</v>
      </c>
      <c r="J187" s="167">
        <v>-636.23130735688403</v>
      </c>
    </row>
    <row r="188" spans="1:10" x14ac:dyDescent="0.35">
      <c r="A188" s="170">
        <v>182</v>
      </c>
      <c r="B188" s="10">
        <v>1155.4822782474098</v>
      </c>
      <c r="C188" s="9">
        <v>182</v>
      </c>
      <c r="D188" s="10">
        <v>443.63028510325051</v>
      </c>
      <c r="E188" s="9">
        <v>182</v>
      </c>
      <c r="F188" s="10">
        <v>3372.249429671157</v>
      </c>
      <c r="G188" s="9">
        <v>182</v>
      </c>
      <c r="H188" s="10">
        <v>3314.6513021736773</v>
      </c>
      <c r="I188" s="9">
        <v>182</v>
      </c>
      <c r="J188" s="167">
        <v>-595.67993177317396</v>
      </c>
    </row>
    <row r="189" spans="1:10" x14ac:dyDescent="0.35">
      <c r="A189" s="170">
        <v>183</v>
      </c>
      <c r="B189" s="10">
        <v>3060.2441536839847</v>
      </c>
      <c r="C189" s="9">
        <v>183</v>
      </c>
      <c r="D189" s="10">
        <v>317.64838156675512</v>
      </c>
      <c r="E189" s="9">
        <v>183</v>
      </c>
      <c r="F189" s="10">
        <v>2039.7270931663443</v>
      </c>
      <c r="G189" s="9">
        <v>183</v>
      </c>
      <c r="H189" s="10">
        <v>2795.5717648491864</v>
      </c>
      <c r="I189" s="9">
        <v>183</v>
      </c>
      <c r="J189" s="167">
        <v>1957.471483275765</v>
      </c>
    </row>
    <row r="190" spans="1:10" x14ac:dyDescent="0.35">
      <c r="A190" s="170">
        <v>184</v>
      </c>
      <c r="B190" s="10">
        <v>4162.3240376837566</v>
      </c>
      <c r="C190" s="9">
        <v>184</v>
      </c>
      <c r="D190" s="10">
        <v>490.4567897931409</v>
      </c>
      <c r="E190" s="9">
        <v>184</v>
      </c>
      <c r="F190" s="10">
        <v>5718.0162303722991</v>
      </c>
      <c r="G190" s="9">
        <v>184</v>
      </c>
      <c r="H190" s="10">
        <v>-2855.7623714585466</v>
      </c>
      <c r="I190" s="9">
        <v>184</v>
      </c>
      <c r="J190" s="167">
        <v>-1604.3833958439675</v>
      </c>
    </row>
    <row r="191" spans="1:10" x14ac:dyDescent="0.35">
      <c r="A191" s="170">
        <v>185</v>
      </c>
      <c r="B191" s="10">
        <v>4005.2634639473099</v>
      </c>
      <c r="C191" s="9">
        <v>185</v>
      </c>
      <c r="D191" s="10">
        <v>410.04701465397665</v>
      </c>
      <c r="E191" s="9">
        <v>185</v>
      </c>
      <c r="F191" s="10">
        <v>5172.7616839388684</v>
      </c>
      <c r="G191" s="9">
        <v>185</v>
      </c>
      <c r="H191" s="10">
        <v>-1298.4764175465803</v>
      </c>
      <c r="I191" s="9">
        <v>185</v>
      </c>
      <c r="J191" s="167">
        <v>2207.1895422284379</v>
      </c>
    </row>
    <row r="192" spans="1:10" x14ac:dyDescent="0.35">
      <c r="A192" s="170">
        <v>186</v>
      </c>
      <c r="B192" s="10">
        <v>2339.9834234905879</v>
      </c>
      <c r="C192" s="9">
        <v>186</v>
      </c>
      <c r="D192" s="10">
        <v>337.91383998069784</v>
      </c>
      <c r="E192" s="9">
        <v>186</v>
      </c>
      <c r="F192" s="10">
        <v>6061.7296557801747</v>
      </c>
      <c r="G192" s="9">
        <v>186</v>
      </c>
      <c r="H192" s="10">
        <v>839.90756672987743</v>
      </c>
      <c r="I192" s="9">
        <v>186</v>
      </c>
      <c r="J192" s="167">
        <v>3487.1035970085072</v>
      </c>
    </row>
    <row r="193" spans="1:10" x14ac:dyDescent="0.35">
      <c r="A193" s="170">
        <v>187</v>
      </c>
      <c r="B193" s="10">
        <v>1507.0250203124181</v>
      </c>
      <c r="C193" s="9">
        <v>187</v>
      </c>
      <c r="D193" s="10">
        <v>352.98783884687526</v>
      </c>
      <c r="E193" s="9">
        <v>187</v>
      </c>
      <c r="F193" s="10">
        <v>6827.3109910215007</v>
      </c>
      <c r="G193" s="9">
        <v>187</v>
      </c>
      <c r="H193" s="10">
        <v>-1756.3594029802853</v>
      </c>
      <c r="I193" s="9">
        <v>187</v>
      </c>
      <c r="J193" s="167">
        <v>-4134.6476212835823</v>
      </c>
    </row>
    <row r="194" spans="1:10" x14ac:dyDescent="0.35">
      <c r="A194" s="170">
        <v>188</v>
      </c>
      <c r="B194" s="10">
        <v>4267.4991723973999</v>
      </c>
      <c r="C194" s="9">
        <v>188</v>
      </c>
      <c r="D194" s="10">
        <v>398.70596831229506</v>
      </c>
      <c r="E194" s="9">
        <v>188</v>
      </c>
      <c r="F194" s="10">
        <v>-5047.5290610595121</v>
      </c>
      <c r="G194" s="9">
        <v>188</v>
      </c>
      <c r="H194" s="10">
        <v>2506.2221549471783</v>
      </c>
      <c r="I194" s="9">
        <v>188</v>
      </c>
      <c r="J194" s="167">
        <v>-476.72644552018846</v>
      </c>
    </row>
    <row r="195" spans="1:10" x14ac:dyDescent="0.35">
      <c r="A195" s="170">
        <v>189</v>
      </c>
      <c r="B195" s="10">
        <v>2910.2807398897994</v>
      </c>
      <c r="C195" s="9">
        <v>189</v>
      </c>
      <c r="D195" s="10">
        <v>379.79905612014886</v>
      </c>
      <c r="E195" s="9">
        <v>189</v>
      </c>
      <c r="F195" s="10">
        <v>4583.7816956085899</v>
      </c>
      <c r="G195" s="9">
        <v>189</v>
      </c>
      <c r="H195" s="10">
        <v>-2305.9203728848047</v>
      </c>
      <c r="I195" s="9">
        <v>189</v>
      </c>
      <c r="J195" s="167">
        <v>2354.6467324530154</v>
      </c>
    </row>
    <row r="196" spans="1:10" x14ac:dyDescent="0.35">
      <c r="A196" s="170">
        <v>190</v>
      </c>
      <c r="B196" s="10">
        <v>1605.3917991230398</v>
      </c>
      <c r="C196" s="9">
        <v>190</v>
      </c>
      <c r="D196" s="10">
        <v>533.74549024778094</v>
      </c>
      <c r="E196" s="9">
        <v>190</v>
      </c>
      <c r="F196" s="10">
        <v>5419.5190365660956</v>
      </c>
      <c r="G196" s="9">
        <v>190</v>
      </c>
      <c r="H196" s="10">
        <v>-8.6042655757822786</v>
      </c>
      <c r="I196" s="9">
        <v>190</v>
      </c>
      <c r="J196" s="167">
        <v>599.59008767476689</v>
      </c>
    </row>
    <row r="197" spans="1:10" x14ac:dyDescent="0.35">
      <c r="A197" s="170">
        <v>191</v>
      </c>
      <c r="B197" s="10">
        <v>3272.4590523315546</v>
      </c>
      <c r="C197" s="9">
        <v>191</v>
      </c>
      <c r="D197" s="10">
        <v>321.21542263829008</v>
      </c>
      <c r="E197" s="9">
        <v>191</v>
      </c>
      <c r="F197" s="10">
        <v>-4704.1295306166894</v>
      </c>
      <c r="G197" s="9">
        <v>191</v>
      </c>
      <c r="H197" s="10">
        <v>-3031.5482898365567</v>
      </c>
      <c r="I197" s="9">
        <v>191</v>
      </c>
      <c r="J197" s="167">
        <v>-641.19863310663789</v>
      </c>
    </row>
    <row r="198" spans="1:10" x14ac:dyDescent="0.35">
      <c r="A198" s="170">
        <v>192</v>
      </c>
      <c r="B198" s="10">
        <v>2635.9253454369141</v>
      </c>
      <c r="C198" s="9">
        <v>192</v>
      </c>
      <c r="D198" s="10">
        <v>348.24420942987308</v>
      </c>
      <c r="E198" s="9">
        <v>192</v>
      </c>
      <c r="F198" s="10">
        <v>7830.692066257996</v>
      </c>
      <c r="G198" s="9">
        <v>192</v>
      </c>
      <c r="H198" s="10">
        <v>-975.3980505235271</v>
      </c>
      <c r="I198" s="9">
        <v>192</v>
      </c>
      <c r="J198" s="167">
        <v>1676.9161915489658</v>
      </c>
    </row>
    <row r="199" spans="1:10" x14ac:dyDescent="0.35">
      <c r="A199" s="170">
        <v>193</v>
      </c>
      <c r="B199" s="10">
        <v>3244.3225251076824</v>
      </c>
      <c r="C199" s="9">
        <v>193</v>
      </c>
      <c r="D199" s="10">
        <v>429.24291993396162</v>
      </c>
      <c r="E199" s="9">
        <v>193</v>
      </c>
      <c r="F199" s="10">
        <v>2469.6082542763052</v>
      </c>
      <c r="G199" s="9">
        <v>193</v>
      </c>
      <c r="H199" s="10">
        <v>2061.6124449202839</v>
      </c>
      <c r="I199" s="9">
        <v>193</v>
      </c>
      <c r="J199" s="167">
        <v>-1330.6787800703637</v>
      </c>
    </row>
    <row r="200" spans="1:10" x14ac:dyDescent="0.35">
      <c r="A200" s="170">
        <v>194</v>
      </c>
      <c r="B200" s="10">
        <v>2187.0117507293826</v>
      </c>
      <c r="C200" s="9">
        <v>194</v>
      </c>
      <c r="D200" s="10">
        <v>334.18599068864955</v>
      </c>
      <c r="E200" s="9">
        <v>194</v>
      </c>
      <c r="F200" s="10">
        <v>3813.8631870766085</v>
      </c>
      <c r="G200" s="9">
        <v>194</v>
      </c>
      <c r="H200" s="10">
        <v>8546.9599459571</v>
      </c>
      <c r="I200" s="9">
        <v>194</v>
      </c>
      <c r="J200" s="167">
        <v>-1263.9893961426346</v>
      </c>
    </row>
    <row r="201" spans="1:10" x14ac:dyDescent="0.35">
      <c r="A201" s="170">
        <v>195</v>
      </c>
      <c r="B201" s="10">
        <v>3384.703105454133</v>
      </c>
      <c r="C201" s="9">
        <v>195</v>
      </c>
      <c r="D201" s="10">
        <v>317.77150298213451</v>
      </c>
      <c r="E201" s="9">
        <v>195</v>
      </c>
      <c r="F201" s="10">
        <v>4307.3762425451687</v>
      </c>
      <c r="G201" s="9">
        <v>195</v>
      </c>
      <c r="H201" s="10">
        <v>-2620.174910540853</v>
      </c>
      <c r="I201" s="9">
        <v>195</v>
      </c>
      <c r="J201" s="167">
        <v>-3372.587186953233</v>
      </c>
    </row>
    <row r="202" spans="1:10" x14ac:dyDescent="0.35">
      <c r="A202" s="170">
        <v>196</v>
      </c>
      <c r="B202" s="10">
        <v>1744.3096507446537</v>
      </c>
      <c r="C202" s="9">
        <v>196</v>
      </c>
      <c r="D202" s="10">
        <v>411.64879735177209</v>
      </c>
      <c r="E202" s="9">
        <v>196</v>
      </c>
      <c r="F202" s="10">
        <v>3673.0888106754364</v>
      </c>
      <c r="G202" s="9">
        <v>196</v>
      </c>
      <c r="H202" s="10">
        <v>1119.8573239578461</v>
      </c>
      <c r="I202" s="9">
        <v>196</v>
      </c>
      <c r="J202" s="167">
        <v>-720.14011354738523</v>
      </c>
    </row>
    <row r="203" spans="1:10" x14ac:dyDescent="0.35">
      <c r="A203" s="170">
        <v>197</v>
      </c>
      <c r="B203" s="10">
        <v>2636.2879200779612</v>
      </c>
      <c r="C203" s="9">
        <v>197</v>
      </c>
      <c r="D203" s="10">
        <v>372.92536855531876</v>
      </c>
      <c r="E203" s="9">
        <v>197</v>
      </c>
      <c r="F203" s="10">
        <v>2534.4911560602245</v>
      </c>
      <c r="G203" s="9">
        <v>197</v>
      </c>
      <c r="H203" s="10">
        <v>521.21360360704693</v>
      </c>
      <c r="I203" s="9">
        <v>197</v>
      </c>
      <c r="J203" s="167">
        <v>-1940.7136326660057</v>
      </c>
    </row>
    <row r="204" spans="1:10" x14ac:dyDescent="0.35">
      <c r="A204" s="170">
        <v>198</v>
      </c>
      <c r="B204" s="10">
        <v>1094.0132079617708</v>
      </c>
      <c r="C204" s="9">
        <v>198</v>
      </c>
      <c r="D204" s="10">
        <v>287.48025397052629</v>
      </c>
      <c r="E204" s="9">
        <v>198</v>
      </c>
      <c r="F204" s="10">
        <v>5186.283244493563</v>
      </c>
      <c r="G204" s="9">
        <v>198</v>
      </c>
      <c r="H204" s="10">
        <v>3265.2614587742892</v>
      </c>
      <c r="I204" s="9">
        <v>198</v>
      </c>
      <c r="J204" s="167">
        <v>-3899.3893980577154</v>
      </c>
    </row>
    <row r="205" spans="1:10" x14ac:dyDescent="0.35">
      <c r="A205" s="170">
        <v>199</v>
      </c>
      <c r="B205" s="10">
        <v>1537.7299117830273</v>
      </c>
      <c r="C205" s="9">
        <v>199</v>
      </c>
      <c r="D205" s="10">
        <v>386.96851761000727</v>
      </c>
      <c r="E205" s="9">
        <v>199</v>
      </c>
      <c r="F205" s="10">
        <v>-244.0616711320281</v>
      </c>
      <c r="G205" s="9">
        <v>199</v>
      </c>
      <c r="H205" s="10">
        <v>-2711.4330483597319</v>
      </c>
      <c r="I205" s="9">
        <v>199</v>
      </c>
      <c r="J205" s="167">
        <v>-1275.6883250108431</v>
      </c>
    </row>
    <row r="206" spans="1:10" x14ac:dyDescent="0.35">
      <c r="A206" s="170">
        <v>200</v>
      </c>
      <c r="B206" s="10">
        <v>5735.5714133164511</v>
      </c>
      <c r="C206" s="9">
        <v>200</v>
      </c>
      <c r="D206" s="10">
        <v>418.64615968251798</v>
      </c>
      <c r="E206" s="9">
        <v>200</v>
      </c>
      <c r="F206" s="10">
        <v>2876.1933348681637</v>
      </c>
      <c r="G206" s="9">
        <v>200</v>
      </c>
      <c r="H206" s="10">
        <v>-3916.2038206340626</v>
      </c>
      <c r="I206" s="9">
        <v>200</v>
      </c>
      <c r="J206" s="167">
        <v>-3674.119587145788</v>
      </c>
    </row>
    <row r="207" spans="1:10" x14ac:dyDescent="0.35">
      <c r="A207" s="170">
        <v>201</v>
      </c>
      <c r="B207" s="10">
        <v>2788.7431323762876</v>
      </c>
      <c r="C207" s="9">
        <v>201</v>
      </c>
      <c r="D207" s="10">
        <v>519.82544520345436</v>
      </c>
      <c r="E207" s="9">
        <v>201</v>
      </c>
      <c r="F207" s="10">
        <v>2096.1910119243739</v>
      </c>
      <c r="G207" s="9">
        <v>201</v>
      </c>
      <c r="H207" s="10">
        <v>1109.5849278810747</v>
      </c>
      <c r="I207" s="9">
        <v>201</v>
      </c>
      <c r="J207" s="167">
        <v>3075.9450860918782</v>
      </c>
    </row>
    <row r="208" spans="1:10" x14ac:dyDescent="0.35">
      <c r="A208" s="170">
        <v>202</v>
      </c>
      <c r="B208" s="10">
        <v>3932.4581844797922</v>
      </c>
      <c r="C208" s="9">
        <v>202</v>
      </c>
      <c r="D208" s="10">
        <v>397.00403463456587</v>
      </c>
      <c r="E208" s="9">
        <v>202</v>
      </c>
      <c r="F208" s="10">
        <v>3425.5018604368324</v>
      </c>
      <c r="G208" s="9">
        <v>202</v>
      </c>
      <c r="H208" s="10">
        <v>-1763.9148016080048</v>
      </c>
      <c r="I208" s="9">
        <v>202</v>
      </c>
      <c r="J208" s="167">
        <v>-703.54046106882515</v>
      </c>
    </row>
    <row r="209" spans="1:10" x14ac:dyDescent="0.35">
      <c r="A209" s="170">
        <v>203</v>
      </c>
      <c r="B209" s="10">
        <v>1175.5529610896212</v>
      </c>
      <c r="C209" s="9">
        <v>203</v>
      </c>
      <c r="D209" s="10">
        <v>482.89390337433815</v>
      </c>
      <c r="E209" s="9">
        <v>203</v>
      </c>
      <c r="F209" s="10">
        <v>4504.1864140361204</v>
      </c>
      <c r="G209" s="9">
        <v>203</v>
      </c>
      <c r="H209" s="10">
        <v>897.14770861729289</v>
      </c>
      <c r="I209" s="9">
        <v>203</v>
      </c>
      <c r="J209" s="167">
        <v>615.21184636719317</v>
      </c>
    </row>
    <row r="210" spans="1:10" x14ac:dyDescent="0.35">
      <c r="A210" s="170">
        <v>204</v>
      </c>
      <c r="B210" s="10">
        <v>3850.8636832749171</v>
      </c>
      <c r="C210" s="9">
        <v>204</v>
      </c>
      <c r="D210" s="10">
        <v>347.80669050494657</v>
      </c>
      <c r="E210" s="9">
        <v>204</v>
      </c>
      <c r="F210" s="10">
        <v>-482.25960199758538</v>
      </c>
      <c r="G210" s="9">
        <v>204</v>
      </c>
      <c r="H210" s="10">
        <v>-296.79914261583258</v>
      </c>
      <c r="I210" s="9">
        <v>204</v>
      </c>
      <c r="J210" s="167">
        <v>896.62685441168833</v>
      </c>
    </row>
    <row r="211" spans="1:10" x14ac:dyDescent="0.35">
      <c r="A211" s="170">
        <v>205</v>
      </c>
      <c r="B211" s="10">
        <v>101.87681641994459</v>
      </c>
      <c r="C211" s="9">
        <v>205</v>
      </c>
      <c r="D211" s="10">
        <v>512.94554390821713</v>
      </c>
      <c r="E211" s="9">
        <v>205</v>
      </c>
      <c r="F211" s="10">
        <v>3021.1574525748865</v>
      </c>
      <c r="G211" s="9">
        <v>205</v>
      </c>
      <c r="H211" s="10">
        <v>-4852.0377847936006</v>
      </c>
      <c r="I211" s="9">
        <v>205</v>
      </c>
      <c r="J211" s="167">
        <v>3156.7027139461547</v>
      </c>
    </row>
    <row r="212" spans="1:10" x14ac:dyDescent="0.35">
      <c r="A212" s="170">
        <v>206</v>
      </c>
      <c r="B212" s="10">
        <v>2310.4198340306698</v>
      </c>
      <c r="C212" s="9">
        <v>206</v>
      </c>
      <c r="D212" s="10">
        <v>251.45505724071313</v>
      </c>
      <c r="E212" s="9">
        <v>206</v>
      </c>
      <c r="F212" s="10">
        <v>2065.8043266867976</v>
      </c>
      <c r="G212" s="9">
        <v>206</v>
      </c>
      <c r="H212" s="10">
        <v>3122.8016971576199</v>
      </c>
      <c r="I212" s="9">
        <v>206</v>
      </c>
      <c r="J212" s="167">
        <v>2562.913191713551</v>
      </c>
    </row>
    <row r="213" spans="1:10" x14ac:dyDescent="0.35">
      <c r="A213" s="170">
        <v>207</v>
      </c>
      <c r="B213" s="10">
        <v>4276.2848741005482</v>
      </c>
      <c r="C213" s="9">
        <v>207</v>
      </c>
      <c r="D213" s="10">
        <v>417.35541673401423</v>
      </c>
      <c r="E213" s="9">
        <v>207</v>
      </c>
      <c r="F213" s="10">
        <v>843.22961341834821</v>
      </c>
      <c r="G213" s="9">
        <v>207</v>
      </c>
      <c r="H213" s="10">
        <v>-3005.3163946791969</v>
      </c>
      <c r="I213" s="9">
        <v>207</v>
      </c>
      <c r="J213" s="167">
        <v>-164.4556633392813</v>
      </c>
    </row>
    <row r="214" spans="1:10" x14ac:dyDescent="0.35">
      <c r="A214" s="170">
        <v>208</v>
      </c>
      <c r="B214" s="10">
        <v>4885.0388219214428</v>
      </c>
      <c r="C214" s="9">
        <v>208</v>
      </c>
      <c r="D214" s="10">
        <v>451.85217956452988</v>
      </c>
      <c r="E214" s="9">
        <v>208</v>
      </c>
      <c r="F214" s="10">
        <v>1028.8084949365737</v>
      </c>
      <c r="G214" s="9">
        <v>208</v>
      </c>
      <c r="H214" s="10">
        <v>546.89785558037647</v>
      </c>
      <c r="I214" s="9">
        <v>208</v>
      </c>
      <c r="J214" s="167">
        <v>132.8227896365695</v>
      </c>
    </row>
    <row r="215" spans="1:10" x14ac:dyDescent="0.35">
      <c r="A215" s="170">
        <v>209</v>
      </c>
      <c r="B215" s="10">
        <v>3950.8069594104745</v>
      </c>
      <c r="C215" s="9">
        <v>209</v>
      </c>
      <c r="D215" s="10">
        <v>466.15790126169475</v>
      </c>
      <c r="E215" s="9">
        <v>209</v>
      </c>
      <c r="F215" s="10">
        <v>793.66228976598723</v>
      </c>
      <c r="G215" s="9">
        <v>209</v>
      </c>
      <c r="H215" s="10">
        <v>1132.5339706395293</v>
      </c>
      <c r="I215" s="9">
        <v>209</v>
      </c>
      <c r="J215" s="167">
        <v>-229.25500030042767</v>
      </c>
    </row>
    <row r="216" spans="1:10" x14ac:dyDescent="0.35">
      <c r="A216" s="170">
        <v>210</v>
      </c>
      <c r="B216" s="10">
        <v>5747.0329936491107</v>
      </c>
      <c r="C216" s="9">
        <v>210</v>
      </c>
      <c r="D216" s="10">
        <v>533.77155765507268</v>
      </c>
      <c r="E216" s="9">
        <v>210</v>
      </c>
      <c r="F216" s="10">
        <v>9611.1839951013644</v>
      </c>
      <c r="G216" s="9">
        <v>210</v>
      </c>
      <c r="H216" s="10">
        <v>544.74314763129303</v>
      </c>
      <c r="I216" s="9">
        <v>210</v>
      </c>
      <c r="J216" s="167">
        <v>-1503.754935414009</v>
      </c>
    </row>
    <row r="217" spans="1:10" x14ac:dyDescent="0.35">
      <c r="A217" s="170">
        <v>211</v>
      </c>
      <c r="B217" s="10">
        <v>1590.6795483638259</v>
      </c>
      <c r="C217" s="9">
        <v>211</v>
      </c>
      <c r="D217" s="10">
        <v>352.2360915797338</v>
      </c>
      <c r="E217" s="9">
        <v>211</v>
      </c>
      <c r="F217" s="10">
        <v>-2316.2192644892302</v>
      </c>
      <c r="G217" s="9">
        <v>211</v>
      </c>
      <c r="H217" s="10">
        <v>-2123.3851508080902</v>
      </c>
      <c r="I217" s="9">
        <v>211</v>
      </c>
      <c r="J217" s="167">
        <v>-5067.9974734314292</v>
      </c>
    </row>
    <row r="218" spans="1:10" x14ac:dyDescent="0.35">
      <c r="A218" s="170">
        <v>212</v>
      </c>
      <c r="B218" s="10">
        <v>2279.5727734147131</v>
      </c>
      <c r="C218" s="9">
        <v>212</v>
      </c>
      <c r="D218" s="10">
        <v>285.24838860997443</v>
      </c>
      <c r="E218" s="9">
        <v>212</v>
      </c>
      <c r="F218" s="10">
        <v>-186.05382016773228</v>
      </c>
      <c r="G218" s="9">
        <v>212</v>
      </c>
      <c r="H218" s="10">
        <v>3714.4654182699505</v>
      </c>
      <c r="I218" s="9">
        <v>212</v>
      </c>
      <c r="J218" s="167">
        <v>-3171.5967115813642</v>
      </c>
    </row>
    <row r="219" spans="1:10" x14ac:dyDescent="0.35">
      <c r="A219" s="170">
        <v>213</v>
      </c>
      <c r="B219" s="10">
        <v>2894.5292605338132</v>
      </c>
      <c r="C219" s="9">
        <v>213</v>
      </c>
      <c r="D219" s="10">
        <v>488.54752728748656</v>
      </c>
      <c r="E219" s="9">
        <v>213</v>
      </c>
      <c r="F219" s="10">
        <v>1085.4612136267847</v>
      </c>
      <c r="G219" s="9">
        <v>213</v>
      </c>
      <c r="H219" s="10">
        <v>5605.3010308102102</v>
      </c>
      <c r="I219" s="9">
        <v>213</v>
      </c>
      <c r="J219" s="167">
        <v>1655.9212160346824</v>
      </c>
    </row>
    <row r="220" spans="1:10" x14ac:dyDescent="0.35">
      <c r="A220" s="170">
        <v>214</v>
      </c>
      <c r="B220" s="10">
        <v>563.21318909644151</v>
      </c>
      <c r="C220" s="9">
        <v>214</v>
      </c>
      <c r="D220" s="10">
        <v>563.14754673823859</v>
      </c>
      <c r="E220" s="9">
        <v>214</v>
      </c>
      <c r="F220" s="10">
        <v>5796.3857607400787</v>
      </c>
      <c r="G220" s="9">
        <v>214</v>
      </c>
      <c r="H220" s="10">
        <v>1756.7803488455843</v>
      </c>
      <c r="I220" s="9">
        <v>214</v>
      </c>
      <c r="J220" s="167">
        <v>-1402.6708203981698</v>
      </c>
    </row>
    <row r="221" spans="1:10" x14ac:dyDescent="0.35">
      <c r="A221" s="170">
        <v>215</v>
      </c>
      <c r="B221" s="10">
        <v>1949.0935607247729</v>
      </c>
      <c r="C221" s="9">
        <v>215</v>
      </c>
      <c r="D221" s="10">
        <v>401.74401959681524</v>
      </c>
      <c r="E221" s="9">
        <v>215</v>
      </c>
      <c r="F221" s="10">
        <v>1701.0494824168147</v>
      </c>
      <c r="G221" s="9">
        <v>215</v>
      </c>
      <c r="H221" s="10">
        <v>1977.4372374394948</v>
      </c>
      <c r="I221" s="9">
        <v>215</v>
      </c>
      <c r="J221" s="167">
        <v>-1541.7467608799661</v>
      </c>
    </row>
    <row r="222" spans="1:10" x14ac:dyDescent="0.35">
      <c r="A222" s="170">
        <v>216</v>
      </c>
      <c r="B222" s="10">
        <v>4870.4082162619052</v>
      </c>
      <c r="C222" s="9">
        <v>216</v>
      </c>
      <c r="D222" s="10">
        <v>369.65256389766415</v>
      </c>
      <c r="E222" s="9">
        <v>216</v>
      </c>
      <c r="F222" s="10">
        <v>3977.9310718902348</v>
      </c>
      <c r="G222" s="9">
        <v>216</v>
      </c>
      <c r="H222" s="10">
        <v>-407.25605641290042</v>
      </c>
      <c r="I222" s="9">
        <v>216</v>
      </c>
      <c r="J222" s="167">
        <v>-1770.0503214233056</v>
      </c>
    </row>
    <row r="223" spans="1:10" x14ac:dyDescent="0.35">
      <c r="A223" s="170">
        <v>217</v>
      </c>
      <c r="B223" s="10">
        <v>1968.5468704672189</v>
      </c>
      <c r="C223" s="9">
        <v>217</v>
      </c>
      <c r="D223" s="10">
        <v>346.4330295165891</v>
      </c>
      <c r="E223" s="9">
        <v>217</v>
      </c>
      <c r="F223" s="10">
        <v>5763.066150355643</v>
      </c>
      <c r="G223" s="9">
        <v>217</v>
      </c>
      <c r="H223" s="10">
        <v>1974.5283793799817</v>
      </c>
      <c r="I223" s="9">
        <v>217</v>
      </c>
      <c r="J223" s="167">
        <v>-3614.7356371587803</v>
      </c>
    </row>
    <row r="224" spans="1:10" x14ac:dyDescent="0.35">
      <c r="A224" s="170">
        <v>218</v>
      </c>
      <c r="B224" s="10">
        <v>1839.9786623344239</v>
      </c>
      <c r="C224" s="9">
        <v>218</v>
      </c>
      <c r="D224" s="10">
        <v>374.57523036897601</v>
      </c>
      <c r="E224" s="9">
        <v>218</v>
      </c>
      <c r="F224" s="10">
        <v>3479.4443007966238</v>
      </c>
      <c r="G224" s="9">
        <v>218</v>
      </c>
      <c r="H224" s="10">
        <v>-2128.3296027798024</v>
      </c>
      <c r="I224" s="9">
        <v>218</v>
      </c>
      <c r="J224" s="167">
        <v>-1114.5897883711555</v>
      </c>
    </row>
    <row r="225" spans="1:10" x14ac:dyDescent="0.35">
      <c r="A225" s="170">
        <v>219</v>
      </c>
      <c r="B225" s="10">
        <v>84.39095170838209</v>
      </c>
      <c r="C225" s="9">
        <v>219</v>
      </c>
      <c r="D225" s="10">
        <v>387.01242660359731</v>
      </c>
      <c r="E225" s="9">
        <v>219</v>
      </c>
      <c r="F225" s="10">
        <v>7894.016009418011</v>
      </c>
      <c r="G225" s="9">
        <v>219</v>
      </c>
      <c r="H225" s="10">
        <v>1616.7620273650334</v>
      </c>
      <c r="I225" s="9">
        <v>219</v>
      </c>
      <c r="J225" s="167">
        <v>-686.31934095365079</v>
      </c>
    </row>
    <row r="226" spans="1:10" x14ac:dyDescent="0.35">
      <c r="A226" s="170">
        <v>220</v>
      </c>
      <c r="B226" s="10">
        <v>3535.0526640348116</v>
      </c>
      <c r="C226" s="9">
        <v>220</v>
      </c>
      <c r="D226" s="10">
        <v>407.68994843153456</v>
      </c>
      <c r="E226" s="9">
        <v>220</v>
      </c>
      <c r="F226" s="10">
        <v>1581.9088857975967</v>
      </c>
      <c r="G226" s="9">
        <v>220</v>
      </c>
      <c r="H226" s="10">
        <v>3214.1343117672659</v>
      </c>
      <c r="I226" s="9">
        <v>220</v>
      </c>
      <c r="J226" s="167">
        <v>-2283.8274568096786</v>
      </c>
    </row>
    <row r="227" spans="1:10" x14ac:dyDescent="0.35">
      <c r="A227" s="170">
        <v>221</v>
      </c>
      <c r="B227" s="10">
        <v>4716.6257809366398</v>
      </c>
      <c r="C227" s="9">
        <v>221</v>
      </c>
      <c r="D227" s="10">
        <v>381.73788514305306</v>
      </c>
      <c r="E227" s="9">
        <v>221</v>
      </c>
      <c r="F227" s="10">
        <v>2784.1635548050576</v>
      </c>
      <c r="G227" s="9">
        <v>221</v>
      </c>
      <c r="H227" s="10">
        <v>-901.456056756164</v>
      </c>
      <c r="I227" s="9">
        <v>221</v>
      </c>
      <c r="J227" s="167">
        <v>-953.77357564311535</v>
      </c>
    </row>
    <row r="228" spans="1:10" x14ac:dyDescent="0.35">
      <c r="A228" s="170">
        <v>222</v>
      </c>
      <c r="B228" s="10">
        <v>999.03352733188058</v>
      </c>
      <c r="C228" s="9">
        <v>222</v>
      </c>
      <c r="D228" s="10">
        <v>397.9171657539419</v>
      </c>
      <c r="E228" s="9">
        <v>222</v>
      </c>
      <c r="F228" s="10">
        <v>11694.439306817774</v>
      </c>
      <c r="G228" s="9">
        <v>222</v>
      </c>
      <c r="H228" s="10">
        <v>448.66658955085944</v>
      </c>
      <c r="I228" s="9">
        <v>222</v>
      </c>
      <c r="J228" s="167">
        <v>-1980.78971562483</v>
      </c>
    </row>
    <row r="229" spans="1:10" x14ac:dyDescent="0.35">
      <c r="A229" s="170">
        <v>223</v>
      </c>
      <c r="B229" s="10">
        <v>3604.9609433366868</v>
      </c>
      <c r="C229" s="9">
        <v>223</v>
      </c>
      <c r="D229" s="10">
        <v>341.02056073466531</v>
      </c>
      <c r="E229" s="9">
        <v>223</v>
      </c>
      <c r="F229" s="10">
        <v>3869.69641558687</v>
      </c>
      <c r="G229" s="9">
        <v>223</v>
      </c>
      <c r="H229" s="10">
        <v>4042.2092945012155</v>
      </c>
      <c r="I229" s="9">
        <v>223</v>
      </c>
      <c r="J229" s="167">
        <v>-678.97398989133114</v>
      </c>
    </row>
    <row r="230" spans="1:10" x14ac:dyDescent="0.35">
      <c r="A230" s="170">
        <v>224</v>
      </c>
      <c r="B230" s="10">
        <v>2152.7851281806134</v>
      </c>
      <c r="C230" s="9">
        <v>224</v>
      </c>
      <c r="D230" s="10">
        <v>270.1572170518391</v>
      </c>
      <c r="E230" s="9">
        <v>224</v>
      </c>
      <c r="F230" s="10">
        <v>4391.2610114526324</v>
      </c>
      <c r="G230" s="9">
        <v>224</v>
      </c>
      <c r="H230" s="10">
        <v>4452.0325627514476</v>
      </c>
      <c r="I230" s="9">
        <v>224</v>
      </c>
      <c r="J230" s="167">
        <v>-914.26565419534131</v>
      </c>
    </row>
    <row r="231" spans="1:10" x14ac:dyDescent="0.35">
      <c r="A231" s="170">
        <v>225</v>
      </c>
      <c r="B231" s="10">
        <v>3855.7494326754413</v>
      </c>
      <c r="C231" s="9">
        <v>225</v>
      </c>
      <c r="D231" s="10">
        <v>452.1587641417218</v>
      </c>
      <c r="E231" s="9">
        <v>225</v>
      </c>
      <c r="F231" s="10">
        <v>4737.9605171140665</v>
      </c>
      <c r="G231" s="9">
        <v>225</v>
      </c>
      <c r="H231" s="10">
        <v>-1779.4636539338458</v>
      </c>
      <c r="I231" s="9">
        <v>225</v>
      </c>
      <c r="J231" s="167">
        <v>-2906.453780328532</v>
      </c>
    </row>
    <row r="232" spans="1:10" x14ac:dyDescent="0.35">
      <c r="A232" s="170">
        <v>226</v>
      </c>
      <c r="B232" s="10">
        <v>1108.5102255416866</v>
      </c>
      <c r="C232" s="9">
        <v>226</v>
      </c>
      <c r="D232" s="10">
        <v>347.57018218572432</v>
      </c>
      <c r="E232" s="9">
        <v>226</v>
      </c>
      <c r="F232" s="10">
        <v>595.82486142954531</v>
      </c>
      <c r="G232" s="9">
        <v>226</v>
      </c>
      <c r="H232" s="10">
        <v>-2027.8251486534291</v>
      </c>
      <c r="I232" s="9">
        <v>226</v>
      </c>
      <c r="J232" s="167">
        <v>2139.0101759309114</v>
      </c>
    </row>
    <row r="233" spans="1:10" x14ac:dyDescent="0.35">
      <c r="A233" s="170">
        <v>227</v>
      </c>
      <c r="B233" s="10">
        <v>4087.3302593406734</v>
      </c>
      <c r="C233" s="9">
        <v>227</v>
      </c>
      <c r="D233" s="10">
        <v>328.15340479024127</v>
      </c>
      <c r="E233" s="9">
        <v>227</v>
      </c>
      <c r="F233" s="10">
        <v>7440.9322639208112</v>
      </c>
      <c r="G233" s="9">
        <v>227</v>
      </c>
      <c r="H233" s="10">
        <v>1387.3952714470886</v>
      </c>
      <c r="I233" s="9">
        <v>227</v>
      </c>
      <c r="J233" s="167">
        <v>-2438.22427889765</v>
      </c>
    </row>
    <row r="234" spans="1:10" x14ac:dyDescent="0.35">
      <c r="A234" s="170">
        <v>228</v>
      </c>
      <c r="B234" s="10">
        <v>3989.0756646495765</v>
      </c>
      <c r="C234" s="9">
        <v>228</v>
      </c>
      <c r="D234" s="10">
        <v>442.75992069367504</v>
      </c>
      <c r="E234" s="9">
        <v>228</v>
      </c>
      <c r="F234" s="10">
        <v>2766.5943505985324</v>
      </c>
      <c r="G234" s="9">
        <v>228</v>
      </c>
      <c r="H234" s="10">
        <v>1228.5469296503015</v>
      </c>
      <c r="I234" s="9">
        <v>228</v>
      </c>
      <c r="J234" s="167">
        <v>3111.3140264812891</v>
      </c>
    </row>
    <row r="235" spans="1:10" x14ac:dyDescent="0.35">
      <c r="A235" s="170">
        <v>229</v>
      </c>
      <c r="B235" s="10">
        <v>2642.4859270305983</v>
      </c>
      <c r="C235" s="9">
        <v>229</v>
      </c>
      <c r="D235" s="10">
        <v>370.93717926425813</v>
      </c>
      <c r="E235" s="9">
        <v>229</v>
      </c>
      <c r="F235" s="10">
        <v>84.361463642832859</v>
      </c>
      <c r="G235" s="9">
        <v>229</v>
      </c>
      <c r="H235" s="10">
        <v>2578.3430774888252</v>
      </c>
      <c r="I235" s="9">
        <v>229</v>
      </c>
      <c r="J235" s="167">
        <v>1179.1881372590856</v>
      </c>
    </row>
    <row r="236" spans="1:10" x14ac:dyDescent="0.35">
      <c r="A236" s="170">
        <v>230</v>
      </c>
      <c r="B236" s="10">
        <v>3167.8130482615993</v>
      </c>
      <c r="C236" s="9">
        <v>230</v>
      </c>
      <c r="D236" s="10">
        <v>445.60837354973694</v>
      </c>
      <c r="E236" s="9">
        <v>230</v>
      </c>
      <c r="F236" s="10">
        <v>6969.9482703776139</v>
      </c>
      <c r="G236" s="9">
        <v>230</v>
      </c>
      <c r="H236" s="10">
        <v>1557.5684946948227</v>
      </c>
      <c r="I236" s="9">
        <v>230</v>
      </c>
      <c r="J236" s="167">
        <v>76.989306582998381</v>
      </c>
    </row>
    <row r="237" spans="1:10" x14ac:dyDescent="0.35">
      <c r="A237" s="170">
        <v>231</v>
      </c>
      <c r="B237" s="10">
        <v>4023.7593981150562</v>
      </c>
      <c r="C237" s="9">
        <v>231</v>
      </c>
      <c r="D237" s="10">
        <v>425.00686680040241</v>
      </c>
      <c r="E237" s="9">
        <v>231</v>
      </c>
      <c r="F237" s="10">
        <v>6549.3445676220617</v>
      </c>
      <c r="G237" s="9">
        <v>231</v>
      </c>
      <c r="H237" s="10">
        <v>2037.8468961070575</v>
      </c>
      <c r="I237" s="9">
        <v>231</v>
      </c>
      <c r="J237" s="167">
        <v>-4177.6835654709157</v>
      </c>
    </row>
    <row r="238" spans="1:10" x14ac:dyDescent="0.35">
      <c r="A238" s="170">
        <v>232</v>
      </c>
      <c r="B238" s="10">
        <v>2829.28072852882</v>
      </c>
      <c r="C238" s="9">
        <v>232</v>
      </c>
      <c r="D238" s="10">
        <v>250.50530342763062</v>
      </c>
      <c r="E238" s="9">
        <v>232</v>
      </c>
      <c r="F238" s="10">
        <v>2542.0837375898468</v>
      </c>
      <c r="G238" s="9">
        <v>232</v>
      </c>
      <c r="H238" s="10">
        <v>-4210.1945810676225</v>
      </c>
      <c r="I238" s="9">
        <v>232</v>
      </c>
      <c r="J238" s="167">
        <v>-1251.0614301152095</v>
      </c>
    </row>
    <row r="239" spans="1:10" x14ac:dyDescent="0.35">
      <c r="A239" s="170">
        <v>233</v>
      </c>
      <c r="B239" s="10">
        <v>2357.6845018518507</v>
      </c>
      <c r="C239" s="9">
        <v>233</v>
      </c>
      <c r="D239" s="10">
        <v>477.13557656410774</v>
      </c>
      <c r="E239" s="9">
        <v>233</v>
      </c>
      <c r="F239" s="10">
        <v>5650.7143321306858</v>
      </c>
      <c r="G239" s="9">
        <v>233</v>
      </c>
      <c r="H239" s="10">
        <v>-3380.3201324311444</v>
      </c>
      <c r="I239" s="9">
        <v>233</v>
      </c>
      <c r="J239" s="167">
        <v>1321.5213472437069</v>
      </c>
    </row>
    <row r="240" spans="1:10" x14ac:dyDescent="0.35">
      <c r="A240" s="170">
        <v>234</v>
      </c>
      <c r="B240" s="10">
        <v>2741.894893734323</v>
      </c>
      <c r="C240" s="9">
        <v>234</v>
      </c>
      <c r="D240" s="10">
        <v>412.4532596886836</v>
      </c>
      <c r="E240" s="9">
        <v>234</v>
      </c>
      <c r="F240" s="10">
        <v>7741.2392148470626</v>
      </c>
      <c r="G240" s="9">
        <v>234</v>
      </c>
      <c r="H240" s="10">
        <v>1614.6056520503387</v>
      </c>
      <c r="I240" s="9">
        <v>234</v>
      </c>
      <c r="J240" s="167">
        <v>-1385.0510914069164</v>
      </c>
    </row>
    <row r="241" spans="1:10" x14ac:dyDescent="0.35">
      <c r="A241" s="170">
        <v>235</v>
      </c>
      <c r="B241" s="10">
        <v>4171.6425043405779</v>
      </c>
      <c r="C241" s="9">
        <v>235</v>
      </c>
      <c r="D241" s="10">
        <v>348.14413228027536</v>
      </c>
      <c r="E241" s="9">
        <v>235</v>
      </c>
      <c r="F241" s="10">
        <v>4193.4390006032327</v>
      </c>
      <c r="G241" s="9">
        <v>235</v>
      </c>
      <c r="H241" s="10">
        <v>4919.2412501327872</v>
      </c>
      <c r="I241" s="9">
        <v>235</v>
      </c>
      <c r="J241" s="167">
        <v>-521.70415435269683</v>
      </c>
    </row>
    <row r="242" spans="1:10" x14ac:dyDescent="0.35">
      <c r="A242" s="170">
        <v>236</v>
      </c>
      <c r="B242" s="10">
        <v>4342.9256078825074</v>
      </c>
      <c r="C242" s="9">
        <v>236</v>
      </c>
      <c r="D242" s="10">
        <v>341.47334550698554</v>
      </c>
      <c r="E242" s="9">
        <v>236</v>
      </c>
      <c r="F242" s="10">
        <v>1275.8818295374381</v>
      </c>
      <c r="G242" s="9">
        <v>236</v>
      </c>
      <c r="H242" s="10">
        <v>2997.554363899148</v>
      </c>
      <c r="I242" s="9">
        <v>236</v>
      </c>
      <c r="J242" s="167">
        <v>-2926.2813994803387</v>
      </c>
    </row>
    <row r="243" spans="1:10" x14ac:dyDescent="0.35">
      <c r="A243" s="170">
        <v>237</v>
      </c>
      <c r="B243" s="10">
        <v>2617.8183766507373</v>
      </c>
      <c r="C243" s="9">
        <v>237</v>
      </c>
      <c r="D243" s="10">
        <v>346.72364146731655</v>
      </c>
      <c r="E243" s="9">
        <v>237</v>
      </c>
      <c r="F243" s="10">
        <v>4405.1590329917972</v>
      </c>
      <c r="G243" s="9">
        <v>237</v>
      </c>
      <c r="H243" s="10">
        <v>-2959.6048011303396</v>
      </c>
      <c r="I243" s="9">
        <v>237</v>
      </c>
      <c r="J243" s="167">
        <v>-1818.1236119458761</v>
      </c>
    </row>
    <row r="244" spans="1:10" x14ac:dyDescent="0.35">
      <c r="A244" s="170">
        <v>238</v>
      </c>
      <c r="B244" s="10">
        <v>5435.9295881023454</v>
      </c>
      <c r="C244" s="9">
        <v>238</v>
      </c>
      <c r="D244" s="10">
        <v>387.05995185297837</v>
      </c>
      <c r="E244" s="9">
        <v>238</v>
      </c>
      <c r="F244" s="10">
        <v>2260.4408322523468</v>
      </c>
      <c r="G244" s="9">
        <v>238</v>
      </c>
      <c r="H244" s="10">
        <v>2492.0580490256834</v>
      </c>
      <c r="I244" s="9">
        <v>238</v>
      </c>
      <c r="J244" s="167">
        <v>-2262.4355376182457</v>
      </c>
    </row>
    <row r="245" spans="1:10" x14ac:dyDescent="0.35">
      <c r="A245" s="170">
        <v>239</v>
      </c>
      <c r="B245" s="10">
        <v>3062.4709486116199</v>
      </c>
      <c r="C245" s="9">
        <v>239</v>
      </c>
      <c r="D245" s="10">
        <v>536.50875371983796</v>
      </c>
      <c r="E245" s="9">
        <v>239</v>
      </c>
      <c r="F245" s="10">
        <v>920.48982248762377</v>
      </c>
      <c r="G245" s="9">
        <v>239</v>
      </c>
      <c r="H245" s="10">
        <v>1120.3167914061262</v>
      </c>
      <c r="I245" s="9">
        <v>239</v>
      </c>
      <c r="J245" s="167">
        <v>-316.13724387152314</v>
      </c>
    </row>
    <row r="246" spans="1:10" x14ac:dyDescent="0.35">
      <c r="A246" s="170">
        <v>240</v>
      </c>
      <c r="B246" s="10">
        <v>3894.2347420850747</v>
      </c>
      <c r="C246" s="9">
        <v>240</v>
      </c>
      <c r="D246" s="10">
        <v>419.09383494696601</v>
      </c>
      <c r="E246" s="9">
        <v>240</v>
      </c>
      <c r="F246" s="10">
        <v>2582.449425965578</v>
      </c>
      <c r="G246" s="9">
        <v>240</v>
      </c>
      <c r="H246" s="10">
        <v>-144.44905772171842</v>
      </c>
      <c r="I246" s="9">
        <v>240</v>
      </c>
      <c r="J246" s="167">
        <v>-1028.6787745438719</v>
      </c>
    </row>
    <row r="247" spans="1:10" x14ac:dyDescent="0.35">
      <c r="A247" s="170">
        <v>241</v>
      </c>
      <c r="B247" s="10">
        <v>1204.4374910768945</v>
      </c>
      <c r="C247" s="9">
        <v>241</v>
      </c>
      <c r="D247" s="10">
        <v>443.97220013860175</v>
      </c>
      <c r="E247" s="9">
        <v>241</v>
      </c>
      <c r="F247" s="10">
        <v>4729.7495593258336</v>
      </c>
      <c r="G247" s="9">
        <v>241</v>
      </c>
      <c r="H247" s="10">
        <v>2427.3314311370382</v>
      </c>
      <c r="I247" s="9">
        <v>241</v>
      </c>
      <c r="J247" s="167">
        <v>-1382.9164027784984</v>
      </c>
    </row>
    <row r="248" spans="1:10" x14ac:dyDescent="0.35">
      <c r="A248" s="170">
        <v>242</v>
      </c>
      <c r="B248" s="10">
        <v>2030.9990974621501</v>
      </c>
      <c r="C248" s="9">
        <v>242</v>
      </c>
      <c r="D248" s="10">
        <v>424.35349165782475</v>
      </c>
      <c r="E248" s="9">
        <v>242</v>
      </c>
      <c r="F248" s="10">
        <v>2387.633644653401</v>
      </c>
      <c r="G248" s="9">
        <v>242</v>
      </c>
      <c r="H248" s="10">
        <v>5057.5421633857504</v>
      </c>
      <c r="I248" s="9">
        <v>242</v>
      </c>
      <c r="J248" s="167">
        <v>-2236.7412347270433</v>
      </c>
    </row>
    <row r="249" spans="1:10" x14ac:dyDescent="0.35">
      <c r="A249" s="170">
        <v>243</v>
      </c>
      <c r="B249" s="10">
        <v>1775.1287700440375</v>
      </c>
      <c r="C249" s="9">
        <v>243</v>
      </c>
      <c r="D249" s="10">
        <v>406.09208282436185</v>
      </c>
      <c r="E249" s="9">
        <v>243</v>
      </c>
      <c r="F249" s="10">
        <v>1349.0496262776956</v>
      </c>
      <c r="G249" s="9">
        <v>243</v>
      </c>
      <c r="H249" s="10">
        <v>2621.028838764074</v>
      </c>
      <c r="I249" s="9">
        <v>243</v>
      </c>
      <c r="J249" s="167">
        <v>-4571.3656545928188</v>
      </c>
    </row>
    <row r="250" spans="1:10" x14ac:dyDescent="0.35">
      <c r="A250" s="170">
        <v>244</v>
      </c>
      <c r="B250" s="10">
        <v>3471.4690779059597</v>
      </c>
      <c r="C250" s="9">
        <v>244</v>
      </c>
      <c r="D250" s="10">
        <v>495.09891487850956</v>
      </c>
      <c r="E250" s="9">
        <v>244</v>
      </c>
      <c r="F250" s="10">
        <v>-1034.7406964296774</v>
      </c>
      <c r="G250" s="9">
        <v>244</v>
      </c>
      <c r="H250" s="10">
        <v>658.16405554867583</v>
      </c>
      <c r="I250" s="9">
        <v>244</v>
      </c>
      <c r="J250" s="167">
        <v>745.92671792568535</v>
      </c>
    </row>
    <row r="251" spans="1:10" x14ac:dyDescent="0.35">
      <c r="A251" s="170">
        <v>245</v>
      </c>
      <c r="B251" s="10">
        <v>1979.252158563052</v>
      </c>
      <c r="C251" s="9">
        <v>245</v>
      </c>
      <c r="D251" s="10">
        <v>531.15244169760012</v>
      </c>
      <c r="E251" s="9">
        <v>245</v>
      </c>
      <c r="F251" s="10">
        <v>-2847.665391265683</v>
      </c>
      <c r="G251" s="9">
        <v>245</v>
      </c>
      <c r="H251" s="10">
        <v>1586.2012190126477</v>
      </c>
      <c r="I251" s="9">
        <v>245</v>
      </c>
      <c r="J251" s="167">
        <v>-1233.4366569559525</v>
      </c>
    </row>
    <row r="252" spans="1:10" x14ac:dyDescent="0.35">
      <c r="A252" s="170">
        <v>246</v>
      </c>
      <c r="B252" s="10">
        <v>4469.3308528168145</v>
      </c>
      <c r="C252" s="9">
        <v>246</v>
      </c>
      <c r="D252" s="10">
        <v>451.93384823339909</v>
      </c>
      <c r="E252" s="9">
        <v>246</v>
      </c>
      <c r="F252" s="10">
        <v>4611.6298150445064</v>
      </c>
      <c r="G252" s="9">
        <v>246</v>
      </c>
      <c r="H252" s="10">
        <v>-3572.7274916062693</v>
      </c>
      <c r="I252" s="9">
        <v>246</v>
      </c>
      <c r="J252" s="167">
        <v>-114.38592697885412</v>
      </c>
    </row>
    <row r="253" spans="1:10" x14ac:dyDescent="0.35">
      <c r="A253" s="170">
        <v>247</v>
      </c>
      <c r="B253" s="10">
        <v>4692.8795536058233</v>
      </c>
      <c r="C253" s="9">
        <v>247</v>
      </c>
      <c r="D253" s="10">
        <v>358.78449911355222</v>
      </c>
      <c r="E253" s="9">
        <v>247</v>
      </c>
      <c r="F253" s="10">
        <v>2413.4320362636308</v>
      </c>
      <c r="G253" s="9">
        <v>247</v>
      </c>
      <c r="H253" s="10">
        <v>3.5239385425394403</v>
      </c>
      <c r="I253" s="9">
        <v>247</v>
      </c>
      <c r="J253" s="167">
        <v>-1584.1995302692551</v>
      </c>
    </row>
    <row r="254" spans="1:10" x14ac:dyDescent="0.35">
      <c r="A254" s="170">
        <v>248</v>
      </c>
      <c r="B254" s="10">
        <v>4813.6025284504303</v>
      </c>
      <c r="C254" s="9">
        <v>248</v>
      </c>
      <c r="D254" s="10">
        <v>323.7856598477216</v>
      </c>
      <c r="E254" s="9">
        <v>248</v>
      </c>
      <c r="F254" s="10">
        <v>4791.0623392809966</v>
      </c>
      <c r="G254" s="9">
        <v>248</v>
      </c>
      <c r="H254" s="10">
        <v>-3042.9290115445019</v>
      </c>
      <c r="I254" s="9">
        <v>248</v>
      </c>
      <c r="J254" s="167">
        <v>-1424.9814306986964</v>
      </c>
    </row>
    <row r="255" spans="1:10" x14ac:dyDescent="0.35">
      <c r="A255" s="170">
        <v>249</v>
      </c>
      <c r="B255" s="10">
        <v>2076.296643021552</v>
      </c>
      <c r="C255" s="9">
        <v>249</v>
      </c>
      <c r="D255" s="10">
        <v>370.25138968723638</v>
      </c>
      <c r="E255" s="9">
        <v>249</v>
      </c>
      <c r="F255" s="10">
        <v>3366.9152799208559</v>
      </c>
      <c r="G255" s="9">
        <v>249</v>
      </c>
      <c r="H255" s="10">
        <v>2554.633603982506</v>
      </c>
      <c r="I255" s="9">
        <v>249</v>
      </c>
      <c r="J255" s="167">
        <v>-1074.0063768265161</v>
      </c>
    </row>
    <row r="256" spans="1:10" x14ac:dyDescent="0.35">
      <c r="A256" s="170">
        <v>250</v>
      </c>
      <c r="B256" s="10">
        <v>313.14005913723486</v>
      </c>
      <c r="C256" s="9">
        <v>250</v>
      </c>
      <c r="D256" s="10">
        <v>498.9743068758313</v>
      </c>
      <c r="E256" s="9">
        <v>250</v>
      </c>
      <c r="F256" s="10">
        <v>3038.6539349914483</v>
      </c>
      <c r="G256" s="9">
        <v>250</v>
      </c>
      <c r="H256" s="10">
        <v>176.47339489135004</v>
      </c>
      <c r="I256" s="9">
        <v>250</v>
      </c>
      <c r="J256" s="167">
        <v>3081.262135321655</v>
      </c>
    </row>
    <row r="257" spans="1:10" x14ac:dyDescent="0.35">
      <c r="A257" s="170">
        <v>251</v>
      </c>
      <c r="B257" s="10">
        <v>1304.6619509479467</v>
      </c>
      <c r="C257" s="9">
        <v>251</v>
      </c>
      <c r="D257" s="10">
        <v>404.01088389022624</v>
      </c>
      <c r="E257" s="9">
        <v>251</v>
      </c>
      <c r="F257" s="10">
        <v>-1613.0808397328847</v>
      </c>
      <c r="G257" s="9">
        <v>251</v>
      </c>
      <c r="H257" s="10">
        <v>209.02981607104323</v>
      </c>
      <c r="I257" s="9">
        <v>251</v>
      </c>
      <c r="J257" s="167">
        <v>-1653.9465371912415</v>
      </c>
    </row>
    <row r="258" spans="1:10" x14ac:dyDescent="0.35">
      <c r="A258" s="170">
        <v>252</v>
      </c>
      <c r="B258" s="10">
        <v>4341.8905765884028</v>
      </c>
      <c r="C258" s="9">
        <v>252</v>
      </c>
      <c r="D258" s="10">
        <v>268.01960821558453</v>
      </c>
      <c r="E258" s="9">
        <v>252</v>
      </c>
      <c r="F258" s="10">
        <v>-355.65927934662523</v>
      </c>
      <c r="G258" s="9">
        <v>252</v>
      </c>
      <c r="H258" s="10">
        <v>1519.3657675299964</v>
      </c>
      <c r="I258" s="9">
        <v>252</v>
      </c>
      <c r="J258" s="167">
        <v>15.186417879046417</v>
      </c>
    </row>
    <row r="259" spans="1:10" x14ac:dyDescent="0.35">
      <c r="A259" s="170">
        <v>253</v>
      </c>
      <c r="B259" s="10">
        <v>5207.2085022243145</v>
      </c>
      <c r="C259" s="9">
        <v>253</v>
      </c>
      <c r="D259" s="10">
        <v>373.38046051219135</v>
      </c>
      <c r="E259" s="9">
        <v>253</v>
      </c>
      <c r="F259" s="10">
        <v>3343.933388797579</v>
      </c>
      <c r="G259" s="9">
        <v>253</v>
      </c>
      <c r="H259" s="10">
        <v>-1267.49726984073</v>
      </c>
      <c r="I259" s="9">
        <v>253</v>
      </c>
      <c r="J259" s="167">
        <v>734.32002317757519</v>
      </c>
    </row>
    <row r="260" spans="1:10" x14ac:dyDescent="0.35">
      <c r="A260" s="170">
        <v>254</v>
      </c>
      <c r="B260" s="10">
        <v>1291.7377783103063</v>
      </c>
      <c r="C260" s="9">
        <v>254</v>
      </c>
      <c r="D260" s="10">
        <v>455.59258536068342</v>
      </c>
      <c r="E260" s="9">
        <v>254</v>
      </c>
      <c r="F260" s="10">
        <v>5205.6009401324882</v>
      </c>
      <c r="G260" s="9">
        <v>254</v>
      </c>
      <c r="H260" s="10">
        <v>1932.8691815135339</v>
      </c>
      <c r="I260" s="9">
        <v>254</v>
      </c>
      <c r="J260" s="167">
        <v>1355.9865351771502</v>
      </c>
    </row>
    <row r="261" spans="1:10" x14ac:dyDescent="0.35">
      <c r="A261" s="170">
        <v>255</v>
      </c>
      <c r="B261" s="10">
        <v>1784.428786317917</v>
      </c>
      <c r="C261" s="9">
        <v>255</v>
      </c>
      <c r="D261" s="10">
        <v>341.07749237243138</v>
      </c>
      <c r="E261" s="9">
        <v>255</v>
      </c>
      <c r="F261" s="10">
        <v>-1398.2329678358255</v>
      </c>
      <c r="G261" s="9">
        <v>255</v>
      </c>
      <c r="H261" s="10">
        <v>-687.15434347182384</v>
      </c>
      <c r="I261" s="9">
        <v>255</v>
      </c>
      <c r="J261" s="167">
        <v>4854.7658533052454</v>
      </c>
    </row>
    <row r="262" spans="1:10" x14ac:dyDescent="0.35">
      <c r="A262" s="170">
        <v>256</v>
      </c>
      <c r="B262" s="10">
        <v>3933.1771361463816</v>
      </c>
      <c r="C262" s="9">
        <v>256</v>
      </c>
      <c r="D262" s="10">
        <v>341.32143176617586</v>
      </c>
      <c r="E262" s="9">
        <v>256</v>
      </c>
      <c r="F262" s="10">
        <v>2386.410314747458</v>
      </c>
      <c r="G262" s="9">
        <v>256</v>
      </c>
      <c r="H262" s="10">
        <v>1317.7281112771477</v>
      </c>
      <c r="I262" s="9">
        <v>256</v>
      </c>
      <c r="J262" s="167">
        <v>-1151.5924712571848</v>
      </c>
    </row>
    <row r="263" spans="1:10" x14ac:dyDescent="0.35">
      <c r="A263" s="170">
        <v>257</v>
      </c>
      <c r="B263" s="10">
        <v>2025.8828198443116</v>
      </c>
      <c r="C263" s="9">
        <v>257</v>
      </c>
      <c r="D263" s="10">
        <v>538.78291367468614</v>
      </c>
      <c r="E263" s="9">
        <v>257</v>
      </c>
      <c r="F263" s="10">
        <v>2165.6040058897424</v>
      </c>
      <c r="G263" s="9">
        <v>257</v>
      </c>
      <c r="H263" s="10">
        <v>3024.5111361675067</v>
      </c>
      <c r="I263" s="9">
        <v>257</v>
      </c>
      <c r="J263" s="167">
        <v>2055.4243063541767</v>
      </c>
    </row>
    <row r="264" spans="1:10" x14ac:dyDescent="0.35">
      <c r="A264" s="170">
        <v>258</v>
      </c>
      <c r="B264" s="10">
        <v>1713.0896818742171</v>
      </c>
      <c r="C264" s="9">
        <v>258</v>
      </c>
      <c r="D264" s="10">
        <v>451.64747278413523</v>
      </c>
      <c r="E264" s="9">
        <v>258</v>
      </c>
      <c r="F264" s="10">
        <v>2861.7322387254085</v>
      </c>
      <c r="G264" s="9">
        <v>258</v>
      </c>
      <c r="H264" s="10">
        <v>-4896.7244727223861</v>
      </c>
      <c r="I264" s="9">
        <v>258</v>
      </c>
      <c r="J264" s="167">
        <v>-2118.0727646461983</v>
      </c>
    </row>
    <row r="265" spans="1:10" x14ac:dyDescent="0.35">
      <c r="A265" s="170">
        <v>259</v>
      </c>
      <c r="B265" s="10">
        <v>4018.2405754653905</v>
      </c>
      <c r="C265" s="9">
        <v>259</v>
      </c>
      <c r="D265" s="10">
        <v>370.6889206427266</v>
      </c>
      <c r="E265" s="9">
        <v>259</v>
      </c>
      <c r="F265" s="10">
        <v>4390.5619417176276</v>
      </c>
      <c r="G265" s="9">
        <v>259</v>
      </c>
      <c r="H265" s="10">
        <v>413.63242946808106</v>
      </c>
      <c r="I265" s="9">
        <v>259</v>
      </c>
      <c r="J265" s="167">
        <v>-4196.0829938393126</v>
      </c>
    </row>
    <row r="266" spans="1:10" x14ac:dyDescent="0.35">
      <c r="A266" s="170">
        <v>260</v>
      </c>
      <c r="B266" s="10">
        <v>424.50173573933762</v>
      </c>
      <c r="C266" s="9">
        <v>260</v>
      </c>
      <c r="D266" s="10">
        <v>350.86261780824725</v>
      </c>
      <c r="E266" s="9">
        <v>260</v>
      </c>
      <c r="F266" s="10">
        <v>2117.1545863268161</v>
      </c>
      <c r="G266" s="9">
        <v>260</v>
      </c>
      <c r="H266" s="10">
        <v>-1497.4549206946049</v>
      </c>
      <c r="I266" s="9">
        <v>260</v>
      </c>
      <c r="J266" s="167">
        <v>-173.87808248219244</v>
      </c>
    </row>
    <row r="267" spans="1:10" x14ac:dyDescent="0.35">
      <c r="A267" s="170">
        <v>261</v>
      </c>
      <c r="B267" s="10">
        <v>2672.671938794173</v>
      </c>
      <c r="C267" s="9">
        <v>261</v>
      </c>
      <c r="D267" s="10">
        <v>456.74494476866244</v>
      </c>
      <c r="E267" s="9">
        <v>261</v>
      </c>
      <c r="F267" s="10">
        <v>2374.7617305239833</v>
      </c>
      <c r="G267" s="9">
        <v>261</v>
      </c>
      <c r="H267" s="10">
        <v>1020.9284388935585</v>
      </c>
      <c r="I267" s="9">
        <v>261</v>
      </c>
      <c r="J267" s="167">
        <v>692.53977785478105</v>
      </c>
    </row>
    <row r="268" spans="1:10" x14ac:dyDescent="0.35">
      <c r="A268" s="170">
        <v>262</v>
      </c>
      <c r="B268" s="10">
        <v>6511.620464370415</v>
      </c>
      <c r="C268" s="9">
        <v>262</v>
      </c>
      <c r="D268" s="10">
        <v>340.28498851096583</v>
      </c>
      <c r="E268" s="9">
        <v>262</v>
      </c>
      <c r="F268" s="10">
        <v>432.60738083264823</v>
      </c>
      <c r="G268" s="9">
        <v>262</v>
      </c>
      <c r="H268" s="10">
        <v>-28.04483563322492</v>
      </c>
      <c r="I268" s="9">
        <v>262</v>
      </c>
      <c r="J268" s="167">
        <v>-3176.7648094525234</v>
      </c>
    </row>
    <row r="269" spans="1:10" x14ac:dyDescent="0.35">
      <c r="A269" s="170">
        <v>263</v>
      </c>
      <c r="B269" s="10">
        <v>1183.1337743804891</v>
      </c>
      <c r="C269" s="9">
        <v>263</v>
      </c>
      <c r="D269" s="10">
        <v>374.13722162920288</v>
      </c>
      <c r="E269" s="9">
        <v>263</v>
      </c>
      <c r="F269" s="10">
        <v>6491.1771219479378</v>
      </c>
      <c r="G269" s="9">
        <v>263</v>
      </c>
      <c r="H269" s="10">
        <v>388.88871762531062</v>
      </c>
      <c r="I269" s="9">
        <v>263</v>
      </c>
      <c r="J269" s="167">
        <v>116.92971720089201</v>
      </c>
    </row>
    <row r="270" spans="1:10" x14ac:dyDescent="0.35">
      <c r="A270" s="170">
        <v>264</v>
      </c>
      <c r="B270" s="10">
        <v>2351.0011657843556</v>
      </c>
      <c r="C270" s="9">
        <v>264</v>
      </c>
      <c r="D270" s="10">
        <v>328.58735808954441</v>
      </c>
      <c r="E270" s="9">
        <v>264</v>
      </c>
      <c r="F270" s="10">
        <v>5218.9008165206869</v>
      </c>
      <c r="G270" s="9">
        <v>264</v>
      </c>
      <c r="H270" s="10">
        <v>1861.7527713537938</v>
      </c>
      <c r="I270" s="9">
        <v>264</v>
      </c>
      <c r="J270" s="167">
        <v>-2758.8956630124098</v>
      </c>
    </row>
    <row r="271" spans="1:10" x14ac:dyDescent="0.35">
      <c r="A271" s="170">
        <v>265</v>
      </c>
      <c r="B271" s="10">
        <v>2453.2612035708726</v>
      </c>
      <c r="C271" s="9">
        <v>265</v>
      </c>
      <c r="D271" s="10">
        <v>215.05995635930685</v>
      </c>
      <c r="E271" s="9">
        <v>265</v>
      </c>
      <c r="F271" s="10">
        <v>4841.3625341838024</v>
      </c>
      <c r="G271" s="9">
        <v>265</v>
      </c>
      <c r="H271" s="10">
        <v>-304.2480409939003</v>
      </c>
      <c r="I271" s="9">
        <v>265</v>
      </c>
      <c r="J271" s="167">
        <v>90.673508519389713</v>
      </c>
    </row>
    <row r="272" spans="1:10" x14ac:dyDescent="0.35">
      <c r="A272" s="170">
        <v>266</v>
      </c>
      <c r="B272" s="10">
        <v>2560.3833361271249</v>
      </c>
      <c r="C272" s="9">
        <v>266</v>
      </c>
      <c r="D272" s="10">
        <v>369.03484589287302</v>
      </c>
      <c r="E272" s="9">
        <v>266</v>
      </c>
      <c r="F272" s="10">
        <v>770.64968651011554</v>
      </c>
      <c r="G272" s="9">
        <v>266</v>
      </c>
      <c r="H272" s="10">
        <v>3318.7825785798595</v>
      </c>
      <c r="I272" s="9">
        <v>266</v>
      </c>
      <c r="J272" s="167">
        <v>-1658.9730037990853</v>
      </c>
    </row>
    <row r="273" spans="1:10" x14ac:dyDescent="0.35">
      <c r="A273" s="170">
        <v>267</v>
      </c>
      <c r="B273" s="10">
        <v>444.93404051320886</v>
      </c>
      <c r="C273" s="9">
        <v>267</v>
      </c>
      <c r="D273" s="10">
        <v>375.47804827559287</v>
      </c>
      <c r="E273" s="9">
        <v>267</v>
      </c>
      <c r="F273" s="10">
        <v>896.14892601047427</v>
      </c>
      <c r="G273" s="9">
        <v>267</v>
      </c>
      <c r="H273" s="10">
        <v>-3277.7007708211454</v>
      </c>
      <c r="I273" s="9">
        <v>267</v>
      </c>
      <c r="J273" s="167">
        <v>1003.1019337718355</v>
      </c>
    </row>
    <row r="274" spans="1:10" x14ac:dyDescent="0.35">
      <c r="A274" s="170">
        <v>268</v>
      </c>
      <c r="B274" s="10">
        <v>1232.2378275648794</v>
      </c>
      <c r="C274" s="9">
        <v>268</v>
      </c>
      <c r="D274" s="10">
        <v>337.12417763623853</v>
      </c>
      <c r="E274" s="9">
        <v>268</v>
      </c>
      <c r="F274" s="10">
        <v>5183.1061252877234</v>
      </c>
      <c r="G274" s="9">
        <v>268</v>
      </c>
      <c r="H274" s="10">
        <v>4414.941867268888</v>
      </c>
      <c r="I274" s="9">
        <v>268</v>
      </c>
      <c r="J274" s="167">
        <v>-2854.4364969980656</v>
      </c>
    </row>
    <row r="275" spans="1:10" x14ac:dyDescent="0.35">
      <c r="A275" s="170">
        <v>269</v>
      </c>
      <c r="B275" s="10">
        <v>2495.7417456480398</v>
      </c>
      <c r="C275" s="9">
        <v>269</v>
      </c>
      <c r="D275" s="10">
        <v>496.15052991262348</v>
      </c>
      <c r="E275" s="9">
        <v>269</v>
      </c>
      <c r="F275" s="10">
        <v>-1818.6920185817044</v>
      </c>
      <c r="G275" s="9">
        <v>269</v>
      </c>
      <c r="H275" s="10">
        <v>1777.3664271977786</v>
      </c>
      <c r="I275" s="9">
        <v>269</v>
      </c>
      <c r="J275" s="167">
        <v>-1688.4220925989566</v>
      </c>
    </row>
    <row r="276" spans="1:10" x14ac:dyDescent="0.35">
      <c r="A276" s="170">
        <v>270</v>
      </c>
      <c r="B276" s="10">
        <v>2658.2074165855579</v>
      </c>
      <c r="C276" s="9">
        <v>270</v>
      </c>
      <c r="D276" s="10">
        <v>435.32633660881334</v>
      </c>
      <c r="E276" s="9">
        <v>270</v>
      </c>
      <c r="F276" s="10">
        <v>10583.975299559412</v>
      </c>
      <c r="G276" s="9">
        <v>270</v>
      </c>
      <c r="H276" s="10">
        <v>-2964.8962763829632</v>
      </c>
      <c r="I276" s="9">
        <v>270</v>
      </c>
      <c r="J276" s="167">
        <v>-2273.4424956853436</v>
      </c>
    </row>
    <row r="277" spans="1:10" x14ac:dyDescent="0.35">
      <c r="A277" s="170">
        <v>271</v>
      </c>
      <c r="B277" s="10">
        <v>4250.2875128380165</v>
      </c>
      <c r="C277" s="9">
        <v>271</v>
      </c>
      <c r="D277" s="10">
        <v>276.43524619538528</v>
      </c>
      <c r="E277" s="9">
        <v>271</v>
      </c>
      <c r="F277" s="10">
        <v>2296.064505971317</v>
      </c>
      <c r="G277" s="9">
        <v>271</v>
      </c>
      <c r="H277" s="10">
        <v>1629.4516614869488</v>
      </c>
      <c r="I277" s="9">
        <v>271</v>
      </c>
      <c r="J277" s="167">
        <v>-1714.2744006457795</v>
      </c>
    </row>
    <row r="278" spans="1:10" x14ac:dyDescent="0.35">
      <c r="A278" s="170">
        <v>272</v>
      </c>
      <c r="B278" s="10">
        <v>3388.6187294927854</v>
      </c>
      <c r="C278" s="9">
        <v>272</v>
      </c>
      <c r="D278" s="10">
        <v>291.4896884959075</v>
      </c>
      <c r="E278" s="9">
        <v>272</v>
      </c>
      <c r="F278" s="10">
        <v>8278.3870779313875</v>
      </c>
      <c r="G278" s="9">
        <v>272</v>
      </c>
      <c r="H278" s="10">
        <v>-692.94916543722513</v>
      </c>
      <c r="I278" s="9">
        <v>272</v>
      </c>
      <c r="J278" s="167">
        <v>-1590.126606173028</v>
      </c>
    </row>
    <row r="279" spans="1:10" x14ac:dyDescent="0.35">
      <c r="A279" s="170">
        <v>273</v>
      </c>
      <c r="B279" s="10">
        <v>4390.0711772386376</v>
      </c>
      <c r="C279" s="9">
        <v>273</v>
      </c>
      <c r="D279" s="10">
        <v>384.92901395676085</v>
      </c>
      <c r="E279" s="9">
        <v>273</v>
      </c>
      <c r="F279" s="10">
        <v>6235.4788960371043</v>
      </c>
      <c r="G279" s="9">
        <v>273</v>
      </c>
      <c r="H279" s="10">
        <v>-836.14621717851367</v>
      </c>
      <c r="I279" s="9">
        <v>273</v>
      </c>
      <c r="J279" s="167">
        <v>1859.6766676602774</v>
      </c>
    </row>
    <row r="280" spans="1:10" x14ac:dyDescent="0.35">
      <c r="A280" s="170">
        <v>274</v>
      </c>
      <c r="B280" s="10">
        <v>3290.1934066836757</v>
      </c>
      <c r="C280" s="9">
        <v>274</v>
      </c>
      <c r="D280" s="10">
        <v>473.79142994251964</v>
      </c>
      <c r="E280" s="9">
        <v>274</v>
      </c>
      <c r="F280" s="10">
        <v>6003.7191576562091</v>
      </c>
      <c r="G280" s="9">
        <v>274</v>
      </c>
      <c r="H280" s="10">
        <v>1169.9949959871078</v>
      </c>
      <c r="I280" s="9">
        <v>274</v>
      </c>
      <c r="J280" s="167">
        <v>131.08415620401286</v>
      </c>
    </row>
    <row r="281" spans="1:10" x14ac:dyDescent="0.35">
      <c r="A281" s="170">
        <v>275</v>
      </c>
      <c r="B281" s="10">
        <v>410.84233086757695</v>
      </c>
      <c r="C281" s="9">
        <v>275</v>
      </c>
      <c r="D281" s="10">
        <v>377.01396738270802</v>
      </c>
      <c r="E281" s="9">
        <v>275</v>
      </c>
      <c r="F281" s="10">
        <v>3797.4919810053598</v>
      </c>
      <c r="G281" s="9">
        <v>275</v>
      </c>
      <c r="H281" s="10">
        <v>3093.7777680299027</v>
      </c>
      <c r="I281" s="9">
        <v>275</v>
      </c>
      <c r="J281" s="167">
        <v>2393.8694157731461</v>
      </c>
    </row>
    <row r="282" spans="1:10" x14ac:dyDescent="0.35">
      <c r="A282" s="170">
        <v>276</v>
      </c>
      <c r="B282" s="10">
        <v>1329.084056413378</v>
      </c>
      <c r="C282" s="9">
        <v>276</v>
      </c>
      <c r="D282" s="10">
        <v>430.89854239385795</v>
      </c>
      <c r="E282" s="9">
        <v>276</v>
      </c>
      <c r="F282" s="10">
        <v>3033.3591989096021</v>
      </c>
      <c r="G282" s="9">
        <v>276</v>
      </c>
      <c r="H282" s="10">
        <v>3289.1983746264841</v>
      </c>
      <c r="I282" s="9">
        <v>276</v>
      </c>
      <c r="J282" s="167">
        <v>2637.3752668494822</v>
      </c>
    </row>
    <row r="283" spans="1:10" x14ac:dyDescent="0.35">
      <c r="A283" s="170">
        <v>277</v>
      </c>
      <c r="B283" s="10">
        <v>741.89679923163453</v>
      </c>
      <c r="C283" s="9">
        <v>277</v>
      </c>
      <c r="D283" s="10">
        <v>351.97180231949744</v>
      </c>
      <c r="E283" s="9">
        <v>277</v>
      </c>
      <c r="F283" s="10">
        <v>625.19792018686712</v>
      </c>
      <c r="G283" s="9">
        <v>277</v>
      </c>
      <c r="H283" s="10">
        <v>-2542.8401793836206</v>
      </c>
      <c r="I283" s="9">
        <v>277</v>
      </c>
      <c r="J283" s="167">
        <v>1831.5625292380601</v>
      </c>
    </row>
    <row r="284" spans="1:10" x14ac:dyDescent="0.35">
      <c r="A284" s="170">
        <v>278</v>
      </c>
      <c r="B284" s="10">
        <v>2683.53851555749</v>
      </c>
      <c r="C284" s="9">
        <v>278</v>
      </c>
      <c r="D284" s="10">
        <v>366.80678618219326</v>
      </c>
      <c r="E284" s="9">
        <v>278</v>
      </c>
      <c r="F284" s="10">
        <v>3444.3669191862027</v>
      </c>
      <c r="G284" s="9">
        <v>278</v>
      </c>
      <c r="H284" s="10">
        <v>5125.1518288958441</v>
      </c>
      <c r="I284" s="9">
        <v>278</v>
      </c>
      <c r="J284" s="167">
        <v>1294.7918792012113</v>
      </c>
    </row>
    <row r="285" spans="1:10" x14ac:dyDescent="0.35">
      <c r="A285" s="170">
        <v>279</v>
      </c>
      <c r="B285" s="10">
        <v>2718.6601405893657</v>
      </c>
      <c r="C285" s="9">
        <v>279</v>
      </c>
      <c r="D285" s="10">
        <v>238.31379320749309</v>
      </c>
      <c r="E285" s="9">
        <v>279</v>
      </c>
      <c r="F285" s="10">
        <v>1793.4167443780564</v>
      </c>
      <c r="G285" s="9">
        <v>279</v>
      </c>
      <c r="H285" s="10">
        <v>328.79774361203005</v>
      </c>
      <c r="I285" s="9">
        <v>279</v>
      </c>
      <c r="J285" s="167">
        <v>3081.6646017134954</v>
      </c>
    </row>
    <row r="286" spans="1:10" x14ac:dyDescent="0.35">
      <c r="A286" s="170">
        <v>280</v>
      </c>
      <c r="B286" s="10">
        <v>6073.0322199202656</v>
      </c>
      <c r="C286" s="9">
        <v>280</v>
      </c>
      <c r="D286" s="10">
        <v>419.19990822677454</v>
      </c>
      <c r="E286" s="9">
        <v>280</v>
      </c>
      <c r="F286" s="10">
        <v>3873.6911001085482</v>
      </c>
      <c r="G286" s="9">
        <v>280</v>
      </c>
      <c r="H286" s="10">
        <v>1725.1021959403051</v>
      </c>
      <c r="I286" s="9">
        <v>280</v>
      </c>
      <c r="J286" s="167">
        <v>-1599.1342896597976</v>
      </c>
    </row>
    <row r="287" spans="1:10" x14ac:dyDescent="0.35">
      <c r="A287" s="170">
        <v>281</v>
      </c>
      <c r="B287" s="10">
        <v>5225.9164029084732</v>
      </c>
      <c r="C287" s="9">
        <v>281</v>
      </c>
      <c r="D287" s="10">
        <v>424.54251304963066</v>
      </c>
      <c r="E287" s="9">
        <v>281</v>
      </c>
      <c r="F287" s="10">
        <v>3612.8368865926959</v>
      </c>
      <c r="G287" s="9">
        <v>281</v>
      </c>
      <c r="H287" s="10">
        <v>2568.2184303349773</v>
      </c>
      <c r="I287" s="9">
        <v>281</v>
      </c>
      <c r="J287" s="167">
        <v>-133.55532094863634</v>
      </c>
    </row>
    <row r="288" spans="1:10" x14ac:dyDescent="0.35">
      <c r="A288" s="170">
        <v>282</v>
      </c>
      <c r="B288" s="10">
        <v>2395.8467215605942</v>
      </c>
      <c r="C288" s="9">
        <v>282</v>
      </c>
      <c r="D288" s="10">
        <v>302.90425194840162</v>
      </c>
      <c r="E288" s="9">
        <v>282</v>
      </c>
      <c r="F288" s="10">
        <v>1644.7058344214183</v>
      </c>
      <c r="G288" s="9">
        <v>282</v>
      </c>
      <c r="H288" s="10">
        <v>-1921.4738561264599</v>
      </c>
      <c r="I288" s="9">
        <v>282</v>
      </c>
      <c r="J288" s="167">
        <v>-1738.9027093151162</v>
      </c>
    </row>
    <row r="289" spans="1:10" x14ac:dyDescent="0.35">
      <c r="A289" s="170">
        <v>283</v>
      </c>
      <c r="B289" s="10">
        <v>2681.2740463725072</v>
      </c>
      <c r="C289" s="9">
        <v>283</v>
      </c>
      <c r="D289" s="10">
        <v>485.45777868311683</v>
      </c>
      <c r="E289" s="9">
        <v>283</v>
      </c>
      <c r="F289" s="10">
        <v>-230.43777680317544</v>
      </c>
      <c r="G289" s="9">
        <v>283</v>
      </c>
      <c r="H289" s="10">
        <v>4073.8992017699629</v>
      </c>
      <c r="I289" s="9">
        <v>283</v>
      </c>
      <c r="J289" s="167">
        <v>-1051.2934652204615</v>
      </c>
    </row>
    <row r="290" spans="1:10" x14ac:dyDescent="0.35">
      <c r="A290" s="170">
        <v>284</v>
      </c>
      <c r="B290" s="10">
        <v>2154.1313711022249</v>
      </c>
      <c r="C290" s="9">
        <v>284</v>
      </c>
      <c r="D290" s="10">
        <v>289.19154642123328</v>
      </c>
      <c r="E290" s="9">
        <v>284</v>
      </c>
      <c r="F290" s="10">
        <v>6686.5583892030418</v>
      </c>
      <c r="G290" s="9">
        <v>284</v>
      </c>
      <c r="H290" s="10">
        <v>-1547.1362387831864</v>
      </c>
      <c r="I290" s="9">
        <v>284</v>
      </c>
      <c r="J290" s="167">
        <v>2461.9433575494331</v>
      </c>
    </row>
    <row r="291" spans="1:10" x14ac:dyDescent="0.35">
      <c r="A291" s="170">
        <v>285</v>
      </c>
      <c r="B291" s="10">
        <v>2677.1718745596559</v>
      </c>
      <c r="C291" s="9">
        <v>285</v>
      </c>
      <c r="D291" s="10">
        <v>382.34622143734924</v>
      </c>
      <c r="E291" s="9">
        <v>285</v>
      </c>
      <c r="F291" s="10">
        <v>-3963.2268683247494</v>
      </c>
      <c r="G291" s="9">
        <v>285</v>
      </c>
      <c r="H291" s="10">
        <v>-2419.7115199667815</v>
      </c>
      <c r="I291" s="9">
        <v>285</v>
      </c>
      <c r="J291" s="167">
        <v>-1857.2365492927861</v>
      </c>
    </row>
    <row r="292" spans="1:10" x14ac:dyDescent="0.35">
      <c r="A292" s="170">
        <v>286</v>
      </c>
      <c r="B292" s="10">
        <v>2004.9297755693751</v>
      </c>
      <c r="C292" s="9">
        <v>286</v>
      </c>
      <c r="D292" s="10">
        <v>465.89772286697007</v>
      </c>
      <c r="E292" s="9">
        <v>286</v>
      </c>
      <c r="F292" s="10">
        <v>1935.3770701823451</v>
      </c>
      <c r="G292" s="9">
        <v>286</v>
      </c>
      <c r="H292" s="10">
        <v>-937.05699968977649</v>
      </c>
      <c r="I292" s="9">
        <v>286</v>
      </c>
      <c r="J292" s="167">
        <v>998.76758952230284</v>
      </c>
    </row>
    <row r="293" spans="1:10" x14ac:dyDescent="0.35">
      <c r="A293" s="170">
        <v>287</v>
      </c>
      <c r="B293" s="10">
        <v>1440.243234291685</v>
      </c>
      <c r="C293" s="9">
        <v>287</v>
      </c>
      <c r="D293" s="10">
        <v>287.83863949852037</v>
      </c>
      <c r="E293" s="9">
        <v>287</v>
      </c>
      <c r="F293" s="10">
        <v>1739.1079829724954</v>
      </c>
      <c r="G293" s="9">
        <v>287</v>
      </c>
      <c r="H293" s="10">
        <v>3346.6486993457897</v>
      </c>
      <c r="I293" s="9">
        <v>287</v>
      </c>
      <c r="J293" s="167">
        <v>-3640.9629887245942</v>
      </c>
    </row>
    <row r="294" spans="1:10" x14ac:dyDescent="0.35">
      <c r="A294" s="170">
        <v>288</v>
      </c>
      <c r="B294" s="10">
        <v>3234.3601837307724</v>
      </c>
      <c r="C294" s="9">
        <v>288</v>
      </c>
      <c r="D294" s="10">
        <v>569.6062524329883</v>
      </c>
      <c r="E294" s="9">
        <v>288</v>
      </c>
      <c r="F294" s="10">
        <v>-240.95487435440509</v>
      </c>
      <c r="G294" s="9">
        <v>288</v>
      </c>
      <c r="H294" s="10">
        <v>5074.2819357410826</v>
      </c>
      <c r="I294" s="9">
        <v>288</v>
      </c>
      <c r="J294" s="167">
        <v>-1665.2558304684658</v>
      </c>
    </row>
    <row r="295" spans="1:10" x14ac:dyDescent="0.35">
      <c r="A295" s="170">
        <v>289</v>
      </c>
      <c r="B295" s="10">
        <v>2200.3244401960083</v>
      </c>
      <c r="C295" s="9">
        <v>289</v>
      </c>
      <c r="D295" s="10">
        <v>439.88930200982514</v>
      </c>
      <c r="E295" s="9">
        <v>289</v>
      </c>
      <c r="F295" s="10">
        <v>231.6558731112591</v>
      </c>
      <c r="G295" s="9">
        <v>289</v>
      </c>
      <c r="H295" s="10">
        <v>4486.2310918918329</v>
      </c>
      <c r="I295" s="9">
        <v>289</v>
      </c>
      <c r="J295" s="167">
        <v>96.962821750659373</v>
      </c>
    </row>
    <row r="296" spans="1:10" x14ac:dyDescent="0.35">
      <c r="A296" s="170">
        <v>290</v>
      </c>
      <c r="B296" s="10">
        <v>3119.2766718183902</v>
      </c>
      <c r="C296" s="9">
        <v>290</v>
      </c>
      <c r="D296" s="10">
        <v>382.58670414970197</v>
      </c>
      <c r="E296" s="9">
        <v>290</v>
      </c>
      <c r="F296" s="10">
        <v>-535.89908090215567</v>
      </c>
      <c r="G296" s="9">
        <v>290</v>
      </c>
      <c r="H296" s="10">
        <v>-122.82996257076263</v>
      </c>
      <c r="I296" s="9">
        <v>290</v>
      </c>
      <c r="J296" s="167">
        <v>532.19967218730176</v>
      </c>
    </row>
    <row r="297" spans="1:10" x14ac:dyDescent="0.35">
      <c r="A297" s="170">
        <v>291</v>
      </c>
      <c r="B297" s="10">
        <v>3971.5955073007999</v>
      </c>
      <c r="C297" s="9">
        <v>291</v>
      </c>
      <c r="D297" s="10">
        <v>403.28701555841383</v>
      </c>
      <c r="E297" s="9">
        <v>291</v>
      </c>
      <c r="F297" s="10">
        <v>6131.9773410336211</v>
      </c>
      <c r="G297" s="9">
        <v>291</v>
      </c>
      <c r="H297" s="10">
        <v>3040.2739443925025</v>
      </c>
      <c r="I297" s="9">
        <v>291</v>
      </c>
      <c r="J297" s="167">
        <v>-3936.2082716880464</v>
      </c>
    </row>
    <row r="298" spans="1:10" x14ac:dyDescent="0.35">
      <c r="A298" s="170">
        <v>292</v>
      </c>
      <c r="B298" s="10">
        <v>3810.9750010458324</v>
      </c>
      <c r="C298" s="9">
        <v>292</v>
      </c>
      <c r="D298" s="10">
        <v>305.72390151138092</v>
      </c>
      <c r="E298" s="9">
        <v>292</v>
      </c>
      <c r="F298" s="10">
        <v>5635.304286720906</v>
      </c>
      <c r="G298" s="9">
        <v>292</v>
      </c>
      <c r="H298" s="10">
        <v>2305.9937011499787</v>
      </c>
      <c r="I298" s="9">
        <v>292</v>
      </c>
      <c r="J298" s="167">
        <v>-1655.6392021890051</v>
      </c>
    </row>
    <row r="299" spans="1:10" x14ac:dyDescent="0.35">
      <c r="A299" s="170">
        <v>293</v>
      </c>
      <c r="B299" s="10">
        <v>3873.7830271376652</v>
      </c>
      <c r="C299" s="9">
        <v>293</v>
      </c>
      <c r="D299" s="10">
        <v>487.29610541198838</v>
      </c>
      <c r="E299" s="9">
        <v>293</v>
      </c>
      <c r="F299" s="10">
        <v>6398.1177251147401</v>
      </c>
      <c r="G299" s="9">
        <v>293</v>
      </c>
      <c r="H299" s="10">
        <v>3579.8760791717191</v>
      </c>
      <c r="I299" s="9">
        <v>293</v>
      </c>
      <c r="J299" s="167">
        <v>-1966.8378304370476</v>
      </c>
    </row>
    <row r="300" spans="1:10" x14ac:dyDescent="0.35">
      <c r="A300" s="170">
        <v>294</v>
      </c>
      <c r="B300" s="10">
        <v>2392.5536621249539</v>
      </c>
      <c r="C300" s="9">
        <v>294</v>
      </c>
      <c r="D300" s="10">
        <v>282.55688698739129</v>
      </c>
      <c r="E300" s="9">
        <v>294</v>
      </c>
      <c r="F300" s="10">
        <v>3411.8578810600884</v>
      </c>
      <c r="G300" s="9">
        <v>294</v>
      </c>
      <c r="H300" s="10">
        <v>153.51094033940399</v>
      </c>
      <c r="I300" s="9">
        <v>294</v>
      </c>
      <c r="J300" s="167">
        <v>-625.453358732433</v>
      </c>
    </row>
    <row r="301" spans="1:10" x14ac:dyDescent="0.35">
      <c r="A301" s="170">
        <v>295</v>
      </c>
      <c r="B301" s="10">
        <v>-1252.2250465458724</v>
      </c>
      <c r="C301" s="9">
        <v>295</v>
      </c>
      <c r="D301" s="10">
        <v>478.70860478626525</v>
      </c>
      <c r="E301" s="9">
        <v>295</v>
      </c>
      <c r="F301" s="10">
        <v>1302.0722078718934</v>
      </c>
      <c r="G301" s="9">
        <v>295</v>
      </c>
      <c r="H301" s="10">
        <v>-1168.0855737832098</v>
      </c>
      <c r="I301" s="9">
        <v>295</v>
      </c>
      <c r="J301" s="167">
        <v>-4296.7015454129105</v>
      </c>
    </row>
    <row r="302" spans="1:10" x14ac:dyDescent="0.35">
      <c r="A302" s="170">
        <v>296</v>
      </c>
      <c r="B302" s="10">
        <v>3880.5729495221226</v>
      </c>
      <c r="C302" s="9">
        <v>296</v>
      </c>
      <c r="D302" s="10">
        <v>280.74320944753549</v>
      </c>
      <c r="E302" s="9">
        <v>296</v>
      </c>
      <c r="F302" s="10">
        <v>7023.6697627745134</v>
      </c>
      <c r="G302" s="9">
        <v>296</v>
      </c>
      <c r="H302" s="10">
        <v>689.77833017013495</v>
      </c>
      <c r="I302" s="9">
        <v>296</v>
      </c>
      <c r="J302" s="167">
        <v>348.96973612940599</v>
      </c>
    </row>
    <row r="303" spans="1:10" x14ac:dyDescent="0.35">
      <c r="A303" s="170">
        <v>297</v>
      </c>
      <c r="B303" s="10">
        <v>-327.09450882184638</v>
      </c>
      <c r="C303" s="9">
        <v>297</v>
      </c>
      <c r="D303" s="10">
        <v>348.64500146406789</v>
      </c>
      <c r="E303" s="9">
        <v>297</v>
      </c>
      <c r="F303" s="10">
        <v>1942.5479770754255</v>
      </c>
      <c r="G303" s="9">
        <v>297</v>
      </c>
      <c r="H303" s="10">
        <v>3363.6461513834897</v>
      </c>
      <c r="I303" s="9">
        <v>297</v>
      </c>
      <c r="J303" s="167">
        <v>-1331.8751414223682</v>
      </c>
    </row>
    <row r="304" spans="1:10" x14ac:dyDescent="0.35">
      <c r="A304" s="170">
        <v>298</v>
      </c>
      <c r="B304" s="10">
        <v>4920.8941874503234</v>
      </c>
      <c r="C304" s="9">
        <v>298</v>
      </c>
      <c r="D304" s="10">
        <v>366.63961912932564</v>
      </c>
      <c r="E304" s="9">
        <v>298</v>
      </c>
      <c r="F304" s="10">
        <v>3355.7093158325201</v>
      </c>
      <c r="G304" s="9">
        <v>298</v>
      </c>
      <c r="H304" s="10">
        <v>1661.8692201055023</v>
      </c>
      <c r="I304" s="9">
        <v>298</v>
      </c>
      <c r="J304" s="167">
        <v>401.19749053155545</v>
      </c>
    </row>
    <row r="305" spans="1:10" x14ac:dyDescent="0.35">
      <c r="A305" s="170">
        <v>299</v>
      </c>
      <c r="B305" s="10">
        <v>2372.4639098603479</v>
      </c>
      <c r="C305" s="9">
        <v>299</v>
      </c>
      <c r="D305" s="10">
        <v>274.57866783160347</v>
      </c>
      <c r="E305" s="9">
        <v>299</v>
      </c>
      <c r="F305" s="10">
        <v>1014.5822636409346</v>
      </c>
      <c r="G305" s="9">
        <v>299</v>
      </c>
      <c r="H305" s="10">
        <v>8008.9205772548776</v>
      </c>
      <c r="I305" s="9">
        <v>299</v>
      </c>
      <c r="J305" s="167">
        <v>-968.57249465002496</v>
      </c>
    </row>
    <row r="306" spans="1:10" x14ac:dyDescent="0.35">
      <c r="A306" s="170">
        <v>300</v>
      </c>
      <c r="B306" s="10">
        <v>5737.6177825164013</v>
      </c>
      <c r="C306" s="9">
        <v>300</v>
      </c>
      <c r="D306" s="10">
        <v>392.8773966076252</v>
      </c>
      <c r="E306" s="9">
        <v>300</v>
      </c>
      <c r="F306" s="10">
        <v>770.07376678998003</v>
      </c>
      <c r="G306" s="9">
        <v>300</v>
      </c>
      <c r="H306" s="10">
        <v>-1911.0417075335467</v>
      </c>
      <c r="I306" s="9">
        <v>300</v>
      </c>
      <c r="J306" s="167">
        <v>3622.3336543419905</v>
      </c>
    </row>
    <row r="307" spans="1:10" x14ac:dyDescent="0.35">
      <c r="A307" s="170">
        <v>301</v>
      </c>
      <c r="B307" s="10">
        <v>1462.5850326769314</v>
      </c>
      <c r="C307" s="9">
        <v>301</v>
      </c>
      <c r="D307" s="10">
        <v>311.98611819530396</v>
      </c>
      <c r="E307" s="9">
        <v>301</v>
      </c>
      <c r="F307" s="10">
        <v>5385.8317015457524</v>
      </c>
      <c r="G307" s="9">
        <v>301</v>
      </c>
      <c r="H307" s="10">
        <v>5206.9559252975732</v>
      </c>
      <c r="I307" s="9">
        <v>301</v>
      </c>
      <c r="J307" s="167">
        <v>1987.9265215877899</v>
      </c>
    </row>
    <row r="308" spans="1:10" x14ac:dyDescent="0.35">
      <c r="A308" s="170">
        <v>302</v>
      </c>
      <c r="B308" s="10">
        <v>2589.5217114225484</v>
      </c>
      <c r="C308" s="9">
        <v>302</v>
      </c>
      <c r="D308" s="10">
        <v>396.76671553101392</v>
      </c>
      <c r="E308" s="9">
        <v>302</v>
      </c>
      <c r="F308" s="10">
        <v>-2146.4542884860621</v>
      </c>
      <c r="G308" s="9">
        <v>302</v>
      </c>
      <c r="H308" s="10">
        <v>3184.4356111830821</v>
      </c>
      <c r="I308" s="9">
        <v>302</v>
      </c>
      <c r="J308" s="167">
        <v>826.69276969789462</v>
      </c>
    </row>
    <row r="309" spans="1:10" x14ac:dyDescent="0.35">
      <c r="A309" s="170">
        <v>303</v>
      </c>
      <c r="B309" s="10">
        <v>4288.6069451762842</v>
      </c>
      <c r="C309" s="9">
        <v>303</v>
      </c>
      <c r="D309" s="10">
        <v>369.05429505292551</v>
      </c>
      <c r="E309" s="9">
        <v>303</v>
      </c>
      <c r="F309" s="10">
        <v>-2564.5636255749696</v>
      </c>
      <c r="G309" s="9">
        <v>303</v>
      </c>
      <c r="H309" s="10">
        <v>2875.1830533520861</v>
      </c>
      <c r="I309" s="9">
        <v>303</v>
      </c>
      <c r="J309" s="167">
        <v>-1423.8032419758506</v>
      </c>
    </row>
    <row r="310" spans="1:10" x14ac:dyDescent="0.35">
      <c r="A310" s="170">
        <v>304</v>
      </c>
      <c r="B310" s="10">
        <v>2978.8762039800622</v>
      </c>
      <c r="C310" s="9">
        <v>304</v>
      </c>
      <c r="D310" s="10">
        <v>401.4496578869705</v>
      </c>
      <c r="E310" s="9">
        <v>304</v>
      </c>
      <c r="F310" s="10">
        <v>-649.25725418342199</v>
      </c>
      <c r="G310" s="9">
        <v>304</v>
      </c>
      <c r="H310" s="10">
        <v>7849.9561823444046</v>
      </c>
      <c r="I310" s="9">
        <v>304</v>
      </c>
      <c r="J310" s="167">
        <v>-4687.1100428210011</v>
      </c>
    </row>
    <row r="311" spans="1:10" x14ac:dyDescent="0.35">
      <c r="A311" s="170">
        <v>305</v>
      </c>
      <c r="B311" s="10">
        <v>-1347.4540253585819</v>
      </c>
      <c r="C311" s="9">
        <v>305</v>
      </c>
      <c r="D311" s="10">
        <v>507.76374057696808</v>
      </c>
      <c r="E311" s="9">
        <v>305</v>
      </c>
      <c r="F311" s="10">
        <v>2193.3851986158129</v>
      </c>
      <c r="G311" s="9">
        <v>305</v>
      </c>
      <c r="H311" s="10">
        <v>1496.6478307226566</v>
      </c>
      <c r="I311" s="9">
        <v>305</v>
      </c>
      <c r="J311" s="167">
        <v>300.85752584751685</v>
      </c>
    </row>
    <row r="312" spans="1:10" x14ac:dyDescent="0.35">
      <c r="A312" s="170">
        <v>306</v>
      </c>
      <c r="B312" s="10">
        <v>2302.0240916202724</v>
      </c>
      <c r="C312" s="9">
        <v>306</v>
      </c>
      <c r="D312" s="10">
        <v>427.8376905394033</v>
      </c>
      <c r="E312" s="9">
        <v>306</v>
      </c>
      <c r="F312" s="10">
        <v>2529.1438656348901</v>
      </c>
      <c r="G312" s="9">
        <v>306</v>
      </c>
      <c r="H312" s="10">
        <v>3186.1711271660997</v>
      </c>
      <c r="I312" s="9">
        <v>306</v>
      </c>
      <c r="J312" s="167">
        <v>-1610.412565479508</v>
      </c>
    </row>
    <row r="313" spans="1:10" x14ac:dyDescent="0.35">
      <c r="A313" s="170">
        <v>307</v>
      </c>
      <c r="B313" s="10">
        <v>3040.0198571085775</v>
      </c>
      <c r="C313" s="9">
        <v>307</v>
      </c>
      <c r="D313" s="10">
        <v>479.67413710015705</v>
      </c>
      <c r="E313" s="9">
        <v>307</v>
      </c>
      <c r="F313" s="10">
        <v>1421.8165834322733</v>
      </c>
      <c r="G313" s="9">
        <v>307</v>
      </c>
      <c r="H313" s="10">
        <v>664.52226468604033</v>
      </c>
      <c r="I313" s="9">
        <v>307</v>
      </c>
      <c r="J313" s="167">
        <v>-2141.8131933552813</v>
      </c>
    </row>
    <row r="314" spans="1:10" x14ac:dyDescent="0.35">
      <c r="A314" s="170">
        <v>308</v>
      </c>
      <c r="B314" s="10">
        <v>4222.8116311411086</v>
      </c>
      <c r="C314" s="9">
        <v>308</v>
      </c>
      <c r="D314" s="10">
        <v>397.24409723877415</v>
      </c>
      <c r="E314" s="9">
        <v>308</v>
      </c>
      <c r="F314" s="10">
        <v>-356.62986314650152</v>
      </c>
      <c r="G314" s="9">
        <v>308</v>
      </c>
      <c r="H314" s="10">
        <v>5882.0332629975546</v>
      </c>
      <c r="I314" s="9">
        <v>308</v>
      </c>
      <c r="J314" s="167">
        <v>1603.1977950954797</v>
      </c>
    </row>
    <row r="315" spans="1:10" x14ac:dyDescent="0.35">
      <c r="A315" s="170">
        <v>309</v>
      </c>
      <c r="B315" s="10">
        <v>-996.24339392418915</v>
      </c>
      <c r="C315" s="9">
        <v>309</v>
      </c>
      <c r="D315" s="10">
        <v>323.53156664773769</v>
      </c>
      <c r="E315" s="9">
        <v>309</v>
      </c>
      <c r="F315" s="10">
        <v>3939.0401258181619</v>
      </c>
      <c r="G315" s="9">
        <v>309</v>
      </c>
      <c r="H315" s="10">
        <v>1176.1108731215727</v>
      </c>
      <c r="I315" s="9">
        <v>309</v>
      </c>
      <c r="J315" s="167">
        <v>-1601.3704373534968</v>
      </c>
    </row>
    <row r="316" spans="1:10" x14ac:dyDescent="0.35">
      <c r="A316" s="170">
        <v>310</v>
      </c>
      <c r="B316" s="10">
        <v>222.18808416884758</v>
      </c>
      <c r="C316" s="9">
        <v>310</v>
      </c>
      <c r="D316" s="10">
        <v>362.18045029959052</v>
      </c>
      <c r="E316" s="9">
        <v>310</v>
      </c>
      <c r="F316" s="10">
        <v>-23.858621878798658</v>
      </c>
      <c r="G316" s="9">
        <v>310</v>
      </c>
      <c r="H316" s="10">
        <v>-2577.9191858325789</v>
      </c>
      <c r="I316" s="9">
        <v>310</v>
      </c>
      <c r="J316" s="167">
        <v>-3587.3737159179041</v>
      </c>
    </row>
    <row r="317" spans="1:10" x14ac:dyDescent="0.35">
      <c r="A317" s="170">
        <v>311</v>
      </c>
      <c r="B317" s="10">
        <v>4829.6988094379003</v>
      </c>
      <c r="C317" s="9">
        <v>311</v>
      </c>
      <c r="D317" s="10">
        <v>397.09986386790149</v>
      </c>
      <c r="E317" s="9">
        <v>311</v>
      </c>
      <c r="F317" s="10">
        <v>211.51995206618085</v>
      </c>
      <c r="G317" s="9">
        <v>311</v>
      </c>
      <c r="H317" s="10">
        <v>1008.6661938811853</v>
      </c>
      <c r="I317" s="9">
        <v>311</v>
      </c>
      <c r="J317" s="167">
        <v>-2707.6012423153547</v>
      </c>
    </row>
    <row r="318" spans="1:10" x14ac:dyDescent="0.35">
      <c r="A318" s="170">
        <v>312</v>
      </c>
      <c r="B318" s="10">
        <v>1850.4756910285246</v>
      </c>
      <c r="C318" s="9">
        <v>312</v>
      </c>
      <c r="D318" s="10">
        <v>295.50578431079276</v>
      </c>
      <c r="E318" s="9">
        <v>312</v>
      </c>
      <c r="F318" s="10">
        <v>1716.6260671505113</v>
      </c>
      <c r="G318" s="9">
        <v>312</v>
      </c>
      <c r="H318" s="10">
        <v>5963.4760260703042</v>
      </c>
      <c r="I318" s="9">
        <v>312</v>
      </c>
      <c r="J318" s="167">
        <v>879.16524379382327</v>
      </c>
    </row>
    <row r="319" spans="1:10" x14ac:dyDescent="0.35">
      <c r="A319" s="170">
        <v>313</v>
      </c>
      <c r="B319" s="10">
        <v>-641.6594048243619</v>
      </c>
      <c r="C319" s="9">
        <v>313</v>
      </c>
      <c r="D319" s="10">
        <v>325.18369342974574</v>
      </c>
      <c r="E319" s="9">
        <v>313</v>
      </c>
      <c r="F319" s="10">
        <v>519.39664153594686</v>
      </c>
      <c r="G319" s="9">
        <v>313</v>
      </c>
      <c r="H319" s="10">
        <v>5240.0979424020779</v>
      </c>
      <c r="I319" s="9">
        <v>313</v>
      </c>
      <c r="J319" s="167">
        <v>-1991.1927440242143</v>
      </c>
    </row>
    <row r="320" spans="1:10" x14ac:dyDescent="0.35">
      <c r="A320" s="170">
        <v>314</v>
      </c>
      <c r="B320" s="10">
        <v>4107.2716586612405</v>
      </c>
      <c r="C320" s="9">
        <v>314</v>
      </c>
      <c r="D320" s="10">
        <v>255.85915024261482</v>
      </c>
      <c r="E320" s="9">
        <v>314</v>
      </c>
      <c r="F320" s="10">
        <v>4376.0067024953942</v>
      </c>
      <c r="G320" s="9">
        <v>314</v>
      </c>
      <c r="H320" s="10">
        <v>1032.2615750125544</v>
      </c>
      <c r="I320" s="9">
        <v>314</v>
      </c>
      <c r="J320" s="167">
        <v>486.4991457587123</v>
      </c>
    </row>
    <row r="321" spans="1:10" x14ac:dyDescent="0.35">
      <c r="A321" s="170">
        <v>315</v>
      </c>
      <c r="B321" s="10">
        <v>5113.9901037184009</v>
      </c>
      <c r="C321" s="9">
        <v>315</v>
      </c>
      <c r="D321" s="10">
        <v>466.28608654395714</v>
      </c>
      <c r="E321" s="9">
        <v>315</v>
      </c>
      <c r="F321" s="10">
        <v>6117.1564378880521</v>
      </c>
      <c r="G321" s="9">
        <v>315</v>
      </c>
      <c r="H321" s="10">
        <v>-4440.6733057458277</v>
      </c>
      <c r="I321" s="9">
        <v>315</v>
      </c>
      <c r="J321" s="167">
        <v>1097.5359307852534</v>
      </c>
    </row>
    <row r="322" spans="1:10" x14ac:dyDescent="0.35">
      <c r="A322" s="170">
        <v>316</v>
      </c>
      <c r="B322" s="10">
        <v>1407.6138284776982</v>
      </c>
      <c r="C322" s="9">
        <v>316</v>
      </c>
      <c r="D322" s="10">
        <v>421.24101656742761</v>
      </c>
      <c r="E322" s="9">
        <v>316</v>
      </c>
      <c r="F322" s="10">
        <v>377.35706907776148</v>
      </c>
      <c r="G322" s="9">
        <v>316</v>
      </c>
      <c r="H322" s="10">
        <v>1265.054785055567</v>
      </c>
      <c r="I322" s="9">
        <v>316</v>
      </c>
      <c r="J322" s="167">
        <v>2036.5564426085953</v>
      </c>
    </row>
    <row r="323" spans="1:10" x14ac:dyDescent="0.35">
      <c r="A323" s="170">
        <v>317</v>
      </c>
      <c r="B323" s="10">
        <v>1124.5520329764686</v>
      </c>
      <c r="C323" s="9">
        <v>317</v>
      </c>
      <c r="D323" s="10">
        <v>301.7444492271058</v>
      </c>
      <c r="E323" s="9">
        <v>317</v>
      </c>
      <c r="F323" s="10">
        <v>2726.8870405627104</v>
      </c>
      <c r="G323" s="9">
        <v>317</v>
      </c>
      <c r="H323" s="10">
        <v>4536.789120631126</v>
      </c>
      <c r="I323" s="9">
        <v>317</v>
      </c>
      <c r="J323" s="167">
        <v>-3545.2272065499205</v>
      </c>
    </row>
    <row r="324" spans="1:10" x14ac:dyDescent="0.35">
      <c r="A324" s="170">
        <v>318</v>
      </c>
      <c r="B324" s="10">
        <v>1643.4967164651828</v>
      </c>
      <c r="C324" s="9">
        <v>318</v>
      </c>
      <c r="D324" s="10">
        <v>348.17922177733954</v>
      </c>
      <c r="E324" s="9">
        <v>318</v>
      </c>
      <c r="F324" s="10">
        <v>3563.8391878601828</v>
      </c>
      <c r="G324" s="9">
        <v>318</v>
      </c>
      <c r="H324" s="10">
        <v>-1871.2535777501453</v>
      </c>
      <c r="I324" s="9">
        <v>318</v>
      </c>
      <c r="J324" s="167">
        <v>617.43720753639423</v>
      </c>
    </row>
    <row r="325" spans="1:10" x14ac:dyDescent="0.35">
      <c r="A325" s="170">
        <v>319</v>
      </c>
      <c r="B325" s="10">
        <v>4465.1613621358374</v>
      </c>
      <c r="C325" s="9">
        <v>319</v>
      </c>
      <c r="D325" s="10">
        <v>230.35670757203246</v>
      </c>
      <c r="E325" s="9">
        <v>319</v>
      </c>
      <c r="F325" s="10">
        <v>1740.04112077993</v>
      </c>
      <c r="G325" s="9">
        <v>319</v>
      </c>
      <c r="H325" s="10">
        <v>615.53057640964846</v>
      </c>
      <c r="I325" s="9">
        <v>319</v>
      </c>
      <c r="J325" s="167">
        <v>-3345.9723784135731</v>
      </c>
    </row>
    <row r="326" spans="1:10" x14ac:dyDescent="0.35">
      <c r="A326" s="170">
        <v>320</v>
      </c>
      <c r="B326" s="10">
        <v>3440.7392993995518</v>
      </c>
      <c r="C326" s="9">
        <v>320</v>
      </c>
      <c r="D326" s="10">
        <v>267.03657715657738</v>
      </c>
      <c r="E326" s="9">
        <v>320</v>
      </c>
      <c r="F326" s="10">
        <v>-862.79731606522728</v>
      </c>
      <c r="G326" s="9">
        <v>320</v>
      </c>
      <c r="H326" s="10">
        <v>2308.6209457758059</v>
      </c>
      <c r="I326" s="9">
        <v>320</v>
      </c>
      <c r="J326" s="167">
        <v>-1473.5806551454439</v>
      </c>
    </row>
    <row r="327" spans="1:10" x14ac:dyDescent="0.35">
      <c r="A327" s="170">
        <v>321</v>
      </c>
      <c r="B327" s="10">
        <v>2597.8251088240331</v>
      </c>
      <c r="C327" s="9">
        <v>321</v>
      </c>
      <c r="D327" s="10">
        <v>401.79877562935468</v>
      </c>
      <c r="E327" s="9">
        <v>321</v>
      </c>
      <c r="F327" s="10">
        <v>1921.2000226652031</v>
      </c>
      <c r="G327" s="9">
        <v>321</v>
      </c>
      <c r="H327" s="10">
        <v>1004.3499518858528</v>
      </c>
      <c r="I327" s="9">
        <v>321</v>
      </c>
      <c r="J327" s="167">
        <v>-3425.7403638704463</v>
      </c>
    </row>
    <row r="328" spans="1:10" x14ac:dyDescent="0.35">
      <c r="A328" s="170">
        <v>322</v>
      </c>
      <c r="B328" s="10">
        <v>2838.4859096313835</v>
      </c>
      <c r="C328" s="9">
        <v>322</v>
      </c>
      <c r="D328" s="10">
        <v>419.219265817674</v>
      </c>
      <c r="E328" s="9">
        <v>322</v>
      </c>
      <c r="F328" s="10">
        <v>2417.07622205699</v>
      </c>
      <c r="G328" s="9">
        <v>322</v>
      </c>
      <c r="H328" s="10">
        <v>-814.42321969270381</v>
      </c>
      <c r="I328" s="9">
        <v>322</v>
      </c>
      <c r="J328" s="167">
        <v>-2187.0823767005959</v>
      </c>
    </row>
    <row r="329" spans="1:10" x14ac:dyDescent="0.35">
      <c r="A329" s="170">
        <v>323</v>
      </c>
      <c r="B329" s="10">
        <v>2544.9773553840996</v>
      </c>
      <c r="C329" s="9">
        <v>323</v>
      </c>
      <c r="D329" s="10">
        <v>431.86926934428743</v>
      </c>
      <c r="E329" s="9">
        <v>323</v>
      </c>
      <c r="F329" s="10">
        <v>7870.0190082591062</v>
      </c>
      <c r="G329" s="9">
        <v>323</v>
      </c>
      <c r="H329" s="10">
        <v>752.71133764876379</v>
      </c>
      <c r="I329" s="9">
        <v>323</v>
      </c>
      <c r="J329" s="167">
        <v>-2194.6308914850301</v>
      </c>
    </row>
    <row r="330" spans="1:10" x14ac:dyDescent="0.35">
      <c r="A330" s="170">
        <v>324</v>
      </c>
      <c r="B330" s="10">
        <v>2535.7223765311892</v>
      </c>
      <c r="C330" s="9">
        <v>324</v>
      </c>
      <c r="D330" s="10">
        <v>382.0243072051245</v>
      </c>
      <c r="E330" s="9">
        <v>324</v>
      </c>
      <c r="F330" s="10">
        <v>2710.8516376662251</v>
      </c>
      <c r="G330" s="9">
        <v>324</v>
      </c>
      <c r="H330" s="10">
        <v>446.5732860709598</v>
      </c>
      <c r="I330" s="9">
        <v>324</v>
      </c>
      <c r="J330" s="167">
        <v>2454.0802501224698</v>
      </c>
    </row>
    <row r="331" spans="1:10" x14ac:dyDescent="0.35">
      <c r="A331" s="170">
        <v>325</v>
      </c>
      <c r="B331" s="10">
        <v>628.79929075360042</v>
      </c>
      <c r="C331" s="9">
        <v>325</v>
      </c>
      <c r="D331" s="10">
        <v>392.00209359473246</v>
      </c>
      <c r="E331" s="9">
        <v>325</v>
      </c>
      <c r="F331" s="10">
        <v>3940.435997125528</v>
      </c>
      <c r="G331" s="9">
        <v>325</v>
      </c>
      <c r="H331" s="10">
        <v>-1419.0696740638114</v>
      </c>
      <c r="I331" s="9">
        <v>325</v>
      </c>
      <c r="J331" s="167">
        <v>-4732.5186624856506</v>
      </c>
    </row>
    <row r="332" spans="1:10" x14ac:dyDescent="0.35">
      <c r="A332" s="170">
        <v>326</v>
      </c>
      <c r="B332" s="10">
        <v>1300.1513252181167</v>
      </c>
      <c r="C332" s="9">
        <v>326</v>
      </c>
      <c r="D332" s="10">
        <v>336.40991818993723</v>
      </c>
      <c r="E332" s="9">
        <v>326</v>
      </c>
      <c r="F332" s="10">
        <v>8290.7541123037372</v>
      </c>
      <c r="G332" s="9">
        <v>326</v>
      </c>
      <c r="H332" s="10">
        <v>1737.6374321689175</v>
      </c>
      <c r="I332" s="9">
        <v>326</v>
      </c>
      <c r="J332" s="167">
        <v>-2068.4839291434942</v>
      </c>
    </row>
    <row r="333" spans="1:10" x14ac:dyDescent="0.35">
      <c r="A333" s="170">
        <v>327</v>
      </c>
      <c r="B333" s="10">
        <v>2557.1563809109321</v>
      </c>
      <c r="C333" s="9">
        <v>327</v>
      </c>
      <c r="D333" s="10">
        <v>349.71588812809324</v>
      </c>
      <c r="E333" s="9">
        <v>327</v>
      </c>
      <c r="F333" s="10">
        <v>2174.4216148408404</v>
      </c>
      <c r="G333" s="9">
        <v>327</v>
      </c>
      <c r="H333" s="10">
        <v>-6853.0650881044494</v>
      </c>
      <c r="I333" s="9">
        <v>327</v>
      </c>
      <c r="J333" s="167">
        <v>-3314.9821236781431</v>
      </c>
    </row>
    <row r="334" spans="1:10" x14ac:dyDescent="0.35">
      <c r="A334" s="170">
        <v>328</v>
      </c>
      <c r="B334" s="10">
        <v>4133.0343468446299</v>
      </c>
      <c r="C334" s="9">
        <v>328</v>
      </c>
      <c r="D334" s="10">
        <v>307.48114793748579</v>
      </c>
      <c r="E334" s="9">
        <v>328</v>
      </c>
      <c r="F334" s="10">
        <v>2306.4050620044604</v>
      </c>
      <c r="G334" s="9">
        <v>328</v>
      </c>
      <c r="H334" s="10">
        <v>109.01406808356091</v>
      </c>
      <c r="I334" s="9">
        <v>328</v>
      </c>
      <c r="J334" s="167">
        <v>-387.75241026300347</v>
      </c>
    </row>
    <row r="335" spans="1:10" x14ac:dyDescent="0.35">
      <c r="A335" s="170">
        <v>329</v>
      </c>
      <c r="B335" s="10">
        <v>1949.1487476191924</v>
      </c>
      <c r="C335" s="9">
        <v>329</v>
      </c>
      <c r="D335" s="10">
        <v>590.75578140693187</v>
      </c>
      <c r="E335" s="9">
        <v>329</v>
      </c>
      <c r="F335" s="10">
        <v>-776.08353967892253</v>
      </c>
      <c r="G335" s="9">
        <v>329</v>
      </c>
      <c r="H335" s="10">
        <v>1870.4484103944269</v>
      </c>
      <c r="I335" s="9">
        <v>329</v>
      </c>
      <c r="J335" s="167">
        <v>-1988.6941031538147</v>
      </c>
    </row>
    <row r="336" spans="1:10" x14ac:dyDescent="0.35">
      <c r="A336" s="170">
        <v>330</v>
      </c>
      <c r="B336" s="10">
        <v>104.66315684128358</v>
      </c>
      <c r="C336" s="9">
        <v>330</v>
      </c>
      <c r="D336" s="10">
        <v>349.46059625648621</v>
      </c>
      <c r="E336" s="9">
        <v>330</v>
      </c>
      <c r="F336" s="10">
        <v>667.87076315046579</v>
      </c>
      <c r="G336" s="9">
        <v>330</v>
      </c>
      <c r="H336" s="10">
        <v>2667.620611620996</v>
      </c>
      <c r="I336" s="9">
        <v>330</v>
      </c>
      <c r="J336" s="167">
        <v>-2381.8625211775079</v>
      </c>
    </row>
    <row r="337" spans="1:10" x14ac:dyDescent="0.35">
      <c r="A337" s="170">
        <v>331</v>
      </c>
      <c r="B337" s="10">
        <v>824.9286598200531</v>
      </c>
      <c r="C337" s="9">
        <v>331</v>
      </c>
      <c r="D337" s="10">
        <v>369.18435620148136</v>
      </c>
      <c r="E337" s="9">
        <v>331</v>
      </c>
      <c r="F337" s="10">
        <v>6996.5265345478219</v>
      </c>
      <c r="G337" s="9">
        <v>331</v>
      </c>
      <c r="H337" s="10">
        <v>965.70588588907151</v>
      </c>
      <c r="I337" s="9">
        <v>331</v>
      </c>
      <c r="J337" s="167">
        <v>-537.71235162680364</v>
      </c>
    </row>
    <row r="338" spans="1:10" x14ac:dyDescent="0.35">
      <c r="A338" s="170">
        <v>332</v>
      </c>
      <c r="B338" s="10">
        <v>2546.414845850833</v>
      </c>
      <c r="C338" s="9">
        <v>332</v>
      </c>
      <c r="D338" s="10">
        <v>224.85078297607825</v>
      </c>
      <c r="E338" s="9">
        <v>332</v>
      </c>
      <c r="F338" s="10">
        <v>3269.5834453365242</v>
      </c>
      <c r="G338" s="9">
        <v>332</v>
      </c>
      <c r="H338" s="10">
        <v>-17.272943166008645</v>
      </c>
      <c r="I338" s="9">
        <v>332</v>
      </c>
      <c r="J338" s="167">
        <v>-2423.9145290786028</v>
      </c>
    </row>
    <row r="339" spans="1:10" x14ac:dyDescent="0.35">
      <c r="A339" s="170">
        <v>333</v>
      </c>
      <c r="B339" s="10">
        <v>2995.2890880253008</v>
      </c>
      <c r="C339" s="9">
        <v>333</v>
      </c>
      <c r="D339" s="10">
        <v>454.9137134549278</v>
      </c>
      <c r="E339" s="9">
        <v>333</v>
      </c>
      <c r="F339" s="10">
        <v>4233.9143173315115</v>
      </c>
      <c r="G339" s="9">
        <v>333</v>
      </c>
      <c r="H339" s="10">
        <v>2528.9437725957314</v>
      </c>
      <c r="I339" s="9">
        <v>333</v>
      </c>
      <c r="J339" s="167">
        <v>-4268.6145625943909</v>
      </c>
    </row>
    <row r="340" spans="1:10" x14ac:dyDescent="0.35">
      <c r="A340" s="170">
        <v>334</v>
      </c>
      <c r="B340" s="10">
        <v>4626.9021763722349</v>
      </c>
      <c r="C340" s="9">
        <v>334</v>
      </c>
      <c r="D340" s="10">
        <v>383.48803083284963</v>
      </c>
      <c r="E340" s="9">
        <v>334</v>
      </c>
      <c r="F340" s="10">
        <v>5358.357278790163</v>
      </c>
      <c r="G340" s="9">
        <v>334</v>
      </c>
      <c r="H340" s="10">
        <v>19.635249900200961</v>
      </c>
      <c r="I340" s="9">
        <v>334</v>
      </c>
      <c r="J340" s="167">
        <v>1293.0906329957481</v>
      </c>
    </row>
    <row r="341" spans="1:10" x14ac:dyDescent="0.35">
      <c r="A341" s="170">
        <v>335</v>
      </c>
      <c r="B341" s="10">
        <v>2595.2268925443777</v>
      </c>
      <c r="C341" s="9">
        <v>335</v>
      </c>
      <c r="D341" s="10">
        <v>411.97293529692314</v>
      </c>
      <c r="E341" s="9">
        <v>335</v>
      </c>
      <c r="F341" s="10">
        <v>1549.567559632284</v>
      </c>
      <c r="G341" s="9">
        <v>335</v>
      </c>
      <c r="H341" s="10">
        <v>4134.2514992813249</v>
      </c>
      <c r="I341" s="9">
        <v>335</v>
      </c>
      <c r="J341" s="167">
        <v>-8768.2858152081208</v>
      </c>
    </row>
    <row r="342" spans="1:10" x14ac:dyDescent="0.35">
      <c r="A342" s="170">
        <v>336</v>
      </c>
      <c r="B342" s="10">
        <v>-1825.5524466564352</v>
      </c>
      <c r="C342" s="9">
        <v>336</v>
      </c>
      <c r="D342" s="10">
        <v>476.60540825891502</v>
      </c>
      <c r="E342" s="9">
        <v>336</v>
      </c>
      <c r="F342" s="10">
        <v>5354.8403162314407</v>
      </c>
      <c r="G342" s="9">
        <v>336</v>
      </c>
      <c r="H342" s="10">
        <v>-701.47369062268297</v>
      </c>
      <c r="I342" s="9">
        <v>336</v>
      </c>
      <c r="J342" s="167">
        <v>-3521.3705722583982</v>
      </c>
    </row>
    <row r="343" spans="1:10" x14ac:dyDescent="0.35">
      <c r="A343" s="170">
        <v>337</v>
      </c>
      <c r="B343" s="10">
        <v>1720.3527258501181</v>
      </c>
      <c r="C343" s="9">
        <v>337</v>
      </c>
      <c r="D343" s="10">
        <v>404.75394205630596</v>
      </c>
      <c r="E343" s="9">
        <v>337</v>
      </c>
      <c r="F343" s="10">
        <v>8980.7917654110533</v>
      </c>
      <c r="G343" s="9">
        <v>337</v>
      </c>
      <c r="H343" s="10">
        <v>-7578.1138305022278</v>
      </c>
      <c r="I343" s="9">
        <v>337</v>
      </c>
      <c r="J343" s="167">
        <v>-839.64542682612773</v>
      </c>
    </row>
    <row r="344" spans="1:10" x14ac:dyDescent="0.35">
      <c r="A344" s="170">
        <v>338</v>
      </c>
      <c r="B344" s="10">
        <v>3090.6397530967934</v>
      </c>
      <c r="C344" s="9">
        <v>338</v>
      </c>
      <c r="D344" s="10">
        <v>459.7144643073409</v>
      </c>
      <c r="E344" s="9">
        <v>338</v>
      </c>
      <c r="F344" s="10">
        <v>2198.7681891652146</v>
      </c>
      <c r="G344" s="9">
        <v>338</v>
      </c>
      <c r="H344" s="10">
        <v>6309.0358243259016</v>
      </c>
      <c r="I344" s="9">
        <v>338</v>
      </c>
      <c r="J344" s="167">
        <v>-3130.1394245903107</v>
      </c>
    </row>
    <row r="345" spans="1:10" x14ac:dyDescent="0.35">
      <c r="A345" s="170">
        <v>339</v>
      </c>
      <c r="B345" s="10">
        <v>2433.2024217721514</v>
      </c>
      <c r="C345" s="9">
        <v>339</v>
      </c>
      <c r="D345" s="10">
        <v>394.368859595961</v>
      </c>
      <c r="E345" s="9">
        <v>339</v>
      </c>
      <c r="F345" s="10">
        <v>3504.2796722246267</v>
      </c>
      <c r="G345" s="9">
        <v>339</v>
      </c>
      <c r="H345" s="10">
        <v>-6066.538779612486</v>
      </c>
      <c r="I345" s="9">
        <v>339</v>
      </c>
      <c r="J345" s="167">
        <v>-4630.8430711589208</v>
      </c>
    </row>
    <row r="346" spans="1:10" x14ac:dyDescent="0.35">
      <c r="A346" s="170">
        <v>340</v>
      </c>
      <c r="B346" s="10">
        <v>3066.6948530359136</v>
      </c>
      <c r="C346" s="9">
        <v>340</v>
      </c>
      <c r="D346" s="10">
        <v>276.16470281805454</v>
      </c>
      <c r="E346" s="9">
        <v>340</v>
      </c>
      <c r="F346" s="10">
        <v>3264.8229329299102</v>
      </c>
      <c r="G346" s="9">
        <v>340</v>
      </c>
      <c r="H346" s="10">
        <v>-1528.8787094753425</v>
      </c>
      <c r="I346" s="9">
        <v>340</v>
      </c>
      <c r="J346" s="167">
        <v>-4962.5163667395936</v>
      </c>
    </row>
    <row r="347" spans="1:10" x14ac:dyDescent="0.35">
      <c r="A347" s="170">
        <v>341</v>
      </c>
      <c r="B347" s="10">
        <v>1494.9347630489285</v>
      </c>
      <c r="C347" s="9">
        <v>341</v>
      </c>
      <c r="D347" s="10">
        <v>342.66541611162211</v>
      </c>
      <c r="E347" s="9">
        <v>341</v>
      </c>
      <c r="F347" s="10">
        <v>5980.6112988075802</v>
      </c>
      <c r="G347" s="9">
        <v>341</v>
      </c>
      <c r="H347" s="10">
        <v>3021.8202162248226</v>
      </c>
      <c r="I347" s="9">
        <v>341</v>
      </c>
      <c r="J347" s="167">
        <v>1285.0088755605209</v>
      </c>
    </row>
    <row r="348" spans="1:10" x14ac:dyDescent="0.35">
      <c r="A348" s="170">
        <v>342</v>
      </c>
      <c r="B348" s="10">
        <v>2276.5220101372383</v>
      </c>
      <c r="C348" s="9">
        <v>342</v>
      </c>
      <c r="D348" s="10">
        <v>291.03568997764683</v>
      </c>
      <c r="E348" s="9">
        <v>342</v>
      </c>
      <c r="F348" s="10">
        <v>6792.213491154771</v>
      </c>
      <c r="G348" s="9">
        <v>342</v>
      </c>
      <c r="H348" s="10">
        <v>-72.889964949106684</v>
      </c>
      <c r="I348" s="9">
        <v>342</v>
      </c>
      <c r="J348" s="167">
        <v>1488.7130048234442</v>
      </c>
    </row>
    <row r="349" spans="1:10" x14ac:dyDescent="0.35">
      <c r="A349" s="170">
        <v>343</v>
      </c>
      <c r="B349" s="10">
        <v>3830.1214349204092</v>
      </c>
      <c r="C349" s="9">
        <v>343</v>
      </c>
      <c r="D349" s="10">
        <v>528.12365212747602</v>
      </c>
      <c r="E349" s="9">
        <v>343</v>
      </c>
      <c r="F349" s="10">
        <v>3976.2157971756005</v>
      </c>
      <c r="G349" s="9">
        <v>343</v>
      </c>
      <c r="H349" s="10">
        <v>-1903.5901776634355</v>
      </c>
      <c r="I349" s="9">
        <v>343</v>
      </c>
      <c r="J349" s="167">
        <v>-1091.3673811555038</v>
      </c>
    </row>
    <row r="350" spans="1:10" x14ac:dyDescent="0.35">
      <c r="A350" s="170">
        <v>344</v>
      </c>
      <c r="B350" s="10">
        <v>1203.4091383484715</v>
      </c>
      <c r="C350" s="9">
        <v>344</v>
      </c>
      <c r="D350" s="10">
        <v>354.48843955770565</v>
      </c>
      <c r="E350" s="9">
        <v>344</v>
      </c>
      <c r="F350" s="10">
        <v>4461.5406021161998</v>
      </c>
      <c r="G350" s="9">
        <v>344</v>
      </c>
      <c r="H350" s="10">
        <v>5682.0595427662038</v>
      </c>
      <c r="I350" s="9">
        <v>344</v>
      </c>
      <c r="J350" s="167">
        <v>480.85723957314042</v>
      </c>
    </row>
    <row r="351" spans="1:10" x14ac:dyDescent="0.35">
      <c r="A351" s="170">
        <v>345</v>
      </c>
      <c r="B351" s="10">
        <v>1748.5270943964649</v>
      </c>
      <c r="C351" s="9">
        <v>345</v>
      </c>
      <c r="D351" s="10">
        <v>421.93300828829246</v>
      </c>
      <c r="E351" s="9">
        <v>345</v>
      </c>
      <c r="F351" s="10">
        <v>2085.5676627283046</v>
      </c>
      <c r="G351" s="9">
        <v>345</v>
      </c>
      <c r="H351" s="10">
        <v>-302.19214945291537</v>
      </c>
      <c r="I351" s="9">
        <v>345</v>
      </c>
      <c r="J351" s="167">
        <v>-794.93232066167479</v>
      </c>
    </row>
    <row r="352" spans="1:10" x14ac:dyDescent="0.35">
      <c r="A352" s="170">
        <v>346</v>
      </c>
      <c r="B352" s="10">
        <v>4747.1171677623479</v>
      </c>
      <c r="C352" s="9">
        <v>346</v>
      </c>
      <c r="D352" s="10">
        <v>420.08643161770902</v>
      </c>
      <c r="E352" s="9">
        <v>346</v>
      </c>
      <c r="F352" s="10">
        <v>3692.2623857902822</v>
      </c>
      <c r="G352" s="9">
        <v>346</v>
      </c>
      <c r="H352" s="10">
        <v>193.37540907282721</v>
      </c>
      <c r="I352" s="9">
        <v>346</v>
      </c>
      <c r="J352" s="167">
        <v>-229.99981151391154</v>
      </c>
    </row>
    <row r="353" spans="1:10" x14ac:dyDescent="0.35">
      <c r="A353" s="170">
        <v>347</v>
      </c>
      <c r="B353" s="10">
        <v>784.33902944016518</v>
      </c>
      <c r="C353" s="9">
        <v>347</v>
      </c>
      <c r="D353" s="10">
        <v>421.93520057370006</v>
      </c>
      <c r="E353" s="9">
        <v>347</v>
      </c>
      <c r="F353" s="10">
        <v>-1110.9867104462701</v>
      </c>
      <c r="G353" s="9">
        <v>347</v>
      </c>
      <c r="H353" s="10">
        <v>3401.0018230123164</v>
      </c>
      <c r="I353" s="9">
        <v>347</v>
      </c>
      <c r="J353" s="167">
        <v>-892.83120827493099</v>
      </c>
    </row>
    <row r="354" spans="1:10" x14ac:dyDescent="0.35">
      <c r="A354" s="170">
        <v>348</v>
      </c>
      <c r="B354" s="10">
        <v>4393.9509091546915</v>
      </c>
      <c r="C354" s="9">
        <v>348</v>
      </c>
      <c r="D354" s="10">
        <v>401.32606603515472</v>
      </c>
      <c r="E354" s="9">
        <v>348</v>
      </c>
      <c r="F354" s="10">
        <v>3860.3416441339714</v>
      </c>
      <c r="G354" s="9">
        <v>348</v>
      </c>
      <c r="H354" s="10">
        <v>2260.03971077592</v>
      </c>
      <c r="I354" s="9">
        <v>348</v>
      </c>
      <c r="J354" s="167">
        <v>-1700.82730537457</v>
      </c>
    </row>
    <row r="355" spans="1:10" x14ac:dyDescent="0.35">
      <c r="A355" s="170">
        <v>349</v>
      </c>
      <c r="B355" s="10">
        <v>2825.8510907059008</v>
      </c>
      <c r="C355" s="9">
        <v>349</v>
      </c>
      <c r="D355" s="10">
        <v>372.81539147098704</v>
      </c>
      <c r="E355" s="9">
        <v>349</v>
      </c>
      <c r="F355" s="10">
        <v>-2736.5579955310986</v>
      </c>
      <c r="G355" s="9">
        <v>349</v>
      </c>
      <c r="H355" s="10">
        <v>2778.8105708063576</v>
      </c>
      <c r="I355" s="9">
        <v>349</v>
      </c>
      <c r="J355" s="167">
        <v>-5550.0128611759774</v>
      </c>
    </row>
    <row r="356" spans="1:10" x14ac:dyDescent="0.35">
      <c r="A356" s="170">
        <v>350</v>
      </c>
      <c r="B356" s="10">
        <v>1045.4301009996796</v>
      </c>
      <c r="C356" s="9">
        <v>350</v>
      </c>
      <c r="D356" s="10">
        <v>428.94140677691678</v>
      </c>
      <c r="E356" s="9">
        <v>350</v>
      </c>
      <c r="F356" s="10">
        <v>3554.8711604653063</v>
      </c>
      <c r="G356" s="9">
        <v>350</v>
      </c>
      <c r="H356" s="10">
        <v>-3048.2967811579074</v>
      </c>
      <c r="I356" s="9">
        <v>350</v>
      </c>
      <c r="J356" s="167">
        <v>-870.828284842843</v>
      </c>
    </row>
    <row r="357" spans="1:10" x14ac:dyDescent="0.35">
      <c r="A357" s="170">
        <v>351</v>
      </c>
      <c r="B357" s="10">
        <v>3711.6410886352996</v>
      </c>
      <c r="C357" s="9">
        <v>351</v>
      </c>
      <c r="D357" s="10">
        <v>243.49406726521025</v>
      </c>
      <c r="E357" s="9">
        <v>351</v>
      </c>
      <c r="F357" s="10">
        <v>5696.02177070793</v>
      </c>
      <c r="G357" s="9">
        <v>351</v>
      </c>
      <c r="H357" s="10">
        <v>3619.6326910993607</v>
      </c>
      <c r="I357" s="9">
        <v>351</v>
      </c>
      <c r="J357" s="167">
        <v>2760.6563138660658</v>
      </c>
    </row>
    <row r="358" spans="1:10" x14ac:dyDescent="0.35">
      <c r="A358" s="170">
        <v>352</v>
      </c>
      <c r="B358" s="10">
        <v>4632.2279786402323</v>
      </c>
      <c r="C358" s="9">
        <v>352</v>
      </c>
      <c r="D358" s="10">
        <v>598.51763343064977</v>
      </c>
      <c r="E358" s="9">
        <v>352</v>
      </c>
      <c r="F358" s="10">
        <v>2078.9800136588292</v>
      </c>
      <c r="G358" s="9">
        <v>352</v>
      </c>
      <c r="H358" s="10">
        <v>82.938065516897382</v>
      </c>
      <c r="I358" s="9">
        <v>352</v>
      </c>
      <c r="J358" s="167">
        <v>4055.9142580557887</v>
      </c>
    </row>
    <row r="359" spans="1:10" x14ac:dyDescent="0.35">
      <c r="A359" s="170">
        <v>353</v>
      </c>
      <c r="B359" s="10">
        <v>89.356434407653978</v>
      </c>
      <c r="C359" s="9">
        <v>353</v>
      </c>
      <c r="D359" s="10">
        <v>393.62340009963509</v>
      </c>
      <c r="E359" s="9">
        <v>353</v>
      </c>
      <c r="F359" s="10">
        <v>4516.0941954640593</v>
      </c>
      <c r="G359" s="9">
        <v>353</v>
      </c>
      <c r="H359" s="10">
        <v>2852.4374501774514</v>
      </c>
      <c r="I359" s="9">
        <v>353</v>
      </c>
      <c r="J359" s="167">
        <v>498.15048373525622</v>
      </c>
    </row>
    <row r="360" spans="1:10" x14ac:dyDescent="0.35">
      <c r="A360" s="170">
        <v>354</v>
      </c>
      <c r="B360" s="10">
        <v>4143.6331614848577</v>
      </c>
      <c r="C360" s="9">
        <v>354</v>
      </c>
      <c r="D360" s="10">
        <v>211.05973278343851</v>
      </c>
      <c r="E360" s="9">
        <v>354</v>
      </c>
      <c r="F360" s="10">
        <v>5347.1071708274867</v>
      </c>
      <c r="G360" s="9">
        <v>354</v>
      </c>
      <c r="H360" s="10">
        <v>-3312.8889674451693</v>
      </c>
      <c r="I360" s="9">
        <v>354</v>
      </c>
      <c r="J360" s="167">
        <v>-210.63334122873582</v>
      </c>
    </row>
    <row r="361" spans="1:10" x14ac:dyDescent="0.35">
      <c r="A361" s="170">
        <v>355</v>
      </c>
      <c r="B361" s="10">
        <v>2910.8841432361683</v>
      </c>
      <c r="C361" s="9">
        <v>355</v>
      </c>
      <c r="D361" s="10">
        <v>394.10933696275532</v>
      </c>
      <c r="E361" s="9">
        <v>355</v>
      </c>
      <c r="F361" s="10">
        <v>1234.0716520580236</v>
      </c>
      <c r="G361" s="9">
        <v>355</v>
      </c>
      <c r="H361" s="10">
        <v>5369.2106719718176</v>
      </c>
      <c r="I361" s="9">
        <v>355</v>
      </c>
      <c r="J361" s="167">
        <v>-2023.554666886437</v>
      </c>
    </row>
    <row r="362" spans="1:10" x14ac:dyDescent="0.35">
      <c r="A362" s="170">
        <v>356</v>
      </c>
      <c r="B362" s="10">
        <v>3472.2942912660528</v>
      </c>
      <c r="C362" s="9">
        <v>356</v>
      </c>
      <c r="D362" s="10">
        <v>348.06150232992007</v>
      </c>
      <c r="E362" s="9">
        <v>356</v>
      </c>
      <c r="F362" s="10">
        <v>227.78348366113732</v>
      </c>
      <c r="G362" s="9">
        <v>356</v>
      </c>
      <c r="H362" s="10">
        <v>274.90978087312425</v>
      </c>
      <c r="I362" s="9">
        <v>356</v>
      </c>
      <c r="J362" s="167">
        <v>-1387.5393144222544</v>
      </c>
    </row>
    <row r="363" spans="1:10" x14ac:dyDescent="0.35">
      <c r="A363" s="170">
        <v>357</v>
      </c>
      <c r="B363" s="10">
        <v>2544.5585388735367</v>
      </c>
      <c r="C363" s="9">
        <v>357</v>
      </c>
      <c r="D363" s="10">
        <v>402.70824399090486</v>
      </c>
      <c r="E363" s="9">
        <v>357</v>
      </c>
      <c r="F363" s="10">
        <v>6494.2577709847174</v>
      </c>
      <c r="G363" s="9">
        <v>357</v>
      </c>
      <c r="H363" s="10">
        <v>-1393.5341706042459</v>
      </c>
      <c r="I363" s="9">
        <v>357</v>
      </c>
      <c r="J363" s="167">
        <v>-1502.1049624809482</v>
      </c>
    </row>
    <row r="364" spans="1:10" x14ac:dyDescent="0.35">
      <c r="A364" s="170">
        <v>358</v>
      </c>
      <c r="B364" s="10">
        <v>1535.2361411481149</v>
      </c>
      <c r="C364" s="9">
        <v>358</v>
      </c>
      <c r="D364" s="10">
        <v>276.05668059182858</v>
      </c>
      <c r="E364" s="9">
        <v>358</v>
      </c>
      <c r="F364" s="10">
        <v>487.49888772842951</v>
      </c>
      <c r="G364" s="9">
        <v>358</v>
      </c>
      <c r="H364" s="10">
        <v>923.0159531826863</v>
      </c>
      <c r="I364" s="9">
        <v>358</v>
      </c>
      <c r="J364" s="167">
        <v>-1416.2827785886088</v>
      </c>
    </row>
    <row r="365" spans="1:10" x14ac:dyDescent="0.35">
      <c r="A365" s="170">
        <v>359</v>
      </c>
      <c r="B365" s="10">
        <v>1300.2400369248396</v>
      </c>
      <c r="C365" s="9">
        <v>359</v>
      </c>
      <c r="D365" s="10">
        <v>492.85035583359775</v>
      </c>
      <c r="E365" s="9">
        <v>359</v>
      </c>
      <c r="F365" s="10">
        <v>3167.7433463140255</v>
      </c>
      <c r="G365" s="9">
        <v>359</v>
      </c>
      <c r="H365" s="10">
        <v>2380.2564085052391</v>
      </c>
      <c r="I365" s="9">
        <v>359</v>
      </c>
      <c r="J365" s="167">
        <v>-939.59629943565665</v>
      </c>
    </row>
    <row r="366" spans="1:10" x14ac:dyDescent="0.35">
      <c r="A366" s="170">
        <v>360</v>
      </c>
      <c r="B366" s="10">
        <v>4595.5132959814218</v>
      </c>
      <c r="C366" s="9">
        <v>360</v>
      </c>
      <c r="D366" s="10">
        <v>422.18733719218636</v>
      </c>
      <c r="E366" s="9">
        <v>360</v>
      </c>
      <c r="F366" s="10">
        <v>7635.1524193912164</v>
      </c>
      <c r="G366" s="9">
        <v>360</v>
      </c>
      <c r="H366" s="10">
        <v>-4020.9414286409196</v>
      </c>
      <c r="I366" s="9">
        <v>360</v>
      </c>
      <c r="J366" s="167">
        <v>2048.6425876377753</v>
      </c>
    </row>
    <row r="367" spans="1:10" x14ac:dyDescent="0.35">
      <c r="A367" s="170">
        <v>361</v>
      </c>
      <c r="B367" s="10">
        <v>3294.6967988580295</v>
      </c>
      <c r="C367" s="9">
        <v>361</v>
      </c>
      <c r="D367" s="10">
        <v>353.41326405700636</v>
      </c>
      <c r="E367" s="9">
        <v>361</v>
      </c>
      <c r="F367" s="10">
        <v>-275.70777405279068</v>
      </c>
      <c r="G367" s="9">
        <v>361</v>
      </c>
      <c r="H367" s="10">
        <v>552.46310262317445</v>
      </c>
      <c r="I367" s="9">
        <v>361</v>
      </c>
      <c r="J367" s="167">
        <v>762.69015405265941</v>
      </c>
    </row>
    <row r="368" spans="1:10" x14ac:dyDescent="0.35">
      <c r="A368" s="170">
        <v>362</v>
      </c>
      <c r="B368" s="10">
        <v>3057.0691821566397</v>
      </c>
      <c r="C368" s="9">
        <v>362</v>
      </c>
      <c r="D368" s="10">
        <v>546.89536853230902</v>
      </c>
      <c r="E368" s="9">
        <v>362</v>
      </c>
      <c r="F368" s="10">
        <v>-1296.0307890770509</v>
      </c>
      <c r="G368" s="9">
        <v>362</v>
      </c>
      <c r="H368" s="10">
        <v>1202.0924054950667</v>
      </c>
      <c r="I368" s="9">
        <v>362</v>
      </c>
      <c r="J368" s="167">
        <v>-1251.1464358770529</v>
      </c>
    </row>
    <row r="369" spans="1:10" x14ac:dyDescent="0.35">
      <c r="A369" s="170">
        <v>363</v>
      </c>
      <c r="B369" s="10">
        <v>2360.4651878937352</v>
      </c>
      <c r="C369" s="9">
        <v>363</v>
      </c>
      <c r="D369" s="10">
        <v>341.87194872282333</v>
      </c>
      <c r="E369" s="9">
        <v>363</v>
      </c>
      <c r="F369" s="10">
        <v>2139.2920446870321</v>
      </c>
      <c r="G369" s="9">
        <v>363</v>
      </c>
      <c r="H369" s="10">
        <v>2050.7377909238471</v>
      </c>
      <c r="I369" s="9">
        <v>363</v>
      </c>
      <c r="J369" s="167">
        <v>-1924.7974697387695</v>
      </c>
    </row>
    <row r="370" spans="1:10" x14ac:dyDescent="0.35">
      <c r="A370" s="170">
        <v>364</v>
      </c>
      <c r="B370" s="10">
        <v>3470.801143263363</v>
      </c>
      <c r="C370" s="9">
        <v>364</v>
      </c>
      <c r="D370" s="10">
        <v>414.27809928948989</v>
      </c>
      <c r="E370" s="9">
        <v>364</v>
      </c>
      <c r="F370" s="10">
        <v>4803.8869185224048</v>
      </c>
      <c r="G370" s="9">
        <v>364</v>
      </c>
      <c r="H370" s="10">
        <v>3529.6726548463212</v>
      </c>
      <c r="I370" s="9">
        <v>364</v>
      </c>
      <c r="J370" s="167">
        <v>950.58002719150272</v>
      </c>
    </row>
    <row r="371" spans="1:10" x14ac:dyDescent="0.35">
      <c r="A371" s="170">
        <v>365</v>
      </c>
      <c r="B371" s="10">
        <v>2490.6710084633046</v>
      </c>
      <c r="C371" s="9">
        <v>365</v>
      </c>
      <c r="D371" s="10">
        <v>304.04131052753314</v>
      </c>
      <c r="E371" s="9">
        <v>365</v>
      </c>
      <c r="F371" s="10">
        <v>1838.5483421715521</v>
      </c>
      <c r="G371" s="9">
        <v>365</v>
      </c>
      <c r="H371" s="10">
        <v>585.94022719284624</v>
      </c>
      <c r="I371" s="9">
        <v>365</v>
      </c>
      <c r="J371" s="167">
        <v>-691.446312245885</v>
      </c>
    </row>
    <row r="372" spans="1:10" x14ac:dyDescent="0.35">
      <c r="A372" s="170">
        <v>366</v>
      </c>
      <c r="B372" s="10">
        <v>2959.9234103208855</v>
      </c>
      <c r="C372" s="9">
        <v>366</v>
      </c>
      <c r="D372" s="10">
        <v>373.98992911562789</v>
      </c>
      <c r="E372" s="9">
        <v>366</v>
      </c>
      <c r="F372" s="10">
        <v>3277.0339988944243</v>
      </c>
      <c r="G372" s="9">
        <v>366</v>
      </c>
      <c r="H372" s="10">
        <v>-59.497985363015573</v>
      </c>
      <c r="I372" s="9">
        <v>366</v>
      </c>
      <c r="J372" s="167">
        <v>-2738.0174253705968</v>
      </c>
    </row>
    <row r="373" spans="1:10" x14ac:dyDescent="0.35">
      <c r="A373" s="170">
        <v>367</v>
      </c>
      <c r="B373" s="10">
        <v>3645.9206441031097</v>
      </c>
      <c r="C373" s="9">
        <v>367</v>
      </c>
      <c r="D373" s="10">
        <v>480.62877347516843</v>
      </c>
      <c r="E373" s="9">
        <v>367</v>
      </c>
      <c r="F373" s="10">
        <v>2368.545725397868</v>
      </c>
      <c r="G373" s="9">
        <v>367</v>
      </c>
      <c r="H373" s="10">
        <v>4079.6697641710161</v>
      </c>
      <c r="I373" s="9">
        <v>367</v>
      </c>
      <c r="J373" s="167">
        <v>-15.85950016799444</v>
      </c>
    </row>
    <row r="374" spans="1:10" x14ac:dyDescent="0.35">
      <c r="A374" s="170">
        <v>368</v>
      </c>
      <c r="B374" s="10">
        <v>3504.5042101676545</v>
      </c>
      <c r="C374" s="9">
        <v>368</v>
      </c>
      <c r="D374" s="10">
        <v>526.27433558641587</v>
      </c>
      <c r="E374" s="9">
        <v>368</v>
      </c>
      <c r="F374" s="10">
        <v>5532.2250175128365</v>
      </c>
      <c r="G374" s="9">
        <v>368</v>
      </c>
      <c r="H374" s="10">
        <v>-3482.8252669718445</v>
      </c>
      <c r="I374" s="9">
        <v>368</v>
      </c>
      <c r="J374" s="167">
        <v>-1458.5126852478109</v>
      </c>
    </row>
    <row r="375" spans="1:10" x14ac:dyDescent="0.35">
      <c r="A375" s="170">
        <v>369</v>
      </c>
      <c r="B375" s="10">
        <v>-419.8855250358929</v>
      </c>
      <c r="C375" s="9">
        <v>369</v>
      </c>
      <c r="D375" s="10">
        <v>294.12884305764373</v>
      </c>
      <c r="E375" s="9">
        <v>369</v>
      </c>
      <c r="F375" s="10">
        <v>6049.1525784248024</v>
      </c>
      <c r="G375" s="9">
        <v>369</v>
      </c>
      <c r="H375" s="10">
        <v>2313.1932606468308</v>
      </c>
      <c r="I375" s="9">
        <v>369</v>
      </c>
      <c r="J375" s="167">
        <v>805.61702474869094</v>
      </c>
    </row>
    <row r="376" spans="1:10" x14ac:dyDescent="0.35">
      <c r="A376" s="170">
        <v>370</v>
      </c>
      <c r="B376" s="10">
        <v>1606.8411917283138</v>
      </c>
      <c r="C376" s="9">
        <v>370</v>
      </c>
      <c r="D376" s="10">
        <v>384.60984711172006</v>
      </c>
      <c r="E376" s="9">
        <v>370</v>
      </c>
      <c r="F376" s="10">
        <v>-1262.73771859513</v>
      </c>
      <c r="G376" s="9">
        <v>370</v>
      </c>
      <c r="H376" s="10">
        <v>3191.0756417820344</v>
      </c>
      <c r="I376" s="9">
        <v>370</v>
      </c>
      <c r="J376" s="167">
        <v>1332.6645667038517</v>
      </c>
    </row>
    <row r="377" spans="1:10" x14ac:dyDescent="0.35">
      <c r="A377" s="170">
        <v>371</v>
      </c>
      <c r="B377" s="10">
        <v>2955.9683051523202</v>
      </c>
      <c r="C377" s="9">
        <v>371</v>
      </c>
      <c r="D377" s="10">
        <v>261.22825034450386</v>
      </c>
      <c r="E377" s="9">
        <v>371</v>
      </c>
      <c r="F377" s="10">
        <v>8083.0294009698428</v>
      </c>
      <c r="G377" s="9">
        <v>371</v>
      </c>
      <c r="H377" s="10">
        <v>851.87172222981746</v>
      </c>
      <c r="I377" s="9">
        <v>371</v>
      </c>
      <c r="J377" s="167">
        <v>-6371.496024821985</v>
      </c>
    </row>
    <row r="378" spans="1:10" x14ac:dyDescent="0.35">
      <c r="A378" s="170">
        <v>372</v>
      </c>
      <c r="B378" s="10">
        <v>1360.6541887068274</v>
      </c>
      <c r="C378" s="9">
        <v>372</v>
      </c>
      <c r="D378" s="10">
        <v>135.74450268259199</v>
      </c>
      <c r="E378" s="9">
        <v>372</v>
      </c>
      <c r="F378" s="10">
        <v>-596.31036922562816</v>
      </c>
      <c r="G378" s="9">
        <v>372</v>
      </c>
      <c r="H378" s="10">
        <v>-2626.0112425739276</v>
      </c>
      <c r="I378" s="9">
        <v>372</v>
      </c>
      <c r="J378" s="167">
        <v>-2932.1016274207946</v>
      </c>
    </row>
    <row r="379" spans="1:10" x14ac:dyDescent="0.35">
      <c r="A379" s="170">
        <v>373</v>
      </c>
      <c r="B379" s="10">
        <v>4833.8241952399785</v>
      </c>
      <c r="C379" s="9">
        <v>373</v>
      </c>
      <c r="D379" s="10">
        <v>366.43770410841461</v>
      </c>
      <c r="E379" s="9">
        <v>373</v>
      </c>
      <c r="F379" s="10">
        <v>-454.00625829968612</v>
      </c>
      <c r="G379" s="9">
        <v>373</v>
      </c>
      <c r="H379" s="10">
        <v>2603.2303099301203</v>
      </c>
      <c r="I379" s="9">
        <v>373</v>
      </c>
      <c r="J379" s="167">
        <v>3985.5663161409052</v>
      </c>
    </row>
    <row r="380" spans="1:10" x14ac:dyDescent="0.35">
      <c r="A380" s="170">
        <v>374</v>
      </c>
      <c r="B380" s="10">
        <v>3913.4166489584759</v>
      </c>
      <c r="C380" s="9">
        <v>374</v>
      </c>
      <c r="D380" s="10">
        <v>357.27179407151954</v>
      </c>
      <c r="E380" s="9">
        <v>374</v>
      </c>
      <c r="F380" s="10">
        <v>6158.872681712719</v>
      </c>
      <c r="G380" s="9">
        <v>374</v>
      </c>
      <c r="H380" s="10">
        <v>823.80872229342799</v>
      </c>
      <c r="I380" s="9">
        <v>374</v>
      </c>
      <c r="J380" s="167">
        <v>-892.85592202020075</v>
      </c>
    </row>
    <row r="381" spans="1:10" x14ac:dyDescent="0.35">
      <c r="A381" s="170">
        <v>375</v>
      </c>
      <c r="B381" s="10">
        <v>2089.6350364406235</v>
      </c>
      <c r="C381" s="9">
        <v>375</v>
      </c>
      <c r="D381" s="10">
        <v>506.16548854845445</v>
      </c>
      <c r="E381" s="9">
        <v>375</v>
      </c>
      <c r="F381" s="10">
        <v>2048.5143842867478</v>
      </c>
      <c r="G381" s="9">
        <v>375</v>
      </c>
      <c r="H381" s="10">
        <v>-55.658705871985831</v>
      </c>
      <c r="I381" s="9">
        <v>375</v>
      </c>
      <c r="J381" s="167">
        <v>56.821990132466567</v>
      </c>
    </row>
    <row r="382" spans="1:10" x14ac:dyDescent="0.35">
      <c r="A382" s="170">
        <v>376</v>
      </c>
      <c r="B382" s="10">
        <v>2737.7922487191317</v>
      </c>
      <c r="C382" s="9">
        <v>376</v>
      </c>
      <c r="D382" s="10">
        <v>486.61767638360135</v>
      </c>
      <c r="E382" s="9">
        <v>376</v>
      </c>
      <c r="F382" s="10">
        <v>-1730.9360963135114</v>
      </c>
      <c r="G382" s="9">
        <v>376</v>
      </c>
      <c r="H382" s="10">
        <v>5488.7489823237474</v>
      </c>
      <c r="I382" s="9">
        <v>376</v>
      </c>
      <c r="J382" s="167">
        <v>-1454.4104486489266</v>
      </c>
    </row>
    <row r="383" spans="1:10" x14ac:dyDescent="0.35">
      <c r="A383" s="170">
        <v>377</v>
      </c>
      <c r="B383" s="10">
        <v>3763.1705142653336</v>
      </c>
      <c r="C383" s="9">
        <v>377</v>
      </c>
      <c r="D383" s="10">
        <v>307.81807351005227</v>
      </c>
      <c r="E383" s="9">
        <v>377</v>
      </c>
      <c r="F383" s="10">
        <v>4527.3440971336031</v>
      </c>
      <c r="G383" s="9">
        <v>377</v>
      </c>
      <c r="H383" s="10">
        <v>4373.7002658526335</v>
      </c>
      <c r="I383" s="9">
        <v>377</v>
      </c>
      <c r="J383" s="167">
        <v>-1842.3496746322064</v>
      </c>
    </row>
    <row r="384" spans="1:10" x14ac:dyDescent="0.35">
      <c r="A384" s="170">
        <v>378</v>
      </c>
      <c r="B384" s="10">
        <v>-82.637711724488781</v>
      </c>
      <c r="C384" s="9">
        <v>378</v>
      </c>
      <c r="D384" s="10">
        <v>343.19540919045289</v>
      </c>
      <c r="E384" s="9">
        <v>378</v>
      </c>
      <c r="F384" s="10">
        <v>4697.5134122569225</v>
      </c>
      <c r="G384" s="9">
        <v>378</v>
      </c>
      <c r="H384" s="10">
        <v>2531.1065199664504</v>
      </c>
      <c r="I384" s="9">
        <v>378</v>
      </c>
      <c r="J384" s="167">
        <v>-1145.3546307623742</v>
      </c>
    </row>
    <row r="385" spans="1:10" x14ac:dyDescent="0.35">
      <c r="A385" s="170">
        <v>379</v>
      </c>
      <c r="B385" s="10">
        <v>-546.08903229285488</v>
      </c>
      <c r="C385" s="9">
        <v>379</v>
      </c>
      <c r="D385" s="10">
        <v>408.95030436070016</v>
      </c>
      <c r="E385" s="9">
        <v>379</v>
      </c>
      <c r="F385" s="10">
        <v>-2318.4861581797322</v>
      </c>
      <c r="G385" s="9">
        <v>379</v>
      </c>
      <c r="H385" s="10">
        <v>-931.63198866400546</v>
      </c>
      <c r="I385" s="9">
        <v>379</v>
      </c>
      <c r="J385" s="167">
        <v>124.18564847930816</v>
      </c>
    </row>
    <row r="386" spans="1:10" x14ac:dyDescent="0.35">
      <c r="A386" s="170">
        <v>380</v>
      </c>
      <c r="B386" s="10">
        <v>-988.47780608130051</v>
      </c>
      <c r="C386" s="9">
        <v>380</v>
      </c>
      <c r="D386" s="10">
        <v>360.68864172492204</v>
      </c>
      <c r="E386" s="9">
        <v>380</v>
      </c>
      <c r="F386" s="10">
        <v>1716.9489801046636</v>
      </c>
      <c r="G386" s="9">
        <v>380</v>
      </c>
      <c r="H386" s="10">
        <v>1976.8490678489652</v>
      </c>
      <c r="I386" s="9">
        <v>380</v>
      </c>
      <c r="J386" s="167">
        <v>729.16211683582856</v>
      </c>
    </row>
    <row r="387" spans="1:10" x14ac:dyDescent="0.35">
      <c r="A387" s="170">
        <v>381</v>
      </c>
      <c r="B387" s="10">
        <v>3866.486427928332</v>
      </c>
      <c r="C387" s="9">
        <v>381</v>
      </c>
      <c r="D387" s="10">
        <v>254.2258960626796</v>
      </c>
      <c r="E387" s="9">
        <v>381</v>
      </c>
      <c r="F387" s="10">
        <v>7419.4986221950103</v>
      </c>
      <c r="G387" s="9">
        <v>381</v>
      </c>
      <c r="H387" s="10">
        <v>2430.9971804095667</v>
      </c>
      <c r="I387" s="9">
        <v>381</v>
      </c>
      <c r="J387" s="167">
        <v>-3305.4937101287678</v>
      </c>
    </row>
    <row r="388" spans="1:10" x14ac:dyDescent="0.35">
      <c r="A388" s="170">
        <v>382</v>
      </c>
      <c r="B388" s="10">
        <v>3437.6405343879806</v>
      </c>
      <c r="C388" s="9">
        <v>382</v>
      </c>
      <c r="D388" s="10">
        <v>448.06658683656042</v>
      </c>
      <c r="E388" s="9">
        <v>382</v>
      </c>
      <c r="F388" s="10">
        <v>7577.7316507122496</v>
      </c>
      <c r="G388" s="9">
        <v>382</v>
      </c>
      <c r="H388" s="10">
        <v>-150.63579706662779</v>
      </c>
      <c r="I388" s="9">
        <v>382</v>
      </c>
      <c r="J388" s="167">
        <v>1342.2102656877676</v>
      </c>
    </row>
    <row r="389" spans="1:10" x14ac:dyDescent="0.35">
      <c r="A389" s="170">
        <v>383</v>
      </c>
      <c r="B389" s="10">
        <v>4791.6090298137024</v>
      </c>
      <c r="C389" s="9">
        <v>383</v>
      </c>
      <c r="D389" s="10">
        <v>394.42231854516154</v>
      </c>
      <c r="E389" s="9">
        <v>383</v>
      </c>
      <c r="F389" s="10">
        <v>3893.5610899828284</v>
      </c>
      <c r="G389" s="9">
        <v>383</v>
      </c>
      <c r="H389" s="10">
        <v>-1852.8761336012535</v>
      </c>
      <c r="I389" s="9">
        <v>383</v>
      </c>
      <c r="J389" s="167">
        <v>5.7038235933902683</v>
      </c>
    </row>
    <row r="390" spans="1:10" x14ac:dyDescent="0.35">
      <c r="A390" s="170">
        <v>384</v>
      </c>
      <c r="B390" s="10">
        <v>2090.1406783914658</v>
      </c>
      <c r="C390" s="9">
        <v>384</v>
      </c>
      <c r="D390" s="10">
        <v>372.42272672115877</v>
      </c>
      <c r="E390" s="9">
        <v>384</v>
      </c>
      <c r="F390" s="10">
        <v>2688.5561398739214</v>
      </c>
      <c r="G390" s="9">
        <v>384</v>
      </c>
      <c r="H390" s="10">
        <v>107.36438890785314</v>
      </c>
      <c r="I390" s="9">
        <v>384</v>
      </c>
      <c r="J390" s="167">
        <v>-6565.6905326457108</v>
      </c>
    </row>
    <row r="391" spans="1:10" x14ac:dyDescent="0.35">
      <c r="A391" s="170">
        <v>385</v>
      </c>
      <c r="B391" s="10">
        <v>673.88275030547311</v>
      </c>
      <c r="C391" s="9">
        <v>385</v>
      </c>
      <c r="D391" s="10">
        <v>375.83073434530723</v>
      </c>
      <c r="E391" s="9">
        <v>385</v>
      </c>
      <c r="F391" s="10">
        <v>4362.1492681393283</v>
      </c>
      <c r="G391" s="9">
        <v>385</v>
      </c>
      <c r="H391" s="10">
        <v>1743.5296803744604</v>
      </c>
      <c r="I391" s="9">
        <v>385</v>
      </c>
      <c r="J391" s="167">
        <v>3353.0447447586512</v>
      </c>
    </row>
    <row r="392" spans="1:10" x14ac:dyDescent="0.35">
      <c r="A392" s="170">
        <v>386</v>
      </c>
      <c r="B392" s="10">
        <v>3257.5034961434499</v>
      </c>
      <c r="C392" s="9">
        <v>386</v>
      </c>
      <c r="D392" s="10">
        <v>502.12481002197796</v>
      </c>
      <c r="E392" s="9">
        <v>386</v>
      </c>
      <c r="F392" s="10">
        <v>5664.8652352432009</v>
      </c>
      <c r="G392" s="9">
        <v>386</v>
      </c>
      <c r="H392" s="10">
        <v>2592.1312491124413</v>
      </c>
      <c r="I392" s="9">
        <v>386</v>
      </c>
      <c r="J392" s="167">
        <v>205.029010604115</v>
      </c>
    </row>
    <row r="393" spans="1:10" x14ac:dyDescent="0.35">
      <c r="A393" s="170">
        <v>387</v>
      </c>
      <c r="B393" s="10">
        <v>2071.3157310439092</v>
      </c>
      <c r="C393" s="9">
        <v>387</v>
      </c>
      <c r="D393" s="10">
        <v>283.40416475844535</v>
      </c>
      <c r="E393" s="9">
        <v>387</v>
      </c>
      <c r="F393" s="10">
        <v>3918.1987220588867</v>
      </c>
      <c r="G393" s="9">
        <v>387</v>
      </c>
      <c r="H393" s="10">
        <v>939.87843662402565</v>
      </c>
      <c r="I393" s="9">
        <v>387</v>
      </c>
      <c r="J393" s="167">
        <v>-2007.5433398708421</v>
      </c>
    </row>
    <row r="394" spans="1:10" x14ac:dyDescent="0.35">
      <c r="A394" s="170">
        <v>388</v>
      </c>
      <c r="B394" s="10">
        <v>3474.125308447743</v>
      </c>
      <c r="C394" s="9">
        <v>388</v>
      </c>
      <c r="D394" s="10">
        <v>554.86194947685362</v>
      </c>
      <c r="E394" s="9">
        <v>388</v>
      </c>
      <c r="F394" s="10">
        <v>5794.3530717081794</v>
      </c>
      <c r="G394" s="9">
        <v>388</v>
      </c>
      <c r="H394" s="10">
        <v>7257.0088860511232</v>
      </c>
      <c r="I394" s="9">
        <v>388</v>
      </c>
      <c r="J394" s="167">
        <v>-1920.3025385067187</v>
      </c>
    </row>
    <row r="395" spans="1:10" x14ac:dyDescent="0.35">
      <c r="A395" s="170">
        <v>389</v>
      </c>
      <c r="B395" s="10">
        <v>1019.9575081126204</v>
      </c>
      <c r="C395" s="9">
        <v>389</v>
      </c>
      <c r="D395" s="10">
        <v>418.10819126610971</v>
      </c>
      <c r="E395" s="9">
        <v>389</v>
      </c>
      <c r="F395" s="10">
        <v>2205.279793347795</v>
      </c>
      <c r="G395" s="9">
        <v>389</v>
      </c>
      <c r="H395" s="10">
        <v>-2531.3620387327096</v>
      </c>
      <c r="I395" s="9">
        <v>389</v>
      </c>
      <c r="J395" s="167">
        <v>-1310.8406163709506</v>
      </c>
    </row>
    <row r="396" spans="1:10" x14ac:dyDescent="0.35">
      <c r="A396" s="170">
        <v>390</v>
      </c>
      <c r="B396" s="10">
        <v>1263.5239616974693</v>
      </c>
      <c r="C396" s="9">
        <v>390</v>
      </c>
      <c r="D396" s="10">
        <v>281.4336266682775</v>
      </c>
      <c r="E396" s="9">
        <v>390</v>
      </c>
      <c r="F396" s="10">
        <v>-816.1895794263969</v>
      </c>
      <c r="G396" s="9">
        <v>390</v>
      </c>
      <c r="H396" s="10">
        <v>-338.35879064515973</v>
      </c>
      <c r="I396" s="9">
        <v>390</v>
      </c>
      <c r="J396" s="167">
        <v>91.995676584549585</v>
      </c>
    </row>
    <row r="397" spans="1:10" x14ac:dyDescent="0.35">
      <c r="A397" s="170">
        <v>391</v>
      </c>
      <c r="B397" s="10">
        <v>2803.458613222474</v>
      </c>
      <c r="C397" s="9">
        <v>391</v>
      </c>
      <c r="D397" s="10">
        <v>298.87700911398798</v>
      </c>
      <c r="E397" s="9">
        <v>391</v>
      </c>
      <c r="F397" s="10">
        <v>2466.0366433753434</v>
      </c>
      <c r="G397" s="9">
        <v>391</v>
      </c>
      <c r="H397" s="10">
        <v>1289.2406365605623</v>
      </c>
      <c r="I397" s="9">
        <v>391</v>
      </c>
      <c r="J397" s="167">
        <v>4540.4504067682847</v>
      </c>
    </row>
    <row r="398" spans="1:10" x14ac:dyDescent="0.35">
      <c r="A398" s="170">
        <v>392</v>
      </c>
      <c r="B398" s="10">
        <v>3553.1366701023799</v>
      </c>
      <c r="C398" s="9">
        <v>392</v>
      </c>
      <c r="D398" s="10">
        <v>485.36395011205241</v>
      </c>
      <c r="E398" s="9">
        <v>392</v>
      </c>
      <c r="F398" s="10">
        <v>557.95436552320371</v>
      </c>
      <c r="G398" s="9">
        <v>392</v>
      </c>
      <c r="H398" s="10">
        <v>-236.86599788548904</v>
      </c>
      <c r="I398" s="9">
        <v>392</v>
      </c>
      <c r="J398" s="167">
        <v>-978.79347520857937</v>
      </c>
    </row>
    <row r="399" spans="1:10" x14ac:dyDescent="0.35">
      <c r="A399" s="170">
        <v>393</v>
      </c>
      <c r="B399" s="10">
        <v>4200.9638471139397</v>
      </c>
      <c r="C399" s="9">
        <v>393</v>
      </c>
      <c r="D399" s="10">
        <v>509.23248378188561</v>
      </c>
      <c r="E399" s="9">
        <v>393</v>
      </c>
      <c r="F399" s="10">
        <v>3693.4158995223934</v>
      </c>
      <c r="G399" s="9">
        <v>393</v>
      </c>
      <c r="H399" s="10">
        <v>528.55644596424463</v>
      </c>
      <c r="I399" s="9">
        <v>393</v>
      </c>
      <c r="J399" s="167">
        <v>-4485.1267567751156</v>
      </c>
    </row>
    <row r="400" spans="1:10" x14ac:dyDescent="0.35">
      <c r="A400" s="170">
        <v>394</v>
      </c>
      <c r="B400" s="10">
        <v>3756.6944404142405</v>
      </c>
      <c r="C400" s="9">
        <v>394</v>
      </c>
      <c r="D400" s="10">
        <v>439.39024251552814</v>
      </c>
      <c r="E400" s="9">
        <v>394</v>
      </c>
      <c r="F400" s="10">
        <v>2073.8210946514828</v>
      </c>
      <c r="G400" s="9">
        <v>394</v>
      </c>
      <c r="H400" s="10">
        <v>-447.54645618956067</v>
      </c>
      <c r="I400" s="9">
        <v>394</v>
      </c>
      <c r="J400" s="167">
        <v>-2820.0997744473566</v>
      </c>
    </row>
    <row r="401" spans="1:10" x14ac:dyDescent="0.35">
      <c r="A401" s="170">
        <v>395</v>
      </c>
      <c r="B401" s="10">
        <v>214.96731329553768</v>
      </c>
      <c r="C401" s="9">
        <v>395</v>
      </c>
      <c r="D401" s="10">
        <v>279.21524825263327</v>
      </c>
      <c r="E401" s="9">
        <v>395</v>
      </c>
      <c r="F401" s="10">
        <v>1505.3606556960438</v>
      </c>
      <c r="G401" s="9">
        <v>395</v>
      </c>
      <c r="H401" s="10">
        <v>-5107.8985241759328</v>
      </c>
      <c r="I401" s="9">
        <v>395</v>
      </c>
      <c r="J401" s="167">
        <v>2917.1545111971773</v>
      </c>
    </row>
    <row r="402" spans="1:10" x14ac:dyDescent="0.35">
      <c r="A402" s="170">
        <v>396</v>
      </c>
      <c r="B402" s="10">
        <v>3519.181817498506</v>
      </c>
      <c r="C402" s="9">
        <v>396</v>
      </c>
      <c r="D402" s="10">
        <v>275.71146731037629</v>
      </c>
      <c r="E402" s="9">
        <v>396</v>
      </c>
      <c r="F402" s="10">
        <v>3860.6162527162296</v>
      </c>
      <c r="G402" s="9">
        <v>396</v>
      </c>
      <c r="H402" s="10">
        <v>-565.3819102358367</v>
      </c>
      <c r="I402" s="9">
        <v>396</v>
      </c>
      <c r="J402" s="167">
        <v>-646.51233726143391</v>
      </c>
    </row>
    <row r="403" spans="1:10" x14ac:dyDescent="0.35">
      <c r="A403" s="170">
        <v>397</v>
      </c>
      <c r="B403" s="10">
        <v>2253.8399049102354</v>
      </c>
      <c r="C403" s="9">
        <v>397</v>
      </c>
      <c r="D403" s="10">
        <v>382.77395861810061</v>
      </c>
      <c r="E403" s="9">
        <v>397</v>
      </c>
      <c r="F403" s="10">
        <v>1128.9593540919736</v>
      </c>
      <c r="G403" s="9">
        <v>397</v>
      </c>
      <c r="H403" s="10">
        <v>7977.4387666947296</v>
      </c>
      <c r="I403" s="9">
        <v>397</v>
      </c>
      <c r="J403" s="167">
        <v>-1993.4243122142962</v>
      </c>
    </row>
    <row r="404" spans="1:10" x14ac:dyDescent="0.35">
      <c r="A404" s="170">
        <v>398</v>
      </c>
      <c r="B404" s="10">
        <v>1295.8967637815661</v>
      </c>
      <c r="C404" s="9">
        <v>398</v>
      </c>
      <c r="D404" s="10">
        <v>359.87673974098868</v>
      </c>
      <c r="E404" s="9">
        <v>398</v>
      </c>
      <c r="F404" s="10">
        <v>3993.8027371620237</v>
      </c>
      <c r="G404" s="9">
        <v>398</v>
      </c>
      <c r="H404" s="10">
        <v>-796.65883016146938</v>
      </c>
      <c r="I404" s="9">
        <v>398</v>
      </c>
      <c r="J404" s="167">
        <v>3861.5010406893584</v>
      </c>
    </row>
    <row r="405" spans="1:10" x14ac:dyDescent="0.35">
      <c r="A405" s="170">
        <v>399</v>
      </c>
      <c r="B405" s="10">
        <v>2266.4735766918443</v>
      </c>
      <c r="C405" s="9">
        <v>399</v>
      </c>
      <c r="D405" s="10">
        <v>468.48115294954118</v>
      </c>
      <c r="E405" s="9">
        <v>399</v>
      </c>
      <c r="F405" s="10">
        <v>981.75372838180351</v>
      </c>
      <c r="G405" s="9">
        <v>399</v>
      </c>
      <c r="H405" s="10">
        <v>-929.85208943448322</v>
      </c>
      <c r="I405" s="9">
        <v>399</v>
      </c>
      <c r="J405" s="167">
        <v>-4552.9779733263204</v>
      </c>
    </row>
    <row r="406" spans="1:10" x14ac:dyDescent="0.35">
      <c r="A406" s="170">
        <v>400</v>
      </c>
      <c r="B406" s="10">
        <v>1727.4124708364416</v>
      </c>
      <c r="C406" s="9">
        <v>400</v>
      </c>
      <c r="D406" s="10">
        <v>305.24751637978051</v>
      </c>
      <c r="E406" s="9">
        <v>400</v>
      </c>
      <c r="F406" s="10">
        <v>1881.7004990121673</v>
      </c>
      <c r="G406" s="9">
        <v>400</v>
      </c>
      <c r="H406" s="10">
        <v>-1573.0740083932687</v>
      </c>
      <c r="I406" s="9">
        <v>400</v>
      </c>
      <c r="J406" s="167">
        <v>-2231.0967348228278</v>
      </c>
    </row>
    <row r="407" spans="1:10" x14ac:dyDescent="0.35">
      <c r="A407" s="170">
        <v>401</v>
      </c>
      <c r="B407" s="10">
        <v>1081.4509449174402</v>
      </c>
      <c r="C407" s="9">
        <v>401</v>
      </c>
      <c r="D407" s="10">
        <v>476.50739032208344</v>
      </c>
      <c r="E407" s="9">
        <v>401</v>
      </c>
      <c r="F407" s="10">
        <v>2279.1527468508084</v>
      </c>
      <c r="G407" s="9">
        <v>401</v>
      </c>
      <c r="H407" s="10">
        <v>-1883.4477102929159</v>
      </c>
      <c r="I407" s="9">
        <v>401</v>
      </c>
      <c r="J407" s="167">
        <v>3336.2612803276875</v>
      </c>
    </row>
    <row r="408" spans="1:10" x14ac:dyDescent="0.35">
      <c r="A408" s="170">
        <v>402</v>
      </c>
      <c r="B408" s="10">
        <v>1510.9755267937308</v>
      </c>
      <c r="C408" s="9">
        <v>402</v>
      </c>
      <c r="D408" s="10">
        <v>253.72024601274396</v>
      </c>
      <c r="E408" s="9">
        <v>402</v>
      </c>
      <c r="F408" s="10">
        <v>270.41424624364799</v>
      </c>
      <c r="G408" s="9">
        <v>402</v>
      </c>
      <c r="H408" s="10">
        <v>7844.0837982440416</v>
      </c>
      <c r="I408" s="9">
        <v>402</v>
      </c>
      <c r="J408" s="167">
        <v>-33.68753437068824</v>
      </c>
    </row>
    <row r="409" spans="1:10" x14ac:dyDescent="0.35">
      <c r="A409" s="170">
        <v>403</v>
      </c>
      <c r="B409" s="10">
        <v>2261.661830896121</v>
      </c>
      <c r="C409" s="9">
        <v>403</v>
      </c>
      <c r="D409" s="10">
        <v>456.50762966782315</v>
      </c>
      <c r="E409" s="9">
        <v>403</v>
      </c>
      <c r="F409" s="10">
        <v>-2716.4923712570417</v>
      </c>
      <c r="G409" s="9">
        <v>403</v>
      </c>
      <c r="H409" s="10">
        <v>1949.2492038795526</v>
      </c>
      <c r="I409" s="9">
        <v>403</v>
      </c>
      <c r="J409" s="167">
        <v>-1459.933730233784</v>
      </c>
    </row>
    <row r="410" spans="1:10" x14ac:dyDescent="0.35">
      <c r="A410" s="170">
        <v>404</v>
      </c>
      <c r="B410" s="10">
        <v>1674.8902710029051</v>
      </c>
      <c r="C410" s="9">
        <v>404</v>
      </c>
      <c r="D410" s="10">
        <v>564.08199478961171</v>
      </c>
      <c r="E410" s="9">
        <v>404</v>
      </c>
      <c r="F410" s="10">
        <v>2373.0787853518605</v>
      </c>
      <c r="G410" s="9">
        <v>404</v>
      </c>
      <c r="H410" s="10">
        <v>2684.9422395664496</v>
      </c>
      <c r="I410" s="9">
        <v>404</v>
      </c>
      <c r="J410" s="167">
        <v>-1558.5288291594122</v>
      </c>
    </row>
    <row r="411" spans="1:10" x14ac:dyDescent="0.35">
      <c r="A411" s="170">
        <v>405</v>
      </c>
      <c r="B411" s="10">
        <v>283.3790175738709</v>
      </c>
      <c r="C411" s="9">
        <v>405</v>
      </c>
      <c r="D411" s="10">
        <v>418.80680697199165</v>
      </c>
      <c r="E411" s="9">
        <v>405</v>
      </c>
      <c r="F411" s="10">
        <v>2519.2115993995517</v>
      </c>
      <c r="G411" s="9">
        <v>405</v>
      </c>
      <c r="H411" s="10">
        <v>-1764.2282391332183</v>
      </c>
      <c r="I411" s="9">
        <v>405</v>
      </c>
      <c r="J411" s="167">
        <v>-3046.7728802056204</v>
      </c>
    </row>
    <row r="412" spans="1:10" x14ac:dyDescent="0.35">
      <c r="A412" s="170">
        <v>406</v>
      </c>
      <c r="B412" s="10">
        <v>1271.5892531964962</v>
      </c>
      <c r="C412" s="9">
        <v>406</v>
      </c>
      <c r="D412" s="10">
        <v>495.72001592188633</v>
      </c>
      <c r="E412" s="9">
        <v>406</v>
      </c>
      <c r="F412" s="10">
        <v>3505.6810344498535</v>
      </c>
      <c r="G412" s="9">
        <v>406</v>
      </c>
      <c r="H412" s="10">
        <v>755.77593168749092</v>
      </c>
      <c r="I412" s="9">
        <v>406</v>
      </c>
      <c r="J412" s="167">
        <v>-2921.2715306852092</v>
      </c>
    </row>
    <row r="413" spans="1:10" x14ac:dyDescent="0.35">
      <c r="A413" s="170">
        <v>407</v>
      </c>
      <c r="B413" s="10">
        <v>2317.279991910571</v>
      </c>
      <c r="C413" s="9">
        <v>407</v>
      </c>
      <c r="D413" s="10">
        <v>446.8645600044801</v>
      </c>
      <c r="E413" s="9">
        <v>407</v>
      </c>
      <c r="F413" s="10">
        <v>2263.2359982168705</v>
      </c>
      <c r="G413" s="9">
        <v>407</v>
      </c>
      <c r="H413" s="10">
        <v>-5867.3095776955734</v>
      </c>
      <c r="I413" s="9">
        <v>407</v>
      </c>
      <c r="J413" s="167">
        <v>-1224.400191703596</v>
      </c>
    </row>
    <row r="414" spans="1:10" x14ac:dyDescent="0.35">
      <c r="A414" s="170">
        <v>408</v>
      </c>
      <c r="B414" s="10">
        <v>2607.9332544571785</v>
      </c>
      <c r="C414" s="9">
        <v>408</v>
      </c>
      <c r="D414" s="10">
        <v>311.23002098566047</v>
      </c>
      <c r="E414" s="9">
        <v>408</v>
      </c>
      <c r="F414" s="10">
        <v>3172.6831710811157</v>
      </c>
      <c r="G414" s="9">
        <v>408</v>
      </c>
      <c r="H414" s="10">
        <v>-2720.0268799550313</v>
      </c>
      <c r="I414" s="9">
        <v>408</v>
      </c>
      <c r="J414" s="167">
        <v>1103.6273080235374</v>
      </c>
    </row>
    <row r="415" spans="1:10" x14ac:dyDescent="0.35">
      <c r="A415" s="170">
        <v>409</v>
      </c>
      <c r="B415" s="10">
        <v>1735.2711128339226</v>
      </c>
      <c r="C415" s="9">
        <v>409</v>
      </c>
      <c r="D415" s="10">
        <v>418.00817756833459</v>
      </c>
      <c r="E415" s="9">
        <v>409</v>
      </c>
      <c r="F415" s="10">
        <v>3719.2976872913696</v>
      </c>
      <c r="G415" s="9">
        <v>409</v>
      </c>
      <c r="H415" s="10">
        <v>-258.66653466467233</v>
      </c>
      <c r="I415" s="9">
        <v>409</v>
      </c>
      <c r="J415" s="167">
        <v>-4227.9025550469005</v>
      </c>
    </row>
    <row r="416" spans="1:10" x14ac:dyDescent="0.35">
      <c r="A416" s="170">
        <v>410</v>
      </c>
      <c r="B416" s="10">
        <v>3023.1292969124756</v>
      </c>
      <c r="C416" s="9">
        <v>410</v>
      </c>
      <c r="D416" s="10">
        <v>412.05046163983224</v>
      </c>
      <c r="E416" s="9">
        <v>410</v>
      </c>
      <c r="F416" s="10">
        <v>1146.5061608486296</v>
      </c>
      <c r="G416" s="9">
        <v>410</v>
      </c>
      <c r="H416" s="10">
        <v>-1988.998207057346</v>
      </c>
      <c r="I416" s="9">
        <v>410</v>
      </c>
      <c r="J416" s="167">
        <v>-939.28390841506871</v>
      </c>
    </row>
    <row r="417" spans="1:10" x14ac:dyDescent="0.35">
      <c r="A417" s="170">
        <v>411</v>
      </c>
      <c r="B417" s="10">
        <v>2382.9130199300635</v>
      </c>
      <c r="C417" s="9">
        <v>411</v>
      </c>
      <c r="D417" s="10">
        <v>411.91597079538133</v>
      </c>
      <c r="E417" s="9">
        <v>411</v>
      </c>
      <c r="F417" s="10">
        <v>3027.4238053602012</v>
      </c>
      <c r="G417" s="9">
        <v>411</v>
      </c>
      <c r="H417" s="10">
        <v>1383.8620292395535</v>
      </c>
      <c r="I417" s="9">
        <v>411</v>
      </c>
      <c r="J417" s="167">
        <v>-3202.2322519480322</v>
      </c>
    </row>
    <row r="418" spans="1:10" x14ac:dyDescent="0.35">
      <c r="A418" s="170">
        <v>412</v>
      </c>
      <c r="B418" s="10">
        <v>4187.2542122069681</v>
      </c>
      <c r="C418" s="9">
        <v>412</v>
      </c>
      <c r="D418" s="10">
        <v>567.06734324516572</v>
      </c>
      <c r="E418" s="9">
        <v>412</v>
      </c>
      <c r="F418" s="10">
        <v>1088.471635150358</v>
      </c>
      <c r="G418" s="9">
        <v>412</v>
      </c>
      <c r="H418" s="10">
        <v>3194.0360743965325</v>
      </c>
      <c r="I418" s="9">
        <v>412</v>
      </c>
      <c r="J418" s="167">
        <v>340.63597022996851</v>
      </c>
    </row>
    <row r="419" spans="1:10" x14ac:dyDescent="0.35">
      <c r="A419" s="170">
        <v>413</v>
      </c>
      <c r="B419" s="10">
        <v>2990.8181041145604</v>
      </c>
      <c r="C419" s="9">
        <v>413</v>
      </c>
      <c r="D419" s="10">
        <v>154.86326783282331</v>
      </c>
      <c r="E419" s="9">
        <v>413</v>
      </c>
      <c r="F419" s="10">
        <v>5412.7888114981524</v>
      </c>
      <c r="G419" s="9">
        <v>413</v>
      </c>
      <c r="H419" s="10">
        <v>1710.3954105505709</v>
      </c>
      <c r="I419" s="9">
        <v>413</v>
      </c>
      <c r="J419" s="167">
        <v>1516.6711717815288</v>
      </c>
    </row>
    <row r="420" spans="1:10" x14ac:dyDescent="0.35">
      <c r="A420" s="170">
        <v>414</v>
      </c>
      <c r="B420" s="10">
        <v>3666.6655460805796</v>
      </c>
      <c r="C420" s="9">
        <v>414</v>
      </c>
      <c r="D420" s="10">
        <v>419.88230917030342</v>
      </c>
      <c r="E420" s="9">
        <v>414</v>
      </c>
      <c r="F420" s="10">
        <v>2253.7415210382219</v>
      </c>
      <c r="G420" s="9">
        <v>414</v>
      </c>
      <c r="H420" s="10">
        <v>-3786.0986915186436</v>
      </c>
      <c r="I420" s="9">
        <v>414</v>
      </c>
      <c r="J420" s="167">
        <v>-1383.1628411717779</v>
      </c>
    </row>
    <row r="421" spans="1:10" x14ac:dyDescent="0.35">
      <c r="A421" s="170">
        <v>415</v>
      </c>
      <c r="B421" s="10">
        <v>4567.4857131346162</v>
      </c>
      <c r="C421" s="9">
        <v>415</v>
      </c>
      <c r="D421" s="10">
        <v>358.79044729367416</v>
      </c>
      <c r="E421" s="9">
        <v>415</v>
      </c>
      <c r="F421" s="10">
        <v>-1167.0457279089774</v>
      </c>
      <c r="G421" s="9">
        <v>415</v>
      </c>
      <c r="H421" s="10">
        <v>3465.2832968933512</v>
      </c>
      <c r="I421" s="9">
        <v>415</v>
      </c>
      <c r="J421" s="167">
        <v>2582.6024471698679</v>
      </c>
    </row>
    <row r="422" spans="1:10" x14ac:dyDescent="0.35">
      <c r="A422" s="170">
        <v>416</v>
      </c>
      <c r="B422" s="10">
        <v>644.16874249031525</v>
      </c>
      <c r="C422" s="9">
        <v>416</v>
      </c>
      <c r="D422" s="10">
        <v>229.28707949200688</v>
      </c>
      <c r="E422" s="9">
        <v>416</v>
      </c>
      <c r="F422" s="10">
        <v>7157.7876696378089</v>
      </c>
      <c r="G422" s="9">
        <v>416</v>
      </c>
      <c r="H422" s="10">
        <v>3484.400122036122</v>
      </c>
      <c r="I422" s="9">
        <v>416</v>
      </c>
      <c r="J422" s="167">
        <v>-1508.5658784035802</v>
      </c>
    </row>
    <row r="423" spans="1:10" x14ac:dyDescent="0.35">
      <c r="A423" s="170">
        <v>417</v>
      </c>
      <c r="B423" s="10">
        <v>1362.1894732388962</v>
      </c>
      <c r="C423" s="9">
        <v>417</v>
      </c>
      <c r="D423" s="10">
        <v>270.684725543215</v>
      </c>
      <c r="E423" s="9">
        <v>417</v>
      </c>
      <c r="F423" s="10">
        <v>6360.6099256717171</v>
      </c>
      <c r="G423" s="9">
        <v>417</v>
      </c>
      <c r="H423" s="10">
        <v>-2572.5196904894037</v>
      </c>
      <c r="I423" s="9">
        <v>417</v>
      </c>
      <c r="J423" s="167">
        <v>-1565.3135526051108</v>
      </c>
    </row>
    <row r="424" spans="1:10" x14ac:dyDescent="0.35">
      <c r="A424" s="170">
        <v>418</v>
      </c>
      <c r="B424" s="10">
        <v>-161.01639259239755</v>
      </c>
      <c r="C424" s="9">
        <v>418</v>
      </c>
      <c r="D424" s="10">
        <v>338.55463839301058</v>
      </c>
      <c r="E424" s="9">
        <v>418</v>
      </c>
      <c r="F424" s="10">
        <v>856.13771399006737</v>
      </c>
      <c r="G424" s="9">
        <v>418</v>
      </c>
      <c r="H424" s="10">
        <v>2539.0293058574634</v>
      </c>
      <c r="I424" s="9">
        <v>418</v>
      </c>
      <c r="J424" s="167">
        <v>-356.9101039163703</v>
      </c>
    </row>
    <row r="425" spans="1:10" x14ac:dyDescent="0.35">
      <c r="A425" s="170">
        <v>419</v>
      </c>
      <c r="B425" s="10">
        <v>1221.3443117725221</v>
      </c>
      <c r="C425" s="9">
        <v>419</v>
      </c>
      <c r="D425" s="10">
        <v>483.03523007653638</v>
      </c>
      <c r="E425" s="9">
        <v>419</v>
      </c>
      <c r="F425" s="10">
        <v>3848.8096356963956</v>
      </c>
      <c r="G425" s="9">
        <v>419</v>
      </c>
      <c r="H425" s="10">
        <v>1786.6011067444279</v>
      </c>
      <c r="I425" s="9">
        <v>419</v>
      </c>
      <c r="J425" s="167">
        <v>2100.6745170135746</v>
      </c>
    </row>
    <row r="426" spans="1:10" x14ac:dyDescent="0.35">
      <c r="A426" s="170">
        <v>420</v>
      </c>
      <c r="B426" s="10">
        <v>989.56486202303518</v>
      </c>
      <c r="C426" s="9">
        <v>420</v>
      </c>
      <c r="D426" s="10">
        <v>423.58765150652613</v>
      </c>
      <c r="E426" s="9">
        <v>420</v>
      </c>
      <c r="F426" s="10">
        <v>1567.972958914617</v>
      </c>
      <c r="G426" s="9">
        <v>420</v>
      </c>
      <c r="H426" s="10">
        <v>7303.7890601144609</v>
      </c>
      <c r="I426" s="9">
        <v>420</v>
      </c>
      <c r="J426" s="167">
        <v>-1020.3196483892083</v>
      </c>
    </row>
    <row r="427" spans="1:10" x14ac:dyDescent="0.35">
      <c r="A427" s="170">
        <v>421</v>
      </c>
      <c r="B427" s="10">
        <v>1560.3410821033401</v>
      </c>
      <c r="C427" s="9">
        <v>421</v>
      </c>
      <c r="D427" s="10">
        <v>444.36406266824099</v>
      </c>
      <c r="E427" s="9">
        <v>421</v>
      </c>
      <c r="F427" s="10">
        <v>7440.0601035542777</v>
      </c>
      <c r="G427" s="9">
        <v>421</v>
      </c>
      <c r="H427" s="10">
        <v>1091.4503980310787</v>
      </c>
      <c r="I427" s="9">
        <v>421</v>
      </c>
      <c r="J427" s="167">
        <v>-6221.2425193660238</v>
      </c>
    </row>
    <row r="428" spans="1:10" x14ac:dyDescent="0.35">
      <c r="A428" s="170">
        <v>422</v>
      </c>
      <c r="B428" s="10">
        <v>3640.8935401336448</v>
      </c>
      <c r="C428" s="9">
        <v>422</v>
      </c>
      <c r="D428" s="10">
        <v>345.50983547842623</v>
      </c>
      <c r="E428" s="9">
        <v>422</v>
      </c>
      <c r="F428" s="10">
        <v>2440.5485876614425</v>
      </c>
      <c r="G428" s="9">
        <v>422</v>
      </c>
      <c r="H428" s="10">
        <v>5014.4960389765956</v>
      </c>
      <c r="I428" s="9">
        <v>422</v>
      </c>
      <c r="J428" s="167">
        <v>-2718.2103038303298</v>
      </c>
    </row>
    <row r="429" spans="1:10" x14ac:dyDescent="0.35">
      <c r="A429" s="170">
        <v>423</v>
      </c>
      <c r="B429" s="10">
        <v>6204.6516385691848</v>
      </c>
      <c r="C429" s="9">
        <v>423</v>
      </c>
      <c r="D429" s="10">
        <v>343.23652402298467</v>
      </c>
      <c r="E429" s="9">
        <v>423</v>
      </c>
      <c r="F429" s="10">
        <v>-3861.6793802823522</v>
      </c>
      <c r="G429" s="9">
        <v>423</v>
      </c>
      <c r="H429" s="10">
        <v>6581.9048649119159</v>
      </c>
      <c r="I429" s="9">
        <v>423</v>
      </c>
      <c r="J429" s="167">
        <v>-691.46556457263864</v>
      </c>
    </row>
    <row r="430" spans="1:10" x14ac:dyDescent="0.35">
      <c r="A430" s="170">
        <v>424</v>
      </c>
      <c r="B430" s="10">
        <v>5376.0941176609285</v>
      </c>
      <c r="C430" s="9">
        <v>424</v>
      </c>
      <c r="D430" s="10">
        <v>358.39316390096036</v>
      </c>
      <c r="E430" s="9">
        <v>424</v>
      </c>
      <c r="F430" s="10">
        <v>-2013.6379434776127</v>
      </c>
      <c r="G430" s="9">
        <v>424</v>
      </c>
      <c r="H430" s="10">
        <v>-1530.4582043265395</v>
      </c>
      <c r="I430" s="9">
        <v>424</v>
      </c>
      <c r="J430" s="167">
        <v>-262.88093673839137</v>
      </c>
    </row>
    <row r="431" spans="1:10" x14ac:dyDescent="0.35">
      <c r="A431" s="170">
        <v>425</v>
      </c>
      <c r="B431" s="10">
        <v>1918.2144104608669</v>
      </c>
      <c r="C431" s="9">
        <v>425</v>
      </c>
      <c r="D431" s="10">
        <v>394.32824158747468</v>
      </c>
      <c r="E431" s="9">
        <v>425</v>
      </c>
      <c r="F431" s="10">
        <v>262.6511555077991</v>
      </c>
      <c r="G431" s="9">
        <v>425</v>
      </c>
      <c r="H431" s="10">
        <v>-2531.6181735393143</v>
      </c>
      <c r="I431" s="9">
        <v>425</v>
      </c>
      <c r="J431" s="167">
        <v>-1147.7261544720122</v>
      </c>
    </row>
    <row r="432" spans="1:10" x14ac:dyDescent="0.35">
      <c r="A432" s="170">
        <v>426</v>
      </c>
      <c r="B432" s="10">
        <v>4341.9490208755224</v>
      </c>
      <c r="C432" s="9">
        <v>426</v>
      </c>
      <c r="D432" s="10">
        <v>540.15941653061407</v>
      </c>
      <c r="E432" s="9">
        <v>426</v>
      </c>
      <c r="F432" s="10">
        <v>4230.3178038220994</v>
      </c>
      <c r="G432" s="9">
        <v>426</v>
      </c>
      <c r="H432" s="10">
        <v>2153.5320274386977</v>
      </c>
      <c r="I432" s="9">
        <v>426</v>
      </c>
      <c r="J432" s="167">
        <v>-251.76796193785628</v>
      </c>
    </row>
    <row r="433" spans="1:10" x14ac:dyDescent="0.35">
      <c r="A433" s="170">
        <v>427</v>
      </c>
      <c r="B433" s="10">
        <v>566.09941173575589</v>
      </c>
      <c r="C433" s="9">
        <v>427</v>
      </c>
      <c r="D433" s="10">
        <v>363.22693955224236</v>
      </c>
      <c r="E433" s="9">
        <v>427</v>
      </c>
      <c r="F433" s="10">
        <v>679.7106335346316</v>
      </c>
      <c r="G433" s="9">
        <v>427</v>
      </c>
      <c r="H433" s="10">
        <v>3802.0855715873045</v>
      </c>
      <c r="I433" s="9">
        <v>427</v>
      </c>
      <c r="J433" s="167">
        <v>-2505.9988193978534</v>
      </c>
    </row>
    <row r="434" spans="1:10" x14ac:dyDescent="0.35">
      <c r="A434" s="170">
        <v>428</v>
      </c>
      <c r="B434" s="10">
        <v>2226.2949242518685</v>
      </c>
      <c r="C434" s="9">
        <v>428</v>
      </c>
      <c r="D434" s="10">
        <v>420.45492298545253</v>
      </c>
      <c r="E434" s="9">
        <v>428</v>
      </c>
      <c r="F434" s="10">
        <v>-2343.7666150285158</v>
      </c>
      <c r="G434" s="9">
        <v>428</v>
      </c>
      <c r="H434" s="10">
        <v>-485.83607938491821</v>
      </c>
      <c r="I434" s="9">
        <v>428</v>
      </c>
      <c r="J434" s="167">
        <v>1396.2099700058857</v>
      </c>
    </row>
    <row r="435" spans="1:10" x14ac:dyDescent="0.35">
      <c r="A435" s="170">
        <v>429</v>
      </c>
      <c r="B435" s="10">
        <v>2198.2091454043934</v>
      </c>
      <c r="C435" s="9">
        <v>429</v>
      </c>
      <c r="D435" s="10">
        <v>533.53274268585642</v>
      </c>
      <c r="E435" s="9">
        <v>429</v>
      </c>
      <c r="F435" s="10">
        <v>6477.530411470696</v>
      </c>
      <c r="G435" s="9">
        <v>429</v>
      </c>
      <c r="H435" s="10">
        <v>-2417.3773279417114</v>
      </c>
      <c r="I435" s="9">
        <v>429</v>
      </c>
      <c r="J435" s="167">
        <v>1940.7633124244203</v>
      </c>
    </row>
    <row r="436" spans="1:10" x14ac:dyDescent="0.35">
      <c r="A436" s="170">
        <v>430</v>
      </c>
      <c r="B436" s="10">
        <v>5108.0486001898043</v>
      </c>
      <c r="C436" s="9">
        <v>430</v>
      </c>
      <c r="D436" s="10">
        <v>440.44439375071875</v>
      </c>
      <c r="E436" s="9">
        <v>430</v>
      </c>
      <c r="F436" s="10">
        <v>1883.6242567411405</v>
      </c>
      <c r="G436" s="9">
        <v>430</v>
      </c>
      <c r="H436" s="10">
        <v>-2137.1568800054829</v>
      </c>
      <c r="I436" s="9">
        <v>430</v>
      </c>
      <c r="J436" s="167">
        <v>-1871.7563060425905</v>
      </c>
    </row>
    <row r="437" spans="1:10" x14ac:dyDescent="0.35">
      <c r="A437" s="170">
        <v>431</v>
      </c>
      <c r="B437" s="10">
        <v>2409.4865046805003</v>
      </c>
      <c r="C437" s="9">
        <v>431</v>
      </c>
      <c r="D437" s="10">
        <v>566.27161945190358</v>
      </c>
      <c r="E437" s="9">
        <v>431</v>
      </c>
      <c r="F437" s="10">
        <v>-1086.915867855123</v>
      </c>
      <c r="G437" s="9">
        <v>431</v>
      </c>
      <c r="H437" s="10">
        <v>6213.964513803694</v>
      </c>
      <c r="I437" s="9">
        <v>431</v>
      </c>
      <c r="J437" s="167">
        <v>1158.1352216642288</v>
      </c>
    </row>
    <row r="438" spans="1:10" x14ac:dyDescent="0.35">
      <c r="A438" s="170">
        <v>432</v>
      </c>
      <c r="B438" s="10">
        <v>-902.330260604062</v>
      </c>
      <c r="C438" s="9">
        <v>432</v>
      </c>
      <c r="D438" s="10">
        <v>483.93162477088271</v>
      </c>
      <c r="E438" s="9">
        <v>432</v>
      </c>
      <c r="F438" s="10">
        <v>2447.1720452834206</v>
      </c>
      <c r="G438" s="9">
        <v>432</v>
      </c>
      <c r="H438" s="10">
        <v>-972.69126599217918</v>
      </c>
      <c r="I438" s="9">
        <v>432</v>
      </c>
      <c r="J438" s="167">
        <v>2993.0238957799852</v>
      </c>
    </row>
    <row r="439" spans="1:10" x14ac:dyDescent="0.35">
      <c r="A439" s="170">
        <v>433</v>
      </c>
      <c r="B439" s="10">
        <v>2471.4061007510995</v>
      </c>
      <c r="C439" s="9">
        <v>433</v>
      </c>
      <c r="D439" s="10">
        <v>455.26483286967306</v>
      </c>
      <c r="E439" s="9">
        <v>433</v>
      </c>
      <c r="F439" s="10">
        <v>3607.4503930626456</v>
      </c>
      <c r="G439" s="9">
        <v>433</v>
      </c>
      <c r="H439" s="10">
        <v>1119.2875624185292</v>
      </c>
      <c r="I439" s="9">
        <v>433</v>
      </c>
      <c r="J439" s="167">
        <v>-3811.9641055109491</v>
      </c>
    </row>
    <row r="440" spans="1:10" x14ac:dyDescent="0.35">
      <c r="A440" s="170">
        <v>434</v>
      </c>
      <c r="B440" s="10">
        <v>4573.3469736681836</v>
      </c>
      <c r="C440" s="9">
        <v>434</v>
      </c>
      <c r="D440" s="10">
        <v>272.04899603578247</v>
      </c>
      <c r="E440" s="9">
        <v>434</v>
      </c>
      <c r="F440" s="10">
        <v>-1057.5807130569438</v>
      </c>
      <c r="G440" s="9">
        <v>434</v>
      </c>
      <c r="H440" s="10">
        <v>-1335.3178684912646</v>
      </c>
      <c r="I440" s="9">
        <v>434</v>
      </c>
      <c r="J440" s="167">
        <v>1999.6397814740976</v>
      </c>
    </row>
    <row r="441" spans="1:10" x14ac:dyDescent="0.35">
      <c r="A441" s="170">
        <v>435</v>
      </c>
      <c r="B441" s="10">
        <v>5976.4802903110676</v>
      </c>
      <c r="C441" s="9">
        <v>435</v>
      </c>
      <c r="D441" s="10">
        <v>427.51356875183353</v>
      </c>
      <c r="E441" s="9">
        <v>435</v>
      </c>
      <c r="F441" s="10">
        <v>1616.7855682011589</v>
      </c>
      <c r="G441" s="9">
        <v>435</v>
      </c>
      <c r="H441" s="10">
        <v>907.11328933477455</v>
      </c>
      <c r="I441" s="9">
        <v>435</v>
      </c>
      <c r="J441" s="167">
        <v>4191.9711337109147</v>
      </c>
    </row>
    <row r="442" spans="1:10" x14ac:dyDescent="0.35">
      <c r="A442" s="170">
        <v>436</v>
      </c>
      <c r="B442" s="10">
        <v>3262.7635089741771</v>
      </c>
      <c r="C442" s="9">
        <v>436</v>
      </c>
      <c r="D442" s="10">
        <v>573.87408388971949</v>
      </c>
      <c r="E442" s="9">
        <v>436</v>
      </c>
      <c r="F442" s="10">
        <v>2558.2912473738975</v>
      </c>
      <c r="G442" s="9">
        <v>436</v>
      </c>
      <c r="H442" s="10">
        <v>-295.61713526958215</v>
      </c>
      <c r="I442" s="9">
        <v>436</v>
      </c>
      <c r="J442" s="167">
        <v>-4000.5810195601116</v>
      </c>
    </row>
    <row r="443" spans="1:10" x14ac:dyDescent="0.35">
      <c r="A443" s="170">
        <v>437</v>
      </c>
      <c r="B443" s="10">
        <v>2898.6817363600717</v>
      </c>
      <c r="C443" s="9">
        <v>437</v>
      </c>
      <c r="D443" s="10">
        <v>397.11542035314193</v>
      </c>
      <c r="E443" s="9">
        <v>437</v>
      </c>
      <c r="F443" s="10">
        <v>-1149.7758399911268</v>
      </c>
      <c r="G443" s="9">
        <v>437</v>
      </c>
      <c r="H443" s="10">
        <v>3053.4728093451281</v>
      </c>
      <c r="I443" s="9">
        <v>437</v>
      </c>
      <c r="J443" s="167">
        <v>-2852.3910106784947</v>
      </c>
    </row>
    <row r="444" spans="1:10" x14ac:dyDescent="0.35">
      <c r="A444" s="170">
        <v>438</v>
      </c>
      <c r="B444" s="10">
        <v>2209.6600325144327</v>
      </c>
      <c r="C444" s="9">
        <v>438</v>
      </c>
      <c r="D444" s="10">
        <v>521.94132464432755</v>
      </c>
      <c r="E444" s="9">
        <v>438</v>
      </c>
      <c r="F444" s="10">
        <v>2659.2114557162517</v>
      </c>
      <c r="G444" s="9">
        <v>438</v>
      </c>
      <c r="H444" s="10">
        <v>-14.307416030026047</v>
      </c>
      <c r="I444" s="9">
        <v>438</v>
      </c>
      <c r="J444" s="167">
        <v>-89.571802721039717</v>
      </c>
    </row>
    <row r="445" spans="1:10" x14ac:dyDescent="0.35">
      <c r="A445" s="170">
        <v>439</v>
      </c>
      <c r="B445" s="10">
        <v>1226.0676365406784</v>
      </c>
      <c r="C445" s="9">
        <v>439</v>
      </c>
      <c r="D445" s="10">
        <v>369.28503875018993</v>
      </c>
      <c r="E445" s="9">
        <v>439</v>
      </c>
      <c r="F445" s="10">
        <v>-161.93472975394161</v>
      </c>
      <c r="G445" s="9">
        <v>439</v>
      </c>
      <c r="H445" s="10">
        <v>-2239.5450251422435</v>
      </c>
      <c r="I445" s="9">
        <v>439</v>
      </c>
      <c r="J445" s="167">
        <v>5659.6159949132343</v>
      </c>
    </row>
    <row r="446" spans="1:10" x14ac:dyDescent="0.35">
      <c r="A446" s="170">
        <v>440</v>
      </c>
      <c r="B446" s="10">
        <v>1526.1334567621559</v>
      </c>
      <c r="C446" s="9">
        <v>440</v>
      </c>
      <c r="D446" s="10">
        <v>352.03239061836541</v>
      </c>
      <c r="E446" s="9">
        <v>440</v>
      </c>
      <c r="F446" s="10">
        <v>8621.670268447906</v>
      </c>
      <c r="G446" s="9">
        <v>440</v>
      </c>
      <c r="H446" s="10">
        <v>4513.4701770138208</v>
      </c>
      <c r="I446" s="9">
        <v>440</v>
      </c>
      <c r="J446" s="167">
        <v>-2918.1927741235008</v>
      </c>
    </row>
    <row r="447" spans="1:10" x14ac:dyDescent="0.35">
      <c r="A447" s="170">
        <v>441</v>
      </c>
      <c r="B447" s="10">
        <v>3142.4311142701572</v>
      </c>
      <c r="C447" s="9">
        <v>441</v>
      </c>
      <c r="D447" s="10">
        <v>402.54816698598961</v>
      </c>
      <c r="E447" s="9">
        <v>441</v>
      </c>
      <c r="F447" s="10">
        <v>526.82370293673966</v>
      </c>
      <c r="G447" s="9">
        <v>441</v>
      </c>
      <c r="H447" s="10">
        <v>1379.9155969551211</v>
      </c>
      <c r="I447" s="9">
        <v>441</v>
      </c>
      <c r="J447" s="167">
        <v>-2848.5970634443761</v>
      </c>
    </row>
    <row r="448" spans="1:10" x14ac:dyDescent="0.35">
      <c r="A448" s="170">
        <v>442</v>
      </c>
      <c r="B448" s="10">
        <v>491.96718991202215</v>
      </c>
      <c r="C448" s="9">
        <v>442</v>
      </c>
      <c r="D448" s="10">
        <v>333.31867748869428</v>
      </c>
      <c r="E448" s="9">
        <v>442</v>
      </c>
      <c r="F448" s="10">
        <v>63.37590130467288</v>
      </c>
      <c r="G448" s="9">
        <v>442</v>
      </c>
      <c r="H448" s="10">
        <v>1781.0286012493921</v>
      </c>
      <c r="I448" s="9">
        <v>442</v>
      </c>
      <c r="J448" s="167">
        <v>127.85778158713674</v>
      </c>
    </row>
    <row r="449" spans="1:10" x14ac:dyDescent="0.35">
      <c r="A449" s="170">
        <v>443</v>
      </c>
      <c r="B449" s="10">
        <v>3799.7162798376185</v>
      </c>
      <c r="C449" s="9">
        <v>443</v>
      </c>
      <c r="D449" s="10">
        <v>410.77731225692531</v>
      </c>
      <c r="E449" s="9">
        <v>443</v>
      </c>
      <c r="F449" s="10">
        <v>4404.9471198473602</v>
      </c>
      <c r="G449" s="9">
        <v>443</v>
      </c>
      <c r="H449" s="10">
        <v>-1465.6277350808632</v>
      </c>
      <c r="I449" s="9">
        <v>443</v>
      </c>
      <c r="J449" s="167">
        <v>-2976.4185963643849</v>
      </c>
    </row>
    <row r="450" spans="1:10" x14ac:dyDescent="0.35">
      <c r="A450" s="170">
        <v>444</v>
      </c>
      <c r="B450" s="10">
        <v>3885.4048271560787</v>
      </c>
      <c r="C450" s="9">
        <v>444</v>
      </c>
      <c r="D450" s="10">
        <v>307.90576360327282</v>
      </c>
      <c r="E450" s="9">
        <v>444</v>
      </c>
      <c r="F450" s="10">
        <v>5301.7459688104909</v>
      </c>
      <c r="G450" s="9">
        <v>444</v>
      </c>
      <c r="H450" s="10">
        <v>-225.8322177119652</v>
      </c>
      <c r="I450" s="9">
        <v>444</v>
      </c>
      <c r="J450" s="167">
        <v>3001.3333960235632</v>
      </c>
    </row>
    <row r="451" spans="1:10" x14ac:dyDescent="0.35">
      <c r="A451" s="170">
        <v>445</v>
      </c>
      <c r="B451" s="10">
        <v>5608.9198287735162</v>
      </c>
      <c r="C451" s="9">
        <v>445</v>
      </c>
      <c r="D451" s="10">
        <v>334.03165256182956</v>
      </c>
      <c r="E451" s="9">
        <v>445</v>
      </c>
      <c r="F451" s="10">
        <v>4900.6885346552253</v>
      </c>
      <c r="G451" s="9">
        <v>445</v>
      </c>
      <c r="H451" s="10">
        <v>3440.5713058443234</v>
      </c>
      <c r="I451" s="9">
        <v>445</v>
      </c>
      <c r="J451" s="167">
        <v>-3762.0813512757595</v>
      </c>
    </row>
    <row r="452" spans="1:10" x14ac:dyDescent="0.35">
      <c r="A452" s="170">
        <v>446</v>
      </c>
      <c r="B452" s="10">
        <v>3625.843676038874</v>
      </c>
      <c r="C452" s="9">
        <v>446</v>
      </c>
      <c r="D452" s="10">
        <v>399.69587540682198</v>
      </c>
      <c r="E452" s="9">
        <v>446</v>
      </c>
      <c r="F452" s="10">
        <v>5688.5418744208873</v>
      </c>
      <c r="G452" s="9">
        <v>446</v>
      </c>
      <c r="H452" s="10">
        <v>3134.5350151169032</v>
      </c>
      <c r="I452" s="9">
        <v>446</v>
      </c>
      <c r="J452" s="167">
        <v>319.85938387473323</v>
      </c>
    </row>
    <row r="453" spans="1:10" x14ac:dyDescent="0.35">
      <c r="A453" s="170">
        <v>447</v>
      </c>
      <c r="B453" s="10">
        <v>-360.05031825677861</v>
      </c>
      <c r="C453" s="9">
        <v>447</v>
      </c>
      <c r="D453" s="10">
        <v>399.47273025665373</v>
      </c>
      <c r="E453" s="9">
        <v>447</v>
      </c>
      <c r="F453" s="10">
        <v>6136.2467089828306</v>
      </c>
      <c r="G453" s="9">
        <v>447</v>
      </c>
      <c r="H453" s="10">
        <v>119.396067874751</v>
      </c>
      <c r="I453" s="9">
        <v>447</v>
      </c>
      <c r="J453" s="167">
        <v>1042.9466840677303</v>
      </c>
    </row>
    <row r="454" spans="1:10" x14ac:dyDescent="0.35">
      <c r="A454" s="170">
        <v>448</v>
      </c>
      <c r="B454" s="10">
        <v>3395.9029376604462</v>
      </c>
      <c r="C454" s="9">
        <v>448</v>
      </c>
      <c r="D454" s="10">
        <v>537.28974261565372</v>
      </c>
      <c r="E454" s="9">
        <v>448</v>
      </c>
      <c r="F454" s="10">
        <v>1621.2347398518023</v>
      </c>
      <c r="G454" s="9">
        <v>448</v>
      </c>
      <c r="H454" s="10">
        <v>-1558.3257879943171</v>
      </c>
      <c r="I454" s="9">
        <v>448</v>
      </c>
      <c r="J454" s="167">
        <v>-1585.4816660904673</v>
      </c>
    </row>
    <row r="455" spans="1:10" x14ac:dyDescent="0.35">
      <c r="A455" s="170">
        <v>449</v>
      </c>
      <c r="B455" s="10">
        <v>427.10760378266332</v>
      </c>
      <c r="C455" s="9">
        <v>449</v>
      </c>
      <c r="D455" s="10">
        <v>391.24237324763732</v>
      </c>
      <c r="E455" s="9">
        <v>449</v>
      </c>
      <c r="F455" s="10">
        <v>3494.3696056918016</v>
      </c>
      <c r="G455" s="9">
        <v>449</v>
      </c>
      <c r="H455" s="10">
        <v>-1615.4154658825241</v>
      </c>
      <c r="I455" s="9">
        <v>449</v>
      </c>
      <c r="J455" s="167">
        <v>-509.70445818891801</v>
      </c>
    </row>
    <row r="456" spans="1:10" x14ac:dyDescent="0.35">
      <c r="A456" s="170">
        <v>450</v>
      </c>
      <c r="B456" s="10">
        <v>1904.5383349603158</v>
      </c>
      <c r="C456" s="9">
        <v>450</v>
      </c>
      <c r="D456" s="10">
        <v>526.81466203613672</v>
      </c>
      <c r="E456" s="9">
        <v>450</v>
      </c>
      <c r="F456" s="10">
        <v>-438.4738226900331</v>
      </c>
      <c r="G456" s="9">
        <v>450</v>
      </c>
      <c r="H456" s="10">
        <v>-771.70255717237831</v>
      </c>
      <c r="I456" s="9">
        <v>450</v>
      </c>
      <c r="J456" s="167">
        <v>-1387.0738133368409</v>
      </c>
    </row>
    <row r="457" spans="1:10" x14ac:dyDescent="0.35">
      <c r="A457" s="170">
        <v>451</v>
      </c>
      <c r="B457" s="10">
        <v>3592.7144136655206</v>
      </c>
      <c r="C457" s="9">
        <v>451</v>
      </c>
      <c r="D457" s="10">
        <v>472.9982463578491</v>
      </c>
      <c r="E457" s="9">
        <v>451</v>
      </c>
      <c r="F457" s="10">
        <v>-3569.2946033563539</v>
      </c>
      <c r="G457" s="9">
        <v>451</v>
      </c>
      <c r="H457" s="10">
        <v>-2410.7930704061218</v>
      </c>
      <c r="I457" s="9">
        <v>451</v>
      </c>
      <c r="J457" s="167">
        <v>3039.7945759402337</v>
      </c>
    </row>
    <row r="458" spans="1:10" x14ac:dyDescent="0.35">
      <c r="A458" s="170">
        <v>452</v>
      </c>
      <c r="B458" s="10">
        <v>826.37231498682218</v>
      </c>
      <c r="C458" s="9">
        <v>452</v>
      </c>
      <c r="D458" s="10">
        <v>506.38542196328586</v>
      </c>
      <c r="E458" s="9">
        <v>452</v>
      </c>
      <c r="F458" s="10">
        <v>6963.6979816660496</v>
      </c>
      <c r="G458" s="9">
        <v>452</v>
      </c>
      <c r="H458" s="10">
        <v>-4413.70057756597</v>
      </c>
      <c r="I458" s="9">
        <v>452</v>
      </c>
      <c r="J458" s="167">
        <v>-1601.4392422942085</v>
      </c>
    </row>
    <row r="459" spans="1:10" x14ac:dyDescent="0.35">
      <c r="A459" s="170">
        <v>453</v>
      </c>
      <c r="B459" s="10">
        <v>4501.6891196589349</v>
      </c>
      <c r="C459" s="9">
        <v>453</v>
      </c>
      <c r="D459" s="10">
        <v>392.13170292568657</v>
      </c>
      <c r="E459" s="9">
        <v>453</v>
      </c>
      <c r="F459" s="10">
        <v>1330.2120138558359</v>
      </c>
      <c r="G459" s="9">
        <v>453</v>
      </c>
      <c r="H459" s="10">
        <v>-4471.7005820720842</v>
      </c>
      <c r="I459" s="9">
        <v>453</v>
      </c>
      <c r="J459" s="167">
        <v>1759.3786597741628</v>
      </c>
    </row>
    <row r="460" spans="1:10" x14ac:dyDescent="0.35">
      <c r="A460" s="170">
        <v>454</v>
      </c>
      <c r="B460" s="10">
        <v>5672.2590442921901</v>
      </c>
      <c r="C460" s="9">
        <v>454</v>
      </c>
      <c r="D460" s="10">
        <v>532.76615894465635</v>
      </c>
      <c r="E460" s="9">
        <v>454</v>
      </c>
      <c r="F460" s="10">
        <v>3255.4731897971978</v>
      </c>
      <c r="G460" s="9">
        <v>454</v>
      </c>
      <c r="H460" s="10">
        <v>1106.9793207736127</v>
      </c>
      <c r="I460" s="9">
        <v>454</v>
      </c>
      <c r="J460" s="167">
        <v>-3455.7310152282485</v>
      </c>
    </row>
    <row r="461" spans="1:10" x14ac:dyDescent="0.35">
      <c r="A461" s="170">
        <v>455</v>
      </c>
      <c r="B461" s="10">
        <v>1748.7998987047699</v>
      </c>
      <c r="C461" s="9">
        <v>455</v>
      </c>
      <c r="D461" s="10">
        <v>403.75298569933784</v>
      </c>
      <c r="E461" s="9">
        <v>455</v>
      </c>
      <c r="F461" s="10">
        <v>6410.9574187858825</v>
      </c>
      <c r="G461" s="9">
        <v>455</v>
      </c>
      <c r="H461" s="10">
        <v>-1094.2965218767104</v>
      </c>
      <c r="I461" s="9">
        <v>455</v>
      </c>
      <c r="J461" s="167">
        <v>-5318.4095004892279</v>
      </c>
    </row>
    <row r="462" spans="1:10" x14ac:dyDescent="0.35">
      <c r="A462" s="170">
        <v>456</v>
      </c>
      <c r="B462" s="10">
        <v>5841.9840329544495</v>
      </c>
      <c r="C462" s="9">
        <v>456</v>
      </c>
      <c r="D462" s="10">
        <v>347.38637326389312</v>
      </c>
      <c r="E462" s="9">
        <v>456</v>
      </c>
      <c r="F462" s="10">
        <v>5972.8535456223835</v>
      </c>
      <c r="G462" s="9">
        <v>456</v>
      </c>
      <c r="H462" s="10">
        <v>738.57266532490962</v>
      </c>
      <c r="I462" s="9">
        <v>456</v>
      </c>
      <c r="J462" s="167">
        <v>-2727.6716742669114</v>
      </c>
    </row>
    <row r="463" spans="1:10" x14ac:dyDescent="0.35">
      <c r="A463" s="170">
        <v>457</v>
      </c>
      <c r="B463" s="10">
        <v>-26.287860769349663</v>
      </c>
      <c r="C463" s="9">
        <v>457</v>
      </c>
      <c r="D463" s="10">
        <v>337.02757477890924</v>
      </c>
      <c r="E463" s="9">
        <v>457</v>
      </c>
      <c r="F463" s="10">
        <v>3204.6864693975949</v>
      </c>
      <c r="G463" s="9">
        <v>457</v>
      </c>
      <c r="H463" s="10">
        <v>-2663.2977285618631</v>
      </c>
      <c r="I463" s="9">
        <v>457</v>
      </c>
      <c r="J463" s="167">
        <v>-453.08818677462608</v>
      </c>
    </row>
    <row r="464" spans="1:10" x14ac:dyDescent="0.35">
      <c r="A464" s="170">
        <v>458</v>
      </c>
      <c r="B464" s="10">
        <v>6030.6647634400961</v>
      </c>
      <c r="C464" s="9">
        <v>458</v>
      </c>
      <c r="D464" s="10">
        <v>333.68603602618839</v>
      </c>
      <c r="E464" s="9">
        <v>458</v>
      </c>
      <c r="F464" s="10">
        <v>5958.4792921261669</v>
      </c>
      <c r="G464" s="9">
        <v>458</v>
      </c>
      <c r="H464" s="10">
        <v>-1459.8422310506489</v>
      </c>
      <c r="I464" s="9">
        <v>458</v>
      </c>
      <c r="J464" s="167">
        <v>-3453.1435802618798</v>
      </c>
    </row>
    <row r="465" spans="1:10" x14ac:dyDescent="0.35">
      <c r="A465" s="170">
        <v>459</v>
      </c>
      <c r="B465" s="10">
        <v>1910.8008362978339</v>
      </c>
      <c r="C465" s="9">
        <v>459</v>
      </c>
      <c r="D465" s="10">
        <v>275.76829284340079</v>
      </c>
      <c r="E465" s="9">
        <v>459</v>
      </c>
      <c r="F465" s="10">
        <v>4084.9158244987902</v>
      </c>
      <c r="G465" s="9">
        <v>459</v>
      </c>
      <c r="H465" s="10">
        <v>763.69372710441485</v>
      </c>
      <c r="I465" s="9">
        <v>459</v>
      </c>
      <c r="J465" s="167">
        <v>-1236.7199155013141</v>
      </c>
    </row>
    <row r="466" spans="1:10" x14ac:dyDescent="0.35">
      <c r="A466" s="170">
        <v>460</v>
      </c>
      <c r="B466" s="10">
        <v>2923.8147230975292</v>
      </c>
      <c r="C466" s="9">
        <v>460</v>
      </c>
      <c r="D466" s="10">
        <v>585.57762798022304</v>
      </c>
      <c r="E466" s="9">
        <v>460</v>
      </c>
      <c r="F466" s="10">
        <v>1327.6079432744298</v>
      </c>
      <c r="G466" s="9">
        <v>460</v>
      </c>
      <c r="H466" s="10">
        <v>1297.3147303106962</v>
      </c>
      <c r="I466" s="9">
        <v>460</v>
      </c>
      <c r="J466" s="167">
        <v>-1227.7173057957859</v>
      </c>
    </row>
    <row r="467" spans="1:10" x14ac:dyDescent="0.35">
      <c r="A467" s="170">
        <v>461</v>
      </c>
      <c r="B467" s="10">
        <v>2962.5002034378949</v>
      </c>
      <c r="C467" s="9">
        <v>461</v>
      </c>
      <c r="D467" s="10">
        <v>448.31555457708112</v>
      </c>
      <c r="E467" s="9">
        <v>461</v>
      </c>
      <c r="F467" s="10">
        <v>3080.8199368780497</v>
      </c>
      <c r="G467" s="9">
        <v>461</v>
      </c>
      <c r="H467" s="10">
        <v>836.58053756205038</v>
      </c>
      <c r="I467" s="9">
        <v>461</v>
      </c>
      <c r="J467" s="167">
        <v>4428.5390867308761</v>
      </c>
    </row>
    <row r="468" spans="1:10" x14ac:dyDescent="0.35">
      <c r="A468" s="170">
        <v>462</v>
      </c>
      <c r="B468" s="10">
        <v>2452.3145343806486</v>
      </c>
      <c r="C468" s="9">
        <v>462</v>
      </c>
      <c r="D468" s="10">
        <v>310.32155065003093</v>
      </c>
      <c r="E468" s="9">
        <v>462</v>
      </c>
      <c r="F468" s="10">
        <v>3211.4604135685704</v>
      </c>
      <c r="G468" s="9">
        <v>462</v>
      </c>
      <c r="H468" s="10">
        <v>335.86579964644613</v>
      </c>
      <c r="I468" s="9">
        <v>462</v>
      </c>
      <c r="J468" s="167">
        <v>-1201.5913756098678</v>
      </c>
    </row>
    <row r="469" spans="1:10" x14ac:dyDescent="0.35">
      <c r="A469" s="170">
        <v>463</v>
      </c>
      <c r="B469" s="10">
        <v>1526.7190571166445</v>
      </c>
      <c r="C469" s="9">
        <v>463</v>
      </c>
      <c r="D469" s="10">
        <v>387.08477430573134</v>
      </c>
      <c r="E469" s="9">
        <v>463</v>
      </c>
      <c r="F469" s="10">
        <v>1376.565284261206</v>
      </c>
      <c r="G469" s="9">
        <v>463</v>
      </c>
      <c r="H469" s="10">
        <v>-1143.4898905468112</v>
      </c>
      <c r="I469" s="9">
        <v>463</v>
      </c>
      <c r="J469" s="167">
        <v>-2294.2572221938062</v>
      </c>
    </row>
    <row r="470" spans="1:10" x14ac:dyDescent="0.35">
      <c r="A470" s="170">
        <v>464</v>
      </c>
      <c r="B470" s="10">
        <v>3178.7605837838391</v>
      </c>
      <c r="C470" s="9">
        <v>464</v>
      </c>
      <c r="D470" s="10">
        <v>398.38788674446482</v>
      </c>
      <c r="E470" s="9">
        <v>464</v>
      </c>
      <c r="F470" s="10">
        <v>10822.997511506197</v>
      </c>
      <c r="G470" s="9">
        <v>464</v>
      </c>
      <c r="H470" s="10">
        <v>-40.115212559327347</v>
      </c>
      <c r="I470" s="9">
        <v>464</v>
      </c>
      <c r="J470" s="167">
        <v>-666.61226940156553</v>
      </c>
    </row>
    <row r="471" spans="1:10" x14ac:dyDescent="0.35">
      <c r="A471" s="170">
        <v>465</v>
      </c>
      <c r="B471" s="10">
        <v>150.7523110894258</v>
      </c>
      <c r="C471" s="9">
        <v>465</v>
      </c>
      <c r="D471" s="10">
        <v>213.01088506238327</v>
      </c>
      <c r="E471" s="9">
        <v>465</v>
      </c>
      <c r="F471" s="10">
        <v>-1341.7599143523075</v>
      </c>
      <c r="G471" s="9">
        <v>465</v>
      </c>
      <c r="H471" s="10">
        <v>-2804.4747511475989</v>
      </c>
      <c r="I471" s="9">
        <v>465</v>
      </c>
      <c r="J471" s="167">
        <v>-4755.0929319314746</v>
      </c>
    </row>
    <row r="472" spans="1:10" x14ac:dyDescent="0.35">
      <c r="A472" s="170">
        <v>466</v>
      </c>
      <c r="B472" s="10">
        <v>661.08121918934239</v>
      </c>
      <c r="C472" s="9">
        <v>466</v>
      </c>
      <c r="D472" s="10">
        <v>362.24103254481315</v>
      </c>
      <c r="E472" s="9">
        <v>466</v>
      </c>
      <c r="F472" s="10">
        <v>487.13911173485894</v>
      </c>
      <c r="G472" s="9">
        <v>466</v>
      </c>
      <c r="H472" s="10">
        <v>1205.3522023269909</v>
      </c>
      <c r="I472" s="9">
        <v>466</v>
      </c>
      <c r="J472" s="167">
        <v>-3765.3517662802165</v>
      </c>
    </row>
    <row r="473" spans="1:10" x14ac:dyDescent="0.35">
      <c r="A473" s="170">
        <v>467</v>
      </c>
      <c r="B473" s="10">
        <v>151.63953798799139</v>
      </c>
      <c r="C473" s="9">
        <v>467</v>
      </c>
      <c r="D473" s="10">
        <v>432.52050741427968</v>
      </c>
      <c r="E473" s="9">
        <v>467</v>
      </c>
      <c r="F473" s="10">
        <v>4982.0920932727367</v>
      </c>
      <c r="G473" s="9">
        <v>467</v>
      </c>
      <c r="H473" s="10">
        <v>3784.0734124014571</v>
      </c>
      <c r="I473" s="9">
        <v>467</v>
      </c>
      <c r="J473" s="167">
        <v>1517.2050413892794</v>
      </c>
    </row>
    <row r="474" spans="1:10" x14ac:dyDescent="0.35">
      <c r="A474" s="170">
        <v>468</v>
      </c>
      <c r="B474" s="10">
        <v>1266.5976731303128</v>
      </c>
      <c r="C474" s="9">
        <v>468</v>
      </c>
      <c r="D474" s="10">
        <v>403.74134739834903</v>
      </c>
      <c r="E474" s="9">
        <v>468</v>
      </c>
      <c r="F474" s="10">
        <v>3541.847188545561</v>
      </c>
      <c r="G474" s="9">
        <v>468</v>
      </c>
      <c r="H474" s="10">
        <v>1871.5151354787895</v>
      </c>
      <c r="I474" s="9">
        <v>468</v>
      </c>
      <c r="J474" s="167">
        <v>502.80335937197799</v>
      </c>
    </row>
    <row r="475" spans="1:10" x14ac:dyDescent="0.35">
      <c r="A475" s="170">
        <v>469</v>
      </c>
      <c r="B475" s="10">
        <v>883.53943533367737</v>
      </c>
      <c r="C475" s="9">
        <v>469</v>
      </c>
      <c r="D475" s="10">
        <v>500.0149217069079</v>
      </c>
      <c r="E475" s="9">
        <v>469</v>
      </c>
      <c r="F475" s="10">
        <v>5974.6083473451581</v>
      </c>
      <c r="G475" s="9">
        <v>469</v>
      </c>
      <c r="H475" s="10">
        <v>-2396.3916192393203</v>
      </c>
      <c r="I475" s="9">
        <v>469</v>
      </c>
      <c r="J475" s="167">
        <v>4219.5567345029158</v>
      </c>
    </row>
    <row r="476" spans="1:10" x14ac:dyDescent="0.35">
      <c r="A476" s="170">
        <v>470</v>
      </c>
      <c r="B476" s="10">
        <v>2354.7562627045995</v>
      </c>
      <c r="C476" s="9">
        <v>470</v>
      </c>
      <c r="D476" s="10">
        <v>356.54774148829773</v>
      </c>
      <c r="E476" s="9">
        <v>470</v>
      </c>
      <c r="F476" s="10">
        <v>-863.80025511498843</v>
      </c>
      <c r="G476" s="9">
        <v>470</v>
      </c>
      <c r="H476" s="10">
        <v>-389.94058402716234</v>
      </c>
      <c r="I476" s="9">
        <v>470</v>
      </c>
      <c r="J476" s="167">
        <v>-224.80648426873572</v>
      </c>
    </row>
    <row r="477" spans="1:10" x14ac:dyDescent="0.35">
      <c r="A477" s="170">
        <v>471</v>
      </c>
      <c r="B477" s="10">
        <v>2482.481003530922</v>
      </c>
      <c r="C477" s="9">
        <v>471</v>
      </c>
      <c r="D477" s="10">
        <v>425.92782506310448</v>
      </c>
      <c r="E477" s="9">
        <v>471</v>
      </c>
      <c r="F477" s="10">
        <v>612.01331104625433</v>
      </c>
      <c r="G477" s="9">
        <v>471</v>
      </c>
      <c r="H477" s="10">
        <v>-902.28796548893695</v>
      </c>
      <c r="I477" s="9">
        <v>471</v>
      </c>
      <c r="J477" s="167">
        <v>-1913.5094212884924</v>
      </c>
    </row>
    <row r="478" spans="1:10" x14ac:dyDescent="0.35">
      <c r="A478" s="170">
        <v>472</v>
      </c>
      <c r="B478" s="10">
        <v>145.65147074314655</v>
      </c>
      <c r="C478" s="9">
        <v>472</v>
      </c>
      <c r="D478" s="10">
        <v>488.71820721879374</v>
      </c>
      <c r="E478" s="9">
        <v>472</v>
      </c>
      <c r="F478" s="10">
        <v>-54.309436225556965</v>
      </c>
      <c r="G478" s="9">
        <v>472</v>
      </c>
      <c r="H478" s="10">
        <v>6662.4370998250797</v>
      </c>
      <c r="I478" s="9">
        <v>472</v>
      </c>
      <c r="J478" s="167">
        <v>3632.833841761968</v>
      </c>
    </row>
    <row r="479" spans="1:10" x14ac:dyDescent="0.35">
      <c r="A479" s="170">
        <v>473</v>
      </c>
      <c r="B479" s="10">
        <v>3503.8342712652884</v>
      </c>
      <c r="C479" s="9">
        <v>473</v>
      </c>
      <c r="D479" s="10">
        <v>345.06007416137453</v>
      </c>
      <c r="E479" s="9">
        <v>473</v>
      </c>
      <c r="F479" s="10">
        <v>2387.9583133980068</v>
      </c>
      <c r="G479" s="9">
        <v>473</v>
      </c>
      <c r="H479" s="10">
        <v>3362.8942523534961</v>
      </c>
      <c r="I479" s="9">
        <v>473</v>
      </c>
      <c r="J479" s="167">
        <v>-1899.8128148376509</v>
      </c>
    </row>
    <row r="480" spans="1:10" x14ac:dyDescent="0.35">
      <c r="A480" s="170">
        <v>474</v>
      </c>
      <c r="B480" s="10">
        <v>3839.4115159470575</v>
      </c>
      <c r="C480" s="9">
        <v>474</v>
      </c>
      <c r="D480" s="10">
        <v>418.28731135608791</v>
      </c>
      <c r="E480" s="9">
        <v>474</v>
      </c>
      <c r="F480" s="10">
        <v>919.61825056188263</v>
      </c>
      <c r="G480" s="9">
        <v>474</v>
      </c>
      <c r="H480" s="10">
        <v>-149.77588183346677</v>
      </c>
      <c r="I480" s="9">
        <v>474</v>
      </c>
      <c r="J480" s="167">
        <v>-2453.8592617889099</v>
      </c>
    </row>
    <row r="481" spans="1:10" x14ac:dyDescent="0.35">
      <c r="A481" s="170">
        <v>475</v>
      </c>
      <c r="B481" s="10">
        <v>4165.1055392062772</v>
      </c>
      <c r="C481" s="9">
        <v>475</v>
      </c>
      <c r="D481" s="10">
        <v>397.1985856894122</v>
      </c>
      <c r="E481" s="9">
        <v>475</v>
      </c>
      <c r="F481" s="10">
        <v>4402.359279721979</v>
      </c>
      <c r="G481" s="9">
        <v>475</v>
      </c>
      <c r="H481" s="10">
        <v>1435.0704377499669</v>
      </c>
      <c r="I481" s="9">
        <v>475</v>
      </c>
      <c r="J481" s="167">
        <v>3566.9546930254583</v>
      </c>
    </row>
    <row r="482" spans="1:10" x14ac:dyDescent="0.35">
      <c r="A482" s="170">
        <v>476</v>
      </c>
      <c r="B482" s="10">
        <v>5007.2780988047443</v>
      </c>
      <c r="C482" s="9">
        <v>476</v>
      </c>
      <c r="D482" s="10">
        <v>299.81940383857642</v>
      </c>
      <c r="E482" s="9">
        <v>476</v>
      </c>
      <c r="F482" s="10">
        <v>-889.89373586750571</v>
      </c>
      <c r="G482" s="9">
        <v>476</v>
      </c>
      <c r="H482" s="10">
        <v>3372.1036584848998</v>
      </c>
      <c r="I482" s="9">
        <v>476</v>
      </c>
      <c r="J482" s="167">
        <v>-1880.5936710558867</v>
      </c>
    </row>
    <row r="483" spans="1:10" x14ac:dyDescent="0.35">
      <c r="A483" s="170">
        <v>477</v>
      </c>
      <c r="B483" s="10">
        <v>4197.5931511882254</v>
      </c>
      <c r="C483" s="9">
        <v>477</v>
      </c>
      <c r="D483" s="10">
        <v>229.54895834412187</v>
      </c>
      <c r="E483" s="9">
        <v>477</v>
      </c>
      <c r="F483" s="10">
        <v>2944.7114881096127</v>
      </c>
      <c r="G483" s="9">
        <v>477</v>
      </c>
      <c r="H483" s="10">
        <v>-3569.5699636738486</v>
      </c>
      <c r="I483" s="9">
        <v>477</v>
      </c>
      <c r="J483" s="167">
        <v>3234.2665840892873</v>
      </c>
    </row>
    <row r="484" spans="1:10" x14ac:dyDescent="0.35">
      <c r="A484" s="170">
        <v>478</v>
      </c>
      <c r="B484" s="10">
        <v>2369.1432702527404</v>
      </c>
      <c r="C484" s="9">
        <v>478</v>
      </c>
      <c r="D484" s="10">
        <v>298.80433483392778</v>
      </c>
      <c r="E484" s="9">
        <v>478</v>
      </c>
      <c r="F484" s="10">
        <v>3138.352536045556</v>
      </c>
      <c r="G484" s="9">
        <v>478</v>
      </c>
      <c r="H484" s="10">
        <v>-18.497331525526079</v>
      </c>
      <c r="I484" s="9">
        <v>478</v>
      </c>
      <c r="J484" s="167">
        <v>-1102.090061168878</v>
      </c>
    </row>
    <row r="485" spans="1:10" x14ac:dyDescent="0.35">
      <c r="A485" s="170">
        <v>479</v>
      </c>
      <c r="B485" s="10">
        <v>1822.1165245901436</v>
      </c>
      <c r="C485" s="9">
        <v>479</v>
      </c>
      <c r="D485" s="10">
        <v>280.5568666608454</v>
      </c>
      <c r="E485" s="9">
        <v>479</v>
      </c>
      <c r="F485" s="10">
        <v>4137.0812511091417</v>
      </c>
      <c r="G485" s="9">
        <v>479</v>
      </c>
      <c r="H485" s="10">
        <v>256.56437605463105</v>
      </c>
      <c r="I485" s="9">
        <v>479</v>
      </c>
      <c r="J485" s="167">
        <v>350.92162425714457</v>
      </c>
    </row>
    <row r="486" spans="1:10" x14ac:dyDescent="0.35">
      <c r="A486" s="170">
        <v>480</v>
      </c>
      <c r="B486" s="10">
        <v>1624.5001002618919</v>
      </c>
      <c r="C486" s="9">
        <v>480</v>
      </c>
      <c r="D486" s="10">
        <v>422.56991670838335</v>
      </c>
      <c r="E486" s="9">
        <v>480</v>
      </c>
      <c r="F486" s="10">
        <v>5268.9423310739776</v>
      </c>
      <c r="G486" s="9">
        <v>480</v>
      </c>
      <c r="H486" s="10">
        <v>2191.4121431634458</v>
      </c>
      <c r="I486" s="9">
        <v>480</v>
      </c>
      <c r="J486" s="167">
        <v>-372.64646720931376</v>
      </c>
    </row>
    <row r="487" spans="1:10" x14ac:dyDescent="0.35">
      <c r="A487" s="170">
        <v>481</v>
      </c>
      <c r="B487" s="10">
        <v>2949.4530917586903</v>
      </c>
      <c r="C487" s="9">
        <v>481</v>
      </c>
      <c r="D487" s="10">
        <v>312.24896722357244</v>
      </c>
      <c r="E487" s="9">
        <v>481</v>
      </c>
      <c r="F487" s="10">
        <v>-247.24157141767046</v>
      </c>
      <c r="G487" s="9">
        <v>481</v>
      </c>
      <c r="H487" s="10">
        <v>2438.5302290704622</v>
      </c>
      <c r="I487" s="9">
        <v>481</v>
      </c>
      <c r="J487" s="167">
        <v>-4011.7114865090957</v>
      </c>
    </row>
    <row r="488" spans="1:10" x14ac:dyDescent="0.35">
      <c r="A488" s="170">
        <v>482</v>
      </c>
      <c r="B488" s="10">
        <v>896.01736341005449</v>
      </c>
      <c r="C488" s="9">
        <v>482</v>
      </c>
      <c r="D488" s="10">
        <v>431.04052103733</v>
      </c>
      <c r="E488" s="9">
        <v>482</v>
      </c>
      <c r="F488" s="10">
        <v>1688.9196831580377</v>
      </c>
      <c r="G488" s="9">
        <v>482</v>
      </c>
      <c r="H488" s="10">
        <v>3790.6909817522774</v>
      </c>
      <c r="I488" s="9">
        <v>482</v>
      </c>
      <c r="J488" s="167">
        <v>-2624.2857249137305</v>
      </c>
    </row>
    <row r="489" spans="1:10" x14ac:dyDescent="0.35">
      <c r="A489" s="170">
        <v>483</v>
      </c>
      <c r="B489" s="10">
        <v>6381.2254224679327</v>
      </c>
      <c r="C489" s="9">
        <v>483</v>
      </c>
      <c r="D489" s="10">
        <v>438.84492707891718</v>
      </c>
      <c r="E489" s="9">
        <v>483</v>
      </c>
      <c r="F489" s="10">
        <v>1511.7343411613172</v>
      </c>
      <c r="G489" s="9">
        <v>483</v>
      </c>
      <c r="H489" s="10">
        <v>1644.3964353150782</v>
      </c>
      <c r="I489" s="9">
        <v>483</v>
      </c>
      <c r="J489" s="167">
        <v>518.59628392082539</v>
      </c>
    </row>
    <row r="490" spans="1:10" x14ac:dyDescent="0.35">
      <c r="A490" s="170">
        <v>484</v>
      </c>
      <c r="B490" s="10">
        <v>3107.3853645363733</v>
      </c>
      <c r="C490" s="9">
        <v>484</v>
      </c>
      <c r="D490" s="10">
        <v>439.83169966901613</v>
      </c>
      <c r="E490" s="9">
        <v>484</v>
      </c>
      <c r="F490" s="10">
        <v>6058.8204069153599</v>
      </c>
      <c r="G490" s="9">
        <v>484</v>
      </c>
      <c r="H490" s="10">
        <v>3060.7092270665157</v>
      </c>
      <c r="I490" s="9">
        <v>484</v>
      </c>
      <c r="J490" s="167">
        <v>1796.0886680283056</v>
      </c>
    </row>
    <row r="491" spans="1:10" x14ac:dyDescent="0.35">
      <c r="A491" s="170">
        <v>485</v>
      </c>
      <c r="B491" s="10">
        <v>1956.6915568196587</v>
      </c>
      <c r="C491" s="9">
        <v>485</v>
      </c>
      <c r="D491" s="10">
        <v>383.50085077650999</v>
      </c>
      <c r="E491" s="9">
        <v>485</v>
      </c>
      <c r="F491" s="10">
        <v>3546.7511572138237</v>
      </c>
      <c r="G491" s="9">
        <v>485</v>
      </c>
      <c r="H491" s="10">
        <v>2548.4286756213551</v>
      </c>
      <c r="I491" s="9">
        <v>485</v>
      </c>
      <c r="J491" s="167">
        <v>1379.4271230993254</v>
      </c>
    </row>
    <row r="492" spans="1:10" x14ac:dyDescent="0.35">
      <c r="A492" s="170">
        <v>486</v>
      </c>
      <c r="B492" s="10">
        <v>419.01949490469678</v>
      </c>
      <c r="C492" s="9">
        <v>486</v>
      </c>
      <c r="D492" s="10">
        <v>489.47431443334057</v>
      </c>
      <c r="E492" s="9">
        <v>486</v>
      </c>
      <c r="F492" s="10">
        <v>2982.6769461409149</v>
      </c>
      <c r="G492" s="9">
        <v>486</v>
      </c>
      <c r="H492" s="10">
        <v>2416.8073884607575</v>
      </c>
      <c r="I492" s="9">
        <v>486</v>
      </c>
      <c r="J492" s="167">
        <v>1130.3976916791826</v>
      </c>
    </row>
    <row r="493" spans="1:10" x14ac:dyDescent="0.35">
      <c r="A493" s="170">
        <v>487</v>
      </c>
      <c r="B493" s="10">
        <v>4502.4856560169028</v>
      </c>
      <c r="C493" s="9">
        <v>487</v>
      </c>
      <c r="D493" s="10">
        <v>463.95916812913322</v>
      </c>
      <c r="E493" s="9">
        <v>487</v>
      </c>
      <c r="F493" s="10">
        <v>5543.4639330523678</v>
      </c>
      <c r="G493" s="9">
        <v>487</v>
      </c>
      <c r="H493" s="10">
        <v>2474.1337994647861</v>
      </c>
      <c r="I493" s="9">
        <v>487</v>
      </c>
      <c r="J493" s="167">
        <v>2128.6468113109827</v>
      </c>
    </row>
    <row r="494" spans="1:10" x14ac:dyDescent="0.35">
      <c r="A494" s="170">
        <v>488</v>
      </c>
      <c r="B494" s="10">
        <v>3110.4313116030307</v>
      </c>
      <c r="C494" s="9">
        <v>488</v>
      </c>
      <c r="D494" s="10">
        <v>446.65658668919019</v>
      </c>
      <c r="E494" s="9">
        <v>488</v>
      </c>
      <c r="F494" s="10">
        <v>4358.2061043415315</v>
      </c>
      <c r="G494" s="9">
        <v>488</v>
      </c>
      <c r="H494" s="10">
        <v>4768.0192453310528</v>
      </c>
      <c r="I494" s="9">
        <v>488</v>
      </c>
      <c r="J494" s="167">
        <v>1439.1031103935966</v>
      </c>
    </row>
    <row r="495" spans="1:10" x14ac:dyDescent="0.35">
      <c r="A495" s="170">
        <v>489</v>
      </c>
      <c r="B495" s="10">
        <v>2038.957769225724</v>
      </c>
      <c r="C495" s="9">
        <v>489</v>
      </c>
      <c r="D495" s="10">
        <v>362.02053244083714</v>
      </c>
      <c r="E495" s="9">
        <v>489</v>
      </c>
      <c r="F495" s="10">
        <v>2579.2134637466934</v>
      </c>
      <c r="G495" s="9">
        <v>489</v>
      </c>
      <c r="H495" s="10">
        <v>-1791.2873239795908</v>
      </c>
      <c r="I495" s="9">
        <v>489</v>
      </c>
      <c r="J495" s="167">
        <v>254.96980371969232</v>
      </c>
    </row>
    <row r="496" spans="1:10" x14ac:dyDescent="0.35">
      <c r="A496" s="170">
        <v>490</v>
      </c>
      <c r="B496" s="10">
        <v>4526.4294062316139</v>
      </c>
      <c r="C496" s="9">
        <v>490</v>
      </c>
      <c r="D496" s="10">
        <v>228.0386531681971</v>
      </c>
      <c r="E496" s="9">
        <v>490</v>
      </c>
      <c r="F496" s="10">
        <v>2127.3060046772271</v>
      </c>
      <c r="G496" s="9">
        <v>490</v>
      </c>
      <c r="H496" s="10">
        <v>2467.6133531838291</v>
      </c>
      <c r="I496" s="9">
        <v>490</v>
      </c>
      <c r="J496" s="167">
        <v>494.24453192437909</v>
      </c>
    </row>
    <row r="497" spans="1:10" x14ac:dyDescent="0.35">
      <c r="A497" s="170">
        <v>491</v>
      </c>
      <c r="B497" s="10">
        <v>2979.2084184531723</v>
      </c>
      <c r="C497" s="9">
        <v>491</v>
      </c>
      <c r="D497" s="10">
        <v>506.44163245031336</v>
      </c>
      <c r="E497" s="9">
        <v>491</v>
      </c>
      <c r="F497" s="10">
        <v>3395.3634988899994</v>
      </c>
      <c r="G497" s="9">
        <v>491</v>
      </c>
      <c r="H497" s="10">
        <v>-6825.8193475377702</v>
      </c>
      <c r="I497" s="9">
        <v>491</v>
      </c>
      <c r="J497" s="167">
        <v>-330.37988374759016</v>
      </c>
    </row>
    <row r="498" spans="1:10" x14ac:dyDescent="0.35">
      <c r="A498" s="170">
        <v>492</v>
      </c>
      <c r="B498" s="10">
        <v>2789.5481738380763</v>
      </c>
      <c r="C498" s="9">
        <v>492</v>
      </c>
      <c r="D498" s="10">
        <v>330.54537160370666</v>
      </c>
      <c r="E498" s="9">
        <v>492</v>
      </c>
      <c r="F498" s="10">
        <v>-1040.3979443580965</v>
      </c>
      <c r="G498" s="9">
        <v>492</v>
      </c>
      <c r="H498" s="10">
        <v>-2645.8713539603527</v>
      </c>
      <c r="I498" s="9">
        <v>492</v>
      </c>
      <c r="J498" s="167">
        <v>-5610.0692406147682</v>
      </c>
    </row>
    <row r="499" spans="1:10" x14ac:dyDescent="0.35">
      <c r="A499" s="170">
        <v>493</v>
      </c>
      <c r="B499" s="10">
        <v>2050.837293951005</v>
      </c>
      <c r="C499" s="9">
        <v>493</v>
      </c>
      <c r="D499" s="10">
        <v>482.81450130937401</v>
      </c>
      <c r="E499" s="9">
        <v>493</v>
      </c>
      <c r="F499" s="10">
        <v>6439.9402216659628</v>
      </c>
      <c r="G499" s="9">
        <v>493</v>
      </c>
      <c r="H499" s="10">
        <v>-1835.765150223885</v>
      </c>
      <c r="I499" s="9">
        <v>493</v>
      </c>
      <c r="J499" s="167">
        <v>1044.8090453683951</v>
      </c>
    </row>
    <row r="500" spans="1:10" x14ac:dyDescent="0.35">
      <c r="A500" s="170">
        <v>494</v>
      </c>
      <c r="B500" s="10">
        <v>4254.2114436739921</v>
      </c>
      <c r="C500" s="9">
        <v>494</v>
      </c>
      <c r="D500" s="10">
        <v>516.70407621699167</v>
      </c>
      <c r="E500" s="9">
        <v>494</v>
      </c>
      <c r="F500" s="10">
        <v>2144.991599241886</v>
      </c>
      <c r="G500" s="9">
        <v>494</v>
      </c>
      <c r="H500" s="10">
        <v>-1484.9348109243433</v>
      </c>
      <c r="I500" s="9">
        <v>494</v>
      </c>
      <c r="J500" s="167">
        <v>-786.86183798568527</v>
      </c>
    </row>
    <row r="501" spans="1:10" x14ac:dyDescent="0.35">
      <c r="A501" s="170">
        <v>495</v>
      </c>
      <c r="B501" s="10">
        <v>2162.7812659524834</v>
      </c>
      <c r="C501" s="9">
        <v>495</v>
      </c>
      <c r="D501" s="10">
        <v>348.32438823366687</v>
      </c>
      <c r="E501" s="9">
        <v>495</v>
      </c>
      <c r="F501" s="10">
        <v>5633.960788174958</v>
      </c>
      <c r="G501" s="9">
        <v>495</v>
      </c>
      <c r="H501" s="10">
        <v>-408.00596137369223</v>
      </c>
      <c r="I501" s="9">
        <v>495</v>
      </c>
      <c r="J501" s="167">
        <v>-1882.9321102149913</v>
      </c>
    </row>
    <row r="502" spans="1:10" x14ac:dyDescent="0.35">
      <c r="A502" s="170">
        <v>496</v>
      </c>
      <c r="B502" s="10">
        <v>5952.7104256983548</v>
      </c>
      <c r="C502" s="9">
        <v>496</v>
      </c>
      <c r="D502" s="10">
        <v>203.30863275032846</v>
      </c>
      <c r="E502" s="9">
        <v>496</v>
      </c>
      <c r="F502" s="10">
        <v>-19.514630112306349</v>
      </c>
      <c r="G502" s="9">
        <v>496</v>
      </c>
      <c r="H502" s="10">
        <v>2093.2684855020329</v>
      </c>
      <c r="I502" s="9">
        <v>496</v>
      </c>
      <c r="J502" s="167">
        <v>3405.3921851787395</v>
      </c>
    </row>
    <row r="503" spans="1:10" x14ac:dyDescent="0.35">
      <c r="A503" s="170">
        <v>497</v>
      </c>
      <c r="B503" s="10">
        <v>4316.2536292221466</v>
      </c>
      <c r="C503" s="9">
        <v>497</v>
      </c>
      <c r="D503" s="10">
        <v>411.1818000408129</v>
      </c>
      <c r="E503" s="9">
        <v>497</v>
      </c>
      <c r="F503" s="10">
        <v>761.34039509677336</v>
      </c>
      <c r="G503" s="9">
        <v>497</v>
      </c>
      <c r="H503" s="10">
        <v>147.07465144509263</v>
      </c>
      <c r="I503" s="9">
        <v>497</v>
      </c>
      <c r="J503" s="167">
        <v>-2444.6602189906885</v>
      </c>
    </row>
    <row r="504" spans="1:10" x14ac:dyDescent="0.35">
      <c r="A504" s="170">
        <v>498</v>
      </c>
      <c r="B504" s="10">
        <v>5305.10254033416</v>
      </c>
      <c r="C504" s="9">
        <v>498</v>
      </c>
      <c r="D504" s="10">
        <v>365.34377600411574</v>
      </c>
      <c r="E504" s="9">
        <v>498</v>
      </c>
      <c r="F504" s="10">
        <v>265.7650408411132</v>
      </c>
      <c r="G504" s="9">
        <v>498</v>
      </c>
      <c r="H504" s="10">
        <v>-3626.47084901681</v>
      </c>
      <c r="I504" s="9">
        <v>498</v>
      </c>
      <c r="J504" s="167">
        <v>-1700.9787377175144</v>
      </c>
    </row>
    <row r="505" spans="1:10" x14ac:dyDescent="0.35">
      <c r="A505" s="170">
        <v>499</v>
      </c>
      <c r="B505" s="10">
        <v>3781.6563239600623</v>
      </c>
      <c r="C505" s="9">
        <v>499</v>
      </c>
      <c r="D505" s="10">
        <v>501.80278160714147</v>
      </c>
      <c r="E505" s="9">
        <v>499</v>
      </c>
      <c r="F505" s="10">
        <v>-2291.4734805481821</v>
      </c>
      <c r="G505" s="9">
        <v>499</v>
      </c>
      <c r="H505" s="10">
        <v>1877.1126980469758</v>
      </c>
      <c r="I505" s="9">
        <v>499</v>
      </c>
      <c r="J505" s="167">
        <v>-1796.1356912739309</v>
      </c>
    </row>
    <row r="506" spans="1:10" x14ac:dyDescent="0.35">
      <c r="A506" s="170">
        <v>500</v>
      </c>
      <c r="B506" s="10">
        <v>3451.6492790156217</v>
      </c>
      <c r="C506" s="9">
        <v>500</v>
      </c>
      <c r="D506" s="10">
        <v>308.3256945861695</v>
      </c>
      <c r="E506" s="9">
        <v>500</v>
      </c>
      <c r="F506" s="10">
        <v>2013.354074822211</v>
      </c>
      <c r="G506" s="9">
        <v>500</v>
      </c>
      <c r="H506" s="10">
        <v>3803.0774793596484</v>
      </c>
      <c r="I506" s="9">
        <v>500</v>
      </c>
      <c r="J506" s="167">
        <v>1752.5414121018052</v>
      </c>
    </row>
    <row r="507" spans="1:10" x14ac:dyDescent="0.35">
      <c r="A507" s="170">
        <v>501</v>
      </c>
      <c r="B507" s="10">
        <v>3045.340901909819</v>
      </c>
      <c r="C507" s="9">
        <v>501</v>
      </c>
      <c r="D507" s="10">
        <v>386.59358811610161</v>
      </c>
      <c r="E507" s="9">
        <v>501</v>
      </c>
      <c r="F507" s="10">
        <v>1716.1171711587504</v>
      </c>
      <c r="G507" s="9">
        <v>501</v>
      </c>
      <c r="H507" s="10">
        <v>-772.94180716239759</v>
      </c>
      <c r="I507" s="9">
        <v>501</v>
      </c>
      <c r="J507" s="167">
        <v>417.1917339121311</v>
      </c>
    </row>
    <row r="508" spans="1:10" x14ac:dyDescent="0.35">
      <c r="A508" s="170">
        <v>502</v>
      </c>
      <c r="B508" s="10">
        <v>1100.9729721035708</v>
      </c>
      <c r="C508" s="9">
        <v>502</v>
      </c>
      <c r="D508" s="10">
        <v>550.55554601793199</v>
      </c>
      <c r="E508" s="9">
        <v>502</v>
      </c>
      <c r="F508" s="10">
        <v>6342.2840054550106</v>
      </c>
      <c r="G508" s="9">
        <v>502</v>
      </c>
      <c r="H508" s="10">
        <v>-266.04536172032567</v>
      </c>
      <c r="I508" s="9">
        <v>502</v>
      </c>
      <c r="J508" s="167">
        <v>-503.85592522764955</v>
      </c>
    </row>
    <row r="509" spans="1:10" x14ac:dyDescent="0.35">
      <c r="A509" s="170">
        <v>503</v>
      </c>
      <c r="B509" s="10">
        <v>4340.7534484397065</v>
      </c>
      <c r="C509" s="9">
        <v>503</v>
      </c>
      <c r="D509" s="10">
        <v>335.68732818054394</v>
      </c>
      <c r="E509" s="9">
        <v>503</v>
      </c>
      <c r="F509" s="10">
        <v>4126.9200176546001</v>
      </c>
      <c r="G509" s="9">
        <v>503</v>
      </c>
      <c r="H509" s="10">
        <v>3796.3980379841005</v>
      </c>
      <c r="I509" s="9">
        <v>503</v>
      </c>
      <c r="J509" s="167">
        <v>4301.7576813570158</v>
      </c>
    </row>
    <row r="510" spans="1:10" x14ac:dyDescent="0.35">
      <c r="A510" s="170">
        <v>504</v>
      </c>
      <c r="B510" s="10">
        <v>4286.8049750921409</v>
      </c>
      <c r="C510" s="9">
        <v>504</v>
      </c>
      <c r="D510" s="10">
        <v>257.14985866306279</v>
      </c>
      <c r="E510" s="9">
        <v>504</v>
      </c>
      <c r="F510" s="10">
        <v>4580.7151092149179</v>
      </c>
      <c r="G510" s="9">
        <v>504</v>
      </c>
      <c r="H510" s="10">
        <v>2942.2078998165794</v>
      </c>
      <c r="I510" s="9">
        <v>504</v>
      </c>
      <c r="J510" s="167">
        <v>610.85071528555977</v>
      </c>
    </row>
    <row r="511" spans="1:10" x14ac:dyDescent="0.35">
      <c r="A511" s="170">
        <v>505</v>
      </c>
      <c r="B511" s="10">
        <v>3597.5935156490232</v>
      </c>
      <c r="C511" s="9">
        <v>505</v>
      </c>
      <c r="D511" s="10">
        <v>479.19784722331161</v>
      </c>
      <c r="E511" s="9">
        <v>505</v>
      </c>
      <c r="F511" s="10">
        <v>3435.4205031944607</v>
      </c>
      <c r="G511" s="9">
        <v>505</v>
      </c>
      <c r="H511" s="10">
        <v>-2167.0583107399971</v>
      </c>
      <c r="I511" s="9">
        <v>505</v>
      </c>
      <c r="J511" s="167">
        <v>-4633.7160970971527</v>
      </c>
    </row>
    <row r="512" spans="1:10" x14ac:dyDescent="0.35">
      <c r="A512" s="170">
        <v>506</v>
      </c>
      <c r="B512" s="10">
        <v>4473.9229722268683</v>
      </c>
      <c r="C512" s="9">
        <v>506</v>
      </c>
      <c r="D512" s="10">
        <v>589.41611662832577</v>
      </c>
      <c r="E512" s="9">
        <v>506</v>
      </c>
      <c r="F512" s="10">
        <v>2265.087018720892</v>
      </c>
      <c r="G512" s="9">
        <v>506</v>
      </c>
      <c r="H512" s="10">
        <v>3346.9419476511475</v>
      </c>
      <c r="I512" s="9">
        <v>506</v>
      </c>
      <c r="J512" s="167">
        <v>-1572.7239831322886</v>
      </c>
    </row>
    <row r="513" spans="1:10" x14ac:dyDescent="0.35">
      <c r="A513" s="170">
        <v>507</v>
      </c>
      <c r="B513" s="10">
        <v>1716.395968239482</v>
      </c>
      <c r="C513" s="9">
        <v>507</v>
      </c>
      <c r="D513" s="10">
        <v>397.04954945200615</v>
      </c>
      <c r="E513" s="9">
        <v>507</v>
      </c>
      <c r="F513" s="10">
        <v>2588.2500492115628</v>
      </c>
      <c r="G513" s="9">
        <v>507</v>
      </c>
      <c r="H513" s="10">
        <v>6633.9685693252113</v>
      </c>
      <c r="I513" s="9">
        <v>507</v>
      </c>
      <c r="J513" s="167">
        <v>2480.5663868804154</v>
      </c>
    </row>
    <row r="514" spans="1:10" x14ac:dyDescent="0.35">
      <c r="A514" s="170">
        <v>508</v>
      </c>
      <c r="B514" s="10">
        <v>1748.5112815186126</v>
      </c>
      <c r="C514" s="9">
        <v>508</v>
      </c>
      <c r="D514" s="10">
        <v>405.06726287071274</v>
      </c>
      <c r="E514" s="9">
        <v>508</v>
      </c>
      <c r="F514" s="10">
        <v>-3625.6445655454845</v>
      </c>
      <c r="G514" s="9">
        <v>508</v>
      </c>
      <c r="H514" s="10">
        <v>698.7090295878736</v>
      </c>
      <c r="I514" s="9">
        <v>508</v>
      </c>
      <c r="J514" s="167">
        <v>-65.03074544492506</v>
      </c>
    </row>
    <row r="515" spans="1:10" x14ac:dyDescent="0.35">
      <c r="A515" s="170">
        <v>509</v>
      </c>
      <c r="B515" s="10">
        <v>3923.5427040094523</v>
      </c>
      <c r="C515" s="9">
        <v>509</v>
      </c>
      <c r="D515" s="10">
        <v>432.36188021017176</v>
      </c>
      <c r="E515" s="9">
        <v>509</v>
      </c>
      <c r="F515" s="10">
        <v>1281.1608231396929</v>
      </c>
      <c r="G515" s="9">
        <v>509</v>
      </c>
      <c r="H515" s="10">
        <v>-1265.9755242531151</v>
      </c>
      <c r="I515" s="9">
        <v>509</v>
      </c>
      <c r="J515" s="167">
        <v>711.79191743271531</v>
      </c>
    </row>
    <row r="516" spans="1:10" x14ac:dyDescent="0.35">
      <c r="A516" s="170">
        <v>510</v>
      </c>
      <c r="B516" s="10">
        <v>3802.9607062877385</v>
      </c>
      <c r="C516" s="9">
        <v>510</v>
      </c>
      <c r="D516" s="10">
        <v>370.75159841242623</v>
      </c>
      <c r="E516" s="9">
        <v>510</v>
      </c>
      <c r="F516" s="10">
        <v>75.47023821693665</v>
      </c>
      <c r="G516" s="9">
        <v>510</v>
      </c>
      <c r="H516" s="10">
        <v>-2161.4299267753422</v>
      </c>
      <c r="I516" s="9">
        <v>510</v>
      </c>
      <c r="J516" s="167">
        <v>-701.71995413478919</v>
      </c>
    </row>
    <row r="517" spans="1:10" x14ac:dyDescent="0.35">
      <c r="A517" s="170">
        <v>511</v>
      </c>
      <c r="B517" s="10">
        <v>4487.4968478706705</v>
      </c>
      <c r="C517" s="9">
        <v>511</v>
      </c>
      <c r="D517" s="10">
        <v>492.44360207707939</v>
      </c>
      <c r="E517" s="9">
        <v>511</v>
      </c>
      <c r="F517" s="10">
        <v>360.87677756484027</v>
      </c>
      <c r="G517" s="9">
        <v>511</v>
      </c>
      <c r="H517" s="10">
        <v>1344.0700655584665</v>
      </c>
      <c r="I517" s="9">
        <v>511</v>
      </c>
      <c r="J517" s="167">
        <v>267.62844162274257</v>
      </c>
    </row>
    <row r="518" spans="1:10" x14ac:dyDescent="0.35">
      <c r="A518" s="170">
        <v>512</v>
      </c>
      <c r="B518" s="10">
        <v>2712.1479669339915</v>
      </c>
      <c r="C518" s="9">
        <v>512</v>
      </c>
      <c r="D518" s="10">
        <v>449.40200628136932</v>
      </c>
      <c r="E518" s="9">
        <v>512</v>
      </c>
      <c r="F518" s="10">
        <v>6124.9644555129244</v>
      </c>
      <c r="G518" s="9">
        <v>512</v>
      </c>
      <c r="H518" s="10">
        <v>-934.85599580078417</v>
      </c>
      <c r="I518" s="9">
        <v>512</v>
      </c>
      <c r="J518" s="167">
        <v>-2491.7642011820431</v>
      </c>
    </row>
    <row r="519" spans="1:10" x14ac:dyDescent="0.35">
      <c r="A519" s="170">
        <v>513</v>
      </c>
      <c r="B519" s="10">
        <v>1524.4423605279208</v>
      </c>
      <c r="C519" s="9">
        <v>513</v>
      </c>
      <c r="D519" s="10">
        <v>451.04070587894745</v>
      </c>
      <c r="E519" s="9">
        <v>513</v>
      </c>
      <c r="F519" s="10">
        <v>2345.7225720829542</v>
      </c>
      <c r="G519" s="9">
        <v>513</v>
      </c>
      <c r="H519" s="10">
        <v>4603.3811390335641</v>
      </c>
      <c r="I519" s="9">
        <v>513</v>
      </c>
      <c r="J519" s="167">
        <v>-1635.0482740528498</v>
      </c>
    </row>
    <row r="520" spans="1:10" x14ac:dyDescent="0.35">
      <c r="A520" s="170">
        <v>514</v>
      </c>
      <c r="B520" s="10">
        <v>1691.7735278985278</v>
      </c>
      <c r="C520" s="9">
        <v>514</v>
      </c>
      <c r="D520" s="10">
        <v>302.16974161585324</v>
      </c>
      <c r="E520" s="9">
        <v>514</v>
      </c>
      <c r="F520" s="10">
        <v>2004.315127873534</v>
      </c>
      <c r="G520" s="9">
        <v>514</v>
      </c>
      <c r="H520" s="10">
        <v>-616.95092558306476</v>
      </c>
      <c r="I520" s="9">
        <v>514</v>
      </c>
      <c r="J520" s="167">
        <v>-461.90065976015416</v>
      </c>
    </row>
    <row r="521" spans="1:10" x14ac:dyDescent="0.35">
      <c r="A521" s="170">
        <v>515</v>
      </c>
      <c r="B521" s="10">
        <v>1498.8524469103163</v>
      </c>
      <c r="C521" s="9">
        <v>515</v>
      </c>
      <c r="D521" s="10">
        <v>528.28223123940609</v>
      </c>
      <c r="E521" s="9">
        <v>515</v>
      </c>
      <c r="F521" s="10">
        <v>8778.2695365676718</v>
      </c>
      <c r="G521" s="9">
        <v>515</v>
      </c>
      <c r="H521" s="10">
        <v>218.18615062238428</v>
      </c>
      <c r="I521" s="9">
        <v>515</v>
      </c>
      <c r="J521" s="167">
        <v>1373.1353247815825</v>
      </c>
    </row>
    <row r="522" spans="1:10" x14ac:dyDescent="0.35">
      <c r="A522" s="170">
        <v>516</v>
      </c>
      <c r="B522" s="10">
        <v>2007.6688925079302</v>
      </c>
      <c r="C522" s="9">
        <v>516</v>
      </c>
      <c r="D522" s="10">
        <v>419.21098540904882</v>
      </c>
      <c r="E522" s="9">
        <v>516</v>
      </c>
      <c r="F522" s="10">
        <v>-2910.9805473646511</v>
      </c>
      <c r="G522" s="9">
        <v>516</v>
      </c>
      <c r="H522" s="10">
        <v>-3604.2206018452566</v>
      </c>
      <c r="I522" s="9">
        <v>516</v>
      </c>
      <c r="J522" s="167">
        <v>-3238.5581708014338</v>
      </c>
    </row>
    <row r="523" spans="1:10" x14ac:dyDescent="0.35">
      <c r="A523" s="170">
        <v>517</v>
      </c>
      <c r="B523" s="10">
        <v>1352.3738495105654</v>
      </c>
      <c r="C523" s="9">
        <v>517</v>
      </c>
      <c r="D523" s="10">
        <v>339.25986863542528</v>
      </c>
      <c r="E523" s="9">
        <v>517</v>
      </c>
      <c r="F523" s="10">
        <v>535.50411034290846</v>
      </c>
      <c r="G523" s="9">
        <v>517</v>
      </c>
      <c r="H523" s="10">
        <v>560.49438908209379</v>
      </c>
      <c r="I523" s="9">
        <v>517</v>
      </c>
      <c r="J523" s="167">
        <v>-3016.194086320269</v>
      </c>
    </row>
    <row r="524" spans="1:10" x14ac:dyDescent="0.35">
      <c r="A524" s="170">
        <v>518</v>
      </c>
      <c r="B524" s="10">
        <v>1866.0123852504439</v>
      </c>
      <c r="C524" s="9">
        <v>518</v>
      </c>
      <c r="D524" s="10">
        <v>351.04359209026649</v>
      </c>
      <c r="E524" s="9">
        <v>518</v>
      </c>
      <c r="F524" s="10">
        <v>6137.8658992178298</v>
      </c>
      <c r="G524" s="9">
        <v>518</v>
      </c>
      <c r="H524" s="10">
        <v>-3572.2567651842151</v>
      </c>
      <c r="I524" s="9">
        <v>518</v>
      </c>
      <c r="J524" s="167">
        <v>-173.42305749131671</v>
      </c>
    </row>
    <row r="525" spans="1:10" x14ac:dyDescent="0.35">
      <c r="A525" s="170">
        <v>519</v>
      </c>
      <c r="B525" s="10">
        <v>3796.4620165186743</v>
      </c>
      <c r="C525" s="9">
        <v>519</v>
      </c>
      <c r="D525" s="10">
        <v>330.90751189682203</v>
      </c>
      <c r="E525" s="9">
        <v>519</v>
      </c>
      <c r="F525" s="10">
        <v>5190.2134733654748</v>
      </c>
      <c r="G525" s="9">
        <v>519</v>
      </c>
      <c r="H525" s="10">
        <v>3480.1122043188211</v>
      </c>
      <c r="I525" s="9">
        <v>519</v>
      </c>
      <c r="J525" s="167">
        <v>2137.6564764579334</v>
      </c>
    </row>
    <row r="526" spans="1:10" x14ac:dyDescent="0.35">
      <c r="A526" s="170">
        <v>520</v>
      </c>
      <c r="B526" s="10">
        <v>2395.1360937054692</v>
      </c>
      <c r="C526" s="9">
        <v>520</v>
      </c>
      <c r="D526" s="10">
        <v>496.81151505350238</v>
      </c>
      <c r="E526" s="9">
        <v>520</v>
      </c>
      <c r="F526" s="10">
        <v>3614.0718714314171</v>
      </c>
      <c r="G526" s="9">
        <v>520</v>
      </c>
      <c r="H526" s="10">
        <v>1115.4612365769653</v>
      </c>
      <c r="I526" s="9">
        <v>520</v>
      </c>
      <c r="J526" s="167">
        <v>1899.0456033084129</v>
      </c>
    </row>
    <row r="527" spans="1:10" x14ac:dyDescent="0.35">
      <c r="A527" s="170">
        <v>521</v>
      </c>
      <c r="B527" s="10">
        <v>1005.7521984870227</v>
      </c>
      <c r="C527" s="9">
        <v>521</v>
      </c>
      <c r="D527" s="10">
        <v>398.18668778104211</v>
      </c>
      <c r="E527" s="9">
        <v>521</v>
      </c>
      <c r="F527" s="10">
        <v>-1806.2571167115939</v>
      </c>
      <c r="G527" s="9">
        <v>521</v>
      </c>
      <c r="H527" s="10">
        <v>1095.2756675433566</v>
      </c>
      <c r="I527" s="9">
        <v>521</v>
      </c>
      <c r="J527" s="167">
        <v>1007.3184902200596</v>
      </c>
    </row>
    <row r="528" spans="1:10" x14ac:dyDescent="0.35">
      <c r="A528" s="170">
        <v>522</v>
      </c>
      <c r="B528" s="10">
        <v>4340.5866887540305</v>
      </c>
      <c r="C528" s="9">
        <v>522</v>
      </c>
      <c r="D528" s="10">
        <v>482.38088963734805</v>
      </c>
      <c r="E528" s="9">
        <v>522</v>
      </c>
      <c r="F528" s="10">
        <v>4272.7787879020871</v>
      </c>
      <c r="G528" s="9">
        <v>522</v>
      </c>
      <c r="H528" s="10">
        <v>-3052.6350870480842</v>
      </c>
      <c r="I528" s="9">
        <v>522</v>
      </c>
      <c r="J528" s="167">
        <v>3388.4243172658762</v>
      </c>
    </row>
    <row r="529" spans="1:10" x14ac:dyDescent="0.35">
      <c r="A529" s="170">
        <v>523</v>
      </c>
      <c r="B529" s="10">
        <v>2230.7044625814106</v>
      </c>
      <c r="C529" s="9">
        <v>523</v>
      </c>
      <c r="D529" s="10">
        <v>333.25602206715757</v>
      </c>
      <c r="E529" s="9">
        <v>523</v>
      </c>
      <c r="F529" s="10">
        <v>1743.1173179452765</v>
      </c>
      <c r="G529" s="9">
        <v>523</v>
      </c>
      <c r="H529" s="10">
        <v>-521.79123249437805</v>
      </c>
      <c r="I529" s="9">
        <v>523</v>
      </c>
      <c r="J529" s="167">
        <v>5076.4483169804571</v>
      </c>
    </row>
    <row r="530" spans="1:10" x14ac:dyDescent="0.35">
      <c r="A530" s="170">
        <v>524</v>
      </c>
      <c r="B530" s="10">
        <v>2299.2018297562554</v>
      </c>
      <c r="C530" s="9">
        <v>524</v>
      </c>
      <c r="D530" s="10">
        <v>368.99578320023647</v>
      </c>
      <c r="E530" s="9">
        <v>524</v>
      </c>
      <c r="F530" s="10">
        <v>1838.3285204109084</v>
      </c>
      <c r="G530" s="9">
        <v>524</v>
      </c>
      <c r="H530" s="10">
        <v>-5740.7291705124808</v>
      </c>
      <c r="I530" s="9">
        <v>524</v>
      </c>
      <c r="J530" s="167">
        <v>681.13825224665538</v>
      </c>
    </row>
    <row r="531" spans="1:10" x14ac:dyDescent="0.35">
      <c r="A531" s="170">
        <v>525</v>
      </c>
      <c r="B531" s="10">
        <v>3375.8380837803493</v>
      </c>
      <c r="C531" s="9">
        <v>525</v>
      </c>
      <c r="D531" s="10">
        <v>424.94658171869639</v>
      </c>
      <c r="E531" s="9">
        <v>525</v>
      </c>
      <c r="F531" s="10">
        <v>-899.48087620499473</v>
      </c>
      <c r="G531" s="9">
        <v>525</v>
      </c>
      <c r="H531" s="10">
        <v>-8606.5128421878071</v>
      </c>
      <c r="I531" s="9">
        <v>525</v>
      </c>
      <c r="J531" s="167">
        <v>-4028.8836877548756</v>
      </c>
    </row>
    <row r="532" spans="1:10" x14ac:dyDescent="0.35">
      <c r="A532" s="170">
        <v>526</v>
      </c>
      <c r="B532" s="10">
        <v>952.07753918752451</v>
      </c>
      <c r="C532" s="9">
        <v>526</v>
      </c>
      <c r="D532" s="10">
        <v>433.4716558632233</v>
      </c>
      <c r="E532" s="9">
        <v>526</v>
      </c>
      <c r="F532" s="10">
        <v>8208.0822582012679</v>
      </c>
      <c r="G532" s="9">
        <v>526</v>
      </c>
      <c r="H532" s="10">
        <v>1616.308904444506</v>
      </c>
      <c r="I532" s="9">
        <v>526</v>
      </c>
      <c r="J532" s="167">
        <v>3446.278933838656</v>
      </c>
    </row>
    <row r="533" spans="1:10" x14ac:dyDescent="0.35">
      <c r="A533" s="170">
        <v>527</v>
      </c>
      <c r="B533" s="10">
        <v>3773.8783670658836</v>
      </c>
      <c r="C533" s="9">
        <v>527</v>
      </c>
      <c r="D533" s="10">
        <v>501.76083269675934</v>
      </c>
      <c r="E533" s="9">
        <v>527</v>
      </c>
      <c r="F533" s="10">
        <v>3717.1945852863028</v>
      </c>
      <c r="G533" s="9">
        <v>527</v>
      </c>
      <c r="H533" s="10">
        <v>-5230.7432256238744</v>
      </c>
      <c r="I533" s="9">
        <v>527</v>
      </c>
      <c r="J533" s="167">
        <v>-75.148193453480474</v>
      </c>
    </row>
    <row r="534" spans="1:10" x14ac:dyDescent="0.35">
      <c r="A534" s="170">
        <v>528</v>
      </c>
      <c r="B534" s="10">
        <v>1365.4057236245285</v>
      </c>
      <c r="C534" s="9">
        <v>528</v>
      </c>
      <c r="D534" s="10">
        <v>397.96216586555181</v>
      </c>
      <c r="E534" s="9">
        <v>528</v>
      </c>
      <c r="F534" s="10">
        <v>9729.3456544535766</v>
      </c>
      <c r="G534" s="9">
        <v>528</v>
      </c>
      <c r="H534" s="10">
        <v>-650.51050312888776</v>
      </c>
      <c r="I534" s="9">
        <v>528</v>
      </c>
      <c r="J534" s="167">
        <v>-2322.5883331645391</v>
      </c>
    </row>
    <row r="535" spans="1:10" x14ac:dyDescent="0.35">
      <c r="A535" s="170">
        <v>529</v>
      </c>
      <c r="B535" s="10">
        <v>4050.3967985773743</v>
      </c>
      <c r="C535" s="9">
        <v>529</v>
      </c>
      <c r="D535" s="10">
        <v>407.7716236028063</v>
      </c>
      <c r="E535" s="9">
        <v>529</v>
      </c>
      <c r="F535" s="10">
        <v>-43.945290319408286</v>
      </c>
      <c r="G535" s="9">
        <v>529</v>
      </c>
      <c r="H535" s="10">
        <v>-2568.3096517132722</v>
      </c>
      <c r="I535" s="9">
        <v>529</v>
      </c>
      <c r="J535" s="167">
        <v>-7573.5149660657444</v>
      </c>
    </row>
    <row r="536" spans="1:10" x14ac:dyDescent="0.35">
      <c r="A536" s="170">
        <v>530</v>
      </c>
      <c r="B536" s="10">
        <v>3326.4459284356958</v>
      </c>
      <c r="C536" s="9">
        <v>530</v>
      </c>
      <c r="D536" s="10">
        <v>346.34165391106217</v>
      </c>
      <c r="E536" s="9">
        <v>530</v>
      </c>
      <c r="F536" s="10">
        <v>3503.1260446134324</v>
      </c>
      <c r="G536" s="9">
        <v>530</v>
      </c>
      <c r="H536" s="10">
        <v>2609.7704409391704</v>
      </c>
      <c r="I536" s="9">
        <v>530</v>
      </c>
      <c r="J536" s="167">
        <v>-3754.5598516498744</v>
      </c>
    </row>
    <row r="537" spans="1:10" x14ac:dyDescent="0.35">
      <c r="A537" s="170">
        <v>531</v>
      </c>
      <c r="B537" s="10">
        <v>2579.6383410320477</v>
      </c>
      <c r="C537" s="9">
        <v>531</v>
      </c>
      <c r="D537" s="10">
        <v>303.0158631251926</v>
      </c>
      <c r="E537" s="9">
        <v>531</v>
      </c>
      <c r="F537" s="10">
        <v>2262.2215880250956</v>
      </c>
      <c r="G537" s="9">
        <v>531</v>
      </c>
      <c r="H537" s="10">
        <v>-82.895760811512446</v>
      </c>
      <c r="I537" s="9">
        <v>531</v>
      </c>
      <c r="J537" s="167">
        <v>-2317.9340551767173</v>
      </c>
    </row>
    <row r="538" spans="1:10" x14ac:dyDescent="0.35">
      <c r="A538" s="170">
        <v>532</v>
      </c>
      <c r="B538" s="10">
        <v>2403.4895699197791</v>
      </c>
      <c r="C538" s="9">
        <v>532</v>
      </c>
      <c r="D538" s="10">
        <v>495.33060288877016</v>
      </c>
      <c r="E538" s="9">
        <v>532</v>
      </c>
      <c r="F538" s="10">
        <v>5310.8194941884822</v>
      </c>
      <c r="G538" s="9">
        <v>532</v>
      </c>
      <c r="H538" s="10">
        <v>-3655.0926027163873</v>
      </c>
      <c r="I538" s="9">
        <v>532</v>
      </c>
      <c r="J538" s="167">
        <v>3459.7220529456395</v>
      </c>
    </row>
    <row r="539" spans="1:10" x14ac:dyDescent="0.35">
      <c r="A539" s="170">
        <v>533</v>
      </c>
      <c r="B539" s="10">
        <v>1729.5836523035023</v>
      </c>
      <c r="C539" s="9">
        <v>533</v>
      </c>
      <c r="D539" s="10">
        <v>393.96826217581162</v>
      </c>
      <c r="E539" s="9">
        <v>533</v>
      </c>
      <c r="F539" s="10">
        <v>-338.10830869062465</v>
      </c>
      <c r="G539" s="9">
        <v>533</v>
      </c>
      <c r="H539" s="10">
        <v>483.71294525425105</v>
      </c>
      <c r="I539" s="9">
        <v>533</v>
      </c>
      <c r="J539" s="167">
        <v>2724.9678718245514</v>
      </c>
    </row>
    <row r="540" spans="1:10" x14ac:dyDescent="0.35">
      <c r="A540" s="170">
        <v>534</v>
      </c>
      <c r="B540" s="10">
        <v>2236.1264976181465</v>
      </c>
      <c r="C540" s="9">
        <v>534</v>
      </c>
      <c r="D540" s="10">
        <v>375.94886520450359</v>
      </c>
      <c r="E540" s="9">
        <v>534</v>
      </c>
      <c r="F540" s="10">
        <v>4475.2274296677351</v>
      </c>
      <c r="G540" s="9">
        <v>534</v>
      </c>
      <c r="H540" s="10">
        <v>451.94678787729998</v>
      </c>
      <c r="I540" s="9">
        <v>534</v>
      </c>
      <c r="J540" s="167">
        <v>3187.8794265770362</v>
      </c>
    </row>
    <row r="541" spans="1:10" x14ac:dyDescent="0.35">
      <c r="A541" s="170">
        <v>535</v>
      </c>
      <c r="B541" s="10">
        <v>3756.6400575426474</v>
      </c>
      <c r="C541" s="9">
        <v>535</v>
      </c>
      <c r="D541" s="10">
        <v>278.07066991689965</v>
      </c>
      <c r="E541" s="9">
        <v>535</v>
      </c>
      <c r="F541" s="10">
        <v>4818.2376757849697</v>
      </c>
      <c r="G541" s="9">
        <v>535</v>
      </c>
      <c r="H541" s="10">
        <v>2467.7646861299486</v>
      </c>
      <c r="I541" s="9">
        <v>535</v>
      </c>
      <c r="J541" s="167">
        <v>294.26835327738172</v>
      </c>
    </row>
    <row r="542" spans="1:10" x14ac:dyDescent="0.35">
      <c r="A542" s="170">
        <v>536</v>
      </c>
      <c r="B542" s="10">
        <v>1879.0685543822603</v>
      </c>
      <c r="C542" s="9">
        <v>536</v>
      </c>
      <c r="D542" s="10">
        <v>418.07262062055435</v>
      </c>
      <c r="E542" s="9">
        <v>536</v>
      </c>
      <c r="F542" s="10">
        <v>4305.1772276510892</v>
      </c>
      <c r="G542" s="9">
        <v>536</v>
      </c>
      <c r="H542" s="10">
        <v>2559.4493391941051</v>
      </c>
      <c r="I542" s="9">
        <v>536</v>
      </c>
      <c r="J542" s="167">
        <v>-1461.1135254163335</v>
      </c>
    </row>
    <row r="543" spans="1:10" x14ac:dyDescent="0.35">
      <c r="A543" s="170">
        <v>537</v>
      </c>
      <c r="B543" s="10">
        <v>3245.1671638094203</v>
      </c>
      <c r="C543" s="9">
        <v>537</v>
      </c>
      <c r="D543" s="10">
        <v>495.28945706589508</v>
      </c>
      <c r="E543" s="9">
        <v>537</v>
      </c>
      <c r="F543" s="10">
        <v>2726.9445310114029</v>
      </c>
      <c r="G543" s="9">
        <v>537</v>
      </c>
      <c r="H543" s="10">
        <v>595.86116382996954</v>
      </c>
      <c r="I543" s="9">
        <v>537</v>
      </c>
      <c r="J543" s="167">
        <v>1630.4212921187827</v>
      </c>
    </row>
    <row r="544" spans="1:10" x14ac:dyDescent="0.35">
      <c r="A544" s="170">
        <v>538</v>
      </c>
      <c r="B544" s="10">
        <v>4587.505875853667</v>
      </c>
      <c r="C544" s="9">
        <v>538</v>
      </c>
      <c r="D544" s="10">
        <v>565.87128362157989</v>
      </c>
      <c r="E544" s="9">
        <v>538</v>
      </c>
      <c r="F544" s="10">
        <v>5787.0684321440913</v>
      </c>
      <c r="G544" s="9">
        <v>538</v>
      </c>
      <c r="H544" s="10">
        <v>4646.3622457577048</v>
      </c>
      <c r="I544" s="9">
        <v>538</v>
      </c>
      <c r="J544" s="167">
        <v>-3810.5034315021144</v>
      </c>
    </row>
    <row r="545" spans="1:10" x14ac:dyDescent="0.35">
      <c r="A545" s="170">
        <v>539</v>
      </c>
      <c r="B545" s="10">
        <v>1759.5075704027145</v>
      </c>
      <c r="C545" s="9">
        <v>539</v>
      </c>
      <c r="D545" s="10">
        <v>450.37456794082505</v>
      </c>
      <c r="E545" s="9">
        <v>539</v>
      </c>
      <c r="F545" s="10">
        <v>4343.8404058007127</v>
      </c>
      <c r="G545" s="9">
        <v>539</v>
      </c>
      <c r="H545" s="10">
        <v>2853.4965127426467</v>
      </c>
      <c r="I545" s="9">
        <v>539</v>
      </c>
      <c r="J545" s="167">
        <v>-2506.3374839687244</v>
      </c>
    </row>
    <row r="546" spans="1:10" x14ac:dyDescent="0.35">
      <c r="A546" s="170">
        <v>540</v>
      </c>
      <c r="B546" s="10">
        <v>2458.5962474691264</v>
      </c>
      <c r="C546" s="9">
        <v>540</v>
      </c>
      <c r="D546" s="10">
        <v>296.79802295852687</v>
      </c>
      <c r="E546" s="9">
        <v>540</v>
      </c>
      <c r="F546" s="10">
        <v>-4496.6641609569997</v>
      </c>
      <c r="G546" s="9">
        <v>540</v>
      </c>
      <c r="H546" s="10">
        <v>4833.296001376556</v>
      </c>
      <c r="I546" s="9">
        <v>540</v>
      </c>
      <c r="J546" s="167">
        <v>-3393.3353279362209</v>
      </c>
    </row>
    <row r="547" spans="1:10" x14ac:dyDescent="0.35">
      <c r="A547" s="170">
        <v>541</v>
      </c>
      <c r="B547" s="10">
        <v>830.30974937706083</v>
      </c>
      <c r="C547" s="9">
        <v>541</v>
      </c>
      <c r="D547" s="10">
        <v>418.00676223712236</v>
      </c>
      <c r="E547" s="9">
        <v>541</v>
      </c>
      <c r="F547" s="10">
        <v>404.99405789862067</v>
      </c>
      <c r="G547" s="9">
        <v>541</v>
      </c>
      <c r="H547" s="10">
        <v>1623.3760594382015</v>
      </c>
      <c r="I547" s="9">
        <v>541</v>
      </c>
      <c r="J547" s="167">
        <v>-3359.1659506736023</v>
      </c>
    </row>
    <row r="548" spans="1:10" x14ac:dyDescent="0.35">
      <c r="A548" s="170">
        <v>542</v>
      </c>
      <c r="B548" s="10">
        <v>2573.8414559932658</v>
      </c>
      <c r="C548" s="9">
        <v>542</v>
      </c>
      <c r="D548" s="10">
        <v>417.16012231781303</v>
      </c>
      <c r="E548" s="9">
        <v>542</v>
      </c>
      <c r="F548" s="10">
        <v>3420.8939915132796</v>
      </c>
      <c r="G548" s="9">
        <v>542</v>
      </c>
      <c r="H548" s="10">
        <v>530.78066096387624</v>
      </c>
      <c r="I548" s="9">
        <v>542</v>
      </c>
      <c r="J548" s="167">
        <v>-2930.8230898310921</v>
      </c>
    </row>
    <row r="549" spans="1:10" x14ac:dyDescent="0.35">
      <c r="A549" s="170">
        <v>543</v>
      </c>
      <c r="B549" s="10">
        <v>177.07472801596077</v>
      </c>
      <c r="C549" s="9">
        <v>543</v>
      </c>
      <c r="D549" s="10">
        <v>406.40911933695554</v>
      </c>
      <c r="E549" s="9">
        <v>543</v>
      </c>
      <c r="F549" s="10">
        <v>4914.0577864286697</v>
      </c>
      <c r="G549" s="9">
        <v>543</v>
      </c>
      <c r="H549" s="10">
        <v>5743.0358671933109</v>
      </c>
      <c r="I549" s="9">
        <v>543</v>
      </c>
      <c r="J549" s="167">
        <v>5473.6020992115664</v>
      </c>
    </row>
    <row r="550" spans="1:10" x14ac:dyDescent="0.35">
      <c r="A550" s="170">
        <v>544</v>
      </c>
      <c r="B550" s="10">
        <v>1132.3877180118554</v>
      </c>
      <c r="C550" s="9">
        <v>544</v>
      </c>
      <c r="D550" s="10">
        <v>365.67582646657831</v>
      </c>
      <c r="E550" s="9">
        <v>544</v>
      </c>
      <c r="F550" s="10">
        <v>3302.1152033833314</v>
      </c>
      <c r="G550" s="9">
        <v>544</v>
      </c>
      <c r="H550" s="10">
        <v>-1792.7329692239473</v>
      </c>
      <c r="I550" s="9">
        <v>544</v>
      </c>
      <c r="J550" s="167">
        <v>480.87737497941907</v>
      </c>
    </row>
    <row r="551" spans="1:10" x14ac:dyDescent="0.35">
      <c r="A551" s="170">
        <v>545</v>
      </c>
      <c r="B551" s="10">
        <v>6126.424103573605</v>
      </c>
      <c r="C551" s="9">
        <v>545</v>
      </c>
      <c r="D551" s="10">
        <v>360.81814748654409</v>
      </c>
      <c r="E551" s="9">
        <v>545</v>
      </c>
      <c r="F551" s="10">
        <v>5797.1498495760425</v>
      </c>
      <c r="G551" s="9">
        <v>545</v>
      </c>
      <c r="H551" s="10">
        <v>2720.8024276681394</v>
      </c>
      <c r="I551" s="9">
        <v>545</v>
      </c>
      <c r="J551" s="167">
        <v>2207.2069896273497</v>
      </c>
    </row>
    <row r="552" spans="1:10" x14ac:dyDescent="0.35">
      <c r="A552" s="170">
        <v>546</v>
      </c>
      <c r="B552" s="10">
        <v>2366.5983470701831</v>
      </c>
      <c r="C552" s="9">
        <v>546</v>
      </c>
      <c r="D552" s="10">
        <v>362.05665090546171</v>
      </c>
      <c r="E552" s="9">
        <v>546</v>
      </c>
      <c r="F552" s="10">
        <v>4143.780113944511</v>
      </c>
      <c r="G552" s="9">
        <v>546</v>
      </c>
      <c r="H552" s="10">
        <v>4529.9449231320004</v>
      </c>
      <c r="I552" s="9">
        <v>546</v>
      </c>
      <c r="J552" s="167">
        <v>-655.47686139314476</v>
      </c>
    </row>
    <row r="553" spans="1:10" x14ac:dyDescent="0.35">
      <c r="A553" s="170">
        <v>547</v>
      </c>
      <c r="B553" s="10">
        <v>4444.9688649489608</v>
      </c>
      <c r="C553" s="9">
        <v>547</v>
      </c>
      <c r="D553" s="10">
        <v>380.3314795107093</v>
      </c>
      <c r="E553" s="9">
        <v>547</v>
      </c>
      <c r="F553" s="10">
        <v>4548.0777780483768</v>
      </c>
      <c r="G553" s="9">
        <v>547</v>
      </c>
      <c r="H553" s="10">
        <v>4606.7458687719563</v>
      </c>
      <c r="I553" s="9">
        <v>547</v>
      </c>
      <c r="J553" s="167">
        <v>-3048.7329805125737</v>
      </c>
    </row>
    <row r="554" spans="1:10" x14ac:dyDescent="0.35">
      <c r="A554" s="170">
        <v>548</v>
      </c>
      <c r="B554" s="10">
        <v>2562.705243073608</v>
      </c>
      <c r="C554" s="9">
        <v>548</v>
      </c>
      <c r="D554" s="10">
        <v>362.87637482281696</v>
      </c>
      <c r="E554" s="9">
        <v>548</v>
      </c>
      <c r="F554" s="10">
        <v>-276.51800073942059</v>
      </c>
      <c r="G554" s="9">
        <v>548</v>
      </c>
      <c r="H554" s="10">
        <v>82.099055701376415</v>
      </c>
      <c r="I554" s="9">
        <v>548</v>
      </c>
      <c r="J554" s="167">
        <v>-4048.0186644945093</v>
      </c>
    </row>
    <row r="555" spans="1:10" x14ac:dyDescent="0.35">
      <c r="A555" s="170">
        <v>549</v>
      </c>
      <c r="B555" s="10">
        <v>3564.3423328485055</v>
      </c>
      <c r="C555" s="9">
        <v>549</v>
      </c>
      <c r="D555" s="10">
        <v>425.15707187304378</v>
      </c>
      <c r="E555" s="9">
        <v>549</v>
      </c>
      <c r="F555" s="10">
        <v>6103.100876031438</v>
      </c>
      <c r="G555" s="9">
        <v>549</v>
      </c>
      <c r="H555" s="10">
        <v>2552.5167385738773</v>
      </c>
      <c r="I555" s="9">
        <v>549</v>
      </c>
      <c r="J555" s="167">
        <v>-2355.9684910471447</v>
      </c>
    </row>
    <row r="556" spans="1:10" x14ac:dyDescent="0.35">
      <c r="A556" s="170">
        <v>550</v>
      </c>
      <c r="B556" s="10">
        <v>6694.1486835635415</v>
      </c>
      <c r="C556" s="9">
        <v>550</v>
      </c>
      <c r="D556" s="10">
        <v>539.5637007473415</v>
      </c>
      <c r="E556" s="9">
        <v>550</v>
      </c>
      <c r="F556" s="10">
        <v>2114.2274338165685</v>
      </c>
      <c r="G556" s="9">
        <v>550</v>
      </c>
      <c r="H556" s="10">
        <v>609.50912496944511</v>
      </c>
      <c r="I556" s="9">
        <v>550</v>
      </c>
      <c r="J556" s="167">
        <v>-4559.2499589583495</v>
      </c>
    </row>
    <row r="557" spans="1:10" x14ac:dyDescent="0.35">
      <c r="A557" s="170">
        <v>551</v>
      </c>
      <c r="B557" s="10">
        <v>3350.6712497968015</v>
      </c>
      <c r="C557" s="9">
        <v>551</v>
      </c>
      <c r="D557" s="10">
        <v>497.79668312377919</v>
      </c>
      <c r="E557" s="9">
        <v>551</v>
      </c>
      <c r="F557" s="10">
        <v>3769.5189782555744</v>
      </c>
      <c r="G557" s="9">
        <v>551</v>
      </c>
      <c r="H557" s="10">
        <v>3253.8916052038544</v>
      </c>
      <c r="I557" s="9">
        <v>551</v>
      </c>
      <c r="J557" s="167">
        <v>-4273.9717612925033</v>
      </c>
    </row>
    <row r="558" spans="1:10" x14ac:dyDescent="0.35">
      <c r="A558" s="170">
        <v>552</v>
      </c>
      <c r="B558" s="10">
        <v>5787.6194101225119</v>
      </c>
      <c r="C558" s="9">
        <v>552</v>
      </c>
      <c r="D558" s="10">
        <v>411.93954568849193</v>
      </c>
      <c r="E558" s="9">
        <v>552</v>
      </c>
      <c r="F558" s="10">
        <v>1986.4883313684613</v>
      </c>
      <c r="G558" s="9">
        <v>552</v>
      </c>
      <c r="H558" s="10">
        <v>693.26656649617235</v>
      </c>
      <c r="I558" s="9">
        <v>552</v>
      </c>
      <c r="J558" s="167">
        <v>3100.5478504522039</v>
      </c>
    </row>
    <row r="559" spans="1:10" x14ac:dyDescent="0.35">
      <c r="A559" s="170">
        <v>553</v>
      </c>
      <c r="B559" s="10">
        <v>2094.432900831232</v>
      </c>
      <c r="C559" s="9">
        <v>553</v>
      </c>
      <c r="D559" s="10">
        <v>360.93977071960023</v>
      </c>
      <c r="E559" s="9">
        <v>553</v>
      </c>
      <c r="F559" s="10">
        <v>-404.41405413418943</v>
      </c>
      <c r="G559" s="9">
        <v>553</v>
      </c>
      <c r="H559" s="10">
        <v>-2307.6261999558478</v>
      </c>
      <c r="I559" s="9">
        <v>553</v>
      </c>
      <c r="J559" s="167">
        <v>-2478.4998933547199</v>
      </c>
    </row>
    <row r="560" spans="1:10" x14ac:dyDescent="0.35">
      <c r="A560" s="170">
        <v>554</v>
      </c>
      <c r="B560" s="10">
        <v>3243.7388216316631</v>
      </c>
      <c r="C560" s="9">
        <v>554</v>
      </c>
      <c r="D560" s="10">
        <v>450.77452219707789</v>
      </c>
      <c r="E560" s="9">
        <v>554</v>
      </c>
      <c r="F560" s="10">
        <v>5614.1574830093614</v>
      </c>
      <c r="G560" s="9">
        <v>554</v>
      </c>
      <c r="H560" s="10">
        <v>-479.32570607773835</v>
      </c>
      <c r="I560" s="9">
        <v>554</v>
      </c>
      <c r="J560" s="167">
        <v>2162.4787492067962</v>
      </c>
    </row>
    <row r="561" spans="1:10" x14ac:dyDescent="0.35">
      <c r="A561" s="170">
        <v>555</v>
      </c>
      <c r="B561" s="10">
        <v>3470.0265775982889</v>
      </c>
      <c r="C561" s="9">
        <v>555</v>
      </c>
      <c r="D561" s="10">
        <v>429.41982277958886</v>
      </c>
      <c r="E561" s="9">
        <v>555</v>
      </c>
      <c r="F561" s="10">
        <v>6185.6120242978923</v>
      </c>
      <c r="G561" s="9">
        <v>555</v>
      </c>
      <c r="H561" s="10">
        <v>3381.1938947377002</v>
      </c>
      <c r="I561" s="9">
        <v>555</v>
      </c>
      <c r="J561" s="167">
        <v>-441.40815931651736</v>
      </c>
    </row>
    <row r="562" spans="1:10" x14ac:dyDescent="0.35">
      <c r="A562" s="170">
        <v>556</v>
      </c>
      <c r="B562" s="10">
        <v>3724.2427742246064</v>
      </c>
      <c r="C562" s="9">
        <v>556</v>
      </c>
      <c r="D562" s="10">
        <v>430.47559428787014</v>
      </c>
      <c r="E562" s="9">
        <v>556</v>
      </c>
      <c r="F562" s="10">
        <v>2591.047158305129</v>
      </c>
      <c r="G562" s="9">
        <v>556</v>
      </c>
      <c r="H562" s="10">
        <v>-4761.1801240887207</v>
      </c>
      <c r="I562" s="9">
        <v>556</v>
      </c>
      <c r="J562" s="167">
        <v>1395.3008916806536</v>
      </c>
    </row>
    <row r="563" spans="1:10" x14ac:dyDescent="0.35">
      <c r="A563" s="170">
        <v>557</v>
      </c>
      <c r="B563" s="10">
        <v>-1344.1735466739242</v>
      </c>
      <c r="C563" s="9">
        <v>557</v>
      </c>
      <c r="D563" s="10">
        <v>308.8142305837232</v>
      </c>
      <c r="E563" s="9">
        <v>557</v>
      </c>
      <c r="F563" s="10">
        <v>2260.4569446117466</v>
      </c>
      <c r="G563" s="9">
        <v>557</v>
      </c>
      <c r="H563" s="10">
        <v>-2004.211916090766</v>
      </c>
      <c r="I563" s="9">
        <v>557</v>
      </c>
      <c r="J563" s="167">
        <v>3950.0492363850476</v>
      </c>
    </row>
    <row r="564" spans="1:10" x14ac:dyDescent="0.35">
      <c r="A564" s="170">
        <v>558</v>
      </c>
      <c r="B564" s="10">
        <v>1224.0302763187392</v>
      </c>
      <c r="C564" s="9">
        <v>558</v>
      </c>
      <c r="D564" s="10">
        <v>452.41762849422093</v>
      </c>
      <c r="E564" s="9">
        <v>558</v>
      </c>
      <c r="F564" s="10">
        <v>3918.3480163365621</v>
      </c>
      <c r="G564" s="9">
        <v>558</v>
      </c>
      <c r="H564" s="10">
        <v>-806.43028793338829</v>
      </c>
      <c r="I564" s="9">
        <v>558</v>
      </c>
      <c r="J564" s="167">
        <v>-2449.9871125262721</v>
      </c>
    </row>
    <row r="565" spans="1:10" x14ac:dyDescent="0.35">
      <c r="A565" s="170">
        <v>559</v>
      </c>
      <c r="B565" s="10">
        <v>1828.0483043599193</v>
      </c>
      <c r="C565" s="9">
        <v>559</v>
      </c>
      <c r="D565" s="10">
        <v>291.68438477302084</v>
      </c>
      <c r="E565" s="9">
        <v>559</v>
      </c>
      <c r="F565" s="10">
        <v>2099.4889471534871</v>
      </c>
      <c r="G565" s="9">
        <v>559</v>
      </c>
      <c r="H565" s="10">
        <v>-1094.2934301474797</v>
      </c>
      <c r="I565" s="9">
        <v>559</v>
      </c>
      <c r="J565" s="167">
        <v>-147.28155214515658</v>
      </c>
    </row>
    <row r="566" spans="1:10" x14ac:dyDescent="0.35">
      <c r="A566" s="170">
        <v>560</v>
      </c>
      <c r="B566" s="10">
        <v>3577.1471008024141</v>
      </c>
      <c r="C566" s="9">
        <v>560</v>
      </c>
      <c r="D566" s="10">
        <v>333.19249528089006</v>
      </c>
      <c r="E566" s="9">
        <v>560</v>
      </c>
      <c r="F566" s="10">
        <v>1841.248098286821</v>
      </c>
      <c r="G566" s="9">
        <v>560</v>
      </c>
      <c r="H566" s="10">
        <v>383.08923056756936</v>
      </c>
      <c r="I566" s="9">
        <v>560</v>
      </c>
      <c r="J566" s="167">
        <v>2021.3738547180064</v>
      </c>
    </row>
    <row r="567" spans="1:10" x14ac:dyDescent="0.35">
      <c r="A567" s="170">
        <v>561</v>
      </c>
      <c r="B567" s="10">
        <v>2814.3824138911982</v>
      </c>
      <c r="C567" s="9">
        <v>561</v>
      </c>
      <c r="D567" s="10">
        <v>450.59851354657775</v>
      </c>
      <c r="E567" s="9">
        <v>561</v>
      </c>
      <c r="F567" s="10">
        <v>2040.1772413093681</v>
      </c>
      <c r="G567" s="9">
        <v>561</v>
      </c>
      <c r="H567" s="10">
        <v>2318.0771004237322</v>
      </c>
      <c r="I567" s="9">
        <v>561</v>
      </c>
      <c r="J567" s="167">
        <v>619.56199966338613</v>
      </c>
    </row>
    <row r="568" spans="1:10" x14ac:dyDescent="0.35">
      <c r="A568" s="170">
        <v>562</v>
      </c>
      <c r="B568" s="10">
        <v>1587.2379654423805</v>
      </c>
      <c r="C568" s="9">
        <v>562</v>
      </c>
      <c r="D568" s="10">
        <v>358.76665322638468</v>
      </c>
      <c r="E568" s="9">
        <v>562</v>
      </c>
      <c r="F568" s="10">
        <v>1250.2959377965328</v>
      </c>
      <c r="G568" s="9">
        <v>562</v>
      </c>
      <c r="H568" s="10">
        <v>-552.09516538697278</v>
      </c>
      <c r="I568" s="9">
        <v>562</v>
      </c>
      <c r="J568" s="167">
        <v>761.93523233185829</v>
      </c>
    </row>
    <row r="569" spans="1:10" x14ac:dyDescent="0.35">
      <c r="A569" s="170">
        <v>563</v>
      </c>
      <c r="B569" s="10">
        <v>946.17992797445118</v>
      </c>
      <c r="C569" s="9">
        <v>563</v>
      </c>
      <c r="D569" s="10">
        <v>378.58759529278882</v>
      </c>
      <c r="E569" s="9">
        <v>563</v>
      </c>
      <c r="F569" s="10">
        <v>-1426.1327169852602</v>
      </c>
      <c r="G569" s="9">
        <v>563</v>
      </c>
      <c r="H569" s="10">
        <v>3752.9319160924692</v>
      </c>
      <c r="I569" s="9">
        <v>563</v>
      </c>
      <c r="J569" s="167">
        <v>1574.7171054952785</v>
      </c>
    </row>
    <row r="570" spans="1:10" x14ac:dyDescent="0.35">
      <c r="A570" s="170">
        <v>564</v>
      </c>
      <c r="B570" s="10">
        <v>3158.1842551183368</v>
      </c>
      <c r="C570" s="9">
        <v>564</v>
      </c>
      <c r="D570" s="10">
        <v>436.08659701213213</v>
      </c>
      <c r="E570" s="9">
        <v>564</v>
      </c>
      <c r="F570" s="10">
        <v>-5244.5448464153496</v>
      </c>
      <c r="G570" s="9">
        <v>564</v>
      </c>
      <c r="H570" s="10">
        <v>-398.16247104457659</v>
      </c>
      <c r="I570" s="9">
        <v>564</v>
      </c>
      <c r="J570" s="167">
        <v>654.98792259734955</v>
      </c>
    </row>
    <row r="571" spans="1:10" x14ac:dyDescent="0.35">
      <c r="A571" s="170">
        <v>565</v>
      </c>
      <c r="B571" s="10">
        <v>579.31389159850596</v>
      </c>
      <c r="C571" s="9">
        <v>565</v>
      </c>
      <c r="D571" s="10">
        <v>498.7901160646511</v>
      </c>
      <c r="E571" s="9">
        <v>565</v>
      </c>
      <c r="F571" s="10">
        <v>7072.0415005423865</v>
      </c>
      <c r="G571" s="9">
        <v>565</v>
      </c>
      <c r="H571" s="10">
        <v>3759.6908386357909</v>
      </c>
      <c r="I571" s="9">
        <v>565</v>
      </c>
      <c r="J571" s="167">
        <v>-407.86780273318556</v>
      </c>
    </row>
    <row r="572" spans="1:10" x14ac:dyDescent="0.35">
      <c r="A572" s="170">
        <v>566</v>
      </c>
      <c r="B572" s="10">
        <v>3967.6593913532215</v>
      </c>
      <c r="C572" s="9">
        <v>566</v>
      </c>
      <c r="D572" s="10">
        <v>349.71726619786045</v>
      </c>
      <c r="E572" s="9">
        <v>566</v>
      </c>
      <c r="F572" s="10">
        <v>3843.9037237128605</v>
      </c>
      <c r="G572" s="9">
        <v>566</v>
      </c>
      <c r="H572" s="10">
        <v>-3857.6973662929372</v>
      </c>
      <c r="I572" s="9">
        <v>566</v>
      </c>
      <c r="J572" s="167">
        <v>-4128.9207291467665</v>
      </c>
    </row>
    <row r="573" spans="1:10" x14ac:dyDescent="0.35">
      <c r="A573" s="170">
        <v>567</v>
      </c>
      <c r="B573" s="10">
        <v>332.11945373081289</v>
      </c>
      <c r="C573" s="9">
        <v>567</v>
      </c>
      <c r="D573" s="10">
        <v>551.01835975085885</v>
      </c>
      <c r="E573" s="9">
        <v>567</v>
      </c>
      <c r="F573" s="10">
        <v>3623.0230860119045</v>
      </c>
      <c r="G573" s="9">
        <v>567</v>
      </c>
      <c r="H573" s="10">
        <v>2624.734904248171</v>
      </c>
      <c r="I573" s="9">
        <v>567</v>
      </c>
      <c r="J573" s="167">
        <v>3286.7204292026163</v>
      </c>
    </row>
    <row r="574" spans="1:10" x14ac:dyDescent="0.35">
      <c r="A574" s="170">
        <v>568</v>
      </c>
      <c r="B574" s="10">
        <v>807.76046430919905</v>
      </c>
      <c r="C574" s="9">
        <v>568</v>
      </c>
      <c r="D574" s="10">
        <v>459.7517004796519</v>
      </c>
      <c r="E574" s="9">
        <v>568</v>
      </c>
      <c r="F574" s="10">
        <v>1843.0717981197577</v>
      </c>
      <c r="G574" s="9">
        <v>568</v>
      </c>
      <c r="H574" s="10">
        <v>2251.7071467773744</v>
      </c>
      <c r="I574" s="9">
        <v>568</v>
      </c>
      <c r="J574" s="167">
        <v>255.71149935841311</v>
      </c>
    </row>
    <row r="575" spans="1:10" x14ac:dyDescent="0.35">
      <c r="A575" s="170">
        <v>569</v>
      </c>
      <c r="B575" s="10">
        <v>1728.4562299197974</v>
      </c>
      <c r="C575" s="9">
        <v>569</v>
      </c>
      <c r="D575" s="10">
        <v>423.09873409250406</v>
      </c>
      <c r="E575" s="9">
        <v>569</v>
      </c>
      <c r="F575" s="10">
        <v>6488.7037011895191</v>
      </c>
      <c r="G575" s="9">
        <v>569</v>
      </c>
      <c r="H575" s="10">
        <v>1028.132102065078</v>
      </c>
      <c r="I575" s="9">
        <v>569</v>
      </c>
      <c r="J575" s="167">
        <v>69.67880302168777</v>
      </c>
    </row>
    <row r="576" spans="1:10" x14ac:dyDescent="0.35">
      <c r="A576" s="170">
        <v>570</v>
      </c>
      <c r="B576" s="10">
        <v>2338.9092594243475</v>
      </c>
      <c r="C576" s="9">
        <v>570</v>
      </c>
      <c r="D576" s="10">
        <v>380.70037246122047</v>
      </c>
      <c r="E576" s="9">
        <v>570</v>
      </c>
      <c r="F576" s="10">
        <v>1091.3506123480197</v>
      </c>
      <c r="G576" s="9">
        <v>570</v>
      </c>
      <c r="H576" s="10">
        <v>5148.1670009271729</v>
      </c>
      <c r="I576" s="9">
        <v>570</v>
      </c>
      <c r="J576" s="167">
        <v>-483.41497991989496</v>
      </c>
    </row>
    <row r="577" spans="1:10" x14ac:dyDescent="0.35">
      <c r="A577" s="170">
        <v>571</v>
      </c>
      <c r="B577" s="10">
        <v>1107.904847769873</v>
      </c>
      <c r="C577" s="9">
        <v>571</v>
      </c>
      <c r="D577" s="10">
        <v>520.32343664315522</v>
      </c>
      <c r="E577" s="9">
        <v>571</v>
      </c>
      <c r="F577" s="10">
        <v>2736.6156905843286</v>
      </c>
      <c r="G577" s="9">
        <v>571</v>
      </c>
      <c r="H577" s="10">
        <v>3420.3644812796201</v>
      </c>
      <c r="I577" s="9">
        <v>571</v>
      </c>
      <c r="J577" s="167">
        <v>-1820.2656463310004</v>
      </c>
    </row>
    <row r="578" spans="1:10" x14ac:dyDescent="0.35">
      <c r="A578" s="170">
        <v>572</v>
      </c>
      <c r="B578" s="10">
        <v>3668.1304645691462</v>
      </c>
      <c r="C578" s="9">
        <v>572</v>
      </c>
      <c r="D578" s="10">
        <v>352.82003820377969</v>
      </c>
      <c r="E578" s="9">
        <v>572</v>
      </c>
      <c r="F578" s="10">
        <v>4864.2205604449719</v>
      </c>
      <c r="G578" s="9">
        <v>572</v>
      </c>
      <c r="H578" s="10">
        <v>1274.3873262466445</v>
      </c>
      <c r="I578" s="9">
        <v>572</v>
      </c>
      <c r="J578" s="167">
        <v>-2341.8469298763994</v>
      </c>
    </row>
    <row r="579" spans="1:10" x14ac:dyDescent="0.35">
      <c r="A579" s="170">
        <v>573</v>
      </c>
      <c r="B579" s="10">
        <v>6210.2405651870449</v>
      </c>
      <c r="C579" s="9">
        <v>573</v>
      </c>
      <c r="D579" s="10">
        <v>408.64176302146001</v>
      </c>
      <c r="E579" s="9">
        <v>573</v>
      </c>
      <c r="F579" s="10">
        <v>3055.9246292600324</v>
      </c>
      <c r="G579" s="9">
        <v>573</v>
      </c>
      <c r="H579" s="10">
        <v>1383.1822020135819</v>
      </c>
      <c r="I579" s="9">
        <v>573</v>
      </c>
      <c r="J579" s="167">
        <v>1574.7625297292873</v>
      </c>
    </row>
    <row r="580" spans="1:10" x14ac:dyDescent="0.35">
      <c r="A580" s="170">
        <v>574</v>
      </c>
      <c r="B580" s="10">
        <v>3264.9107043125196</v>
      </c>
      <c r="C580" s="9">
        <v>574</v>
      </c>
      <c r="D580" s="10">
        <v>313.80735238277157</v>
      </c>
      <c r="E580" s="9">
        <v>574</v>
      </c>
      <c r="F580" s="10">
        <v>5023.6369622031852</v>
      </c>
      <c r="G580" s="9">
        <v>574</v>
      </c>
      <c r="H580" s="10">
        <v>802.07184375884731</v>
      </c>
      <c r="I580" s="9">
        <v>574</v>
      </c>
      <c r="J580" s="167">
        <v>1768.6287612200244</v>
      </c>
    </row>
    <row r="581" spans="1:10" x14ac:dyDescent="0.35">
      <c r="A581" s="170">
        <v>575</v>
      </c>
      <c r="B581" s="10">
        <v>1430.6254776306109</v>
      </c>
      <c r="C581" s="9">
        <v>575</v>
      </c>
      <c r="D581" s="10">
        <v>357.43949239047163</v>
      </c>
      <c r="E581" s="9">
        <v>575</v>
      </c>
      <c r="F581" s="10">
        <v>3330.0768317530274</v>
      </c>
      <c r="G581" s="9">
        <v>575</v>
      </c>
      <c r="H581" s="10">
        <v>-857.83736056759255</v>
      </c>
      <c r="I581" s="9">
        <v>575</v>
      </c>
      <c r="J581" s="167">
        <v>2741.2080292182036</v>
      </c>
    </row>
    <row r="582" spans="1:10" x14ac:dyDescent="0.35">
      <c r="A582" s="170">
        <v>576</v>
      </c>
      <c r="B582" s="10">
        <v>406.6338248935358</v>
      </c>
      <c r="C582" s="9">
        <v>576</v>
      </c>
      <c r="D582" s="10">
        <v>373.99130990565851</v>
      </c>
      <c r="E582" s="9">
        <v>576</v>
      </c>
      <c r="F582" s="10">
        <v>6439.2700224902546</v>
      </c>
      <c r="G582" s="9">
        <v>576</v>
      </c>
      <c r="H582" s="10">
        <v>618.56646470245562</v>
      </c>
      <c r="I582" s="9">
        <v>576</v>
      </c>
      <c r="J582" s="167">
        <v>-2357.700450886653</v>
      </c>
    </row>
    <row r="583" spans="1:10" x14ac:dyDescent="0.35">
      <c r="A583" s="170">
        <v>577</v>
      </c>
      <c r="B583" s="10">
        <v>3301.9328676532978</v>
      </c>
      <c r="C583" s="9">
        <v>577</v>
      </c>
      <c r="D583" s="10">
        <v>214.68822134467072</v>
      </c>
      <c r="E583" s="9">
        <v>577</v>
      </c>
      <c r="F583" s="10">
        <v>4252.1032702937746</v>
      </c>
      <c r="G583" s="9">
        <v>577</v>
      </c>
      <c r="H583" s="10">
        <v>3351.1222052933367</v>
      </c>
      <c r="I583" s="9">
        <v>577</v>
      </c>
      <c r="J583" s="167">
        <v>-1008.5542608120141</v>
      </c>
    </row>
    <row r="584" spans="1:10" x14ac:dyDescent="0.35">
      <c r="A584" s="170">
        <v>578</v>
      </c>
      <c r="B584" s="10">
        <v>3222.5815573228492</v>
      </c>
      <c r="C584" s="9">
        <v>578</v>
      </c>
      <c r="D584" s="10">
        <v>405.61053159531355</v>
      </c>
      <c r="E584" s="9">
        <v>578</v>
      </c>
      <c r="F584" s="10">
        <v>2856.7673159244382</v>
      </c>
      <c r="G584" s="9">
        <v>578</v>
      </c>
      <c r="H584" s="10">
        <v>4101.1360731689929</v>
      </c>
      <c r="I584" s="9">
        <v>578</v>
      </c>
      <c r="J584" s="167">
        <v>706.92193396131006</v>
      </c>
    </row>
    <row r="585" spans="1:10" x14ac:dyDescent="0.35">
      <c r="A585" s="170">
        <v>579</v>
      </c>
      <c r="B585" s="10">
        <v>1964.5908661597655</v>
      </c>
      <c r="C585" s="9">
        <v>579</v>
      </c>
      <c r="D585" s="10">
        <v>255.38655084548813</v>
      </c>
      <c r="E585" s="9">
        <v>579</v>
      </c>
      <c r="F585" s="10">
        <v>4813.4729582452073</v>
      </c>
      <c r="G585" s="9">
        <v>579</v>
      </c>
      <c r="H585" s="10">
        <v>4755.1846745699731</v>
      </c>
      <c r="I585" s="9">
        <v>579</v>
      </c>
      <c r="J585" s="167">
        <v>53.88722715767517</v>
      </c>
    </row>
    <row r="586" spans="1:10" x14ac:dyDescent="0.35">
      <c r="A586" s="170">
        <v>580</v>
      </c>
      <c r="B586" s="10">
        <v>4356.8094975327895</v>
      </c>
      <c r="C586" s="9">
        <v>580</v>
      </c>
      <c r="D586" s="10">
        <v>463.5901609572557</v>
      </c>
      <c r="E586" s="9">
        <v>580</v>
      </c>
      <c r="F586" s="10">
        <v>-535.48504358235095</v>
      </c>
      <c r="G586" s="9">
        <v>580</v>
      </c>
      <c r="H586" s="10">
        <v>49.046042272915088</v>
      </c>
      <c r="I586" s="9">
        <v>580</v>
      </c>
      <c r="J586" s="167">
        <v>-936.17767428940101</v>
      </c>
    </row>
    <row r="587" spans="1:10" x14ac:dyDescent="0.35">
      <c r="A587" s="170">
        <v>581</v>
      </c>
      <c r="B587" s="10">
        <v>-1140.102380035752</v>
      </c>
      <c r="C587" s="9">
        <v>581</v>
      </c>
      <c r="D587" s="10">
        <v>381.8949511225224</v>
      </c>
      <c r="E587" s="9">
        <v>581</v>
      </c>
      <c r="F587" s="10">
        <v>4314.4048317522784</v>
      </c>
      <c r="G587" s="9">
        <v>581</v>
      </c>
      <c r="H587" s="10">
        <v>-900.24760365642476</v>
      </c>
      <c r="I587" s="9">
        <v>581</v>
      </c>
      <c r="J587" s="167">
        <v>-3433.6673106739108</v>
      </c>
    </row>
    <row r="588" spans="1:10" x14ac:dyDescent="0.35">
      <c r="A588" s="170">
        <v>582</v>
      </c>
      <c r="B588" s="10">
        <v>2280.5001503752396</v>
      </c>
      <c r="C588" s="9">
        <v>582</v>
      </c>
      <c r="D588" s="10">
        <v>371.75404112459609</v>
      </c>
      <c r="E588" s="9">
        <v>582</v>
      </c>
      <c r="F588" s="10">
        <v>2417.941975470254</v>
      </c>
      <c r="G588" s="9">
        <v>582</v>
      </c>
      <c r="H588" s="10">
        <v>850.40477221814058</v>
      </c>
      <c r="I588" s="9">
        <v>582</v>
      </c>
      <c r="J588" s="167">
        <v>-4651.0823949403075</v>
      </c>
    </row>
    <row r="589" spans="1:10" x14ac:dyDescent="0.35">
      <c r="A589" s="170">
        <v>583</v>
      </c>
      <c r="B589" s="10">
        <v>345.83909572619314</v>
      </c>
      <c r="C589" s="9">
        <v>583</v>
      </c>
      <c r="D589" s="10">
        <v>332.6011060305886</v>
      </c>
      <c r="E589" s="9">
        <v>583</v>
      </c>
      <c r="F589" s="10">
        <v>2627.8648140115615</v>
      </c>
      <c r="G589" s="9">
        <v>583</v>
      </c>
      <c r="H589" s="10">
        <v>496.21274658115755</v>
      </c>
      <c r="I589" s="9">
        <v>583</v>
      </c>
      <c r="J589" s="167">
        <v>-79.747167834079107</v>
      </c>
    </row>
    <row r="590" spans="1:10" x14ac:dyDescent="0.35">
      <c r="A590" s="170">
        <v>584</v>
      </c>
      <c r="B590" s="10">
        <v>2344.1914544487331</v>
      </c>
      <c r="C590" s="9">
        <v>584</v>
      </c>
      <c r="D590" s="10">
        <v>314.23831907927536</v>
      </c>
      <c r="E590" s="9">
        <v>584</v>
      </c>
      <c r="F590" s="10">
        <v>-4102.9714677157381</v>
      </c>
      <c r="G590" s="9">
        <v>584</v>
      </c>
      <c r="H590" s="10">
        <v>543.20995896069576</v>
      </c>
      <c r="I590" s="9">
        <v>584</v>
      </c>
      <c r="J590" s="167">
        <v>1888.5408135395583</v>
      </c>
    </row>
    <row r="591" spans="1:10" x14ac:dyDescent="0.35">
      <c r="A591" s="170">
        <v>585</v>
      </c>
      <c r="B591" s="10">
        <v>3521.4383176725078</v>
      </c>
      <c r="C591" s="9">
        <v>585</v>
      </c>
      <c r="D591" s="10">
        <v>471.38051341979622</v>
      </c>
      <c r="E591" s="9">
        <v>585</v>
      </c>
      <c r="F591" s="10">
        <v>-355.05424275637006</v>
      </c>
      <c r="G591" s="9">
        <v>585</v>
      </c>
      <c r="H591" s="10">
        <v>1423.898036464903</v>
      </c>
      <c r="I591" s="9">
        <v>585</v>
      </c>
      <c r="J591" s="167">
        <v>2031.3445529660498</v>
      </c>
    </row>
    <row r="592" spans="1:10" x14ac:dyDescent="0.35">
      <c r="A592" s="170">
        <v>586</v>
      </c>
      <c r="B592" s="10">
        <v>1462.0090007799874</v>
      </c>
      <c r="C592" s="9">
        <v>586</v>
      </c>
      <c r="D592" s="10">
        <v>401.34337753903679</v>
      </c>
      <c r="E592" s="9">
        <v>586</v>
      </c>
      <c r="F592" s="10">
        <v>2096.836091163455</v>
      </c>
      <c r="G592" s="9">
        <v>586</v>
      </c>
      <c r="H592" s="10">
        <v>-1611.0391026694492</v>
      </c>
      <c r="I592" s="9">
        <v>586</v>
      </c>
      <c r="J592" s="167">
        <v>1190.4681737704557</v>
      </c>
    </row>
    <row r="593" spans="1:10" x14ac:dyDescent="0.35">
      <c r="A593" s="170">
        <v>587</v>
      </c>
      <c r="B593" s="10">
        <v>1207.9441543517255</v>
      </c>
      <c r="C593" s="9">
        <v>587</v>
      </c>
      <c r="D593" s="10">
        <v>459.67890030190807</v>
      </c>
      <c r="E593" s="9">
        <v>587</v>
      </c>
      <c r="F593" s="10">
        <v>227.9287321875172</v>
      </c>
      <c r="G593" s="9">
        <v>587</v>
      </c>
      <c r="H593" s="10">
        <v>-4103.2217309957132</v>
      </c>
      <c r="I593" s="9">
        <v>587</v>
      </c>
      <c r="J593" s="167">
        <v>3542.0072180780198</v>
      </c>
    </row>
    <row r="594" spans="1:10" x14ac:dyDescent="0.35">
      <c r="A594" s="170">
        <v>588</v>
      </c>
      <c r="B594" s="10">
        <v>3827.6443503886862</v>
      </c>
      <c r="C594" s="9">
        <v>588</v>
      </c>
      <c r="D594" s="10">
        <v>384.1456791269793</v>
      </c>
      <c r="E594" s="9">
        <v>588</v>
      </c>
      <c r="F594" s="10">
        <v>3741.8023288807635</v>
      </c>
      <c r="G594" s="9">
        <v>588</v>
      </c>
      <c r="H594" s="10">
        <v>4185.965558724939</v>
      </c>
      <c r="I594" s="9">
        <v>588</v>
      </c>
      <c r="J594" s="167">
        <v>-2519.8300572723952</v>
      </c>
    </row>
    <row r="595" spans="1:10" x14ac:dyDescent="0.35">
      <c r="A595" s="170">
        <v>589</v>
      </c>
      <c r="B595" s="10">
        <v>1656.5823010744411</v>
      </c>
      <c r="C595" s="9">
        <v>589</v>
      </c>
      <c r="D595" s="10">
        <v>669.12507208874831</v>
      </c>
      <c r="E595" s="9">
        <v>589</v>
      </c>
      <c r="F595" s="10">
        <v>6460.2206893999046</v>
      </c>
      <c r="G595" s="9">
        <v>589</v>
      </c>
      <c r="H595" s="10">
        <v>680.83714923241132</v>
      </c>
      <c r="I595" s="9">
        <v>589</v>
      </c>
      <c r="J595" s="167">
        <v>-2102.4972011897335</v>
      </c>
    </row>
    <row r="596" spans="1:10" x14ac:dyDescent="0.35">
      <c r="A596" s="170">
        <v>590</v>
      </c>
      <c r="B596" s="10">
        <v>3121.1931358479674</v>
      </c>
      <c r="C596" s="9">
        <v>590</v>
      </c>
      <c r="D596" s="10">
        <v>395.00724563928065</v>
      </c>
      <c r="E596" s="9">
        <v>590</v>
      </c>
      <c r="F596" s="10">
        <v>178.8432002792706</v>
      </c>
      <c r="G596" s="9">
        <v>590</v>
      </c>
      <c r="H596" s="10">
        <v>-2931.5643369523305</v>
      </c>
      <c r="I596" s="9">
        <v>590</v>
      </c>
      <c r="J596" s="167">
        <v>-2449.6396166682289</v>
      </c>
    </row>
    <row r="597" spans="1:10" x14ac:dyDescent="0.35">
      <c r="A597" s="170">
        <v>591</v>
      </c>
      <c r="B597" s="10">
        <v>4111.8957611185997</v>
      </c>
      <c r="C597" s="9">
        <v>591</v>
      </c>
      <c r="D597" s="10">
        <v>490.17402349693873</v>
      </c>
      <c r="E597" s="9">
        <v>591</v>
      </c>
      <c r="F597" s="10">
        <v>4327.57657463126</v>
      </c>
      <c r="G597" s="9">
        <v>591</v>
      </c>
      <c r="H597" s="10">
        <v>-2891.2441904938855</v>
      </c>
      <c r="I597" s="9">
        <v>591</v>
      </c>
      <c r="J597" s="167">
        <v>854.16975422714222</v>
      </c>
    </row>
    <row r="598" spans="1:10" x14ac:dyDescent="0.35">
      <c r="A598" s="170">
        <v>592</v>
      </c>
      <c r="B598" s="10">
        <v>4631.0625202565407</v>
      </c>
      <c r="C598" s="9">
        <v>592</v>
      </c>
      <c r="D598" s="10">
        <v>400.91897081005595</v>
      </c>
      <c r="E598" s="9">
        <v>592</v>
      </c>
      <c r="F598" s="10">
        <v>4431.8923595937695</v>
      </c>
      <c r="G598" s="9">
        <v>592</v>
      </c>
      <c r="H598" s="10">
        <v>5787.6263724606542</v>
      </c>
      <c r="I598" s="9">
        <v>592</v>
      </c>
      <c r="J598" s="167">
        <v>1575.1287161858513</v>
      </c>
    </row>
    <row r="599" spans="1:10" x14ac:dyDescent="0.35">
      <c r="A599" s="170">
        <v>593</v>
      </c>
      <c r="B599" s="10">
        <v>1568.6323948891545</v>
      </c>
      <c r="C599" s="9">
        <v>593</v>
      </c>
      <c r="D599" s="10">
        <v>408.35634207005285</v>
      </c>
      <c r="E599" s="9">
        <v>593</v>
      </c>
      <c r="F599" s="10">
        <v>-531.41335689908101</v>
      </c>
      <c r="G599" s="9">
        <v>593</v>
      </c>
      <c r="H599" s="10">
        <v>-2952.5428916382866</v>
      </c>
      <c r="I599" s="9">
        <v>593</v>
      </c>
      <c r="J599" s="167">
        <v>-884.52000744570523</v>
      </c>
    </row>
    <row r="600" spans="1:10" x14ac:dyDescent="0.35">
      <c r="A600" s="170">
        <v>594</v>
      </c>
      <c r="B600" s="10">
        <v>5436.3256464143269</v>
      </c>
      <c r="C600" s="9">
        <v>594</v>
      </c>
      <c r="D600" s="10">
        <v>511.28079838598524</v>
      </c>
      <c r="E600" s="9">
        <v>594</v>
      </c>
      <c r="F600" s="10">
        <v>7130.5293762218935</v>
      </c>
      <c r="G600" s="9">
        <v>594</v>
      </c>
      <c r="H600" s="10">
        <v>1342.0524183933076</v>
      </c>
      <c r="I600" s="9">
        <v>594</v>
      </c>
      <c r="J600" s="167">
        <v>323.60699354489373</v>
      </c>
    </row>
    <row r="601" spans="1:10" x14ac:dyDescent="0.35">
      <c r="A601" s="170">
        <v>595</v>
      </c>
      <c r="B601" s="10">
        <v>2599.1264550722613</v>
      </c>
      <c r="C601" s="9">
        <v>595</v>
      </c>
      <c r="D601" s="10">
        <v>305.15079455904066</v>
      </c>
      <c r="E601" s="9">
        <v>595</v>
      </c>
      <c r="F601" s="10">
        <v>-1310.8396344760213</v>
      </c>
      <c r="G601" s="9">
        <v>595</v>
      </c>
      <c r="H601" s="10">
        <v>205.15512995508789</v>
      </c>
      <c r="I601" s="9">
        <v>595</v>
      </c>
      <c r="J601" s="167">
        <v>2265.3039055246409</v>
      </c>
    </row>
    <row r="602" spans="1:10" x14ac:dyDescent="0.35">
      <c r="A602" s="170">
        <v>596</v>
      </c>
      <c r="B602" s="10">
        <v>609.00095167878953</v>
      </c>
      <c r="C602" s="9">
        <v>596</v>
      </c>
      <c r="D602" s="10">
        <v>470.70881665002457</v>
      </c>
      <c r="E602" s="9">
        <v>596</v>
      </c>
      <c r="F602" s="10">
        <v>-2457.9166325719189</v>
      </c>
      <c r="G602" s="9">
        <v>596</v>
      </c>
      <c r="H602" s="10">
        <v>1250.7118114363034</v>
      </c>
      <c r="I602" s="9">
        <v>596</v>
      </c>
      <c r="J602" s="167">
        <v>-652.96450941273702</v>
      </c>
    </row>
    <row r="603" spans="1:10" x14ac:dyDescent="0.35">
      <c r="A603" s="170">
        <v>597</v>
      </c>
      <c r="B603" s="10">
        <v>3250.3625860464185</v>
      </c>
      <c r="C603" s="9">
        <v>597</v>
      </c>
      <c r="D603" s="10">
        <v>363.59024500069165</v>
      </c>
      <c r="E603" s="9">
        <v>597</v>
      </c>
      <c r="F603" s="10">
        <v>-1043.5168173021784</v>
      </c>
      <c r="G603" s="9">
        <v>597</v>
      </c>
      <c r="H603" s="10">
        <v>2321.2903512144167</v>
      </c>
      <c r="I603" s="9">
        <v>597</v>
      </c>
      <c r="J603" s="167">
        <v>-733.24565983556977</v>
      </c>
    </row>
    <row r="604" spans="1:10" x14ac:dyDescent="0.35">
      <c r="A604" s="170">
        <v>598</v>
      </c>
      <c r="B604" s="10">
        <v>4776.4250642045681</v>
      </c>
      <c r="C604" s="9">
        <v>598</v>
      </c>
      <c r="D604" s="10">
        <v>462.28723587312049</v>
      </c>
      <c r="E604" s="9">
        <v>598</v>
      </c>
      <c r="F604" s="10">
        <v>904.14163355795904</v>
      </c>
      <c r="G604" s="9">
        <v>598</v>
      </c>
      <c r="H604" s="10">
        <v>349.91318561130907</v>
      </c>
      <c r="I604" s="9">
        <v>598</v>
      </c>
      <c r="J604" s="167">
        <v>149.07974441844408</v>
      </c>
    </row>
    <row r="605" spans="1:10" x14ac:dyDescent="0.35">
      <c r="A605" s="170">
        <v>599</v>
      </c>
      <c r="B605" s="10">
        <v>3011.7036051949349</v>
      </c>
      <c r="C605" s="9">
        <v>599</v>
      </c>
      <c r="D605" s="10">
        <v>375.25884105913246</v>
      </c>
      <c r="E605" s="9">
        <v>599</v>
      </c>
      <c r="F605" s="10">
        <v>5638.0931902224047</v>
      </c>
      <c r="G605" s="9">
        <v>599</v>
      </c>
      <c r="H605" s="10">
        <v>1888.9848554971486</v>
      </c>
      <c r="I605" s="9">
        <v>599</v>
      </c>
      <c r="J605" s="167">
        <v>-427.31191115682583</v>
      </c>
    </row>
    <row r="606" spans="1:10" x14ac:dyDescent="0.35">
      <c r="A606" s="170">
        <v>600</v>
      </c>
      <c r="B606" s="10">
        <v>883.96798404669789</v>
      </c>
      <c r="C606" s="9">
        <v>600</v>
      </c>
      <c r="D606" s="10">
        <v>283.92061088887147</v>
      </c>
      <c r="E606" s="9">
        <v>600</v>
      </c>
      <c r="F606" s="10">
        <v>2113.7174429378301</v>
      </c>
      <c r="G606" s="9">
        <v>600</v>
      </c>
      <c r="H606" s="10">
        <v>-3978.5004550472827</v>
      </c>
      <c r="I606" s="9">
        <v>600</v>
      </c>
      <c r="J606" s="167">
        <v>520.93141521700079</v>
      </c>
    </row>
    <row r="607" spans="1:10" x14ac:dyDescent="0.35">
      <c r="A607" s="170">
        <v>601</v>
      </c>
      <c r="B607" s="10">
        <v>946.47806420482948</v>
      </c>
      <c r="C607" s="9">
        <v>601</v>
      </c>
      <c r="D607" s="10">
        <v>409.41275516167832</v>
      </c>
      <c r="E607" s="9">
        <v>601</v>
      </c>
      <c r="F607" s="10">
        <v>4318.4988130868633</v>
      </c>
      <c r="G607" s="9">
        <v>601</v>
      </c>
      <c r="H607" s="10">
        <v>-1787.1455162873772</v>
      </c>
      <c r="I607" s="9">
        <v>601</v>
      </c>
      <c r="J607" s="167">
        <v>-1155.0865550337962</v>
      </c>
    </row>
    <row r="608" spans="1:10" x14ac:dyDescent="0.35">
      <c r="A608" s="170">
        <v>602</v>
      </c>
      <c r="B608" s="10">
        <v>4129.9620329517311</v>
      </c>
      <c r="C608" s="9">
        <v>602</v>
      </c>
      <c r="D608" s="10">
        <v>421.80179191345849</v>
      </c>
      <c r="E608" s="9">
        <v>602</v>
      </c>
      <c r="F608" s="10">
        <v>5008.5673594027357</v>
      </c>
      <c r="G608" s="9">
        <v>602</v>
      </c>
      <c r="H608" s="10">
        <v>-449.82622929653883</v>
      </c>
      <c r="I608" s="9">
        <v>602</v>
      </c>
      <c r="J608" s="167">
        <v>-710.6339131311845</v>
      </c>
    </row>
    <row r="609" spans="1:10" x14ac:dyDescent="0.35">
      <c r="A609" s="170">
        <v>603</v>
      </c>
      <c r="B609" s="10">
        <v>2235.0445537057608</v>
      </c>
      <c r="C609" s="9">
        <v>603</v>
      </c>
      <c r="D609" s="10">
        <v>455.28836052752365</v>
      </c>
      <c r="E609" s="9">
        <v>603</v>
      </c>
      <c r="F609" s="10">
        <v>2426.3549410063097</v>
      </c>
      <c r="G609" s="9">
        <v>603</v>
      </c>
      <c r="H609" s="10">
        <v>308.56678189569664</v>
      </c>
      <c r="I609" s="9">
        <v>603</v>
      </c>
      <c r="J609" s="167">
        <v>-1475.9876902550927</v>
      </c>
    </row>
    <row r="610" spans="1:10" x14ac:dyDescent="0.35">
      <c r="A610" s="170">
        <v>604</v>
      </c>
      <c r="B610" s="10">
        <v>4115.437186612985</v>
      </c>
      <c r="C610" s="9">
        <v>604</v>
      </c>
      <c r="D610" s="10">
        <v>267.62937766493815</v>
      </c>
      <c r="E610" s="9">
        <v>604</v>
      </c>
      <c r="F610" s="10">
        <v>248.71893895679341</v>
      </c>
      <c r="G610" s="9">
        <v>604</v>
      </c>
      <c r="H610" s="10">
        <v>-897.46666341415551</v>
      </c>
      <c r="I610" s="9">
        <v>604</v>
      </c>
      <c r="J610" s="167">
        <v>-470.12429892388946</v>
      </c>
    </row>
    <row r="611" spans="1:10" x14ac:dyDescent="0.35">
      <c r="A611" s="170">
        <v>605</v>
      </c>
      <c r="B611" s="10">
        <v>163.02568776534554</v>
      </c>
      <c r="C611" s="9">
        <v>605</v>
      </c>
      <c r="D611" s="10">
        <v>340.44497867275845</v>
      </c>
      <c r="E611" s="9">
        <v>605</v>
      </c>
      <c r="F611" s="10">
        <v>-182.29563291058412</v>
      </c>
      <c r="G611" s="9">
        <v>605</v>
      </c>
      <c r="H611" s="10">
        <v>-1407.616373339557</v>
      </c>
      <c r="I611" s="9">
        <v>605</v>
      </c>
      <c r="J611" s="167">
        <v>-1092.6294157630873</v>
      </c>
    </row>
    <row r="612" spans="1:10" x14ac:dyDescent="0.35">
      <c r="A612" s="170">
        <v>606</v>
      </c>
      <c r="B612" s="10">
        <v>1059.9635042792199</v>
      </c>
      <c r="C612" s="9">
        <v>606</v>
      </c>
      <c r="D612" s="10">
        <v>290.82229949195136</v>
      </c>
      <c r="E612" s="9">
        <v>606</v>
      </c>
      <c r="F612" s="10">
        <v>1827.3228861425137</v>
      </c>
      <c r="G612" s="9">
        <v>606</v>
      </c>
      <c r="H612" s="10">
        <v>746.23078675190027</v>
      </c>
      <c r="I612" s="9">
        <v>606</v>
      </c>
      <c r="J612" s="167">
        <v>581.42880062320421</v>
      </c>
    </row>
    <row r="613" spans="1:10" x14ac:dyDescent="0.35">
      <c r="A613" s="170">
        <v>607</v>
      </c>
      <c r="B613" s="10">
        <v>1069.9980637271717</v>
      </c>
      <c r="C613" s="9">
        <v>607</v>
      </c>
      <c r="D613" s="10">
        <v>331.22520480874027</v>
      </c>
      <c r="E613" s="9">
        <v>607</v>
      </c>
      <c r="F613" s="10">
        <v>1358.686898898213</v>
      </c>
      <c r="G613" s="9">
        <v>607</v>
      </c>
      <c r="H613" s="10">
        <v>5613.4990644225354</v>
      </c>
      <c r="I613" s="9">
        <v>607</v>
      </c>
      <c r="J613" s="167">
        <v>1634.792327122062</v>
      </c>
    </row>
    <row r="614" spans="1:10" x14ac:dyDescent="0.35">
      <c r="A614" s="170">
        <v>608</v>
      </c>
      <c r="B614" s="10">
        <v>3088.408080293204</v>
      </c>
      <c r="C614" s="9">
        <v>608</v>
      </c>
      <c r="D614" s="10">
        <v>385.20947089429205</v>
      </c>
      <c r="E614" s="9">
        <v>608</v>
      </c>
      <c r="F614" s="10">
        <v>6799.8778941720666</v>
      </c>
      <c r="G614" s="9">
        <v>608</v>
      </c>
      <c r="H614" s="10">
        <v>3212.161444525223</v>
      </c>
      <c r="I614" s="9">
        <v>608</v>
      </c>
      <c r="J614" s="167">
        <v>204.99440417348785</v>
      </c>
    </row>
    <row r="615" spans="1:10" x14ac:dyDescent="0.35">
      <c r="A615" s="170">
        <v>609</v>
      </c>
      <c r="B615" s="10">
        <v>3307.5939712328636</v>
      </c>
      <c r="C615" s="9">
        <v>609</v>
      </c>
      <c r="D615" s="10">
        <v>337.22577341913404</v>
      </c>
      <c r="E615" s="9">
        <v>609</v>
      </c>
      <c r="F615" s="10">
        <v>-2181.8058733936014</v>
      </c>
      <c r="G615" s="9">
        <v>609</v>
      </c>
      <c r="H615" s="10">
        <v>-2305.2072894114131</v>
      </c>
      <c r="I615" s="9">
        <v>609</v>
      </c>
      <c r="J615" s="167">
        <v>1408.3853695030766</v>
      </c>
    </row>
    <row r="616" spans="1:10" x14ac:dyDescent="0.35">
      <c r="A616" s="170">
        <v>610</v>
      </c>
      <c r="B616" s="10">
        <v>4233.5568670818448</v>
      </c>
      <c r="C616" s="9">
        <v>610</v>
      </c>
      <c r="D616" s="10">
        <v>376.43835622054513</v>
      </c>
      <c r="E616" s="9">
        <v>610</v>
      </c>
      <c r="F616" s="10">
        <v>5512.8720557534307</v>
      </c>
      <c r="G616" s="9">
        <v>610</v>
      </c>
      <c r="H616" s="10">
        <v>3375.1589409009871</v>
      </c>
      <c r="I616" s="9">
        <v>610</v>
      </c>
      <c r="J616" s="167">
        <v>4505.9834581526593</v>
      </c>
    </row>
    <row r="617" spans="1:10" x14ac:dyDescent="0.35">
      <c r="A617" s="170">
        <v>611</v>
      </c>
      <c r="B617" s="10">
        <v>1088.7631995092054</v>
      </c>
      <c r="C617" s="9">
        <v>611</v>
      </c>
      <c r="D617" s="10">
        <v>293.49430440293338</v>
      </c>
      <c r="E617" s="9">
        <v>611</v>
      </c>
      <c r="F617" s="10">
        <v>-2404.7373003999237</v>
      </c>
      <c r="G617" s="9">
        <v>611</v>
      </c>
      <c r="H617" s="10">
        <v>3197.7416861231832</v>
      </c>
      <c r="I617" s="9">
        <v>611</v>
      </c>
      <c r="J617" s="167">
        <v>-1645.2066894698662</v>
      </c>
    </row>
    <row r="618" spans="1:10" x14ac:dyDescent="0.35">
      <c r="A618" s="170">
        <v>612</v>
      </c>
      <c r="B618" s="10">
        <v>3656.6678290965096</v>
      </c>
      <c r="C618" s="9">
        <v>612</v>
      </c>
      <c r="D618" s="10">
        <v>223.36098848254781</v>
      </c>
      <c r="E618" s="9">
        <v>612</v>
      </c>
      <c r="F618" s="10">
        <v>9385.2232992604913</v>
      </c>
      <c r="G618" s="9">
        <v>612</v>
      </c>
      <c r="H618" s="10">
        <v>-532.24377462384575</v>
      </c>
      <c r="I618" s="9">
        <v>612</v>
      </c>
      <c r="J618" s="167">
        <v>-1079.0264861070914</v>
      </c>
    </row>
    <row r="619" spans="1:10" x14ac:dyDescent="0.35">
      <c r="A619" s="170">
        <v>613</v>
      </c>
      <c r="B619" s="10">
        <v>731.23063377465769</v>
      </c>
      <c r="C619" s="9">
        <v>613</v>
      </c>
      <c r="D619" s="10">
        <v>394.84247374890674</v>
      </c>
      <c r="E619" s="9">
        <v>613</v>
      </c>
      <c r="F619" s="10">
        <v>2252.2601592937162</v>
      </c>
      <c r="G619" s="9">
        <v>613</v>
      </c>
      <c r="H619" s="10">
        <v>-3441.0510817600175</v>
      </c>
      <c r="I619" s="9">
        <v>613</v>
      </c>
      <c r="J619" s="167">
        <v>-1947.6149784418117</v>
      </c>
    </row>
    <row r="620" spans="1:10" x14ac:dyDescent="0.35">
      <c r="A620" s="170">
        <v>614</v>
      </c>
      <c r="B620" s="10">
        <v>2914.5425832075425</v>
      </c>
      <c r="C620" s="9">
        <v>614</v>
      </c>
      <c r="D620" s="10">
        <v>493.39336462555224</v>
      </c>
      <c r="E620" s="9">
        <v>614</v>
      </c>
      <c r="F620" s="10">
        <v>4843.4019577711333</v>
      </c>
      <c r="G620" s="9">
        <v>614</v>
      </c>
      <c r="H620" s="10">
        <v>3970.4450980896099</v>
      </c>
      <c r="I620" s="9">
        <v>614</v>
      </c>
      <c r="J620" s="167">
        <v>-3086.7966745161648</v>
      </c>
    </row>
    <row r="621" spans="1:10" x14ac:dyDescent="0.35">
      <c r="A621" s="170">
        <v>615</v>
      </c>
      <c r="B621" s="10">
        <v>-230.49175349680127</v>
      </c>
      <c r="C621" s="9">
        <v>615</v>
      </c>
      <c r="D621" s="10">
        <v>302.54905196802332</v>
      </c>
      <c r="E621" s="9">
        <v>615</v>
      </c>
      <c r="F621" s="10">
        <v>54.538230426949667</v>
      </c>
      <c r="G621" s="9">
        <v>615</v>
      </c>
      <c r="H621" s="10">
        <v>4376.7426320065506</v>
      </c>
      <c r="I621" s="9">
        <v>615</v>
      </c>
      <c r="J621" s="167">
        <v>1868.7959482743649</v>
      </c>
    </row>
    <row r="622" spans="1:10" x14ac:dyDescent="0.35">
      <c r="A622" s="170">
        <v>616</v>
      </c>
      <c r="B622" s="10">
        <v>1460.1189634696689</v>
      </c>
      <c r="C622" s="9">
        <v>616</v>
      </c>
      <c r="D622" s="10">
        <v>424.28172564050419</v>
      </c>
      <c r="E622" s="9">
        <v>616</v>
      </c>
      <c r="F622" s="10">
        <v>661.93038586843704</v>
      </c>
      <c r="G622" s="9">
        <v>616</v>
      </c>
      <c r="H622" s="10">
        <v>-2206.1564532888715</v>
      </c>
      <c r="I622" s="9">
        <v>616</v>
      </c>
      <c r="J622" s="167">
        <v>-1858.4758116119742</v>
      </c>
    </row>
    <row r="623" spans="1:10" x14ac:dyDescent="0.35">
      <c r="A623" s="170">
        <v>617</v>
      </c>
      <c r="B623" s="10">
        <v>1488.19699826648</v>
      </c>
      <c r="C623" s="9">
        <v>617</v>
      </c>
      <c r="D623" s="10">
        <v>489.52838596347152</v>
      </c>
      <c r="E623" s="9">
        <v>617</v>
      </c>
      <c r="F623" s="10">
        <v>1149.0063671049199</v>
      </c>
      <c r="G623" s="9">
        <v>617</v>
      </c>
      <c r="H623" s="10">
        <v>-1132.712630557457</v>
      </c>
      <c r="I623" s="9">
        <v>617</v>
      </c>
      <c r="J623" s="167">
        <v>-1470.5249995399406</v>
      </c>
    </row>
    <row r="624" spans="1:10" x14ac:dyDescent="0.35">
      <c r="A624" s="170">
        <v>618</v>
      </c>
      <c r="B624" s="10">
        <v>1805.3873632315324</v>
      </c>
      <c r="C624" s="9">
        <v>618</v>
      </c>
      <c r="D624" s="10">
        <v>484.16360711477176</v>
      </c>
      <c r="E624" s="9">
        <v>618</v>
      </c>
      <c r="F624" s="10">
        <v>3212.9102172855323</v>
      </c>
      <c r="G624" s="9">
        <v>618</v>
      </c>
      <c r="H624" s="10">
        <v>-603.73310488100276</v>
      </c>
      <c r="I624" s="9">
        <v>618</v>
      </c>
      <c r="J624" s="167">
        <v>-3852.0885393040617</v>
      </c>
    </row>
    <row r="625" spans="1:10" x14ac:dyDescent="0.35">
      <c r="A625" s="170">
        <v>619</v>
      </c>
      <c r="B625" s="10">
        <v>1862.1919193785311</v>
      </c>
      <c r="C625" s="9">
        <v>619</v>
      </c>
      <c r="D625" s="10">
        <v>448.39494134526211</v>
      </c>
      <c r="E625" s="9">
        <v>619</v>
      </c>
      <c r="F625" s="10">
        <v>1309.8705305207666</v>
      </c>
      <c r="G625" s="9">
        <v>619</v>
      </c>
      <c r="H625" s="10">
        <v>4296.7259775342882</v>
      </c>
      <c r="I625" s="9">
        <v>619</v>
      </c>
      <c r="J625" s="167">
        <v>1916.3971390263891</v>
      </c>
    </row>
    <row r="626" spans="1:10" x14ac:dyDescent="0.35">
      <c r="A626" s="170">
        <v>620</v>
      </c>
      <c r="B626" s="10">
        <v>2783.029258489225</v>
      </c>
      <c r="C626" s="9">
        <v>620</v>
      </c>
      <c r="D626" s="10">
        <v>570.11131260082357</v>
      </c>
      <c r="E626" s="9">
        <v>620</v>
      </c>
      <c r="F626" s="10">
        <v>883.94680858693891</v>
      </c>
      <c r="G626" s="9">
        <v>620</v>
      </c>
      <c r="H626" s="10">
        <v>309.40186206426722</v>
      </c>
      <c r="I626" s="9">
        <v>620</v>
      </c>
      <c r="J626" s="167">
        <v>1655.9010473781909</v>
      </c>
    </row>
    <row r="627" spans="1:10" x14ac:dyDescent="0.35">
      <c r="A627" s="170">
        <v>621</v>
      </c>
      <c r="B627" s="10">
        <v>416.29788051663809</v>
      </c>
      <c r="C627" s="9">
        <v>621</v>
      </c>
      <c r="D627" s="10">
        <v>420.10601557721844</v>
      </c>
      <c r="E627" s="9">
        <v>621</v>
      </c>
      <c r="F627" s="10">
        <v>-1123.7125710509881</v>
      </c>
      <c r="G627" s="9">
        <v>621</v>
      </c>
      <c r="H627" s="10">
        <v>2289.6578518040264</v>
      </c>
      <c r="I627" s="9">
        <v>621</v>
      </c>
      <c r="J627" s="167">
        <v>-2432.8779463162464</v>
      </c>
    </row>
    <row r="628" spans="1:10" x14ac:dyDescent="0.35">
      <c r="A628" s="170">
        <v>622</v>
      </c>
      <c r="B628" s="10">
        <v>3108.025825368275</v>
      </c>
      <c r="C628" s="9">
        <v>622</v>
      </c>
      <c r="D628" s="10">
        <v>222.57940020061426</v>
      </c>
      <c r="E628" s="9">
        <v>622</v>
      </c>
      <c r="F628" s="10">
        <v>1758.6565942824418</v>
      </c>
      <c r="G628" s="9">
        <v>622</v>
      </c>
      <c r="H628" s="10">
        <v>6374.1661032736556</v>
      </c>
      <c r="I628" s="9">
        <v>622</v>
      </c>
      <c r="J628" s="167">
        <v>-1257.2957146764666</v>
      </c>
    </row>
    <row r="629" spans="1:10" x14ac:dyDescent="0.35">
      <c r="A629" s="170">
        <v>623</v>
      </c>
      <c r="B629" s="10">
        <v>562.15912731726075</v>
      </c>
      <c r="C629" s="9">
        <v>623</v>
      </c>
      <c r="D629" s="10">
        <v>456.03653542853226</v>
      </c>
      <c r="E629" s="9">
        <v>623</v>
      </c>
      <c r="F629" s="10">
        <v>6572.1526913569178</v>
      </c>
      <c r="G629" s="9">
        <v>623</v>
      </c>
      <c r="H629" s="10">
        <v>2182.7240566076212</v>
      </c>
      <c r="I629" s="9">
        <v>623</v>
      </c>
      <c r="J629" s="167">
        <v>-2714.3515615220072</v>
      </c>
    </row>
    <row r="630" spans="1:10" x14ac:dyDescent="0.35">
      <c r="A630" s="170">
        <v>624</v>
      </c>
      <c r="B630" s="10">
        <v>4107.2968089636342</v>
      </c>
      <c r="C630" s="9">
        <v>624</v>
      </c>
      <c r="D630" s="10">
        <v>419.39633684678086</v>
      </c>
      <c r="E630" s="9">
        <v>624</v>
      </c>
      <c r="F630" s="10">
        <v>-168.58081581509032</v>
      </c>
      <c r="G630" s="9">
        <v>624</v>
      </c>
      <c r="H630" s="10">
        <v>-1236.9461010602818</v>
      </c>
      <c r="I630" s="9">
        <v>624</v>
      </c>
      <c r="J630" s="167">
        <v>4631.4334756265671</v>
      </c>
    </row>
    <row r="631" spans="1:10" x14ac:dyDescent="0.35">
      <c r="A631" s="170">
        <v>625</v>
      </c>
      <c r="B631" s="10">
        <v>6720.5541028733533</v>
      </c>
      <c r="C631" s="9">
        <v>625</v>
      </c>
      <c r="D631" s="10">
        <v>399.5468908289206</v>
      </c>
      <c r="E631" s="9">
        <v>625</v>
      </c>
      <c r="F631" s="10">
        <v>2133.7502999789499</v>
      </c>
      <c r="G631" s="9">
        <v>625</v>
      </c>
      <c r="H631" s="10">
        <v>-385.0545168047164</v>
      </c>
      <c r="I631" s="9">
        <v>625</v>
      </c>
      <c r="J631" s="167">
        <v>-1311.2003164253433</v>
      </c>
    </row>
    <row r="632" spans="1:10" x14ac:dyDescent="0.35">
      <c r="A632" s="170">
        <v>626</v>
      </c>
      <c r="B632" s="10">
        <v>-349.18200092345114</v>
      </c>
      <c r="C632" s="9">
        <v>626</v>
      </c>
      <c r="D632" s="10">
        <v>436.03989952292181</v>
      </c>
      <c r="E632" s="9">
        <v>626</v>
      </c>
      <c r="F632" s="10">
        <v>785.61678292567035</v>
      </c>
      <c r="G632" s="9">
        <v>626</v>
      </c>
      <c r="H632" s="10">
        <v>4018.8992941229308</v>
      </c>
      <c r="I632" s="9">
        <v>626</v>
      </c>
      <c r="J632" s="167">
        <v>-2285.8896766009566</v>
      </c>
    </row>
    <row r="633" spans="1:10" x14ac:dyDescent="0.35">
      <c r="A633" s="170">
        <v>627</v>
      </c>
      <c r="B633" s="10">
        <v>2644.5748058891527</v>
      </c>
      <c r="C633" s="9">
        <v>627</v>
      </c>
      <c r="D633" s="10">
        <v>397.32242317721068</v>
      </c>
      <c r="E633" s="9">
        <v>627</v>
      </c>
      <c r="F633" s="10">
        <v>1945.7070700855224</v>
      </c>
      <c r="G633" s="9">
        <v>627</v>
      </c>
      <c r="H633" s="10">
        <v>4968.322892427178</v>
      </c>
      <c r="I633" s="9">
        <v>627</v>
      </c>
      <c r="J633" s="167">
        <v>-1078.1782534552563</v>
      </c>
    </row>
    <row r="634" spans="1:10" x14ac:dyDescent="0.35">
      <c r="A634" s="170">
        <v>628</v>
      </c>
      <c r="B634" s="10">
        <v>5039.9067478984789</v>
      </c>
      <c r="C634" s="9">
        <v>628</v>
      </c>
      <c r="D634" s="10">
        <v>476.54542694095466</v>
      </c>
      <c r="E634" s="9">
        <v>628</v>
      </c>
      <c r="F634" s="10">
        <v>1202.4029605842488</v>
      </c>
      <c r="G634" s="9">
        <v>628</v>
      </c>
      <c r="H634" s="10">
        <v>7594.4759143317297</v>
      </c>
      <c r="I634" s="9">
        <v>628</v>
      </c>
      <c r="J634" s="167">
        <v>-2569.8368473607043</v>
      </c>
    </row>
    <row r="635" spans="1:10" x14ac:dyDescent="0.35">
      <c r="A635" s="170">
        <v>629</v>
      </c>
      <c r="B635" s="10">
        <v>1459.8417581962242</v>
      </c>
      <c r="C635" s="9">
        <v>629</v>
      </c>
      <c r="D635" s="10">
        <v>402.29938712677745</v>
      </c>
      <c r="E635" s="9">
        <v>629</v>
      </c>
      <c r="F635" s="10">
        <v>5034.5189443481104</v>
      </c>
      <c r="G635" s="9">
        <v>629</v>
      </c>
      <c r="H635" s="10">
        <v>-2331.7107840912804</v>
      </c>
      <c r="I635" s="9">
        <v>629</v>
      </c>
      <c r="J635" s="167">
        <v>6582.7050396743361</v>
      </c>
    </row>
    <row r="636" spans="1:10" x14ac:dyDescent="0.35">
      <c r="A636" s="170">
        <v>630</v>
      </c>
      <c r="B636" s="10">
        <v>3609.4781627390844</v>
      </c>
      <c r="C636" s="9">
        <v>630</v>
      </c>
      <c r="D636" s="10">
        <v>191.57997757232928</v>
      </c>
      <c r="E636" s="9">
        <v>630</v>
      </c>
      <c r="F636" s="10">
        <v>1514.7116394018024</v>
      </c>
      <c r="G636" s="9">
        <v>630</v>
      </c>
      <c r="H636" s="10">
        <v>-2267.8087078268964</v>
      </c>
      <c r="I636" s="9">
        <v>630</v>
      </c>
      <c r="J636" s="167">
        <v>-1337.4679735436146</v>
      </c>
    </row>
    <row r="637" spans="1:10" x14ac:dyDescent="0.35">
      <c r="A637" s="170">
        <v>631</v>
      </c>
      <c r="B637" s="10">
        <v>3883.6710225692341</v>
      </c>
      <c r="C637" s="9">
        <v>631</v>
      </c>
      <c r="D637" s="10">
        <v>328.2486019905345</v>
      </c>
      <c r="E637" s="9">
        <v>631</v>
      </c>
      <c r="F637" s="10">
        <v>1868.0832802509328</v>
      </c>
      <c r="G637" s="9">
        <v>631</v>
      </c>
      <c r="H637" s="10">
        <v>-893.47520108490596</v>
      </c>
      <c r="I637" s="9">
        <v>631</v>
      </c>
      <c r="J637" s="167">
        <v>3177.4873654349431</v>
      </c>
    </row>
    <row r="638" spans="1:10" x14ac:dyDescent="0.35">
      <c r="A638" s="170">
        <v>632</v>
      </c>
      <c r="B638" s="10">
        <v>1221.659393018713</v>
      </c>
      <c r="C638" s="9">
        <v>632</v>
      </c>
      <c r="D638" s="10">
        <v>317.21457093777883</v>
      </c>
      <c r="E638" s="9">
        <v>632</v>
      </c>
      <c r="F638" s="10">
        <v>6406.3276216649556</v>
      </c>
      <c r="G638" s="9">
        <v>632</v>
      </c>
      <c r="H638" s="10">
        <v>3518.5236532429435</v>
      </c>
      <c r="I638" s="9">
        <v>632</v>
      </c>
      <c r="J638" s="167">
        <v>-6403.1733333769898</v>
      </c>
    </row>
    <row r="639" spans="1:10" x14ac:dyDescent="0.35">
      <c r="A639" s="170">
        <v>633</v>
      </c>
      <c r="B639" s="10">
        <v>3282.0175375821505</v>
      </c>
      <c r="C639" s="9">
        <v>633</v>
      </c>
      <c r="D639" s="10">
        <v>316.23869803204889</v>
      </c>
      <c r="E639" s="9">
        <v>633</v>
      </c>
      <c r="F639" s="10">
        <v>2291.2222815930963</v>
      </c>
      <c r="G639" s="9">
        <v>633</v>
      </c>
      <c r="H639" s="10">
        <v>-1764.2995741796854</v>
      </c>
      <c r="I639" s="9">
        <v>633</v>
      </c>
      <c r="J639" s="167">
        <v>1748.1188157157735</v>
      </c>
    </row>
    <row r="640" spans="1:10" x14ac:dyDescent="0.35">
      <c r="A640" s="170">
        <v>634</v>
      </c>
      <c r="B640" s="10">
        <v>2149.5837736005642</v>
      </c>
      <c r="C640" s="9">
        <v>634</v>
      </c>
      <c r="D640" s="10">
        <v>392.27752649434592</v>
      </c>
      <c r="E640" s="9">
        <v>634</v>
      </c>
      <c r="F640" s="10">
        <v>6203.3685697563124</v>
      </c>
      <c r="G640" s="9">
        <v>634</v>
      </c>
      <c r="H640" s="10">
        <v>-3670.4924935711756</v>
      </c>
      <c r="I640" s="9">
        <v>634</v>
      </c>
      <c r="J640" s="167">
        <v>-2132.1358334176684</v>
      </c>
    </row>
    <row r="641" spans="1:10" x14ac:dyDescent="0.35">
      <c r="A641" s="170">
        <v>635</v>
      </c>
      <c r="B641" s="10">
        <v>2876.7178708634001</v>
      </c>
      <c r="C641" s="9">
        <v>635</v>
      </c>
      <c r="D641" s="10">
        <v>268.78219464756069</v>
      </c>
      <c r="E641" s="9">
        <v>635</v>
      </c>
      <c r="F641" s="10">
        <v>-304.68426300372494</v>
      </c>
      <c r="G641" s="9">
        <v>635</v>
      </c>
      <c r="H641" s="10">
        <v>-1074.4114176513144</v>
      </c>
      <c r="I641" s="9">
        <v>635</v>
      </c>
      <c r="J641" s="167">
        <v>1315.0159235096764</v>
      </c>
    </row>
    <row r="642" spans="1:10" x14ac:dyDescent="0.35">
      <c r="A642" s="170">
        <v>636</v>
      </c>
      <c r="B642" s="10">
        <v>2878.1586596349962</v>
      </c>
      <c r="C642" s="9">
        <v>636</v>
      </c>
      <c r="D642" s="10">
        <v>369.48554085631747</v>
      </c>
      <c r="E642" s="9">
        <v>636</v>
      </c>
      <c r="F642" s="10">
        <v>2782.0533116283109</v>
      </c>
      <c r="G642" s="9">
        <v>636</v>
      </c>
      <c r="H642" s="10">
        <v>-2098.7901802912988</v>
      </c>
      <c r="I642" s="9">
        <v>636</v>
      </c>
      <c r="J642" s="167">
        <v>-52.735184282124067</v>
      </c>
    </row>
    <row r="643" spans="1:10" x14ac:dyDescent="0.35">
      <c r="A643" s="170">
        <v>637</v>
      </c>
      <c r="B643" s="10">
        <v>4564.145742372104</v>
      </c>
      <c r="C643" s="9">
        <v>637</v>
      </c>
      <c r="D643" s="10">
        <v>401.93820557853451</v>
      </c>
      <c r="E643" s="9">
        <v>637</v>
      </c>
      <c r="F643" s="10">
        <v>4217.361050035528</v>
      </c>
      <c r="G643" s="9">
        <v>637</v>
      </c>
      <c r="H643" s="10">
        <v>-4253.3017398965885</v>
      </c>
      <c r="I643" s="9">
        <v>637</v>
      </c>
      <c r="J643" s="167">
        <v>1701.9740160413166</v>
      </c>
    </row>
    <row r="644" spans="1:10" x14ac:dyDescent="0.35">
      <c r="A644" s="170">
        <v>638</v>
      </c>
      <c r="B644" s="10">
        <v>658.37355788321133</v>
      </c>
      <c r="C644" s="9">
        <v>638</v>
      </c>
      <c r="D644" s="10">
        <v>374.94751553957099</v>
      </c>
      <c r="E644" s="9">
        <v>638</v>
      </c>
      <c r="F644" s="10">
        <v>-6360.2237181379733</v>
      </c>
      <c r="G644" s="9">
        <v>638</v>
      </c>
      <c r="H644" s="10">
        <v>3629.5120808082661</v>
      </c>
      <c r="I644" s="9">
        <v>638</v>
      </c>
      <c r="J644" s="167">
        <v>1571.1265841538745</v>
      </c>
    </row>
    <row r="645" spans="1:10" x14ac:dyDescent="0.35">
      <c r="A645" s="170">
        <v>639</v>
      </c>
      <c r="B645" s="10">
        <v>3097.5321435325654</v>
      </c>
      <c r="C645" s="9">
        <v>639</v>
      </c>
      <c r="D645" s="10">
        <v>481.063198471855</v>
      </c>
      <c r="E645" s="9">
        <v>639</v>
      </c>
      <c r="F645" s="10">
        <v>6993.8904558898803</v>
      </c>
      <c r="G645" s="9">
        <v>639</v>
      </c>
      <c r="H645" s="10">
        <v>-814.76088859357958</v>
      </c>
      <c r="I645" s="9">
        <v>639</v>
      </c>
      <c r="J645" s="167">
        <v>-4582.1246790354071</v>
      </c>
    </row>
    <row r="646" spans="1:10" x14ac:dyDescent="0.35">
      <c r="A646" s="170">
        <v>640</v>
      </c>
      <c r="B646" s="10">
        <v>3032.9846447804607</v>
      </c>
      <c r="C646" s="9">
        <v>640</v>
      </c>
      <c r="D646" s="10">
        <v>437.06956057436878</v>
      </c>
      <c r="E646" s="9">
        <v>640</v>
      </c>
      <c r="F646" s="10">
        <v>1261.5219288822582</v>
      </c>
      <c r="G646" s="9">
        <v>640</v>
      </c>
      <c r="H646" s="10">
        <v>-3457.3877677080186</v>
      </c>
      <c r="I646" s="9">
        <v>640</v>
      </c>
      <c r="J646" s="167">
        <v>3066.0895304404094</v>
      </c>
    </row>
    <row r="647" spans="1:10" x14ac:dyDescent="0.35">
      <c r="A647" s="170">
        <v>641</v>
      </c>
      <c r="B647" s="10">
        <v>1835.4670764815319</v>
      </c>
      <c r="C647" s="9">
        <v>641</v>
      </c>
      <c r="D647" s="10">
        <v>318.97246063353515</v>
      </c>
      <c r="E647" s="9">
        <v>641</v>
      </c>
      <c r="F647" s="10">
        <v>-258.50891184059401</v>
      </c>
      <c r="G647" s="9">
        <v>641</v>
      </c>
      <c r="H647" s="10">
        <v>488.1420205175275</v>
      </c>
      <c r="I647" s="9">
        <v>641</v>
      </c>
      <c r="J647" s="167">
        <v>487.1747645451768</v>
      </c>
    </row>
    <row r="648" spans="1:10" x14ac:dyDescent="0.35">
      <c r="A648" s="170">
        <v>642</v>
      </c>
      <c r="B648" s="10">
        <v>4660.3387036864988</v>
      </c>
      <c r="C648" s="9">
        <v>642</v>
      </c>
      <c r="D648" s="10">
        <v>343.25699090273667</v>
      </c>
      <c r="E648" s="9">
        <v>642</v>
      </c>
      <c r="F648" s="10">
        <v>4083.4306967632206</v>
      </c>
      <c r="G648" s="9">
        <v>642</v>
      </c>
      <c r="H648" s="10">
        <v>-293.34258595745462</v>
      </c>
      <c r="I648" s="9">
        <v>642</v>
      </c>
      <c r="J648" s="167">
        <v>-3042.7762948401614</v>
      </c>
    </row>
    <row r="649" spans="1:10" x14ac:dyDescent="0.35">
      <c r="A649" s="170">
        <v>643</v>
      </c>
      <c r="B649" s="10">
        <v>699.7170425889999</v>
      </c>
      <c r="C649" s="9">
        <v>643</v>
      </c>
      <c r="D649" s="10">
        <v>478.39708654224631</v>
      </c>
      <c r="E649" s="9">
        <v>643</v>
      </c>
      <c r="F649" s="10">
        <v>-807.87851763209392</v>
      </c>
      <c r="G649" s="9">
        <v>643</v>
      </c>
      <c r="H649" s="10">
        <v>3092.9176742449445</v>
      </c>
      <c r="I649" s="9">
        <v>643</v>
      </c>
      <c r="J649" s="167">
        <v>3675.9533610814774</v>
      </c>
    </row>
    <row r="650" spans="1:10" x14ac:dyDescent="0.35">
      <c r="A650" s="170">
        <v>644</v>
      </c>
      <c r="B650" s="10">
        <v>3331.0249198282513</v>
      </c>
      <c r="C650" s="9">
        <v>644</v>
      </c>
      <c r="D650" s="10">
        <v>500.5433482996653</v>
      </c>
      <c r="E650" s="9">
        <v>644</v>
      </c>
      <c r="F650" s="10">
        <v>-98.277886756144198</v>
      </c>
      <c r="G650" s="9">
        <v>644</v>
      </c>
      <c r="H650" s="10">
        <v>2002.4896517048724</v>
      </c>
      <c r="I650" s="9">
        <v>644</v>
      </c>
      <c r="J650" s="167">
        <v>-1426.6914700831448</v>
      </c>
    </row>
    <row r="651" spans="1:10" x14ac:dyDescent="0.35">
      <c r="A651" s="170">
        <v>645</v>
      </c>
      <c r="B651" s="10">
        <v>2330.7787522390131</v>
      </c>
      <c r="C651" s="9">
        <v>645</v>
      </c>
      <c r="D651" s="10">
        <v>454.76805847868081</v>
      </c>
      <c r="E651" s="9">
        <v>645</v>
      </c>
      <c r="F651" s="10">
        <v>5317.4169982966987</v>
      </c>
      <c r="G651" s="9">
        <v>645</v>
      </c>
      <c r="H651" s="10">
        <v>1098.7755934194054</v>
      </c>
      <c r="I651" s="9">
        <v>645</v>
      </c>
      <c r="J651" s="167">
        <v>312.00070723833312</v>
      </c>
    </row>
    <row r="652" spans="1:10" x14ac:dyDescent="0.35">
      <c r="A652" s="170">
        <v>646</v>
      </c>
      <c r="B652" s="10">
        <v>4302.747062287096</v>
      </c>
      <c r="C652" s="9">
        <v>646</v>
      </c>
      <c r="D652" s="10">
        <v>395.94305560964142</v>
      </c>
      <c r="E652" s="9">
        <v>646</v>
      </c>
      <c r="F652" s="10">
        <v>7255.7711084686525</v>
      </c>
      <c r="G652" s="9">
        <v>646</v>
      </c>
      <c r="H652" s="10">
        <v>307.99177463852413</v>
      </c>
      <c r="I652" s="9">
        <v>646</v>
      </c>
      <c r="J652" s="167">
        <v>-1084.9138942348452</v>
      </c>
    </row>
    <row r="653" spans="1:10" x14ac:dyDescent="0.35">
      <c r="A653" s="170">
        <v>647</v>
      </c>
      <c r="B653" s="10">
        <v>2568.505955309894</v>
      </c>
      <c r="C653" s="9">
        <v>647</v>
      </c>
      <c r="D653" s="10">
        <v>585.34223270605514</v>
      </c>
      <c r="E653" s="9">
        <v>647</v>
      </c>
      <c r="F653" s="10">
        <v>5804.0190476682619</v>
      </c>
      <c r="G653" s="9">
        <v>647</v>
      </c>
      <c r="H653" s="10">
        <v>529.44412752434641</v>
      </c>
      <c r="I653" s="9">
        <v>647</v>
      </c>
      <c r="J653" s="167">
        <v>-2096.5157836028452</v>
      </c>
    </row>
    <row r="654" spans="1:10" x14ac:dyDescent="0.35">
      <c r="A654" s="170">
        <v>648</v>
      </c>
      <c r="B654" s="10">
        <v>2381.0766681073187</v>
      </c>
      <c r="C654" s="9">
        <v>648</v>
      </c>
      <c r="D654" s="10">
        <v>337.85342804363319</v>
      </c>
      <c r="E654" s="9">
        <v>648</v>
      </c>
      <c r="F654" s="10">
        <v>4622.070062436208</v>
      </c>
      <c r="G654" s="9">
        <v>648</v>
      </c>
      <c r="H654" s="10">
        <v>-582.48345774690972</v>
      </c>
      <c r="I654" s="9">
        <v>648</v>
      </c>
      <c r="J654" s="167">
        <v>-645.10382200943923</v>
      </c>
    </row>
    <row r="655" spans="1:10" x14ac:dyDescent="0.35">
      <c r="A655" s="170">
        <v>649</v>
      </c>
      <c r="B655" s="10">
        <v>2671.2338694286186</v>
      </c>
      <c r="C655" s="9">
        <v>649</v>
      </c>
      <c r="D655" s="10">
        <v>238.09644976999644</v>
      </c>
      <c r="E655" s="9">
        <v>649</v>
      </c>
      <c r="F655" s="10">
        <v>3666.1799230773399</v>
      </c>
      <c r="G655" s="9">
        <v>649</v>
      </c>
      <c r="H655" s="10">
        <v>4425.9609325516703</v>
      </c>
      <c r="I655" s="9">
        <v>649</v>
      </c>
      <c r="J655" s="167">
        <v>-3743.8452454647831</v>
      </c>
    </row>
    <row r="656" spans="1:10" x14ac:dyDescent="0.35">
      <c r="A656" s="170">
        <v>650</v>
      </c>
      <c r="B656" s="10">
        <v>2052.1176628711091</v>
      </c>
      <c r="C656" s="9">
        <v>650</v>
      </c>
      <c r="D656" s="10">
        <v>325.35584590924014</v>
      </c>
      <c r="E656" s="9">
        <v>650</v>
      </c>
      <c r="F656" s="10">
        <v>5511.9363842572766</v>
      </c>
      <c r="G656" s="9">
        <v>650</v>
      </c>
      <c r="H656" s="10">
        <v>1939.0365223404742</v>
      </c>
      <c r="I656" s="9">
        <v>650</v>
      </c>
      <c r="J656" s="167">
        <v>-5991.7628413799557</v>
      </c>
    </row>
    <row r="657" spans="1:10" x14ac:dyDescent="0.35">
      <c r="A657" s="170">
        <v>651</v>
      </c>
      <c r="B657" s="10">
        <v>3317.8176964541108</v>
      </c>
      <c r="C657" s="9">
        <v>651</v>
      </c>
      <c r="D657" s="10">
        <v>311.93891405695382</v>
      </c>
      <c r="E657" s="9">
        <v>651</v>
      </c>
      <c r="F657" s="10">
        <v>3103.6139123455087</v>
      </c>
      <c r="G657" s="9">
        <v>651</v>
      </c>
      <c r="H657" s="10">
        <v>243.12816921009954</v>
      </c>
      <c r="I657" s="9">
        <v>651</v>
      </c>
      <c r="J657" s="167">
        <v>-1736.6297334302108</v>
      </c>
    </row>
    <row r="658" spans="1:10" x14ac:dyDescent="0.35">
      <c r="A658" s="170">
        <v>652</v>
      </c>
      <c r="B658" s="10">
        <v>3335.8721970850888</v>
      </c>
      <c r="C658" s="9">
        <v>652</v>
      </c>
      <c r="D658" s="10">
        <v>300.02982956009697</v>
      </c>
      <c r="E658" s="9">
        <v>652</v>
      </c>
      <c r="F658" s="10">
        <v>2774.2497065508264</v>
      </c>
      <c r="G658" s="9">
        <v>652</v>
      </c>
      <c r="H658" s="10">
        <v>44.604482116962572</v>
      </c>
      <c r="I658" s="9">
        <v>652</v>
      </c>
      <c r="J658" s="167">
        <v>-197.5170820350379</v>
      </c>
    </row>
    <row r="659" spans="1:10" x14ac:dyDescent="0.35">
      <c r="A659" s="170">
        <v>653</v>
      </c>
      <c r="B659" s="10">
        <v>2088.8266231246989</v>
      </c>
      <c r="C659" s="9">
        <v>653</v>
      </c>
      <c r="D659" s="10">
        <v>450.60789982554616</v>
      </c>
      <c r="E659" s="9">
        <v>653</v>
      </c>
      <c r="F659" s="10">
        <v>1589.6602187406536</v>
      </c>
      <c r="G659" s="9">
        <v>653</v>
      </c>
      <c r="H659" s="10">
        <v>1567.4865768675436</v>
      </c>
      <c r="I659" s="9">
        <v>653</v>
      </c>
      <c r="J659" s="167">
        <v>-3390.4383871785808</v>
      </c>
    </row>
    <row r="660" spans="1:10" x14ac:dyDescent="0.35">
      <c r="A660" s="170">
        <v>654</v>
      </c>
      <c r="B660" s="10">
        <v>1589.0379065089073</v>
      </c>
      <c r="C660" s="9">
        <v>654</v>
      </c>
      <c r="D660" s="10">
        <v>452.28431239520341</v>
      </c>
      <c r="E660" s="9">
        <v>654</v>
      </c>
      <c r="F660" s="10">
        <v>6113.375264465999</v>
      </c>
      <c r="G660" s="9">
        <v>654</v>
      </c>
      <c r="H660" s="10">
        <v>3937.3458497328716</v>
      </c>
      <c r="I660" s="9">
        <v>654</v>
      </c>
      <c r="J660" s="167">
        <v>-98.715621609785956</v>
      </c>
    </row>
    <row r="661" spans="1:10" x14ac:dyDescent="0.35">
      <c r="A661" s="170">
        <v>655</v>
      </c>
      <c r="B661" s="10">
        <v>2362.079337075761</v>
      </c>
      <c r="C661" s="9">
        <v>655</v>
      </c>
      <c r="D661" s="10">
        <v>409.00594657490893</v>
      </c>
      <c r="E661" s="9">
        <v>655</v>
      </c>
      <c r="F661" s="10">
        <v>687.10576047274571</v>
      </c>
      <c r="G661" s="9">
        <v>655</v>
      </c>
      <c r="H661" s="10">
        <v>1344.1061188494482</v>
      </c>
      <c r="I661" s="9">
        <v>655</v>
      </c>
      <c r="J661" s="167">
        <v>31.617182548011442</v>
      </c>
    </row>
    <row r="662" spans="1:10" x14ac:dyDescent="0.35">
      <c r="A662" s="170">
        <v>656</v>
      </c>
      <c r="B662" s="10">
        <v>3640.0904382159029</v>
      </c>
      <c r="C662" s="9">
        <v>656</v>
      </c>
      <c r="D662" s="10">
        <v>482.88267779791079</v>
      </c>
      <c r="E662" s="9">
        <v>656</v>
      </c>
      <c r="F662" s="10">
        <v>1295.0143015464373</v>
      </c>
      <c r="G662" s="9">
        <v>656</v>
      </c>
      <c r="H662" s="10">
        <v>1008.4481638443765</v>
      </c>
      <c r="I662" s="9">
        <v>656</v>
      </c>
      <c r="J662" s="167">
        <v>-3504.1290979691726</v>
      </c>
    </row>
    <row r="663" spans="1:10" x14ac:dyDescent="0.35">
      <c r="A663" s="170">
        <v>657</v>
      </c>
      <c r="B663" s="10">
        <v>3317.0042458519742</v>
      </c>
      <c r="C663" s="9">
        <v>657</v>
      </c>
      <c r="D663" s="10">
        <v>357.80432418059314</v>
      </c>
      <c r="E663" s="9">
        <v>657</v>
      </c>
      <c r="F663" s="10">
        <v>-3583.9544917924559</v>
      </c>
      <c r="G663" s="9">
        <v>657</v>
      </c>
      <c r="H663" s="10">
        <v>3326.3619551686288</v>
      </c>
      <c r="I663" s="9">
        <v>657</v>
      </c>
      <c r="J663" s="167">
        <v>-3022.8486919342849</v>
      </c>
    </row>
    <row r="664" spans="1:10" x14ac:dyDescent="0.35">
      <c r="A664" s="170">
        <v>658</v>
      </c>
      <c r="B664" s="10">
        <v>4744.8543452180802</v>
      </c>
      <c r="C664" s="9">
        <v>658</v>
      </c>
      <c r="D664" s="10">
        <v>305.97116779278656</v>
      </c>
      <c r="E664" s="9">
        <v>658</v>
      </c>
      <c r="F664" s="10">
        <v>3519.6673604777893</v>
      </c>
      <c r="G664" s="9">
        <v>658</v>
      </c>
      <c r="H664" s="10">
        <v>-647.46411437879885</v>
      </c>
      <c r="I664" s="9">
        <v>658</v>
      </c>
      <c r="J664" s="167">
        <v>2945.3362999706451</v>
      </c>
    </row>
    <row r="665" spans="1:10" x14ac:dyDescent="0.35">
      <c r="A665" s="170">
        <v>659</v>
      </c>
      <c r="B665" s="10">
        <v>2189.159396285102</v>
      </c>
      <c r="C665" s="9">
        <v>659</v>
      </c>
      <c r="D665" s="10">
        <v>414.53641415163673</v>
      </c>
      <c r="E665" s="9">
        <v>659</v>
      </c>
      <c r="F665" s="10">
        <v>4381.2741587865439</v>
      </c>
      <c r="G665" s="9">
        <v>659</v>
      </c>
      <c r="H665" s="10">
        <v>-86.744517208710477</v>
      </c>
      <c r="I665" s="9">
        <v>659</v>
      </c>
      <c r="J665" s="167">
        <v>-2526.3879609076253</v>
      </c>
    </row>
    <row r="666" spans="1:10" x14ac:dyDescent="0.35">
      <c r="A666" s="170">
        <v>660</v>
      </c>
      <c r="B666" s="10">
        <v>3153.8607077785623</v>
      </c>
      <c r="C666" s="9">
        <v>660</v>
      </c>
      <c r="D666" s="10">
        <v>592.01847398741938</v>
      </c>
      <c r="E666" s="9">
        <v>660</v>
      </c>
      <c r="F666" s="10">
        <v>-1487.361852713032</v>
      </c>
      <c r="G666" s="9">
        <v>660</v>
      </c>
      <c r="H666" s="10">
        <v>-323.77162249233822</v>
      </c>
      <c r="I666" s="9">
        <v>660</v>
      </c>
      <c r="J666" s="167">
        <v>-2649.9638724509268</v>
      </c>
    </row>
    <row r="667" spans="1:10" x14ac:dyDescent="0.35">
      <c r="A667" s="170">
        <v>661</v>
      </c>
      <c r="B667" s="10">
        <v>881.12584444360095</v>
      </c>
      <c r="C667" s="9">
        <v>661</v>
      </c>
      <c r="D667" s="10">
        <v>373.30558617820355</v>
      </c>
      <c r="E667" s="9">
        <v>661</v>
      </c>
      <c r="F667" s="10">
        <v>2037.1060544549755</v>
      </c>
      <c r="G667" s="9">
        <v>661</v>
      </c>
      <c r="H667" s="10">
        <v>1042.762765246853</v>
      </c>
      <c r="I667" s="9">
        <v>661</v>
      </c>
      <c r="J667" s="167">
        <v>-1721.3857320500217</v>
      </c>
    </row>
    <row r="668" spans="1:10" x14ac:dyDescent="0.35">
      <c r="A668" s="170">
        <v>662</v>
      </c>
      <c r="B668" s="10">
        <v>-642.50084276291091</v>
      </c>
      <c r="C668" s="9">
        <v>662</v>
      </c>
      <c r="D668" s="10">
        <v>350.81854762660657</v>
      </c>
      <c r="E668" s="9">
        <v>662</v>
      </c>
      <c r="F668" s="10">
        <v>478.8157112924473</v>
      </c>
      <c r="G668" s="9">
        <v>662</v>
      </c>
      <c r="H668" s="10">
        <v>2175.2209821791844</v>
      </c>
      <c r="I668" s="9">
        <v>662</v>
      </c>
      <c r="J668" s="167">
        <v>-1454.2361181303493</v>
      </c>
    </row>
    <row r="669" spans="1:10" x14ac:dyDescent="0.35">
      <c r="A669" s="170">
        <v>663</v>
      </c>
      <c r="B669" s="10">
        <v>2019.0618522203715</v>
      </c>
      <c r="C669" s="9">
        <v>663</v>
      </c>
      <c r="D669" s="10">
        <v>325.00242601012133</v>
      </c>
      <c r="E669" s="9">
        <v>663</v>
      </c>
      <c r="F669" s="10">
        <v>-2875.9097244069144</v>
      </c>
      <c r="G669" s="9">
        <v>663</v>
      </c>
      <c r="H669" s="10">
        <v>-2409.2744057925179</v>
      </c>
      <c r="I669" s="9">
        <v>663</v>
      </c>
      <c r="J669" s="167">
        <v>-438.19766416471538</v>
      </c>
    </row>
    <row r="670" spans="1:10" x14ac:dyDescent="0.35">
      <c r="A670" s="170">
        <v>664</v>
      </c>
      <c r="B670" s="10">
        <v>1527.5005407414433</v>
      </c>
      <c r="C670" s="9">
        <v>664</v>
      </c>
      <c r="D670" s="10">
        <v>408.20325683125537</v>
      </c>
      <c r="E670" s="9">
        <v>664</v>
      </c>
      <c r="F670" s="10">
        <v>4031.3771285632483</v>
      </c>
      <c r="G670" s="9">
        <v>664</v>
      </c>
      <c r="H670" s="10">
        <v>-765.93869530997438</v>
      </c>
      <c r="I670" s="9">
        <v>664</v>
      </c>
      <c r="J670" s="167">
        <v>-1118.7003934030467</v>
      </c>
    </row>
    <row r="671" spans="1:10" x14ac:dyDescent="0.35">
      <c r="A671" s="170">
        <v>665</v>
      </c>
      <c r="B671" s="10">
        <v>3472.6996320552071</v>
      </c>
      <c r="C671" s="9">
        <v>665</v>
      </c>
      <c r="D671" s="10">
        <v>408.97405887457285</v>
      </c>
      <c r="E671" s="9">
        <v>665</v>
      </c>
      <c r="F671" s="10">
        <v>-5342.0369461601449</v>
      </c>
      <c r="G671" s="9">
        <v>665</v>
      </c>
      <c r="H671" s="10">
        <v>-4563.9897743423026</v>
      </c>
      <c r="I671" s="9">
        <v>665</v>
      </c>
      <c r="J671" s="167">
        <v>1202.0511176822381</v>
      </c>
    </row>
    <row r="672" spans="1:10" x14ac:dyDescent="0.35">
      <c r="A672" s="170">
        <v>666</v>
      </c>
      <c r="B672" s="10">
        <v>3304.9091791774053</v>
      </c>
      <c r="C672" s="9">
        <v>666</v>
      </c>
      <c r="D672" s="10">
        <v>341.81475737668296</v>
      </c>
      <c r="E672" s="9">
        <v>666</v>
      </c>
      <c r="F672" s="10">
        <v>-1559.114218712104</v>
      </c>
      <c r="G672" s="9">
        <v>666</v>
      </c>
      <c r="H672" s="10">
        <v>-1432.3280756368285</v>
      </c>
      <c r="I672" s="9">
        <v>666</v>
      </c>
      <c r="J672" s="167">
        <v>260.75801113597743</v>
      </c>
    </row>
    <row r="673" spans="1:10" x14ac:dyDescent="0.35">
      <c r="A673" s="170">
        <v>667</v>
      </c>
      <c r="B673" s="10">
        <v>3956.0024800629617</v>
      </c>
      <c r="C673" s="9">
        <v>667</v>
      </c>
      <c r="D673" s="10">
        <v>615.4360210011547</v>
      </c>
      <c r="E673" s="9">
        <v>667</v>
      </c>
      <c r="F673" s="10">
        <v>4063.2886136851448</v>
      </c>
      <c r="G673" s="9">
        <v>667</v>
      </c>
      <c r="H673" s="10">
        <v>8717.2416720054571</v>
      </c>
      <c r="I673" s="9">
        <v>667</v>
      </c>
      <c r="J673" s="167">
        <v>-5333.0954965809451</v>
      </c>
    </row>
    <row r="674" spans="1:10" x14ac:dyDescent="0.35">
      <c r="A674" s="170">
        <v>668</v>
      </c>
      <c r="B674" s="10">
        <v>3183.5685760600654</v>
      </c>
      <c r="C674" s="9">
        <v>668</v>
      </c>
      <c r="D674" s="10">
        <v>353.76697473444545</v>
      </c>
      <c r="E674" s="9">
        <v>668</v>
      </c>
      <c r="F674" s="10">
        <v>6456.641870939924</v>
      </c>
      <c r="G674" s="9">
        <v>668</v>
      </c>
      <c r="H674" s="10">
        <v>2019.8070057551072</v>
      </c>
      <c r="I674" s="9">
        <v>668</v>
      </c>
      <c r="J674" s="167">
        <v>-1051.8052360095901</v>
      </c>
    </row>
    <row r="675" spans="1:10" x14ac:dyDescent="0.35">
      <c r="A675" s="170">
        <v>669</v>
      </c>
      <c r="B675" s="10">
        <v>3809.3721947762187</v>
      </c>
      <c r="C675" s="9">
        <v>669</v>
      </c>
      <c r="D675" s="10">
        <v>507.25984331440691</v>
      </c>
      <c r="E675" s="9">
        <v>669</v>
      </c>
      <c r="F675" s="10">
        <v>1614.6064988028925</v>
      </c>
      <c r="G675" s="9">
        <v>669</v>
      </c>
      <c r="H675" s="10">
        <v>1448.6347517484242</v>
      </c>
      <c r="I675" s="9">
        <v>669</v>
      </c>
      <c r="J675" s="167">
        <v>-2342.0267453132801</v>
      </c>
    </row>
    <row r="676" spans="1:10" x14ac:dyDescent="0.35">
      <c r="A676" s="170">
        <v>670</v>
      </c>
      <c r="B676" s="10">
        <v>2143.406467623181</v>
      </c>
      <c r="C676" s="9">
        <v>670</v>
      </c>
      <c r="D676" s="10">
        <v>319.58287321213902</v>
      </c>
      <c r="E676" s="9">
        <v>670</v>
      </c>
      <c r="F676" s="10">
        <v>3728.0855731882484</v>
      </c>
      <c r="G676" s="9">
        <v>670</v>
      </c>
      <c r="H676" s="10">
        <v>-4287.2129599263772</v>
      </c>
      <c r="I676" s="9">
        <v>670</v>
      </c>
      <c r="J676" s="167">
        <v>61.179360323811409</v>
      </c>
    </row>
    <row r="677" spans="1:10" x14ac:dyDescent="0.35">
      <c r="A677" s="170">
        <v>671</v>
      </c>
      <c r="B677" s="10">
        <v>5139.7229628439309</v>
      </c>
      <c r="C677" s="9">
        <v>671</v>
      </c>
      <c r="D677" s="10">
        <v>516.16643758229293</v>
      </c>
      <c r="E677" s="9">
        <v>671</v>
      </c>
      <c r="F677" s="10">
        <v>4538.0733660823898</v>
      </c>
      <c r="G677" s="9">
        <v>671</v>
      </c>
      <c r="H677" s="10">
        <v>5117.0869618519991</v>
      </c>
      <c r="I677" s="9">
        <v>671</v>
      </c>
      <c r="J677" s="167">
        <v>-91.925113270549332</v>
      </c>
    </row>
    <row r="678" spans="1:10" x14ac:dyDescent="0.35">
      <c r="A678" s="170">
        <v>672</v>
      </c>
      <c r="B678" s="10">
        <v>3903.1668089493987</v>
      </c>
      <c r="C678" s="9">
        <v>672</v>
      </c>
      <c r="D678" s="10">
        <v>360.83990356469712</v>
      </c>
      <c r="E678" s="9">
        <v>672</v>
      </c>
      <c r="F678" s="10">
        <v>635.76569849371026</v>
      </c>
      <c r="G678" s="9">
        <v>672</v>
      </c>
      <c r="H678" s="10">
        <v>173.85365226690362</v>
      </c>
      <c r="I678" s="9">
        <v>672</v>
      </c>
      <c r="J678" s="167">
        <v>259.53236637421981</v>
      </c>
    </row>
    <row r="679" spans="1:10" x14ac:dyDescent="0.35">
      <c r="A679" s="170">
        <v>673</v>
      </c>
      <c r="B679" s="10">
        <v>3326.3086259133456</v>
      </c>
      <c r="C679" s="9">
        <v>673</v>
      </c>
      <c r="D679" s="10">
        <v>445.64211053121278</v>
      </c>
      <c r="E679" s="9">
        <v>673</v>
      </c>
      <c r="F679" s="10">
        <v>3201.5847877878559</v>
      </c>
      <c r="G679" s="9">
        <v>673</v>
      </c>
      <c r="H679" s="10">
        <v>1282.8484573228193</v>
      </c>
      <c r="I679" s="9">
        <v>673</v>
      </c>
      <c r="J679" s="167">
        <v>1579.4601920308928</v>
      </c>
    </row>
    <row r="680" spans="1:10" x14ac:dyDescent="0.35">
      <c r="A680" s="170">
        <v>674</v>
      </c>
      <c r="B680" s="10">
        <v>3881.5929902023154</v>
      </c>
      <c r="C680" s="9">
        <v>674</v>
      </c>
      <c r="D680" s="10">
        <v>451.11812142993034</v>
      </c>
      <c r="E680" s="9">
        <v>674</v>
      </c>
      <c r="F680" s="10">
        <v>-174.41064206250803</v>
      </c>
      <c r="G680" s="9">
        <v>674</v>
      </c>
      <c r="H680" s="10">
        <v>1381.842223852314</v>
      </c>
      <c r="I680" s="9">
        <v>674</v>
      </c>
      <c r="J680" s="167">
        <v>-2746.6821791882312</v>
      </c>
    </row>
    <row r="681" spans="1:10" x14ac:dyDescent="0.35">
      <c r="A681" s="170">
        <v>675</v>
      </c>
      <c r="B681" s="10">
        <v>1321.0979139270091</v>
      </c>
      <c r="C681" s="9">
        <v>675</v>
      </c>
      <c r="D681" s="10">
        <v>435.60219739598131</v>
      </c>
      <c r="E681" s="9">
        <v>675</v>
      </c>
      <c r="F681" s="10">
        <v>3074.6200579167948</v>
      </c>
      <c r="G681" s="9">
        <v>675</v>
      </c>
      <c r="H681" s="10">
        <v>-1573.4638514856092</v>
      </c>
      <c r="I681" s="9">
        <v>675</v>
      </c>
      <c r="J681" s="167">
        <v>1487.9725836063226</v>
      </c>
    </row>
    <row r="682" spans="1:10" x14ac:dyDescent="0.35">
      <c r="A682" s="170">
        <v>676</v>
      </c>
      <c r="B682" s="10">
        <v>2885.7644749209753</v>
      </c>
      <c r="C682" s="9">
        <v>676</v>
      </c>
      <c r="D682" s="10">
        <v>355.3254997273159</v>
      </c>
      <c r="E682" s="9">
        <v>676</v>
      </c>
      <c r="F682" s="10">
        <v>2150.3224286647196</v>
      </c>
      <c r="G682" s="9">
        <v>676</v>
      </c>
      <c r="H682" s="10">
        <v>2220.1368543856697</v>
      </c>
      <c r="I682" s="9">
        <v>676</v>
      </c>
      <c r="J682" s="167">
        <v>-3895.4336913656825</v>
      </c>
    </row>
    <row r="683" spans="1:10" x14ac:dyDescent="0.35">
      <c r="A683" s="170">
        <v>677</v>
      </c>
      <c r="B683" s="10">
        <v>4111.5098887987278</v>
      </c>
      <c r="C683" s="9">
        <v>677</v>
      </c>
      <c r="D683" s="10">
        <v>476.43584090915164</v>
      </c>
      <c r="E683" s="9">
        <v>677</v>
      </c>
      <c r="F683" s="10">
        <v>1270.4635099125385</v>
      </c>
      <c r="G683" s="9">
        <v>677</v>
      </c>
      <c r="H683" s="10">
        <v>2103.3753734093534</v>
      </c>
      <c r="I683" s="9">
        <v>677</v>
      </c>
      <c r="J683" s="167">
        <v>-2162.3393589635057</v>
      </c>
    </row>
    <row r="684" spans="1:10" x14ac:dyDescent="0.35">
      <c r="A684" s="170">
        <v>678</v>
      </c>
      <c r="B684" s="10">
        <v>-96.427951511679566</v>
      </c>
      <c r="C684" s="9">
        <v>678</v>
      </c>
      <c r="D684" s="10">
        <v>286.7232694032524</v>
      </c>
      <c r="E684" s="9">
        <v>678</v>
      </c>
      <c r="F684" s="10">
        <v>6895.0864024111352</v>
      </c>
      <c r="G684" s="9">
        <v>678</v>
      </c>
      <c r="H684" s="10">
        <v>-2482.4123384181935</v>
      </c>
      <c r="I684" s="9">
        <v>678</v>
      </c>
      <c r="J684" s="167">
        <v>694.42140344984682</v>
      </c>
    </row>
    <row r="685" spans="1:10" x14ac:dyDescent="0.35">
      <c r="A685" s="170">
        <v>679</v>
      </c>
      <c r="B685" s="10">
        <v>4265.3201603405851</v>
      </c>
      <c r="C685" s="9">
        <v>679</v>
      </c>
      <c r="D685" s="10">
        <v>377.83640812985584</v>
      </c>
      <c r="E685" s="9">
        <v>679</v>
      </c>
      <c r="F685" s="10">
        <v>-260.73154255193685</v>
      </c>
      <c r="G685" s="9">
        <v>679</v>
      </c>
      <c r="H685" s="10">
        <v>540.02673839004535</v>
      </c>
      <c r="I685" s="9">
        <v>679</v>
      </c>
      <c r="J685" s="167">
        <v>3834.6891937285041</v>
      </c>
    </row>
    <row r="686" spans="1:10" x14ac:dyDescent="0.35">
      <c r="A686" s="170">
        <v>680</v>
      </c>
      <c r="B686" s="10">
        <v>4123.8632183113605</v>
      </c>
      <c r="C686" s="9">
        <v>680</v>
      </c>
      <c r="D686" s="10">
        <v>515.35051147457307</v>
      </c>
      <c r="E686" s="9">
        <v>680</v>
      </c>
      <c r="F686" s="10">
        <v>5292.3165910888183</v>
      </c>
      <c r="G686" s="9">
        <v>680</v>
      </c>
      <c r="H686" s="10">
        <v>3887.3769167076525</v>
      </c>
      <c r="I686" s="9">
        <v>680</v>
      </c>
      <c r="J686" s="167">
        <v>-2140.0415117735174</v>
      </c>
    </row>
    <row r="687" spans="1:10" x14ac:dyDescent="0.35">
      <c r="A687" s="170">
        <v>681</v>
      </c>
      <c r="B687" s="10">
        <v>900.71483508877554</v>
      </c>
      <c r="C687" s="9">
        <v>681</v>
      </c>
      <c r="D687" s="10">
        <v>372.24953129187418</v>
      </c>
      <c r="E687" s="9">
        <v>681</v>
      </c>
      <c r="F687" s="10">
        <v>-1392.1015682826783</v>
      </c>
      <c r="G687" s="9">
        <v>681</v>
      </c>
      <c r="H687" s="10">
        <v>2015.3746626780171</v>
      </c>
      <c r="I687" s="9">
        <v>681</v>
      </c>
      <c r="J687" s="167">
        <v>-2369.067709489299</v>
      </c>
    </row>
    <row r="688" spans="1:10" x14ac:dyDescent="0.35">
      <c r="A688" s="170">
        <v>682</v>
      </c>
      <c r="B688" s="10">
        <v>2100.2572725073105</v>
      </c>
      <c r="C688" s="9">
        <v>682</v>
      </c>
      <c r="D688" s="10">
        <v>505.1092294474181</v>
      </c>
      <c r="E688" s="9">
        <v>682</v>
      </c>
      <c r="F688" s="10">
        <v>-2504.8597218563982</v>
      </c>
      <c r="G688" s="9">
        <v>682</v>
      </c>
      <c r="H688" s="10">
        <v>-420.62095230297848</v>
      </c>
      <c r="I688" s="9">
        <v>682</v>
      </c>
      <c r="J688" s="167">
        <v>-716.50801114912815</v>
      </c>
    </row>
    <row r="689" spans="1:10" x14ac:dyDescent="0.35">
      <c r="A689" s="170">
        <v>683</v>
      </c>
      <c r="B689" s="10">
        <v>1743.2308744418078</v>
      </c>
      <c r="C689" s="9">
        <v>683</v>
      </c>
      <c r="D689" s="10">
        <v>317.84928852978396</v>
      </c>
      <c r="E689" s="9">
        <v>683</v>
      </c>
      <c r="F689" s="10">
        <v>2790.6966301889975</v>
      </c>
      <c r="G689" s="9">
        <v>683</v>
      </c>
      <c r="H689" s="10">
        <v>1463.5852952930595</v>
      </c>
      <c r="I689" s="9">
        <v>683</v>
      </c>
      <c r="J689" s="167">
        <v>-1301.8723375028608</v>
      </c>
    </row>
    <row r="690" spans="1:10" x14ac:dyDescent="0.35">
      <c r="A690" s="170">
        <v>684</v>
      </c>
      <c r="B690" s="10">
        <v>1217.9635045956052</v>
      </c>
      <c r="C690" s="9">
        <v>684</v>
      </c>
      <c r="D690" s="10">
        <v>333.59953507679063</v>
      </c>
      <c r="E690" s="9">
        <v>684</v>
      </c>
      <c r="F690" s="10">
        <v>-1573.7814162718714</v>
      </c>
      <c r="G690" s="9">
        <v>684</v>
      </c>
      <c r="H690" s="10">
        <v>615.4299139528332</v>
      </c>
      <c r="I690" s="9">
        <v>684</v>
      </c>
      <c r="J690" s="167">
        <v>4902.6001457408911</v>
      </c>
    </row>
    <row r="691" spans="1:10" x14ac:dyDescent="0.35">
      <c r="A691" s="170">
        <v>685</v>
      </c>
      <c r="B691" s="10">
        <v>4004.672895747809</v>
      </c>
      <c r="C691" s="9">
        <v>685</v>
      </c>
      <c r="D691" s="10">
        <v>250.04211281447573</v>
      </c>
      <c r="E691" s="9">
        <v>685</v>
      </c>
      <c r="F691" s="10">
        <v>4035.9243816218641</v>
      </c>
      <c r="G691" s="9">
        <v>685</v>
      </c>
      <c r="H691" s="10">
        <v>3628.6525103678341</v>
      </c>
      <c r="I691" s="9">
        <v>685</v>
      </c>
      <c r="J691" s="167">
        <v>1158.4819333325645</v>
      </c>
    </row>
    <row r="692" spans="1:10" x14ac:dyDescent="0.35">
      <c r="A692" s="170">
        <v>686</v>
      </c>
      <c r="B692" s="10">
        <v>2854.1210336110298</v>
      </c>
      <c r="C692" s="9">
        <v>686</v>
      </c>
      <c r="D692" s="10">
        <v>317.29929009391338</v>
      </c>
      <c r="E692" s="9">
        <v>686</v>
      </c>
      <c r="F692" s="10">
        <v>3541.4893175531161</v>
      </c>
      <c r="G692" s="9">
        <v>686</v>
      </c>
      <c r="H692" s="10">
        <v>2727.7436363866786</v>
      </c>
      <c r="I692" s="9">
        <v>686</v>
      </c>
      <c r="J692" s="167">
        <v>2659.3325455345162</v>
      </c>
    </row>
    <row r="693" spans="1:10" x14ac:dyDescent="0.35">
      <c r="A693" s="170">
        <v>687</v>
      </c>
      <c r="B693" s="10">
        <v>2821.122439628426</v>
      </c>
      <c r="C693" s="9">
        <v>687</v>
      </c>
      <c r="D693" s="10">
        <v>317.9722683473658</v>
      </c>
      <c r="E693" s="9">
        <v>687</v>
      </c>
      <c r="F693" s="10">
        <v>-1041.1563721193202</v>
      </c>
      <c r="G693" s="9">
        <v>687</v>
      </c>
      <c r="H693" s="10">
        <v>1047.0918738883202</v>
      </c>
      <c r="I693" s="9">
        <v>687</v>
      </c>
      <c r="J693" s="167">
        <v>-2449.0514170672832</v>
      </c>
    </row>
    <row r="694" spans="1:10" x14ac:dyDescent="0.35">
      <c r="A694" s="170">
        <v>688</v>
      </c>
      <c r="B694" s="10">
        <v>3868.8630580967592</v>
      </c>
      <c r="C694" s="9">
        <v>688</v>
      </c>
      <c r="D694" s="10">
        <v>524.04151457984665</v>
      </c>
      <c r="E694" s="9">
        <v>688</v>
      </c>
      <c r="F694" s="10">
        <v>3721.5280350046492</v>
      </c>
      <c r="G694" s="9">
        <v>688</v>
      </c>
      <c r="H694" s="10">
        <v>-1272.0793524314709</v>
      </c>
      <c r="I694" s="9">
        <v>688</v>
      </c>
      <c r="J694" s="167">
        <v>16.718591318563483</v>
      </c>
    </row>
    <row r="695" spans="1:10" x14ac:dyDescent="0.35">
      <c r="A695" s="170">
        <v>689</v>
      </c>
      <c r="B695" s="10">
        <v>2422.3197819606326</v>
      </c>
      <c r="C695" s="9">
        <v>689</v>
      </c>
      <c r="D695" s="10">
        <v>426.60862252962289</v>
      </c>
      <c r="E695" s="9">
        <v>689</v>
      </c>
      <c r="F695" s="10">
        <v>-2880.5097948909224</v>
      </c>
      <c r="G695" s="9">
        <v>689</v>
      </c>
      <c r="H695" s="10">
        <v>1672.4803565024965</v>
      </c>
      <c r="I695" s="9">
        <v>689</v>
      </c>
      <c r="J695" s="167">
        <v>919.46391864429302</v>
      </c>
    </row>
    <row r="696" spans="1:10" x14ac:dyDescent="0.35">
      <c r="A696" s="170">
        <v>690</v>
      </c>
      <c r="B696" s="10">
        <v>3066.7707257950992</v>
      </c>
      <c r="C696" s="9">
        <v>690</v>
      </c>
      <c r="D696" s="10">
        <v>368.6311833675706</v>
      </c>
      <c r="E696" s="9">
        <v>690</v>
      </c>
      <c r="F696" s="10">
        <v>6357.6056589520613</v>
      </c>
      <c r="G696" s="9">
        <v>690</v>
      </c>
      <c r="H696" s="10">
        <v>6354.651277584544</v>
      </c>
      <c r="I696" s="9">
        <v>690</v>
      </c>
      <c r="J696" s="167">
        <v>2149.742086007765</v>
      </c>
    </row>
    <row r="697" spans="1:10" x14ac:dyDescent="0.35">
      <c r="A697" s="170">
        <v>691</v>
      </c>
      <c r="B697" s="10">
        <v>4064.7041923086463</v>
      </c>
      <c r="C697" s="9">
        <v>691</v>
      </c>
      <c r="D697" s="10">
        <v>317.25430732752716</v>
      </c>
      <c r="E697" s="9">
        <v>691</v>
      </c>
      <c r="F697" s="10">
        <v>4261.0962204041534</v>
      </c>
      <c r="G697" s="9">
        <v>691</v>
      </c>
      <c r="H697" s="10">
        <v>-2933.8102407895503</v>
      </c>
      <c r="I697" s="9">
        <v>691</v>
      </c>
      <c r="J697" s="167">
        <v>2226.2176771866748</v>
      </c>
    </row>
    <row r="698" spans="1:10" x14ac:dyDescent="0.35">
      <c r="A698" s="170">
        <v>692</v>
      </c>
      <c r="B698" s="10">
        <v>4919.4464874897858</v>
      </c>
      <c r="C698" s="9">
        <v>692</v>
      </c>
      <c r="D698" s="10">
        <v>363.53659256536815</v>
      </c>
      <c r="E698" s="9">
        <v>692</v>
      </c>
      <c r="F698" s="10">
        <v>3284.9292197275145</v>
      </c>
      <c r="G698" s="9">
        <v>692</v>
      </c>
      <c r="H698" s="10">
        <v>4512.1685183737463</v>
      </c>
      <c r="I698" s="9">
        <v>692</v>
      </c>
      <c r="J698" s="167">
        <v>1055.3705274492522</v>
      </c>
    </row>
    <row r="699" spans="1:10" x14ac:dyDescent="0.35">
      <c r="A699" s="170">
        <v>693</v>
      </c>
      <c r="B699" s="10">
        <v>3242.8897871755644</v>
      </c>
      <c r="C699" s="9">
        <v>693</v>
      </c>
      <c r="D699" s="10">
        <v>270.18799562874921</v>
      </c>
      <c r="E699" s="9">
        <v>693</v>
      </c>
      <c r="F699" s="10">
        <v>8869.4095320793858</v>
      </c>
      <c r="G699" s="9">
        <v>693</v>
      </c>
      <c r="H699" s="10">
        <v>2258.4202241787107</v>
      </c>
      <c r="I699" s="9">
        <v>693</v>
      </c>
      <c r="J699" s="167">
        <v>54.507179271504242</v>
      </c>
    </row>
    <row r="700" spans="1:10" x14ac:dyDescent="0.35">
      <c r="A700" s="170">
        <v>694</v>
      </c>
      <c r="B700" s="10">
        <v>2464.0936560050045</v>
      </c>
      <c r="C700" s="9">
        <v>694</v>
      </c>
      <c r="D700" s="10">
        <v>409.68639209390005</v>
      </c>
      <c r="E700" s="9">
        <v>694</v>
      </c>
      <c r="F700" s="10">
        <v>6004.5827994477404</v>
      </c>
      <c r="G700" s="9">
        <v>694</v>
      </c>
      <c r="H700" s="10">
        <v>4062.5887521349141</v>
      </c>
      <c r="I700" s="9">
        <v>694</v>
      </c>
      <c r="J700" s="167">
        <v>2776.672489497515</v>
      </c>
    </row>
    <row r="701" spans="1:10" x14ac:dyDescent="0.35">
      <c r="A701" s="170">
        <v>695</v>
      </c>
      <c r="B701" s="10">
        <v>2324.9524959328924</v>
      </c>
      <c r="C701" s="9">
        <v>695</v>
      </c>
      <c r="D701" s="10">
        <v>218.30670906854456</v>
      </c>
      <c r="E701" s="9">
        <v>695</v>
      </c>
      <c r="F701" s="10">
        <v>4979.0958608506598</v>
      </c>
      <c r="G701" s="9">
        <v>695</v>
      </c>
      <c r="H701" s="10">
        <v>2990.1913329769313</v>
      </c>
      <c r="I701" s="9">
        <v>695</v>
      </c>
      <c r="J701" s="167">
        <v>686.40329942995095</v>
      </c>
    </row>
    <row r="702" spans="1:10" x14ac:dyDescent="0.35">
      <c r="A702" s="170">
        <v>696</v>
      </c>
      <c r="B702" s="10">
        <v>3520.3613127207414</v>
      </c>
      <c r="C702" s="9">
        <v>696</v>
      </c>
      <c r="D702" s="10">
        <v>200.29513639476323</v>
      </c>
      <c r="E702" s="9">
        <v>696</v>
      </c>
      <c r="F702" s="10">
        <v>2608.7834453186715</v>
      </c>
      <c r="G702" s="9">
        <v>696</v>
      </c>
      <c r="H702" s="10">
        <v>382.00071689332412</v>
      </c>
      <c r="I702" s="9">
        <v>696</v>
      </c>
      <c r="J702" s="167">
        <v>-5372.3678997366314</v>
      </c>
    </row>
    <row r="703" spans="1:10" x14ac:dyDescent="0.35">
      <c r="A703" s="170">
        <v>697</v>
      </c>
      <c r="B703" s="10">
        <v>5893.4730851090553</v>
      </c>
      <c r="C703" s="9">
        <v>697</v>
      </c>
      <c r="D703" s="10">
        <v>451.46771211382986</v>
      </c>
      <c r="E703" s="9">
        <v>697</v>
      </c>
      <c r="F703" s="10">
        <v>2645.4785935308214</v>
      </c>
      <c r="G703" s="9">
        <v>697</v>
      </c>
      <c r="H703" s="10">
        <v>2700.3651152919747</v>
      </c>
      <c r="I703" s="9">
        <v>697</v>
      </c>
      <c r="J703" s="167">
        <v>1079.0020553472182</v>
      </c>
    </row>
    <row r="704" spans="1:10" x14ac:dyDescent="0.35">
      <c r="A704" s="170">
        <v>698</v>
      </c>
      <c r="B704" s="10">
        <v>1460.1361747864692</v>
      </c>
      <c r="C704" s="9">
        <v>698</v>
      </c>
      <c r="D704" s="10">
        <v>337.47535510241556</v>
      </c>
      <c r="E704" s="9">
        <v>698</v>
      </c>
      <c r="F704" s="10">
        <v>3700.4733488043671</v>
      </c>
      <c r="G704" s="9">
        <v>698</v>
      </c>
      <c r="H704" s="10">
        <v>-2800.026245678921</v>
      </c>
      <c r="I704" s="9">
        <v>698</v>
      </c>
      <c r="J704" s="167">
        <v>1993.5535484366374</v>
      </c>
    </row>
    <row r="705" spans="1:10" x14ac:dyDescent="0.35">
      <c r="A705" s="170">
        <v>699</v>
      </c>
      <c r="B705" s="10">
        <v>2963.9355100352868</v>
      </c>
      <c r="C705" s="9">
        <v>699</v>
      </c>
      <c r="D705" s="10">
        <v>457.21775391764851</v>
      </c>
      <c r="E705" s="9">
        <v>699</v>
      </c>
      <c r="F705" s="10">
        <v>3189.3948454963192</v>
      </c>
      <c r="G705" s="9">
        <v>699</v>
      </c>
      <c r="H705" s="10">
        <v>2185.0720489291548</v>
      </c>
      <c r="I705" s="9">
        <v>699</v>
      </c>
      <c r="J705" s="167">
        <v>2735.9647214724869</v>
      </c>
    </row>
    <row r="706" spans="1:10" x14ac:dyDescent="0.35">
      <c r="A706" s="170">
        <v>700</v>
      </c>
      <c r="B706" s="10">
        <v>249.14001786554309</v>
      </c>
      <c r="C706" s="9">
        <v>700</v>
      </c>
      <c r="D706" s="10">
        <v>509.68548346519958</v>
      </c>
      <c r="E706" s="9">
        <v>700</v>
      </c>
      <c r="F706" s="10">
        <v>2337.9541482063296</v>
      </c>
      <c r="G706" s="9">
        <v>700</v>
      </c>
      <c r="H706" s="10">
        <v>-1578.1266289324117</v>
      </c>
      <c r="I706" s="9">
        <v>700</v>
      </c>
      <c r="J706" s="167">
        <v>2327.319050981519</v>
      </c>
    </row>
    <row r="707" spans="1:10" x14ac:dyDescent="0.35">
      <c r="A707" s="170">
        <v>701</v>
      </c>
      <c r="B707" s="10">
        <v>2917.3517235644645</v>
      </c>
      <c r="C707" s="9">
        <v>701</v>
      </c>
      <c r="D707" s="10">
        <v>433.01511313788586</v>
      </c>
      <c r="E707" s="9">
        <v>701</v>
      </c>
      <c r="F707" s="10">
        <v>141.71316132948004</v>
      </c>
      <c r="G707" s="9">
        <v>701</v>
      </c>
      <c r="H707" s="10">
        <v>3004.2731154941985</v>
      </c>
      <c r="I707" s="9">
        <v>701</v>
      </c>
      <c r="J707" s="167">
        <v>-3360.4679219986274</v>
      </c>
    </row>
    <row r="708" spans="1:10" x14ac:dyDescent="0.35">
      <c r="A708" s="170">
        <v>702</v>
      </c>
      <c r="B708" s="10">
        <v>1914.7412688458512</v>
      </c>
      <c r="C708" s="9">
        <v>702</v>
      </c>
      <c r="D708" s="10">
        <v>453.36552262293912</v>
      </c>
      <c r="E708" s="9">
        <v>702</v>
      </c>
      <c r="F708" s="10">
        <v>-3413.7396476215499</v>
      </c>
      <c r="G708" s="9">
        <v>702</v>
      </c>
      <c r="H708" s="10">
        <v>-1200.1809529786124</v>
      </c>
      <c r="I708" s="9">
        <v>702</v>
      </c>
      <c r="J708" s="167">
        <v>-1110.2778900276103</v>
      </c>
    </row>
    <row r="709" spans="1:10" x14ac:dyDescent="0.35">
      <c r="A709" s="170">
        <v>703</v>
      </c>
      <c r="B709" s="10">
        <v>2029.1035334095177</v>
      </c>
      <c r="C709" s="9">
        <v>703</v>
      </c>
      <c r="D709" s="10">
        <v>416.55853313279533</v>
      </c>
      <c r="E709" s="9">
        <v>703</v>
      </c>
      <c r="F709" s="10">
        <v>2392.0520945387511</v>
      </c>
      <c r="G709" s="9">
        <v>703</v>
      </c>
      <c r="H709" s="10">
        <v>3143.6016554986136</v>
      </c>
      <c r="I709" s="9">
        <v>703</v>
      </c>
      <c r="J709" s="167">
        <v>-1872.8108202572498</v>
      </c>
    </row>
    <row r="710" spans="1:10" x14ac:dyDescent="0.35">
      <c r="A710" s="170">
        <v>704</v>
      </c>
      <c r="B710" s="10">
        <v>2348.240245326509</v>
      </c>
      <c r="C710" s="9">
        <v>704</v>
      </c>
      <c r="D710" s="10">
        <v>447.42545300126972</v>
      </c>
      <c r="E710" s="9">
        <v>704</v>
      </c>
      <c r="F710" s="10">
        <v>2032.7109898954041</v>
      </c>
      <c r="G710" s="9">
        <v>704</v>
      </c>
      <c r="H710" s="10">
        <v>-2626.1760647635169</v>
      </c>
      <c r="I710" s="9">
        <v>704</v>
      </c>
      <c r="J710" s="167">
        <v>909.32942299603155</v>
      </c>
    </row>
    <row r="711" spans="1:10" x14ac:dyDescent="0.35">
      <c r="A711" s="170">
        <v>705</v>
      </c>
      <c r="B711" s="10">
        <v>4236.8830166069138</v>
      </c>
      <c r="C711" s="9">
        <v>705</v>
      </c>
      <c r="D711" s="10">
        <v>331.56077749063991</v>
      </c>
      <c r="E711" s="9">
        <v>705</v>
      </c>
      <c r="F711" s="10">
        <v>3609.4164445816164</v>
      </c>
      <c r="G711" s="9">
        <v>705</v>
      </c>
      <c r="H711" s="10">
        <v>2412.383026034669</v>
      </c>
      <c r="I711" s="9">
        <v>705</v>
      </c>
      <c r="J711" s="167">
        <v>-412.59783603289492</v>
      </c>
    </row>
    <row r="712" spans="1:10" x14ac:dyDescent="0.35">
      <c r="A712" s="170">
        <v>706</v>
      </c>
      <c r="B712" s="10">
        <v>2633.7772460331939</v>
      </c>
      <c r="C712" s="9">
        <v>706</v>
      </c>
      <c r="D712" s="10">
        <v>407.71829571967555</v>
      </c>
      <c r="E712" s="9">
        <v>706</v>
      </c>
      <c r="F712" s="10">
        <v>2955.2203068696977</v>
      </c>
      <c r="G712" s="9">
        <v>706</v>
      </c>
      <c r="H712" s="10">
        <v>4578.2482695688886</v>
      </c>
      <c r="I712" s="9">
        <v>706</v>
      </c>
      <c r="J712" s="167">
        <v>4819.7161504903361</v>
      </c>
    </row>
    <row r="713" spans="1:10" x14ac:dyDescent="0.35">
      <c r="A713" s="170">
        <v>707</v>
      </c>
      <c r="B713" s="10">
        <v>3130.1722374603328</v>
      </c>
      <c r="C713" s="9">
        <v>707</v>
      </c>
      <c r="D713" s="10">
        <v>292.73797686203091</v>
      </c>
      <c r="E713" s="9">
        <v>707</v>
      </c>
      <c r="F713" s="10">
        <v>7383.0223509318357</v>
      </c>
      <c r="G713" s="9">
        <v>707</v>
      </c>
      <c r="H713" s="10">
        <v>-2806.7357184232847</v>
      </c>
      <c r="I713" s="9">
        <v>707</v>
      </c>
      <c r="J713" s="167">
        <v>-2529.1844967728562</v>
      </c>
    </row>
    <row r="714" spans="1:10" x14ac:dyDescent="0.35">
      <c r="A714" s="170">
        <v>708</v>
      </c>
      <c r="B714" s="10">
        <v>1628.6091267859379</v>
      </c>
      <c r="C714" s="9">
        <v>708</v>
      </c>
      <c r="D714" s="10">
        <v>365.43120441843888</v>
      </c>
      <c r="E714" s="9">
        <v>708</v>
      </c>
      <c r="F714" s="10">
        <v>4097.4286594153891</v>
      </c>
      <c r="G714" s="9">
        <v>708</v>
      </c>
      <c r="H714" s="10">
        <v>-4354.3018511797964</v>
      </c>
      <c r="I714" s="9">
        <v>708</v>
      </c>
      <c r="J714" s="167">
        <v>526.77861982697721</v>
      </c>
    </row>
    <row r="715" spans="1:10" x14ac:dyDescent="0.35">
      <c r="A715" s="170">
        <v>709</v>
      </c>
      <c r="B715" s="10">
        <v>4887.2224461786282</v>
      </c>
      <c r="C715" s="9">
        <v>709</v>
      </c>
      <c r="D715" s="10">
        <v>452.43131770401902</v>
      </c>
      <c r="E715" s="9">
        <v>709</v>
      </c>
      <c r="F715" s="10">
        <v>6376.54229925257</v>
      </c>
      <c r="G715" s="9">
        <v>709</v>
      </c>
      <c r="H715" s="10">
        <v>-656.26803388491032</v>
      </c>
      <c r="I715" s="9">
        <v>709</v>
      </c>
      <c r="J715" s="167">
        <v>-5143.4431674516782</v>
      </c>
    </row>
    <row r="716" spans="1:10" x14ac:dyDescent="0.35">
      <c r="A716" s="170">
        <v>710</v>
      </c>
      <c r="B716" s="10">
        <v>609.22717448782896</v>
      </c>
      <c r="C716" s="9">
        <v>710</v>
      </c>
      <c r="D716" s="10">
        <v>428.64102941880685</v>
      </c>
      <c r="E716" s="9">
        <v>710</v>
      </c>
      <c r="F716" s="10">
        <v>-3614.4052860184538</v>
      </c>
      <c r="G716" s="9">
        <v>710</v>
      </c>
      <c r="H716" s="10">
        <v>4194.4174061187605</v>
      </c>
      <c r="I716" s="9">
        <v>710</v>
      </c>
      <c r="J716" s="167">
        <v>-188.68318297114405</v>
      </c>
    </row>
    <row r="717" spans="1:10" x14ac:dyDescent="0.35">
      <c r="A717" s="170">
        <v>711</v>
      </c>
      <c r="B717" s="10">
        <v>5336.4004499891334</v>
      </c>
      <c r="C717" s="9">
        <v>711</v>
      </c>
      <c r="D717" s="10">
        <v>273.31904776302281</v>
      </c>
      <c r="E717" s="9">
        <v>711</v>
      </c>
      <c r="F717" s="10">
        <v>1617.0286699181593</v>
      </c>
      <c r="G717" s="9">
        <v>711</v>
      </c>
      <c r="H717" s="10">
        <v>-1361.7288997938413</v>
      </c>
      <c r="I717" s="9">
        <v>711</v>
      </c>
      <c r="J717" s="167">
        <v>3011.9656610411566</v>
      </c>
    </row>
    <row r="718" spans="1:10" x14ac:dyDescent="0.35">
      <c r="A718" s="170">
        <v>712</v>
      </c>
      <c r="B718" s="10">
        <v>5732.4012229585278</v>
      </c>
      <c r="C718" s="9">
        <v>712</v>
      </c>
      <c r="D718" s="10">
        <v>427.81118027886197</v>
      </c>
      <c r="E718" s="9">
        <v>712</v>
      </c>
      <c r="F718" s="10">
        <v>1812.9366015234209</v>
      </c>
      <c r="G718" s="9">
        <v>712</v>
      </c>
      <c r="H718" s="10">
        <v>4506.4343326055414</v>
      </c>
      <c r="I718" s="9">
        <v>712</v>
      </c>
      <c r="J718" s="167">
        <v>-396.17931777819126</v>
      </c>
    </row>
    <row r="719" spans="1:10" x14ac:dyDescent="0.35">
      <c r="A719" s="170">
        <v>713</v>
      </c>
      <c r="B719" s="10">
        <v>3198.5030670636961</v>
      </c>
      <c r="C719" s="9">
        <v>713</v>
      </c>
      <c r="D719" s="10">
        <v>428.96612871150893</v>
      </c>
      <c r="E719" s="9">
        <v>713</v>
      </c>
      <c r="F719" s="10">
        <v>945.01235206121964</v>
      </c>
      <c r="G719" s="9">
        <v>713</v>
      </c>
      <c r="H719" s="10">
        <v>-279.57834291570464</v>
      </c>
      <c r="I719" s="9">
        <v>713</v>
      </c>
      <c r="J719" s="167">
        <v>-1703.3903750089955</v>
      </c>
    </row>
    <row r="720" spans="1:10" x14ac:dyDescent="0.35">
      <c r="A720" s="170">
        <v>714</v>
      </c>
      <c r="B720" s="10">
        <v>3752.6866632169717</v>
      </c>
      <c r="C720" s="9">
        <v>714</v>
      </c>
      <c r="D720" s="10">
        <v>326.95640520567588</v>
      </c>
      <c r="E720" s="9">
        <v>714</v>
      </c>
      <c r="F720" s="10">
        <v>-3679.2651056191771</v>
      </c>
      <c r="G720" s="9">
        <v>714</v>
      </c>
      <c r="H720" s="10">
        <v>3954.9282664824382</v>
      </c>
      <c r="I720" s="9">
        <v>714</v>
      </c>
      <c r="J720" s="167">
        <v>-1956.6331885577645</v>
      </c>
    </row>
    <row r="721" spans="1:10" x14ac:dyDescent="0.35">
      <c r="A721" s="170">
        <v>715</v>
      </c>
      <c r="B721" s="10">
        <v>1487.4161917346541</v>
      </c>
      <c r="C721" s="9">
        <v>715</v>
      </c>
      <c r="D721" s="10">
        <v>229.24645096512654</v>
      </c>
      <c r="E721" s="9">
        <v>715</v>
      </c>
      <c r="F721" s="10">
        <v>3030.0092394859576</v>
      </c>
      <c r="G721" s="9">
        <v>715</v>
      </c>
      <c r="H721" s="10">
        <v>2465.442368040653</v>
      </c>
      <c r="I721" s="9">
        <v>715</v>
      </c>
      <c r="J721" s="167">
        <v>368.61466192152125</v>
      </c>
    </row>
    <row r="722" spans="1:10" x14ac:dyDescent="0.35">
      <c r="A722" s="170">
        <v>716</v>
      </c>
      <c r="B722" s="10">
        <v>2766.7952953520876</v>
      </c>
      <c r="C722" s="9">
        <v>716</v>
      </c>
      <c r="D722" s="10">
        <v>407.71950839574771</v>
      </c>
      <c r="E722" s="9">
        <v>716</v>
      </c>
      <c r="F722" s="10">
        <v>792.58555750169421</v>
      </c>
      <c r="G722" s="9">
        <v>716</v>
      </c>
      <c r="H722" s="10">
        <v>200.30051548899417</v>
      </c>
      <c r="I722" s="9">
        <v>716</v>
      </c>
      <c r="J722" s="167">
        <v>4299.4672974674286</v>
      </c>
    </row>
    <row r="723" spans="1:10" x14ac:dyDescent="0.35">
      <c r="A723" s="170">
        <v>717</v>
      </c>
      <c r="B723" s="10">
        <v>3086.428896670282</v>
      </c>
      <c r="C723" s="9">
        <v>717</v>
      </c>
      <c r="D723" s="10">
        <v>429.98164729673692</v>
      </c>
      <c r="E723" s="9">
        <v>717</v>
      </c>
      <c r="F723" s="10">
        <v>862.48365400888429</v>
      </c>
      <c r="G723" s="9">
        <v>717</v>
      </c>
      <c r="H723" s="10">
        <v>1672.7250140434485</v>
      </c>
      <c r="I723" s="9">
        <v>717</v>
      </c>
      <c r="J723" s="167">
        <v>-150.3950304847711</v>
      </c>
    </row>
    <row r="724" spans="1:10" x14ac:dyDescent="0.35">
      <c r="A724" s="170">
        <v>718</v>
      </c>
      <c r="B724" s="10">
        <v>-224.01109121975696</v>
      </c>
      <c r="C724" s="9">
        <v>718</v>
      </c>
      <c r="D724" s="10">
        <v>231.0354530882841</v>
      </c>
      <c r="E724" s="9">
        <v>718</v>
      </c>
      <c r="F724" s="10">
        <v>2531.2219590796403</v>
      </c>
      <c r="G724" s="9">
        <v>718</v>
      </c>
      <c r="H724" s="10">
        <v>3196.9528429801694</v>
      </c>
      <c r="I724" s="9">
        <v>718</v>
      </c>
      <c r="J724" s="167">
        <v>-1203.5085907799885</v>
      </c>
    </row>
    <row r="725" spans="1:10" x14ac:dyDescent="0.35">
      <c r="A725" s="170">
        <v>719</v>
      </c>
      <c r="B725" s="10">
        <v>3841.0294283223411</v>
      </c>
      <c r="C725" s="9">
        <v>719</v>
      </c>
      <c r="D725" s="10">
        <v>480.45277626660578</v>
      </c>
      <c r="E725" s="9">
        <v>719</v>
      </c>
      <c r="F725" s="10">
        <v>-254.19189734866859</v>
      </c>
      <c r="G725" s="9">
        <v>719</v>
      </c>
      <c r="H725" s="10">
        <v>4163.1641565014343</v>
      </c>
      <c r="I725" s="9">
        <v>719</v>
      </c>
      <c r="J725" s="167">
        <v>3482.7398414211516</v>
      </c>
    </row>
    <row r="726" spans="1:10" x14ac:dyDescent="0.35">
      <c r="A726" s="170">
        <v>720</v>
      </c>
      <c r="B726" s="10">
        <v>-716.86006308266178</v>
      </c>
      <c r="C726" s="9">
        <v>720</v>
      </c>
      <c r="D726" s="10">
        <v>392.10227212177489</v>
      </c>
      <c r="E726" s="9">
        <v>720</v>
      </c>
      <c r="F726" s="10">
        <v>5588.6874339772985</v>
      </c>
      <c r="G726" s="9">
        <v>720</v>
      </c>
      <c r="H726" s="10">
        <v>4030.1332823168518</v>
      </c>
      <c r="I726" s="9">
        <v>720</v>
      </c>
      <c r="J726" s="167">
        <v>-1.6135115751436047</v>
      </c>
    </row>
    <row r="727" spans="1:10" x14ac:dyDescent="0.35">
      <c r="A727" s="170">
        <v>721</v>
      </c>
      <c r="B727" s="10">
        <v>48.620810037788033</v>
      </c>
      <c r="C727" s="9">
        <v>721</v>
      </c>
      <c r="D727" s="10">
        <v>307.65834609442106</v>
      </c>
      <c r="E727" s="9">
        <v>721</v>
      </c>
      <c r="F727" s="10">
        <v>3801.4717069473982</v>
      </c>
      <c r="G727" s="9">
        <v>721</v>
      </c>
      <c r="H727" s="10">
        <v>2140.8350801597207</v>
      </c>
      <c r="I727" s="9">
        <v>721</v>
      </c>
      <c r="J727" s="167">
        <v>-2359.6418082637838</v>
      </c>
    </row>
    <row r="728" spans="1:10" x14ac:dyDescent="0.35">
      <c r="A728" s="170">
        <v>722</v>
      </c>
      <c r="B728" s="10">
        <v>1054.659999455833</v>
      </c>
      <c r="C728" s="9">
        <v>722</v>
      </c>
      <c r="D728" s="10">
        <v>239.30137034752619</v>
      </c>
      <c r="E728" s="9">
        <v>722</v>
      </c>
      <c r="F728" s="10">
        <v>4348.1171808830368</v>
      </c>
      <c r="G728" s="9">
        <v>722</v>
      </c>
      <c r="H728" s="10">
        <v>1953.2594437715129</v>
      </c>
      <c r="I728" s="9">
        <v>722</v>
      </c>
      <c r="J728" s="167">
        <v>-6271.9817539282176</v>
      </c>
    </row>
    <row r="729" spans="1:10" x14ac:dyDescent="0.35">
      <c r="A729" s="170">
        <v>723</v>
      </c>
      <c r="B729" s="10">
        <v>861.32165783478467</v>
      </c>
      <c r="C729" s="9">
        <v>723</v>
      </c>
      <c r="D729" s="10">
        <v>545.7651853102725</v>
      </c>
      <c r="E729" s="9">
        <v>723</v>
      </c>
      <c r="F729" s="10">
        <v>1009.9778553625879</v>
      </c>
      <c r="G729" s="9">
        <v>723</v>
      </c>
      <c r="H729" s="10">
        <v>-2248.6729532373738</v>
      </c>
      <c r="I729" s="9">
        <v>723</v>
      </c>
      <c r="J729" s="167">
        <v>-667.21732122235676</v>
      </c>
    </row>
    <row r="730" spans="1:10" x14ac:dyDescent="0.35">
      <c r="A730" s="170">
        <v>724</v>
      </c>
      <c r="B730" s="10">
        <v>3352.0444979159056</v>
      </c>
      <c r="C730" s="9">
        <v>724</v>
      </c>
      <c r="D730" s="10">
        <v>414.34037251971705</v>
      </c>
      <c r="E730" s="9">
        <v>724</v>
      </c>
      <c r="F730" s="10">
        <v>5480.5321452931603</v>
      </c>
      <c r="G730" s="9">
        <v>724</v>
      </c>
      <c r="H730" s="10">
        <v>133.5725598801846</v>
      </c>
      <c r="I730" s="9">
        <v>724</v>
      </c>
      <c r="J730" s="167">
        <v>-212.11678008425318</v>
      </c>
    </row>
    <row r="731" spans="1:10" x14ac:dyDescent="0.35">
      <c r="A731" s="170">
        <v>725</v>
      </c>
      <c r="B731" s="10">
        <v>1690.982658014351</v>
      </c>
      <c r="C731" s="9">
        <v>725</v>
      </c>
      <c r="D731" s="10">
        <v>452.2830674001147</v>
      </c>
      <c r="E731" s="9">
        <v>725</v>
      </c>
      <c r="F731" s="10">
        <v>5747.6224985801455</v>
      </c>
      <c r="G731" s="9">
        <v>725</v>
      </c>
      <c r="H731" s="10">
        <v>4167.7462329348828</v>
      </c>
      <c r="I731" s="9">
        <v>725</v>
      </c>
      <c r="J731" s="167">
        <v>664.06626593103169</v>
      </c>
    </row>
    <row r="732" spans="1:10" x14ac:dyDescent="0.35">
      <c r="A732" s="170">
        <v>726</v>
      </c>
      <c r="B732" s="10">
        <v>3066.9339105164513</v>
      </c>
      <c r="C732" s="9">
        <v>726</v>
      </c>
      <c r="D732" s="10">
        <v>466.57177968884542</v>
      </c>
      <c r="E732" s="9">
        <v>726</v>
      </c>
      <c r="F732" s="10">
        <v>3490.7774504069139</v>
      </c>
      <c r="G732" s="9">
        <v>726</v>
      </c>
      <c r="H732" s="10">
        <v>640.69373358877408</v>
      </c>
      <c r="I732" s="9">
        <v>726</v>
      </c>
      <c r="J732" s="167">
        <v>-1513.1696444940553</v>
      </c>
    </row>
    <row r="733" spans="1:10" x14ac:dyDescent="0.35">
      <c r="A733" s="170">
        <v>727</v>
      </c>
      <c r="B733" s="10">
        <v>4456.2942184306794</v>
      </c>
      <c r="C733" s="9">
        <v>727</v>
      </c>
      <c r="D733" s="10">
        <v>457.56906930109977</v>
      </c>
      <c r="E733" s="9">
        <v>727</v>
      </c>
      <c r="F733" s="10">
        <v>1588.6191665222777</v>
      </c>
      <c r="G733" s="9">
        <v>727</v>
      </c>
      <c r="H733" s="10">
        <v>8644.7218416089454</v>
      </c>
      <c r="I733" s="9">
        <v>727</v>
      </c>
      <c r="J733" s="167">
        <v>-1056.9309588507444</v>
      </c>
    </row>
    <row r="734" spans="1:10" x14ac:dyDescent="0.35">
      <c r="A734" s="170">
        <v>728</v>
      </c>
      <c r="B734" s="10">
        <v>6249.4262454302752</v>
      </c>
      <c r="C734" s="9">
        <v>728</v>
      </c>
      <c r="D734" s="10">
        <v>364.03548511893973</v>
      </c>
      <c r="E734" s="9">
        <v>728</v>
      </c>
      <c r="F734" s="10">
        <v>1958.1207894558283</v>
      </c>
      <c r="G734" s="9">
        <v>728</v>
      </c>
      <c r="H734" s="10">
        <v>717.76191580435193</v>
      </c>
      <c r="I734" s="9">
        <v>728</v>
      </c>
      <c r="J734" s="167">
        <v>-771.72563916641911</v>
      </c>
    </row>
    <row r="735" spans="1:10" x14ac:dyDescent="0.35">
      <c r="A735" s="170">
        <v>729</v>
      </c>
      <c r="B735" s="10">
        <v>6391.3112704125051</v>
      </c>
      <c r="C735" s="9">
        <v>729</v>
      </c>
      <c r="D735" s="10">
        <v>213.38788285343347</v>
      </c>
      <c r="E735" s="9">
        <v>729</v>
      </c>
      <c r="F735" s="10">
        <v>7470.3219673090907</v>
      </c>
      <c r="G735" s="9">
        <v>729</v>
      </c>
      <c r="H735" s="10">
        <v>-606.62992659005602</v>
      </c>
      <c r="I735" s="9">
        <v>729</v>
      </c>
      <c r="J735" s="167">
        <v>2567.2650016848174</v>
      </c>
    </row>
    <row r="736" spans="1:10" x14ac:dyDescent="0.35">
      <c r="A736" s="170">
        <v>730</v>
      </c>
      <c r="B736" s="10">
        <v>-834.09995362186055</v>
      </c>
      <c r="C736" s="9">
        <v>730</v>
      </c>
      <c r="D736" s="10">
        <v>486.30933579512521</v>
      </c>
      <c r="E736" s="9">
        <v>730</v>
      </c>
      <c r="F736" s="10">
        <v>4126.607570152295</v>
      </c>
      <c r="G736" s="9">
        <v>730</v>
      </c>
      <c r="H736" s="10">
        <v>2478.6585371806668</v>
      </c>
      <c r="I736" s="9">
        <v>730</v>
      </c>
      <c r="J736" s="167">
        <v>1261.975926940077</v>
      </c>
    </row>
    <row r="737" spans="1:10" x14ac:dyDescent="0.35">
      <c r="A737" s="170">
        <v>731</v>
      </c>
      <c r="B737" s="10">
        <v>3881.553831944485</v>
      </c>
      <c r="C737" s="9">
        <v>731</v>
      </c>
      <c r="D737" s="10">
        <v>561.97937663319067</v>
      </c>
      <c r="E737" s="9">
        <v>731</v>
      </c>
      <c r="F737" s="10">
        <v>7383.7373572780889</v>
      </c>
      <c r="G737" s="9">
        <v>731</v>
      </c>
      <c r="H737" s="10">
        <v>-3400.9330466015349</v>
      </c>
      <c r="I737" s="9">
        <v>731</v>
      </c>
      <c r="J737" s="167">
        <v>956.82422109017034</v>
      </c>
    </row>
    <row r="738" spans="1:10" x14ac:dyDescent="0.35">
      <c r="A738" s="170">
        <v>732</v>
      </c>
      <c r="B738" s="10">
        <v>4115.3588550899694</v>
      </c>
      <c r="C738" s="9">
        <v>732</v>
      </c>
      <c r="D738" s="10">
        <v>466.38782505482686</v>
      </c>
      <c r="E738" s="9">
        <v>732</v>
      </c>
      <c r="F738" s="10">
        <v>4617.3833575381168</v>
      </c>
      <c r="G738" s="9">
        <v>732</v>
      </c>
      <c r="H738" s="10">
        <v>1399.7883631708507</v>
      </c>
      <c r="I738" s="9">
        <v>732</v>
      </c>
      <c r="J738" s="167">
        <v>-2988.8361774397922</v>
      </c>
    </row>
    <row r="739" spans="1:10" x14ac:dyDescent="0.35">
      <c r="A739" s="170">
        <v>733</v>
      </c>
      <c r="B739" s="10">
        <v>1202.7547902727729</v>
      </c>
      <c r="C739" s="9">
        <v>733</v>
      </c>
      <c r="D739" s="10">
        <v>309.95796195252865</v>
      </c>
      <c r="E739" s="9">
        <v>733</v>
      </c>
      <c r="F739" s="10">
        <v>6336.5199955849293</v>
      </c>
      <c r="G739" s="9">
        <v>733</v>
      </c>
      <c r="H739" s="10">
        <v>-2884.6799674569324</v>
      </c>
      <c r="I739" s="9">
        <v>733</v>
      </c>
      <c r="J739" s="167">
        <v>-3558.0429263028614</v>
      </c>
    </row>
    <row r="740" spans="1:10" x14ac:dyDescent="0.35">
      <c r="A740" s="170">
        <v>734</v>
      </c>
      <c r="B740" s="10">
        <v>2678.2215413429399</v>
      </c>
      <c r="C740" s="9">
        <v>734</v>
      </c>
      <c r="D740" s="10">
        <v>420.45713061938812</v>
      </c>
      <c r="E740" s="9">
        <v>734</v>
      </c>
      <c r="F740" s="10">
        <v>-5734.8095479313633</v>
      </c>
      <c r="G740" s="9">
        <v>734</v>
      </c>
      <c r="H740" s="10">
        <v>145.19165150031142</v>
      </c>
      <c r="I740" s="9">
        <v>734</v>
      </c>
      <c r="J740" s="167">
        <v>429.25337606972232</v>
      </c>
    </row>
    <row r="741" spans="1:10" x14ac:dyDescent="0.35">
      <c r="A741" s="170">
        <v>735</v>
      </c>
      <c r="B741" s="10">
        <v>2828.2087752480038</v>
      </c>
      <c r="C741" s="9">
        <v>735</v>
      </c>
      <c r="D741" s="10">
        <v>392.91234054999796</v>
      </c>
      <c r="E741" s="9">
        <v>735</v>
      </c>
      <c r="F741" s="10">
        <v>2185.0250450737863</v>
      </c>
      <c r="G741" s="9">
        <v>735</v>
      </c>
      <c r="H741" s="10">
        <v>3569.1002941200477</v>
      </c>
      <c r="I741" s="9">
        <v>735</v>
      </c>
      <c r="J741" s="167">
        <v>1613.5402826887132</v>
      </c>
    </row>
    <row r="742" spans="1:10" x14ac:dyDescent="0.35">
      <c r="A742" s="170">
        <v>736</v>
      </c>
      <c r="B742" s="10">
        <v>-22.123075466392947</v>
      </c>
      <c r="C742" s="9">
        <v>736</v>
      </c>
      <c r="D742" s="10">
        <v>372.18070277532053</v>
      </c>
      <c r="E742" s="9">
        <v>736</v>
      </c>
      <c r="F742" s="10">
        <v>1744.1607513441661</v>
      </c>
      <c r="G742" s="9">
        <v>736</v>
      </c>
      <c r="H742" s="10">
        <v>1609.3834778532128</v>
      </c>
      <c r="I742" s="9">
        <v>736</v>
      </c>
      <c r="J742" s="167">
        <v>-1609.0729324892093</v>
      </c>
    </row>
    <row r="743" spans="1:10" x14ac:dyDescent="0.35">
      <c r="A743" s="170">
        <v>737</v>
      </c>
      <c r="B743" s="10">
        <v>1580.8927824536827</v>
      </c>
      <c r="C743" s="9">
        <v>737</v>
      </c>
      <c r="D743" s="10">
        <v>357.84217355514659</v>
      </c>
      <c r="E743" s="9">
        <v>737</v>
      </c>
      <c r="F743" s="10">
        <v>2420.9326582990566</v>
      </c>
      <c r="G743" s="9">
        <v>737</v>
      </c>
      <c r="H743" s="10">
        <v>-1712.8103911605922</v>
      </c>
      <c r="I743" s="9">
        <v>737</v>
      </c>
      <c r="J743" s="167">
        <v>-357.83728875361669</v>
      </c>
    </row>
    <row r="744" spans="1:10" x14ac:dyDescent="0.35">
      <c r="A744" s="170">
        <v>738</v>
      </c>
      <c r="B744" s="10">
        <v>4738.3472351810397</v>
      </c>
      <c r="C744" s="9">
        <v>738</v>
      </c>
      <c r="D744" s="10">
        <v>565.92620593942956</v>
      </c>
      <c r="E744" s="9">
        <v>738</v>
      </c>
      <c r="F744" s="10">
        <v>-766.7851384794094</v>
      </c>
      <c r="G744" s="9">
        <v>738</v>
      </c>
      <c r="H744" s="10">
        <v>816.70067670099763</v>
      </c>
      <c r="I744" s="9">
        <v>738</v>
      </c>
      <c r="J744" s="167">
        <v>-1938.4300154353439</v>
      </c>
    </row>
    <row r="745" spans="1:10" x14ac:dyDescent="0.35">
      <c r="A745" s="170">
        <v>739</v>
      </c>
      <c r="B745" s="10">
        <v>6280.2625369533635</v>
      </c>
      <c r="C745" s="9">
        <v>739</v>
      </c>
      <c r="D745" s="10">
        <v>278.78353426994443</v>
      </c>
      <c r="E745" s="9">
        <v>739</v>
      </c>
      <c r="F745" s="10">
        <v>5873.0422267616668</v>
      </c>
      <c r="G745" s="9">
        <v>739</v>
      </c>
      <c r="H745" s="10">
        <v>1179.7534985499447</v>
      </c>
      <c r="I745" s="9">
        <v>739</v>
      </c>
      <c r="J745" s="167">
        <v>-2465.5633196028202</v>
      </c>
    </row>
    <row r="746" spans="1:10" x14ac:dyDescent="0.35">
      <c r="A746" s="170">
        <v>740</v>
      </c>
      <c r="B746" s="10">
        <v>1843.164338253041</v>
      </c>
      <c r="C746" s="9">
        <v>740</v>
      </c>
      <c r="D746" s="10">
        <v>370.05134113292814</v>
      </c>
      <c r="E746" s="9">
        <v>740</v>
      </c>
      <c r="F746" s="10">
        <v>10074.133707539459</v>
      </c>
      <c r="G746" s="9">
        <v>740</v>
      </c>
      <c r="H746" s="10">
        <v>-725.47209812276049</v>
      </c>
      <c r="I746" s="9">
        <v>740</v>
      </c>
      <c r="J746" s="167">
        <v>2994.5220180430119</v>
      </c>
    </row>
    <row r="747" spans="1:10" x14ac:dyDescent="0.35">
      <c r="A747" s="170">
        <v>741</v>
      </c>
      <c r="B747" s="10">
        <v>2692.285430338165</v>
      </c>
      <c r="C747" s="9">
        <v>741</v>
      </c>
      <c r="D747" s="10">
        <v>387.75119736013926</v>
      </c>
      <c r="E747" s="9">
        <v>741</v>
      </c>
      <c r="F747" s="10">
        <v>3661.2884324652746</v>
      </c>
      <c r="G747" s="9">
        <v>741</v>
      </c>
      <c r="H747" s="10">
        <v>1265.1784169133352</v>
      </c>
      <c r="I747" s="9">
        <v>741</v>
      </c>
      <c r="J747" s="167">
        <v>27.484814479488193</v>
      </c>
    </row>
    <row r="748" spans="1:10" x14ac:dyDescent="0.35">
      <c r="A748" s="170">
        <v>742</v>
      </c>
      <c r="B748" s="10">
        <v>2428.8569345232277</v>
      </c>
      <c r="C748" s="9">
        <v>742</v>
      </c>
      <c r="D748" s="10">
        <v>256.72148273923654</v>
      </c>
      <c r="E748" s="9">
        <v>742</v>
      </c>
      <c r="F748" s="10">
        <v>4922.2702346032802</v>
      </c>
      <c r="G748" s="9">
        <v>742</v>
      </c>
      <c r="H748" s="10">
        <v>1314.4684886713571</v>
      </c>
      <c r="I748" s="9">
        <v>742</v>
      </c>
      <c r="J748" s="167">
        <v>52.020903265014852</v>
      </c>
    </row>
    <row r="749" spans="1:10" x14ac:dyDescent="0.35">
      <c r="A749" s="170">
        <v>743</v>
      </c>
      <c r="B749" s="10">
        <v>2906.4067081850035</v>
      </c>
      <c r="C749" s="9">
        <v>743</v>
      </c>
      <c r="D749" s="10">
        <v>477.95958782677849</v>
      </c>
      <c r="E749" s="9">
        <v>743</v>
      </c>
      <c r="F749" s="10">
        <v>2513.9880759274706</v>
      </c>
      <c r="G749" s="9">
        <v>743</v>
      </c>
      <c r="H749" s="10">
        <v>3543.9146463203315</v>
      </c>
      <c r="I749" s="9">
        <v>743</v>
      </c>
      <c r="J749" s="167">
        <v>-3340.3123082861007</v>
      </c>
    </row>
    <row r="750" spans="1:10" x14ac:dyDescent="0.35">
      <c r="A750" s="170">
        <v>744</v>
      </c>
      <c r="B750" s="10">
        <v>1673.3970719671775</v>
      </c>
      <c r="C750" s="9">
        <v>744</v>
      </c>
      <c r="D750" s="10">
        <v>300.96052653146438</v>
      </c>
      <c r="E750" s="9">
        <v>744</v>
      </c>
      <c r="F750" s="10">
        <v>5777.7866132058416</v>
      </c>
      <c r="G750" s="9">
        <v>744</v>
      </c>
      <c r="H750" s="10">
        <v>-2476.1487412169072</v>
      </c>
      <c r="I750" s="9">
        <v>744</v>
      </c>
      <c r="J750" s="167">
        <v>-845.4266605574951</v>
      </c>
    </row>
    <row r="751" spans="1:10" x14ac:dyDescent="0.35">
      <c r="A751" s="170">
        <v>745</v>
      </c>
      <c r="B751" s="10">
        <v>3782.8004352075454</v>
      </c>
      <c r="C751" s="9">
        <v>745</v>
      </c>
      <c r="D751" s="10">
        <v>239.38061489751158</v>
      </c>
      <c r="E751" s="9">
        <v>745</v>
      </c>
      <c r="F751" s="10">
        <v>8125.7785487524307</v>
      </c>
      <c r="G751" s="9">
        <v>745</v>
      </c>
      <c r="H751" s="10">
        <v>307.33181577050647</v>
      </c>
      <c r="I751" s="9">
        <v>745</v>
      </c>
      <c r="J751" s="167">
        <v>1589.0716084461176</v>
      </c>
    </row>
    <row r="752" spans="1:10" x14ac:dyDescent="0.35">
      <c r="A752" s="170">
        <v>746</v>
      </c>
      <c r="B752" s="10">
        <v>4283.7914605435808</v>
      </c>
      <c r="C752" s="9">
        <v>746</v>
      </c>
      <c r="D752" s="10">
        <v>380.51512887961667</v>
      </c>
      <c r="E752" s="9">
        <v>746</v>
      </c>
      <c r="F752" s="10">
        <v>-1926.4026449204966</v>
      </c>
      <c r="G752" s="9">
        <v>746</v>
      </c>
      <c r="H752" s="10">
        <v>-496.73258899075961</v>
      </c>
      <c r="I752" s="9">
        <v>746</v>
      </c>
      <c r="J752" s="167">
        <v>1205.5251013155344</v>
      </c>
    </row>
    <row r="753" spans="1:10" x14ac:dyDescent="0.35">
      <c r="A753" s="170">
        <v>747</v>
      </c>
      <c r="B753" s="10">
        <v>-316.31514029834852</v>
      </c>
      <c r="C753" s="9">
        <v>747</v>
      </c>
      <c r="D753" s="10">
        <v>452.24623608395063</v>
      </c>
      <c r="E753" s="9">
        <v>747</v>
      </c>
      <c r="F753" s="10">
        <v>6381.831862701014</v>
      </c>
      <c r="G753" s="9">
        <v>747</v>
      </c>
      <c r="H753" s="10">
        <v>3083.9029035076051</v>
      </c>
      <c r="I753" s="9">
        <v>747</v>
      </c>
      <c r="J753" s="167">
        <v>-1126.6976771563027</v>
      </c>
    </row>
    <row r="754" spans="1:10" x14ac:dyDescent="0.35">
      <c r="A754" s="170">
        <v>748</v>
      </c>
      <c r="B754" s="10">
        <v>4234.5142052820556</v>
      </c>
      <c r="C754" s="9">
        <v>748</v>
      </c>
      <c r="D754" s="10">
        <v>428.98157259284903</v>
      </c>
      <c r="E754" s="9">
        <v>748</v>
      </c>
      <c r="F754" s="10">
        <v>-666.03911286813309</v>
      </c>
      <c r="G754" s="9">
        <v>748</v>
      </c>
      <c r="H754" s="10">
        <v>3220.4635286755715</v>
      </c>
      <c r="I754" s="9">
        <v>748</v>
      </c>
      <c r="J754" s="167">
        <v>-292.34304357543033</v>
      </c>
    </row>
    <row r="755" spans="1:10" x14ac:dyDescent="0.35">
      <c r="A755" s="170">
        <v>749</v>
      </c>
      <c r="B755" s="10">
        <v>1456.7804998948343</v>
      </c>
      <c r="C755" s="9">
        <v>749</v>
      </c>
      <c r="D755" s="10">
        <v>398.76989047601558</v>
      </c>
      <c r="E755" s="9">
        <v>749</v>
      </c>
      <c r="F755" s="10">
        <v>2232.2303953274472</v>
      </c>
      <c r="G755" s="9">
        <v>749</v>
      </c>
      <c r="H755" s="10">
        <v>993.66791097686803</v>
      </c>
      <c r="I755" s="9">
        <v>749</v>
      </c>
      <c r="J755" s="167">
        <v>-4141.3479282838762</v>
      </c>
    </row>
    <row r="756" spans="1:10" x14ac:dyDescent="0.35">
      <c r="A756" s="170">
        <v>750</v>
      </c>
      <c r="B756" s="10">
        <v>2264.6866014469524</v>
      </c>
      <c r="C756" s="9">
        <v>750</v>
      </c>
      <c r="D756" s="10">
        <v>365.56744146148725</v>
      </c>
      <c r="E756" s="9">
        <v>750</v>
      </c>
      <c r="F756" s="10">
        <v>3031.2856065287006</v>
      </c>
      <c r="G756" s="9">
        <v>750</v>
      </c>
      <c r="H756" s="10">
        <v>5323.8211473539795</v>
      </c>
      <c r="I756" s="9">
        <v>750</v>
      </c>
      <c r="J756" s="167">
        <v>-1154.8054845847687</v>
      </c>
    </row>
    <row r="757" spans="1:10" x14ac:dyDescent="0.35">
      <c r="A757" s="170">
        <v>751</v>
      </c>
      <c r="B757" s="10">
        <v>3454.0217391240863</v>
      </c>
      <c r="C757" s="9">
        <v>751</v>
      </c>
      <c r="D757" s="10">
        <v>202.95829119413366</v>
      </c>
      <c r="E757" s="9">
        <v>751</v>
      </c>
      <c r="F757" s="10">
        <v>-641.25694917113515</v>
      </c>
      <c r="G757" s="9">
        <v>751</v>
      </c>
      <c r="H757" s="10">
        <v>5316.2285188705591</v>
      </c>
      <c r="I757" s="9">
        <v>751</v>
      </c>
      <c r="J757" s="167">
        <v>1612.8135198810426</v>
      </c>
    </row>
    <row r="758" spans="1:10" x14ac:dyDescent="0.35">
      <c r="A758" s="170">
        <v>752</v>
      </c>
      <c r="B758" s="10">
        <v>5178.3596658588485</v>
      </c>
      <c r="C758" s="9">
        <v>752</v>
      </c>
      <c r="D758" s="10">
        <v>389.96571389079361</v>
      </c>
      <c r="E758" s="9">
        <v>752</v>
      </c>
      <c r="F758" s="10">
        <v>1152.4271822710109</v>
      </c>
      <c r="G758" s="9">
        <v>752</v>
      </c>
      <c r="H758" s="10">
        <v>-2267.2479933294458</v>
      </c>
      <c r="I758" s="9">
        <v>752</v>
      </c>
      <c r="J758" s="167">
        <v>776.98365715279738</v>
      </c>
    </row>
    <row r="759" spans="1:10" x14ac:dyDescent="0.35">
      <c r="A759" s="170">
        <v>753</v>
      </c>
      <c r="B759" s="10">
        <v>2903.8673852900611</v>
      </c>
      <c r="C759" s="9">
        <v>753</v>
      </c>
      <c r="D759" s="10">
        <v>237.2795322821496</v>
      </c>
      <c r="E759" s="9">
        <v>753</v>
      </c>
      <c r="F759" s="10">
        <v>2416.0798628517769</v>
      </c>
      <c r="G759" s="9">
        <v>753</v>
      </c>
      <c r="H759" s="10">
        <v>778.91594945625093</v>
      </c>
      <c r="I759" s="9">
        <v>753</v>
      </c>
      <c r="J759" s="167">
        <v>-2333.2357238111208</v>
      </c>
    </row>
    <row r="760" spans="1:10" x14ac:dyDescent="0.35">
      <c r="A760" s="170">
        <v>754</v>
      </c>
      <c r="B760" s="10">
        <v>2026.9523456808711</v>
      </c>
      <c r="C760" s="9">
        <v>754</v>
      </c>
      <c r="D760" s="10">
        <v>472.40244415605014</v>
      </c>
      <c r="E760" s="9">
        <v>754</v>
      </c>
      <c r="F760" s="10">
        <v>3959.5538337327193</v>
      </c>
      <c r="G760" s="9">
        <v>754</v>
      </c>
      <c r="H760" s="10">
        <v>-3594.7334863809406</v>
      </c>
      <c r="I760" s="9">
        <v>754</v>
      </c>
      <c r="J760" s="167">
        <v>-4461.690136573121</v>
      </c>
    </row>
    <row r="761" spans="1:10" x14ac:dyDescent="0.35">
      <c r="A761" s="170">
        <v>755</v>
      </c>
      <c r="B761" s="10">
        <v>5395.5735737189179</v>
      </c>
      <c r="C761" s="9">
        <v>755</v>
      </c>
      <c r="D761" s="10">
        <v>480.50021722228507</v>
      </c>
      <c r="E761" s="9">
        <v>755</v>
      </c>
      <c r="F761" s="10">
        <v>510.68722181575549</v>
      </c>
      <c r="G761" s="9">
        <v>755</v>
      </c>
      <c r="H761" s="10">
        <v>2324.2973261262059</v>
      </c>
      <c r="I761" s="9">
        <v>755</v>
      </c>
      <c r="J761" s="167">
        <v>-593.21143497334106</v>
      </c>
    </row>
    <row r="762" spans="1:10" x14ac:dyDescent="0.35">
      <c r="A762" s="170">
        <v>756</v>
      </c>
      <c r="B762" s="10">
        <v>4893.6771363737416</v>
      </c>
      <c r="C762" s="9">
        <v>756</v>
      </c>
      <c r="D762" s="10">
        <v>442.80746951560542</v>
      </c>
      <c r="E762" s="9">
        <v>756</v>
      </c>
      <c r="F762" s="10">
        <v>4274.9442623513296</v>
      </c>
      <c r="G762" s="9">
        <v>756</v>
      </c>
      <c r="H762" s="10">
        <v>2301.6395370291425</v>
      </c>
      <c r="I762" s="9">
        <v>756</v>
      </c>
      <c r="J762" s="167">
        <v>1786.9485045362526</v>
      </c>
    </row>
    <row r="763" spans="1:10" x14ac:dyDescent="0.35">
      <c r="A763" s="170">
        <v>757</v>
      </c>
      <c r="B763" s="10">
        <v>4013.290537203261</v>
      </c>
      <c r="C763" s="9">
        <v>757</v>
      </c>
      <c r="D763" s="10">
        <v>447.69895815557874</v>
      </c>
      <c r="E763" s="9">
        <v>757</v>
      </c>
      <c r="F763" s="10">
        <v>3326.8941909319815</v>
      </c>
      <c r="G763" s="9">
        <v>757</v>
      </c>
      <c r="H763" s="10">
        <v>5087.6017726586215</v>
      </c>
      <c r="I763" s="9">
        <v>757</v>
      </c>
      <c r="J763" s="167">
        <v>1478.1266279513754</v>
      </c>
    </row>
    <row r="764" spans="1:10" x14ac:dyDescent="0.35">
      <c r="A764" s="170">
        <v>758</v>
      </c>
      <c r="B764" s="10">
        <v>2908.5811484418537</v>
      </c>
      <c r="C764" s="9">
        <v>758</v>
      </c>
      <c r="D764" s="10">
        <v>381.37501163817814</v>
      </c>
      <c r="E764" s="9">
        <v>758</v>
      </c>
      <c r="F764" s="10">
        <v>2581.3978095324019</v>
      </c>
      <c r="G764" s="9">
        <v>758</v>
      </c>
      <c r="H764" s="10">
        <v>5508.8839865727114</v>
      </c>
      <c r="I764" s="9">
        <v>758</v>
      </c>
      <c r="J764" s="167">
        <v>-668.99636200364148</v>
      </c>
    </row>
    <row r="765" spans="1:10" x14ac:dyDescent="0.35">
      <c r="A765" s="170">
        <v>759</v>
      </c>
      <c r="B765" s="10">
        <v>5330.5304112756303</v>
      </c>
      <c r="C765" s="9">
        <v>759</v>
      </c>
      <c r="D765" s="10">
        <v>221.81833956945408</v>
      </c>
      <c r="E765" s="9">
        <v>759</v>
      </c>
      <c r="F765" s="10">
        <v>5662.6042627818224</v>
      </c>
      <c r="G765" s="9">
        <v>759</v>
      </c>
      <c r="H765" s="10">
        <v>1550.2314819662133</v>
      </c>
      <c r="I765" s="9">
        <v>759</v>
      </c>
      <c r="J765" s="167">
        <v>-3272.6908564073137</v>
      </c>
    </row>
    <row r="766" spans="1:10" x14ac:dyDescent="0.35">
      <c r="A766" s="170">
        <v>760</v>
      </c>
      <c r="B766" s="10">
        <v>2599.5578093619961</v>
      </c>
      <c r="C766" s="9">
        <v>760</v>
      </c>
      <c r="D766" s="10">
        <v>381.7817687743198</v>
      </c>
      <c r="E766" s="9">
        <v>760</v>
      </c>
      <c r="F766" s="10">
        <v>3511.2775717435024</v>
      </c>
      <c r="G766" s="9">
        <v>760</v>
      </c>
      <c r="H766" s="10">
        <v>1508.0866718228731</v>
      </c>
      <c r="I766" s="9">
        <v>760</v>
      </c>
      <c r="J766" s="167">
        <v>-1191.6925646640334</v>
      </c>
    </row>
    <row r="767" spans="1:10" x14ac:dyDescent="0.35">
      <c r="A767" s="170">
        <v>761</v>
      </c>
      <c r="B767" s="10">
        <v>954.08742015913754</v>
      </c>
      <c r="C767" s="9">
        <v>761</v>
      </c>
      <c r="D767" s="10">
        <v>649.20499827204321</v>
      </c>
      <c r="E767" s="9">
        <v>761</v>
      </c>
      <c r="F767" s="10">
        <v>3311.0311572991504</v>
      </c>
      <c r="G767" s="9">
        <v>761</v>
      </c>
      <c r="H767" s="10">
        <v>2636.7517478451068</v>
      </c>
      <c r="I767" s="9">
        <v>761</v>
      </c>
      <c r="J767" s="167">
        <v>-4932.16256616184</v>
      </c>
    </row>
    <row r="768" spans="1:10" x14ac:dyDescent="0.35">
      <c r="A768" s="170">
        <v>762</v>
      </c>
      <c r="B768" s="10">
        <v>1297.3514656518546</v>
      </c>
      <c r="C768" s="9">
        <v>762</v>
      </c>
      <c r="D768" s="10">
        <v>285.97640381085637</v>
      </c>
      <c r="E768" s="9">
        <v>762</v>
      </c>
      <c r="F768" s="10">
        <v>1157.3495548682001</v>
      </c>
      <c r="G768" s="9">
        <v>762</v>
      </c>
      <c r="H768" s="10">
        <v>3886.5886963511698</v>
      </c>
      <c r="I768" s="9">
        <v>762</v>
      </c>
      <c r="J768" s="167">
        <v>519.59751668111699</v>
      </c>
    </row>
    <row r="769" spans="1:10" x14ac:dyDescent="0.35">
      <c r="A769" s="170">
        <v>763</v>
      </c>
      <c r="B769" s="10">
        <v>2241.7299915560907</v>
      </c>
      <c r="C769" s="9">
        <v>763</v>
      </c>
      <c r="D769" s="10">
        <v>447.89907455028259</v>
      </c>
      <c r="E769" s="9">
        <v>763</v>
      </c>
      <c r="F769" s="10">
        <v>170.87663625012965</v>
      </c>
      <c r="G769" s="9">
        <v>763</v>
      </c>
      <c r="H769" s="10">
        <v>-2940.0467253528564</v>
      </c>
      <c r="I769" s="9">
        <v>763</v>
      </c>
      <c r="J769" s="167">
        <v>216.3385436541696</v>
      </c>
    </row>
    <row r="770" spans="1:10" x14ac:dyDescent="0.35">
      <c r="A770" s="170">
        <v>764</v>
      </c>
      <c r="B770" s="10">
        <v>3238.3604297395063</v>
      </c>
      <c r="C770" s="9">
        <v>764</v>
      </c>
      <c r="D770" s="10">
        <v>369.99757574045969</v>
      </c>
      <c r="E770" s="9">
        <v>764</v>
      </c>
      <c r="F770" s="10">
        <v>4367.3527798278265</v>
      </c>
      <c r="G770" s="9">
        <v>764</v>
      </c>
      <c r="H770" s="10">
        <v>5709.4998719482519</v>
      </c>
      <c r="I770" s="9">
        <v>764</v>
      </c>
      <c r="J770" s="167">
        <v>2952.5235458112811</v>
      </c>
    </row>
    <row r="771" spans="1:10" x14ac:dyDescent="0.35">
      <c r="A771" s="170">
        <v>765</v>
      </c>
      <c r="B771" s="10">
        <v>3321.3527523871298</v>
      </c>
      <c r="C771" s="9">
        <v>765</v>
      </c>
      <c r="D771" s="10">
        <v>431.29874161438971</v>
      </c>
      <c r="E771" s="9">
        <v>765</v>
      </c>
      <c r="F771" s="10">
        <v>1947.8429571948861</v>
      </c>
      <c r="G771" s="9">
        <v>765</v>
      </c>
      <c r="H771" s="10">
        <v>1312.3223442347944</v>
      </c>
      <c r="I771" s="9">
        <v>765</v>
      </c>
      <c r="J771" s="167">
        <v>-4292.91016100255</v>
      </c>
    </row>
    <row r="772" spans="1:10" x14ac:dyDescent="0.35">
      <c r="A772" s="170">
        <v>766</v>
      </c>
      <c r="B772" s="10">
        <v>3754.1460293366854</v>
      </c>
      <c r="C772" s="9">
        <v>766</v>
      </c>
      <c r="D772" s="10">
        <v>533.46370426530734</v>
      </c>
      <c r="E772" s="9">
        <v>766</v>
      </c>
      <c r="F772" s="10">
        <v>1168.6811737116284</v>
      </c>
      <c r="G772" s="9">
        <v>766</v>
      </c>
      <c r="H772" s="10">
        <v>3790.1423117759632</v>
      </c>
      <c r="I772" s="9">
        <v>766</v>
      </c>
      <c r="J772" s="167">
        <v>-6199.3926991037006</v>
      </c>
    </row>
    <row r="773" spans="1:10" x14ac:dyDescent="0.35">
      <c r="A773" s="170">
        <v>767</v>
      </c>
      <c r="B773" s="10">
        <v>3503.8375795654929</v>
      </c>
      <c r="C773" s="9">
        <v>767</v>
      </c>
      <c r="D773" s="10">
        <v>467.7403282750056</v>
      </c>
      <c r="E773" s="9">
        <v>767</v>
      </c>
      <c r="F773" s="10">
        <v>4881.5801634267937</v>
      </c>
      <c r="G773" s="9">
        <v>767</v>
      </c>
      <c r="H773" s="10">
        <v>-1777.3073884592836</v>
      </c>
      <c r="I773" s="9">
        <v>767</v>
      </c>
      <c r="J773" s="167">
        <v>380.56172312222668</v>
      </c>
    </row>
    <row r="774" spans="1:10" x14ac:dyDescent="0.35">
      <c r="A774" s="170">
        <v>768</v>
      </c>
      <c r="B774" s="10">
        <v>3694.664154390066</v>
      </c>
      <c r="C774" s="9">
        <v>768</v>
      </c>
      <c r="D774" s="10">
        <v>412.57101441878052</v>
      </c>
      <c r="E774" s="9">
        <v>768</v>
      </c>
      <c r="F774" s="10">
        <v>-699.14917531472838</v>
      </c>
      <c r="G774" s="9">
        <v>768</v>
      </c>
      <c r="H774" s="10">
        <v>5203.1447391408983</v>
      </c>
      <c r="I774" s="9">
        <v>768</v>
      </c>
      <c r="J774" s="167">
        <v>-266.15739340434573</v>
      </c>
    </row>
    <row r="775" spans="1:10" x14ac:dyDescent="0.35">
      <c r="A775" s="170">
        <v>769</v>
      </c>
      <c r="B775" s="10">
        <v>1708.1315718604117</v>
      </c>
      <c r="C775" s="9">
        <v>769</v>
      </c>
      <c r="D775" s="10">
        <v>423.28317127526196</v>
      </c>
      <c r="E775" s="9">
        <v>769</v>
      </c>
      <c r="F775" s="10">
        <v>2635.028524256571</v>
      </c>
      <c r="G775" s="9">
        <v>769</v>
      </c>
      <c r="H775" s="10">
        <v>-1236.7677562987201</v>
      </c>
      <c r="I775" s="9">
        <v>769</v>
      </c>
      <c r="J775" s="167">
        <v>-2041.1582171675582</v>
      </c>
    </row>
    <row r="776" spans="1:10" x14ac:dyDescent="0.35">
      <c r="A776" s="170">
        <v>770</v>
      </c>
      <c r="B776" s="10">
        <v>-218.38538877481824</v>
      </c>
      <c r="C776" s="9">
        <v>770</v>
      </c>
      <c r="D776" s="10">
        <v>228.67768927752411</v>
      </c>
      <c r="E776" s="9">
        <v>770</v>
      </c>
      <c r="F776" s="10">
        <v>3072.7321209308648</v>
      </c>
      <c r="G776" s="9">
        <v>770</v>
      </c>
      <c r="H776" s="10">
        <v>10282.57479097153</v>
      </c>
      <c r="I776" s="9">
        <v>770</v>
      </c>
      <c r="J776" s="167">
        <v>-2133.5021453848831</v>
      </c>
    </row>
    <row r="777" spans="1:10" x14ac:dyDescent="0.35">
      <c r="A777" s="170">
        <v>771</v>
      </c>
      <c r="B777" s="10">
        <v>3738.254402739055</v>
      </c>
      <c r="C777" s="9">
        <v>771</v>
      </c>
      <c r="D777" s="10">
        <v>468.69545042574435</v>
      </c>
      <c r="E777" s="9">
        <v>771</v>
      </c>
      <c r="F777" s="10">
        <v>3655.6925608661395</v>
      </c>
      <c r="G777" s="9">
        <v>771</v>
      </c>
      <c r="H777" s="10">
        <v>6855.5215014178166</v>
      </c>
      <c r="I777" s="9">
        <v>771</v>
      </c>
      <c r="J777" s="167">
        <v>1748.2396501040071</v>
      </c>
    </row>
    <row r="778" spans="1:10" x14ac:dyDescent="0.35">
      <c r="A778" s="170">
        <v>772</v>
      </c>
      <c r="B778" s="10">
        <v>5778.0365710269343</v>
      </c>
      <c r="C778" s="9">
        <v>772</v>
      </c>
      <c r="D778" s="10">
        <v>438.55386827939492</v>
      </c>
      <c r="E778" s="9">
        <v>772</v>
      </c>
      <c r="F778" s="10">
        <v>11608.805736324559</v>
      </c>
      <c r="G778" s="9">
        <v>772</v>
      </c>
      <c r="H778" s="10">
        <v>-3991.2262167433096</v>
      </c>
      <c r="I778" s="9">
        <v>772</v>
      </c>
      <c r="J778" s="167">
        <v>-64.450677102823988</v>
      </c>
    </row>
    <row r="779" spans="1:10" x14ac:dyDescent="0.35">
      <c r="A779" s="170">
        <v>773</v>
      </c>
      <c r="B779" s="10">
        <v>4550.415357834403</v>
      </c>
      <c r="C779" s="9">
        <v>773</v>
      </c>
      <c r="D779" s="10">
        <v>540.95304448820764</v>
      </c>
      <c r="E779" s="9">
        <v>773</v>
      </c>
      <c r="F779" s="10">
        <v>2095.5311585632235</v>
      </c>
      <c r="G779" s="9">
        <v>773</v>
      </c>
      <c r="H779" s="10">
        <v>1953.1506070065443</v>
      </c>
      <c r="I779" s="9">
        <v>773</v>
      </c>
      <c r="J779" s="167">
        <v>412.47002155158077</v>
      </c>
    </row>
    <row r="780" spans="1:10" x14ac:dyDescent="0.35">
      <c r="A780" s="170">
        <v>774</v>
      </c>
      <c r="B780" s="10">
        <v>2408.546803334109</v>
      </c>
      <c r="C780" s="9">
        <v>774</v>
      </c>
      <c r="D780" s="10">
        <v>375.55339966397173</v>
      </c>
      <c r="E780" s="9">
        <v>774</v>
      </c>
      <c r="F780" s="10">
        <v>4944.2840540389807</v>
      </c>
      <c r="G780" s="9">
        <v>774</v>
      </c>
      <c r="H780" s="10">
        <v>8081.7690943697398</v>
      </c>
      <c r="I780" s="9">
        <v>774</v>
      </c>
      <c r="J780" s="167">
        <v>-6060.7882451346049</v>
      </c>
    </row>
    <row r="781" spans="1:10" x14ac:dyDescent="0.35">
      <c r="A781" s="170">
        <v>775</v>
      </c>
      <c r="B781" s="10">
        <v>2851.0146517085441</v>
      </c>
      <c r="C781" s="9">
        <v>775</v>
      </c>
      <c r="D781" s="10">
        <v>437.31976507111807</v>
      </c>
      <c r="E781" s="9">
        <v>775</v>
      </c>
      <c r="F781" s="10">
        <v>2289.3938083205135</v>
      </c>
      <c r="G781" s="9">
        <v>775</v>
      </c>
      <c r="H781" s="10">
        <v>-380.05076135600746</v>
      </c>
      <c r="I781" s="9">
        <v>775</v>
      </c>
      <c r="J781" s="167">
        <v>2307.2192552253878</v>
      </c>
    </row>
    <row r="782" spans="1:10" x14ac:dyDescent="0.35">
      <c r="A782" s="170">
        <v>776</v>
      </c>
      <c r="B782" s="10">
        <v>2807.4874022781778</v>
      </c>
      <c r="C782" s="9">
        <v>776</v>
      </c>
      <c r="D782" s="10">
        <v>259.07623276454854</v>
      </c>
      <c r="E782" s="9">
        <v>776</v>
      </c>
      <c r="F782" s="10">
        <v>562.20645886505827</v>
      </c>
      <c r="G782" s="9">
        <v>776</v>
      </c>
      <c r="H782" s="10">
        <v>767.46731741127417</v>
      </c>
      <c r="I782" s="9">
        <v>776</v>
      </c>
      <c r="J782" s="167">
        <v>973.48945789790992</v>
      </c>
    </row>
    <row r="783" spans="1:10" x14ac:dyDescent="0.35">
      <c r="A783" s="170">
        <v>777</v>
      </c>
      <c r="B783" s="10">
        <v>4033.951577995108</v>
      </c>
      <c r="C783" s="9">
        <v>777</v>
      </c>
      <c r="D783" s="10">
        <v>355.25209085571566</v>
      </c>
      <c r="E783" s="9">
        <v>777</v>
      </c>
      <c r="F783" s="10">
        <v>-176.23586885634768</v>
      </c>
      <c r="G783" s="9">
        <v>777</v>
      </c>
      <c r="H783" s="10">
        <v>3080.7569365755953</v>
      </c>
      <c r="I783" s="9">
        <v>777</v>
      </c>
      <c r="J783" s="167">
        <v>-892.03919094510502</v>
      </c>
    </row>
    <row r="784" spans="1:10" x14ac:dyDescent="0.35">
      <c r="A784" s="170">
        <v>778</v>
      </c>
      <c r="B784" s="10">
        <v>3177.8349532242014</v>
      </c>
      <c r="C784" s="9">
        <v>778</v>
      </c>
      <c r="D784" s="10">
        <v>428.85115560878205</v>
      </c>
      <c r="E784" s="9">
        <v>778</v>
      </c>
      <c r="F784" s="10">
        <v>691.18478084080152</v>
      </c>
      <c r="G784" s="9">
        <v>778</v>
      </c>
      <c r="H784" s="10">
        <v>4136.7157757976902</v>
      </c>
      <c r="I784" s="9">
        <v>778</v>
      </c>
      <c r="J784" s="167">
        <v>-4270.7941890597267</v>
      </c>
    </row>
    <row r="785" spans="1:10" x14ac:dyDescent="0.35">
      <c r="A785" s="170">
        <v>779</v>
      </c>
      <c r="B785" s="10">
        <v>6539.7503432828908</v>
      </c>
      <c r="C785" s="9">
        <v>779</v>
      </c>
      <c r="D785" s="10">
        <v>286.9586578261468</v>
      </c>
      <c r="E785" s="9">
        <v>779</v>
      </c>
      <c r="F785" s="10">
        <v>-1045.7204320663213</v>
      </c>
      <c r="G785" s="9">
        <v>779</v>
      </c>
      <c r="H785" s="10">
        <v>1551.2103076331061</v>
      </c>
      <c r="I785" s="9">
        <v>779</v>
      </c>
      <c r="J785" s="167">
        <v>-1733.6479690544734</v>
      </c>
    </row>
    <row r="786" spans="1:10" x14ac:dyDescent="0.35">
      <c r="A786" s="170">
        <v>780</v>
      </c>
      <c r="B786" s="10">
        <v>5773.1949079842789</v>
      </c>
      <c r="C786" s="9">
        <v>780</v>
      </c>
      <c r="D786" s="10">
        <v>455.63566247074425</v>
      </c>
      <c r="E786" s="9">
        <v>780</v>
      </c>
      <c r="F786" s="10">
        <v>6581.1472202124114</v>
      </c>
      <c r="G786" s="9">
        <v>780</v>
      </c>
      <c r="H786" s="10">
        <v>3416.1113826165547</v>
      </c>
      <c r="I786" s="9">
        <v>780</v>
      </c>
      <c r="J786" s="167">
        <v>3837.6826537704387</v>
      </c>
    </row>
    <row r="787" spans="1:10" x14ac:dyDescent="0.35">
      <c r="A787" s="170">
        <v>781</v>
      </c>
      <c r="B787" s="10">
        <v>3254.8945535167036</v>
      </c>
      <c r="C787" s="9">
        <v>781</v>
      </c>
      <c r="D787" s="10">
        <v>367.78627712359264</v>
      </c>
      <c r="E787" s="9">
        <v>781</v>
      </c>
      <c r="F787" s="10">
        <v>4585.6843805450408</v>
      </c>
      <c r="G787" s="9">
        <v>781</v>
      </c>
      <c r="H787" s="10">
        <v>4848.779468235969</v>
      </c>
      <c r="I787" s="9">
        <v>781</v>
      </c>
      <c r="J787" s="167">
        <v>-5132.7927606756039</v>
      </c>
    </row>
    <row r="788" spans="1:10" x14ac:dyDescent="0.35">
      <c r="A788" s="170">
        <v>782</v>
      </c>
      <c r="B788" s="10">
        <v>2697.8356924893205</v>
      </c>
      <c r="C788" s="9">
        <v>782</v>
      </c>
      <c r="D788" s="10">
        <v>314.71816000740665</v>
      </c>
      <c r="E788" s="9">
        <v>782</v>
      </c>
      <c r="F788" s="10">
        <v>3041.8759312868924</v>
      </c>
      <c r="G788" s="9">
        <v>782</v>
      </c>
      <c r="H788" s="10">
        <v>2494.4906477255645</v>
      </c>
      <c r="I788" s="9">
        <v>782</v>
      </c>
      <c r="J788" s="167">
        <v>-573.21557268197921</v>
      </c>
    </row>
    <row r="789" spans="1:10" x14ac:dyDescent="0.35">
      <c r="A789" s="170">
        <v>783</v>
      </c>
      <c r="B789" s="10">
        <v>5542.6141806488395</v>
      </c>
      <c r="C789" s="9">
        <v>783</v>
      </c>
      <c r="D789" s="10">
        <v>392.67301838207987</v>
      </c>
      <c r="E789" s="9">
        <v>783</v>
      </c>
      <c r="F789" s="10">
        <v>5355.3539624797668</v>
      </c>
      <c r="G789" s="9">
        <v>783</v>
      </c>
      <c r="H789" s="10">
        <v>-1061.7693046537156</v>
      </c>
      <c r="I789" s="9">
        <v>783</v>
      </c>
      <c r="J789" s="167">
        <v>3423.5924585685279</v>
      </c>
    </row>
    <row r="790" spans="1:10" x14ac:dyDescent="0.35">
      <c r="A790" s="170">
        <v>784</v>
      </c>
      <c r="B790" s="10">
        <v>2779.9537107555848</v>
      </c>
      <c r="C790" s="9">
        <v>784</v>
      </c>
      <c r="D790" s="10">
        <v>324.78928937398962</v>
      </c>
      <c r="E790" s="9">
        <v>784</v>
      </c>
      <c r="F790" s="10">
        <v>43.190866433800693</v>
      </c>
      <c r="G790" s="9">
        <v>784</v>
      </c>
      <c r="H790" s="10">
        <v>-1953.3745434824173</v>
      </c>
      <c r="I790" s="9">
        <v>784</v>
      </c>
      <c r="J790" s="167">
        <v>429.09201673416408</v>
      </c>
    </row>
    <row r="791" spans="1:10" x14ac:dyDescent="0.35">
      <c r="A791" s="170">
        <v>785</v>
      </c>
      <c r="B791" s="10">
        <v>3525.7009802122516</v>
      </c>
      <c r="C791" s="9">
        <v>785</v>
      </c>
      <c r="D791" s="10">
        <v>415.38411706399057</v>
      </c>
      <c r="E791" s="9">
        <v>785</v>
      </c>
      <c r="F791" s="10">
        <v>4426.5615154857396</v>
      </c>
      <c r="G791" s="9">
        <v>785</v>
      </c>
      <c r="H791" s="10">
        <v>3110.4120130895431</v>
      </c>
      <c r="I791" s="9">
        <v>785</v>
      </c>
      <c r="J791" s="167">
        <v>-729.55002406608799</v>
      </c>
    </row>
    <row r="792" spans="1:10" x14ac:dyDescent="0.35">
      <c r="A792" s="170">
        <v>786</v>
      </c>
      <c r="B792" s="10">
        <v>2104.3358991732521</v>
      </c>
      <c r="C792" s="9">
        <v>786</v>
      </c>
      <c r="D792" s="10">
        <v>412.39550981016191</v>
      </c>
      <c r="E792" s="9">
        <v>786</v>
      </c>
      <c r="F792" s="10">
        <v>3228.8104458154817</v>
      </c>
      <c r="G792" s="9">
        <v>786</v>
      </c>
      <c r="H792" s="10">
        <v>4331.8333512986737</v>
      </c>
      <c r="I792" s="9">
        <v>786</v>
      </c>
      <c r="J792" s="167">
        <v>1941.63511937254</v>
      </c>
    </row>
    <row r="793" spans="1:10" x14ac:dyDescent="0.35">
      <c r="A793" s="170">
        <v>787</v>
      </c>
      <c r="B793" s="10">
        <v>2203.817460369386</v>
      </c>
      <c r="C793" s="9">
        <v>787</v>
      </c>
      <c r="D793" s="10">
        <v>495.66888498182004</v>
      </c>
      <c r="E793" s="9">
        <v>787</v>
      </c>
      <c r="F793" s="10">
        <v>2176.4293110779818</v>
      </c>
      <c r="G793" s="9">
        <v>787</v>
      </c>
      <c r="H793" s="10">
        <v>-790.21050232090522</v>
      </c>
      <c r="I793" s="9">
        <v>787</v>
      </c>
      <c r="J793" s="167">
        <v>-2918.84898879096</v>
      </c>
    </row>
    <row r="794" spans="1:10" x14ac:dyDescent="0.35">
      <c r="A794" s="170">
        <v>788</v>
      </c>
      <c r="B794" s="10">
        <v>5163.4309794963028</v>
      </c>
      <c r="C794" s="9">
        <v>788</v>
      </c>
      <c r="D794" s="10">
        <v>392.60558459732181</v>
      </c>
      <c r="E794" s="9">
        <v>788</v>
      </c>
      <c r="F794" s="10">
        <v>-2058.650985286069</v>
      </c>
      <c r="G794" s="9">
        <v>788</v>
      </c>
      <c r="H794" s="10">
        <v>3793.1842413397349</v>
      </c>
      <c r="I794" s="9">
        <v>788</v>
      </c>
      <c r="J794" s="167">
        <v>2729.0064754132136</v>
      </c>
    </row>
    <row r="795" spans="1:10" x14ac:dyDescent="0.35">
      <c r="A795" s="170">
        <v>789</v>
      </c>
      <c r="B795" s="10">
        <v>5408.3245432023477</v>
      </c>
      <c r="C795" s="9">
        <v>789</v>
      </c>
      <c r="D795" s="10">
        <v>244.88639214881351</v>
      </c>
      <c r="E795" s="9">
        <v>789</v>
      </c>
      <c r="F795" s="10">
        <v>2597.3851500880405</v>
      </c>
      <c r="G795" s="9">
        <v>789</v>
      </c>
      <c r="H795" s="10">
        <v>1144.4251717162251</v>
      </c>
      <c r="I795" s="9">
        <v>789</v>
      </c>
      <c r="J795" s="167">
        <v>-2353.370788536914</v>
      </c>
    </row>
    <row r="796" spans="1:10" x14ac:dyDescent="0.35">
      <c r="A796" s="170">
        <v>790</v>
      </c>
      <c r="B796" s="10">
        <v>7068.6935098053491</v>
      </c>
      <c r="C796" s="9">
        <v>790</v>
      </c>
      <c r="D796" s="10">
        <v>285.52206864716749</v>
      </c>
      <c r="E796" s="9">
        <v>790</v>
      </c>
      <c r="F796" s="10">
        <v>3925.1966786793218</v>
      </c>
      <c r="G796" s="9">
        <v>790</v>
      </c>
      <c r="H796" s="10">
        <v>988.15067751915444</v>
      </c>
      <c r="I796" s="9">
        <v>790</v>
      </c>
      <c r="J796" s="167">
        <v>-4065.1942003954041</v>
      </c>
    </row>
    <row r="797" spans="1:10" x14ac:dyDescent="0.35">
      <c r="A797" s="170">
        <v>791</v>
      </c>
      <c r="B797" s="10">
        <v>4245.90617278834</v>
      </c>
      <c r="C797" s="9">
        <v>791</v>
      </c>
      <c r="D797" s="10">
        <v>472.13589147166067</v>
      </c>
      <c r="E797" s="9">
        <v>791</v>
      </c>
      <c r="F797" s="10">
        <v>971.87614226707319</v>
      </c>
      <c r="G797" s="9">
        <v>791</v>
      </c>
      <c r="H797" s="10">
        <v>2765.0385365183179</v>
      </c>
      <c r="I797" s="9">
        <v>791</v>
      </c>
      <c r="J797" s="167">
        <v>1026.6612212786715</v>
      </c>
    </row>
    <row r="798" spans="1:10" x14ac:dyDescent="0.35">
      <c r="A798" s="170">
        <v>792</v>
      </c>
      <c r="B798" s="10">
        <v>3926.0284111209307</v>
      </c>
      <c r="C798" s="9">
        <v>792</v>
      </c>
      <c r="D798" s="10">
        <v>307.37966941640326</v>
      </c>
      <c r="E798" s="9">
        <v>792</v>
      </c>
      <c r="F798" s="10">
        <v>8681.991695155959</v>
      </c>
      <c r="G798" s="9">
        <v>792</v>
      </c>
      <c r="H798" s="10">
        <v>-35.425378451871893</v>
      </c>
      <c r="I798" s="9">
        <v>792</v>
      </c>
      <c r="J798" s="167">
        <v>-1406.830642658314</v>
      </c>
    </row>
    <row r="799" spans="1:10" x14ac:dyDescent="0.35">
      <c r="A799" s="170">
        <v>793</v>
      </c>
      <c r="B799" s="10">
        <v>1661.9860926253741</v>
      </c>
      <c r="C799" s="9">
        <v>793</v>
      </c>
      <c r="D799" s="10">
        <v>446.92212843335517</v>
      </c>
      <c r="E799" s="9">
        <v>793</v>
      </c>
      <c r="F799" s="10">
        <v>3534.8092242339139</v>
      </c>
      <c r="G799" s="9">
        <v>793</v>
      </c>
      <c r="H799" s="10">
        <v>2633.4410955205531</v>
      </c>
      <c r="I799" s="9">
        <v>793</v>
      </c>
      <c r="J799" s="167">
        <v>786.28879828207278</v>
      </c>
    </row>
    <row r="800" spans="1:10" x14ac:dyDescent="0.35">
      <c r="A800" s="170">
        <v>794</v>
      </c>
      <c r="B800" s="10">
        <v>5334.4387213612563</v>
      </c>
      <c r="C800" s="9">
        <v>794</v>
      </c>
      <c r="D800" s="10">
        <v>284.81520430412195</v>
      </c>
      <c r="E800" s="9">
        <v>794</v>
      </c>
      <c r="F800" s="10">
        <v>-1826.885249973544</v>
      </c>
      <c r="G800" s="9">
        <v>794</v>
      </c>
      <c r="H800" s="10">
        <v>2980.1641450047018</v>
      </c>
      <c r="I800" s="9">
        <v>794</v>
      </c>
      <c r="J800" s="167">
        <v>925.13971792280608</v>
      </c>
    </row>
    <row r="801" spans="1:10" x14ac:dyDescent="0.35">
      <c r="A801" s="170">
        <v>795</v>
      </c>
      <c r="B801" s="10">
        <v>-1482.4591256492054</v>
      </c>
      <c r="C801" s="9">
        <v>795</v>
      </c>
      <c r="D801" s="10">
        <v>446.73295848485333</v>
      </c>
      <c r="E801" s="9">
        <v>795</v>
      </c>
      <c r="F801" s="10">
        <v>3020.4733617694314</v>
      </c>
      <c r="G801" s="9">
        <v>795</v>
      </c>
      <c r="H801" s="10">
        <v>-1509.0382042433912</v>
      </c>
      <c r="I801" s="9">
        <v>795</v>
      </c>
      <c r="J801" s="167">
        <v>-19.966549828422671</v>
      </c>
    </row>
    <row r="802" spans="1:10" x14ac:dyDescent="0.35">
      <c r="A802" s="170">
        <v>796</v>
      </c>
      <c r="B802" s="10">
        <v>2280.8290956641663</v>
      </c>
      <c r="C802" s="9">
        <v>796</v>
      </c>
      <c r="D802" s="10">
        <v>290.99521672003846</v>
      </c>
      <c r="E802" s="9">
        <v>796</v>
      </c>
      <c r="F802" s="10">
        <v>2061.828628472671</v>
      </c>
      <c r="G802" s="9">
        <v>796</v>
      </c>
      <c r="H802" s="10">
        <v>5410.976798394312</v>
      </c>
      <c r="I802" s="9">
        <v>796</v>
      </c>
      <c r="J802" s="167">
        <v>80.934840943194899</v>
      </c>
    </row>
    <row r="803" spans="1:10" x14ac:dyDescent="0.35">
      <c r="A803" s="170">
        <v>797</v>
      </c>
      <c r="B803" s="10">
        <v>7082.2926865454829</v>
      </c>
      <c r="C803" s="9">
        <v>797</v>
      </c>
      <c r="D803" s="10">
        <v>506.16438182545255</v>
      </c>
      <c r="E803" s="9">
        <v>797</v>
      </c>
      <c r="F803" s="10">
        <v>1073.3790165536184</v>
      </c>
      <c r="G803" s="9">
        <v>797</v>
      </c>
      <c r="H803" s="10">
        <v>361.01879353067415</v>
      </c>
      <c r="I803" s="9">
        <v>797</v>
      </c>
      <c r="J803" s="167">
        <v>-1085.6920132145165</v>
      </c>
    </row>
    <row r="804" spans="1:10" x14ac:dyDescent="0.35">
      <c r="A804" s="170">
        <v>798</v>
      </c>
      <c r="B804" s="10">
        <v>4373.9031447089774</v>
      </c>
      <c r="C804" s="9">
        <v>798</v>
      </c>
      <c r="D804" s="10">
        <v>448.5226078477379</v>
      </c>
      <c r="E804" s="9">
        <v>798</v>
      </c>
      <c r="F804" s="10">
        <v>1716.8503981880692</v>
      </c>
      <c r="G804" s="9">
        <v>798</v>
      </c>
      <c r="H804" s="10">
        <v>1119.8442013434492</v>
      </c>
      <c r="I804" s="9">
        <v>798</v>
      </c>
      <c r="J804" s="167">
        <v>332.65119359421976</v>
      </c>
    </row>
    <row r="805" spans="1:10" x14ac:dyDescent="0.35">
      <c r="A805" s="170">
        <v>799</v>
      </c>
      <c r="B805" s="10">
        <v>4214.6740769027692</v>
      </c>
      <c r="C805" s="9">
        <v>799</v>
      </c>
      <c r="D805" s="10">
        <v>409.70263145961189</v>
      </c>
      <c r="E805" s="9">
        <v>799</v>
      </c>
      <c r="F805" s="10">
        <v>6298.0468568023844</v>
      </c>
      <c r="G805" s="9">
        <v>799</v>
      </c>
      <c r="H805" s="10">
        <v>4185.9565729451715</v>
      </c>
      <c r="I805" s="9">
        <v>799</v>
      </c>
      <c r="J805" s="167">
        <v>-736.68016006292623</v>
      </c>
    </row>
    <row r="806" spans="1:10" x14ac:dyDescent="0.35">
      <c r="A806" s="170">
        <v>800</v>
      </c>
      <c r="B806" s="10">
        <v>609.60650609625327</v>
      </c>
      <c r="C806" s="9">
        <v>800</v>
      </c>
      <c r="D806" s="10">
        <v>428.87694326407552</v>
      </c>
      <c r="E806" s="9">
        <v>800</v>
      </c>
      <c r="F806" s="10">
        <v>1133.0727651953716</v>
      </c>
      <c r="G806" s="9">
        <v>800</v>
      </c>
      <c r="H806" s="10">
        <v>5319.0260858467082</v>
      </c>
      <c r="I806" s="9">
        <v>800</v>
      </c>
      <c r="J806" s="167">
        <v>2221.1871291640432</v>
      </c>
    </row>
    <row r="807" spans="1:10" x14ac:dyDescent="0.35">
      <c r="A807" s="170">
        <v>801</v>
      </c>
      <c r="B807" s="10">
        <v>3264.0859681371417</v>
      </c>
      <c r="C807" s="9">
        <v>801</v>
      </c>
      <c r="D807" s="10">
        <v>593.77983637504178</v>
      </c>
      <c r="E807" s="9">
        <v>801</v>
      </c>
      <c r="F807" s="10">
        <v>-938.26026088810704</v>
      </c>
      <c r="G807" s="9">
        <v>801</v>
      </c>
      <c r="H807" s="10">
        <v>2447.2722787527487</v>
      </c>
      <c r="I807" s="9">
        <v>801</v>
      </c>
      <c r="J807" s="167">
        <v>-1253.8993279711804</v>
      </c>
    </row>
    <row r="808" spans="1:10" x14ac:dyDescent="0.35">
      <c r="A808" s="170">
        <v>802</v>
      </c>
      <c r="B808" s="10">
        <v>-1009.9256127830777</v>
      </c>
      <c r="C808" s="9">
        <v>802</v>
      </c>
      <c r="D808" s="10">
        <v>514.25765124093255</v>
      </c>
      <c r="E808" s="9">
        <v>802</v>
      </c>
      <c r="F808" s="10">
        <v>3143.5408409318402</v>
      </c>
      <c r="G808" s="9">
        <v>802</v>
      </c>
      <c r="H808" s="10">
        <v>4530.2953157930406</v>
      </c>
      <c r="I808" s="9">
        <v>802</v>
      </c>
      <c r="J808" s="167">
        <v>-2132.8425249510419</v>
      </c>
    </row>
    <row r="809" spans="1:10" x14ac:dyDescent="0.35">
      <c r="A809" s="170">
        <v>803</v>
      </c>
      <c r="B809" s="10">
        <v>5526.4808849423225</v>
      </c>
      <c r="C809" s="9">
        <v>803</v>
      </c>
      <c r="D809" s="10">
        <v>418.64882496391584</v>
      </c>
      <c r="E809" s="9">
        <v>803</v>
      </c>
      <c r="F809" s="10">
        <v>-994.01870136559501</v>
      </c>
      <c r="G809" s="9">
        <v>803</v>
      </c>
      <c r="H809" s="10">
        <v>4503.3039216270199</v>
      </c>
      <c r="I809" s="9">
        <v>803</v>
      </c>
      <c r="J809" s="167">
        <v>5214.7429094035324</v>
      </c>
    </row>
    <row r="810" spans="1:10" x14ac:dyDescent="0.35">
      <c r="A810" s="170">
        <v>804</v>
      </c>
      <c r="B810" s="10">
        <v>558.97851478549364</v>
      </c>
      <c r="C810" s="9">
        <v>804</v>
      </c>
      <c r="D810" s="10">
        <v>466.21073051451066</v>
      </c>
      <c r="E810" s="9">
        <v>804</v>
      </c>
      <c r="F810" s="10">
        <v>452.13262939679134</v>
      </c>
      <c r="G810" s="9">
        <v>804</v>
      </c>
      <c r="H810" s="10">
        <v>-3733.0197401299761</v>
      </c>
      <c r="I810" s="9">
        <v>804</v>
      </c>
      <c r="J810" s="167">
        <v>-1854.4463751277178</v>
      </c>
    </row>
    <row r="811" spans="1:10" x14ac:dyDescent="0.35">
      <c r="A811" s="170">
        <v>805</v>
      </c>
      <c r="B811" s="10">
        <v>3951.8014660918761</v>
      </c>
      <c r="C811" s="9">
        <v>805</v>
      </c>
      <c r="D811" s="10">
        <v>541.95256841030391</v>
      </c>
      <c r="E811" s="9">
        <v>805</v>
      </c>
      <c r="F811" s="10">
        <v>-2327.452963171173</v>
      </c>
      <c r="G811" s="9">
        <v>805</v>
      </c>
      <c r="H811" s="10">
        <v>-1755.543189830466</v>
      </c>
      <c r="I811" s="9">
        <v>805</v>
      </c>
      <c r="J811" s="167">
        <v>-1008.0610597124851</v>
      </c>
    </row>
    <row r="812" spans="1:10" x14ac:dyDescent="0.35">
      <c r="A812" s="170">
        <v>806</v>
      </c>
      <c r="B812" s="10">
        <v>4652.9862636629296</v>
      </c>
      <c r="C812" s="9">
        <v>806</v>
      </c>
      <c r="D812" s="10">
        <v>372.73642344755461</v>
      </c>
      <c r="E812" s="9">
        <v>806</v>
      </c>
      <c r="F812" s="10">
        <v>-663.66389781494445</v>
      </c>
      <c r="G812" s="9">
        <v>806</v>
      </c>
      <c r="H812" s="10">
        <v>2929.6083177369783</v>
      </c>
      <c r="I812" s="9">
        <v>806</v>
      </c>
      <c r="J812" s="167">
        <v>2798.0740748525373</v>
      </c>
    </row>
    <row r="813" spans="1:10" x14ac:dyDescent="0.35">
      <c r="A813" s="170">
        <v>807</v>
      </c>
      <c r="B813" s="10">
        <v>2514.158636174629</v>
      </c>
      <c r="C813" s="9">
        <v>807</v>
      </c>
      <c r="D813" s="10">
        <v>373.31568760099537</v>
      </c>
      <c r="E813" s="9">
        <v>807</v>
      </c>
      <c r="F813" s="10">
        <v>3475.4987155194913</v>
      </c>
      <c r="G813" s="9">
        <v>807</v>
      </c>
      <c r="H813" s="10">
        <v>22.428661690718855</v>
      </c>
      <c r="I813" s="9">
        <v>807</v>
      </c>
      <c r="J813" s="167">
        <v>-758.08994112673372</v>
      </c>
    </row>
    <row r="814" spans="1:10" x14ac:dyDescent="0.35">
      <c r="A814" s="170">
        <v>808</v>
      </c>
      <c r="B814" s="10">
        <v>1489.1985548389785</v>
      </c>
      <c r="C814" s="9">
        <v>808</v>
      </c>
      <c r="D814" s="10">
        <v>423.42309860820779</v>
      </c>
      <c r="E814" s="9">
        <v>808</v>
      </c>
      <c r="F814" s="10">
        <v>2863.9179227576337</v>
      </c>
      <c r="G814" s="9">
        <v>808</v>
      </c>
      <c r="H814" s="10">
        <v>1019.9699265243498</v>
      </c>
      <c r="I814" s="9">
        <v>808</v>
      </c>
      <c r="J814" s="167">
        <v>-1141.325979760576</v>
      </c>
    </row>
    <row r="815" spans="1:10" x14ac:dyDescent="0.35">
      <c r="A815" s="170">
        <v>809</v>
      </c>
      <c r="B815" s="10">
        <v>1008.1610210176952</v>
      </c>
      <c r="C815" s="9">
        <v>809</v>
      </c>
      <c r="D815" s="10">
        <v>432.17407058214297</v>
      </c>
      <c r="E815" s="9">
        <v>809</v>
      </c>
      <c r="F815" s="10">
        <v>9868.1166920557516</v>
      </c>
      <c r="G815" s="9">
        <v>809</v>
      </c>
      <c r="H815" s="10">
        <v>-177.35852446058675</v>
      </c>
      <c r="I815" s="9">
        <v>809</v>
      </c>
      <c r="J815" s="167">
        <v>2017.7721794495774</v>
      </c>
    </row>
    <row r="816" spans="1:10" x14ac:dyDescent="0.35">
      <c r="A816" s="170">
        <v>810</v>
      </c>
      <c r="B816" s="10">
        <v>3271.5243122262791</v>
      </c>
      <c r="C816" s="9">
        <v>810</v>
      </c>
      <c r="D816" s="10">
        <v>375.832704501151</v>
      </c>
      <c r="E816" s="9">
        <v>810</v>
      </c>
      <c r="F816" s="10">
        <v>1784.610358759167</v>
      </c>
      <c r="G816" s="9">
        <v>810</v>
      </c>
      <c r="H816" s="10">
        <v>-167.27129902203535</v>
      </c>
      <c r="I816" s="9">
        <v>810</v>
      </c>
      <c r="J816" s="167">
        <v>-224.46357418563173</v>
      </c>
    </row>
    <row r="817" spans="1:10" x14ac:dyDescent="0.35">
      <c r="A817" s="170">
        <v>811</v>
      </c>
      <c r="B817" s="10">
        <v>4615.4736279495055</v>
      </c>
      <c r="C817" s="9">
        <v>811</v>
      </c>
      <c r="D817" s="10">
        <v>440.23990821464912</v>
      </c>
      <c r="E817" s="9">
        <v>811</v>
      </c>
      <c r="F817" s="10">
        <v>-1252.9024042440969</v>
      </c>
      <c r="G817" s="9">
        <v>811</v>
      </c>
      <c r="H817" s="10">
        <v>1014.7568335924796</v>
      </c>
      <c r="I817" s="9">
        <v>811</v>
      </c>
      <c r="J817" s="167">
        <v>-23.069210303946591</v>
      </c>
    </row>
    <row r="818" spans="1:10" x14ac:dyDescent="0.35">
      <c r="A818" s="170">
        <v>812</v>
      </c>
      <c r="B818" s="10">
        <v>919.73557467705859</v>
      </c>
      <c r="C818" s="9">
        <v>812</v>
      </c>
      <c r="D818" s="10">
        <v>341.48762574132672</v>
      </c>
      <c r="E818" s="9">
        <v>812</v>
      </c>
      <c r="F818" s="10">
        <v>-1055.5821901742524</v>
      </c>
      <c r="G818" s="9">
        <v>812</v>
      </c>
      <c r="H818" s="10">
        <v>5710.323368897627</v>
      </c>
      <c r="I818" s="9">
        <v>812</v>
      </c>
      <c r="J818" s="167">
        <v>-2479.879327415274</v>
      </c>
    </row>
    <row r="819" spans="1:10" x14ac:dyDescent="0.35">
      <c r="A819" s="170">
        <v>813</v>
      </c>
      <c r="B819" s="10">
        <v>3205.0274772974813</v>
      </c>
      <c r="C819" s="9">
        <v>813</v>
      </c>
      <c r="D819" s="10">
        <v>293.93649331508283</v>
      </c>
      <c r="E819" s="9">
        <v>813</v>
      </c>
      <c r="F819" s="10">
        <v>-3293.4271357017751</v>
      </c>
      <c r="G819" s="9">
        <v>813</v>
      </c>
      <c r="H819" s="10">
        <v>2079.0161094724554</v>
      </c>
      <c r="I819" s="9">
        <v>813</v>
      </c>
      <c r="J819" s="167">
        <v>-472.0554214155585</v>
      </c>
    </row>
    <row r="820" spans="1:10" x14ac:dyDescent="0.35">
      <c r="A820" s="170">
        <v>814</v>
      </c>
      <c r="B820" s="10">
        <v>5637.0217218327616</v>
      </c>
      <c r="C820" s="9">
        <v>814</v>
      </c>
      <c r="D820" s="10">
        <v>367.65726336995874</v>
      </c>
      <c r="E820" s="9">
        <v>814</v>
      </c>
      <c r="F820" s="10">
        <v>2557.925544926562</v>
      </c>
      <c r="G820" s="9">
        <v>814</v>
      </c>
      <c r="H820" s="10">
        <v>1062.4447919861875</v>
      </c>
      <c r="I820" s="9">
        <v>814</v>
      </c>
      <c r="J820" s="167">
        <v>3433.6890209738112</v>
      </c>
    </row>
    <row r="821" spans="1:10" x14ac:dyDescent="0.35">
      <c r="A821" s="170">
        <v>815</v>
      </c>
      <c r="B821" s="10">
        <v>5881.7896305955255</v>
      </c>
      <c r="C821" s="9">
        <v>815</v>
      </c>
      <c r="D821" s="10">
        <v>203.24801688698679</v>
      </c>
      <c r="E821" s="9">
        <v>815</v>
      </c>
      <c r="F821" s="10">
        <v>8611.36780731613</v>
      </c>
      <c r="G821" s="9">
        <v>815</v>
      </c>
      <c r="H821" s="10">
        <v>-2002.9957985142837</v>
      </c>
      <c r="I821" s="9">
        <v>815</v>
      </c>
      <c r="J821" s="167">
        <v>2556.4865233638634</v>
      </c>
    </row>
    <row r="822" spans="1:10" x14ac:dyDescent="0.35">
      <c r="A822" s="170">
        <v>816</v>
      </c>
      <c r="B822" s="10">
        <v>3012.7653800330654</v>
      </c>
      <c r="C822" s="9">
        <v>816</v>
      </c>
      <c r="D822" s="10">
        <v>525.21451297177919</v>
      </c>
      <c r="E822" s="9">
        <v>816</v>
      </c>
      <c r="F822" s="10">
        <v>-385.16321951890086</v>
      </c>
      <c r="G822" s="9">
        <v>816</v>
      </c>
      <c r="H822" s="10">
        <v>3442.0449948027735</v>
      </c>
      <c r="I822" s="9">
        <v>816</v>
      </c>
      <c r="J822" s="167">
        <v>-337.6157532409074</v>
      </c>
    </row>
    <row r="823" spans="1:10" x14ac:dyDescent="0.35">
      <c r="A823" s="170">
        <v>817</v>
      </c>
      <c r="B823" s="10">
        <v>1599.4084345795402</v>
      </c>
      <c r="C823" s="9">
        <v>817</v>
      </c>
      <c r="D823" s="10">
        <v>548.9527282528295</v>
      </c>
      <c r="E823" s="9">
        <v>817</v>
      </c>
      <c r="F823" s="10">
        <v>4352.1495347379841</v>
      </c>
      <c r="G823" s="9">
        <v>817</v>
      </c>
      <c r="H823" s="10">
        <v>-249.98145531462831</v>
      </c>
      <c r="I823" s="9">
        <v>817</v>
      </c>
      <c r="J823" s="167">
        <v>-3484.1448599169089</v>
      </c>
    </row>
    <row r="824" spans="1:10" x14ac:dyDescent="0.35">
      <c r="A824" s="170">
        <v>818</v>
      </c>
      <c r="B824" s="10">
        <v>5392.4472931763567</v>
      </c>
      <c r="C824" s="9">
        <v>818</v>
      </c>
      <c r="D824" s="10">
        <v>380.94081255380695</v>
      </c>
      <c r="E824" s="9">
        <v>818</v>
      </c>
      <c r="F824" s="10">
        <v>-60.016183430475849</v>
      </c>
      <c r="G824" s="9">
        <v>818</v>
      </c>
      <c r="H824" s="10">
        <v>-1400.1240360798497</v>
      </c>
      <c r="I824" s="9">
        <v>818</v>
      </c>
      <c r="J824" s="167">
        <v>-3301.4460493415077</v>
      </c>
    </row>
    <row r="825" spans="1:10" x14ac:dyDescent="0.35">
      <c r="A825" s="170">
        <v>819</v>
      </c>
      <c r="B825" s="10">
        <v>2080.7038384774746</v>
      </c>
      <c r="C825" s="9">
        <v>819</v>
      </c>
      <c r="D825" s="10">
        <v>485.66227915068407</v>
      </c>
      <c r="E825" s="9">
        <v>819</v>
      </c>
      <c r="F825" s="10">
        <v>3785.1621641408983</v>
      </c>
      <c r="G825" s="9">
        <v>819</v>
      </c>
      <c r="H825" s="10">
        <v>-178.79326949790777</v>
      </c>
      <c r="I825" s="9">
        <v>819</v>
      </c>
      <c r="J825" s="167">
        <v>1122.5089923927558</v>
      </c>
    </row>
    <row r="826" spans="1:10" x14ac:dyDescent="0.35">
      <c r="A826" s="170">
        <v>820</v>
      </c>
      <c r="B826" s="10">
        <v>2236.1703358519767</v>
      </c>
      <c r="C826" s="9">
        <v>820</v>
      </c>
      <c r="D826" s="10">
        <v>366.554524771579</v>
      </c>
      <c r="E826" s="9">
        <v>820</v>
      </c>
      <c r="F826" s="10">
        <v>1175.5848809498705</v>
      </c>
      <c r="G826" s="9">
        <v>820</v>
      </c>
      <c r="H826" s="10">
        <v>-205.23426502642178</v>
      </c>
      <c r="I826" s="9">
        <v>820</v>
      </c>
      <c r="J826" s="167">
        <v>-2225.0299564666529</v>
      </c>
    </row>
    <row r="827" spans="1:10" x14ac:dyDescent="0.35">
      <c r="A827" s="170">
        <v>821</v>
      </c>
      <c r="B827" s="10">
        <v>112.75861608579817</v>
      </c>
      <c r="C827" s="9">
        <v>821</v>
      </c>
      <c r="D827" s="10">
        <v>444.58814283298625</v>
      </c>
      <c r="E827" s="9">
        <v>821</v>
      </c>
      <c r="F827" s="10">
        <v>3680.7570061416195</v>
      </c>
      <c r="G827" s="9">
        <v>821</v>
      </c>
      <c r="H827" s="10">
        <v>20.151546782199375</v>
      </c>
      <c r="I827" s="9">
        <v>821</v>
      </c>
      <c r="J827" s="167">
        <v>992.58040401001449</v>
      </c>
    </row>
    <row r="828" spans="1:10" x14ac:dyDescent="0.35">
      <c r="A828" s="170">
        <v>822</v>
      </c>
      <c r="B828" s="10">
        <v>-152.83714585362077</v>
      </c>
      <c r="C828" s="9">
        <v>822</v>
      </c>
      <c r="D828" s="10">
        <v>382.61790454673064</v>
      </c>
      <c r="E828" s="9">
        <v>822</v>
      </c>
      <c r="F828" s="10">
        <v>604.09521245165615</v>
      </c>
      <c r="G828" s="9">
        <v>822</v>
      </c>
      <c r="H828" s="10">
        <v>1177.6667515881884</v>
      </c>
      <c r="I828" s="9">
        <v>822</v>
      </c>
      <c r="J828" s="167">
        <v>-3291.3434262369119</v>
      </c>
    </row>
    <row r="829" spans="1:10" x14ac:dyDescent="0.35">
      <c r="A829" s="170">
        <v>823</v>
      </c>
      <c r="B829" s="10">
        <v>3914.1915756503668</v>
      </c>
      <c r="C829" s="9">
        <v>823</v>
      </c>
      <c r="D829" s="10">
        <v>368.62949141044521</v>
      </c>
      <c r="E829" s="9">
        <v>823</v>
      </c>
      <c r="F829" s="10">
        <v>2654.5837564908097</v>
      </c>
      <c r="G829" s="9">
        <v>823</v>
      </c>
      <c r="H829" s="10">
        <v>4825.7819402321984</v>
      </c>
      <c r="I829" s="9">
        <v>823</v>
      </c>
      <c r="J829" s="167">
        <v>-1283.9909163616735</v>
      </c>
    </row>
    <row r="830" spans="1:10" x14ac:dyDescent="0.35">
      <c r="A830" s="170">
        <v>824</v>
      </c>
      <c r="B830" s="10">
        <v>1767.6117433566071</v>
      </c>
      <c r="C830" s="9">
        <v>824</v>
      </c>
      <c r="D830" s="10">
        <v>403.05174047178031</v>
      </c>
      <c r="E830" s="9">
        <v>824</v>
      </c>
      <c r="F830" s="10">
        <v>1710.1592446691809</v>
      </c>
      <c r="G830" s="9">
        <v>824</v>
      </c>
      <c r="H830" s="10">
        <v>2549.4684221368684</v>
      </c>
      <c r="I830" s="9">
        <v>824</v>
      </c>
      <c r="J830" s="167">
        <v>2604.3216335622533</v>
      </c>
    </row>
    <row r="831" spans="1:10" x14ac:dyDescent="0.35">
      <c r="A831" s="170">
        <v>825</v>
      </c>
      <c r="B831" s="10">
        <v>1968.217947873062</v>
      </c>
      <c r="C831" s="9">
        <v>825</v>
      </c>
      <c r="D831" s="10">
        <v>278.34408519861751</v>
      </c>
      <c r="E831" s="9">
        <v>825</v>
      </c>
      <c r="F831" s="10">
        <v>1754.1005552101467</v>
      </c>
      <c r="G831" s="9">
        <v>825</v>
      </c>
      <c r="H831" s="10">
        <v>-1442.1701640815349</v>
      </c>
      <c r="I831" s="9">
        <v>825</v>
      </c>
      <c r="J831" s="167">
        <v>740.16211740126369</v>
      </c>
    </row>
    <row r="832" spans="1:10" x14ac:dyDescent="0.35">
      <c r="A832" s="170">
        <v>826</v>
      </c>
      <c r="B832" s="10">
        <v>3998.2747610343968</v>
      </c>
      <c r="C832" s="9">
        <v>826</v>
      </c>
      <c r="D832" s="10">
        <v>353.40179245169685</v>
      </c>
      <c r="E832" s="9">
        <v>826</v>
      </c>
      <c r="F832" s="10">
        <v>1676.887478568809</v>
      </c>
      <c r="G832" s="9">
        <v>826</v>
      </c>
      <c r="H832" s="10">
        <v>-1177.626472731105</v>
      </c>
      <c r="I832" s="9">
        <v>826</v>
      </c>
      <c r="J832" s="167">
        <v>291.4096509477464</v>
      </c>
    </row>
    <row r="833" spans="1:10" x14ac:dyDescent="0.35">
      <c r="A833" s="170">
        <v>827</v>
      </c>
      <c r="B833" s="10">
        <v>4617.8532972999419</v>
      </c>
      <c r="C833" s="9">
        <v>827</v>
      </c>
      <c r="D833" s="10">
        <v>512.58374698820546</v>
      </c>
      <c r="E833" s="9">
        <v>827</v>
      </c>
      <c r="F833" s="10">
        <v>2858.4090009214815</v>
      </c>
      <c r="G833" s="9">
        <v>827</v>
      </c>
      <c r="H833" s="10">
        <v>2122.5623336617441</v>
      </c>
      <c r="I833" s="9">
        <v>827</v>
      </c>
      <c r="J833" s="167">
        <v>975.43015435389771</v>
      </c>
    </row>
    <row r="834" spans="1:10" x14ac:dyDescent="0.35">
      <c r="A834" s="170">
        <v>828</v>
      </c>
      <c r="B834" s="10">
        <v>3623.4764400800182</v>
      </c>
      <c r="C834" s="9">
        <v>828</v>
      </c>
      <c r="D834" s="10">
        <v>326.08659060108926</v>
      </c>
      <c r="E834" s="9">
        <v>828</v>
      </c>
      <c r="F834" s="10">
        <v>2248.7228554909666</v>
      </c>
      <c r="G834" s="9">
        <v>828</v>
      </c>
      <c r="H834" s="10">
        <v>-4866.1269440688229</v>
      </c>
      <c r="I834" s="9">
        <v>828</v>
      </c>
      <c r="J834" s="167">
        <v>-3580.8027461058673</v>
      </c>
    </row>
    <row r="835" spans="1:10" x14ac:dyDescent="0.35">
      <c r="A835" s="170">
        <v>829</v>
      </c>
      <c r="B835" s="10">
        <v>4885.6858952233151</v>
      </c>
      <c r="C835" s="9">
        <v>829</v>
      </c>
      <c r="D835" s="10">
        <v>278.83995984551052</v>
      </c>
      <c r="E835" s="9">
        <v>829</v>
      </c>
      <c r="F835" s="10">
        <v>5828.3967582158803</v>
      </c>
      <c r="G835" s="9">
        <v>829</v>
      </c>
      <c r="H835" s="10">
        <v>935.88057663223219</v>
      </c>
      <c r="I835" s="9">
        <v>829</v>
      </c>
      <c r="J835" s="167">
        <v>79.568371468646205</v>
      </c>
    </row>
    <row r="836" spans="1:10" x14ac:dyDescent="0.35">
      <c r="A836" s="170">
        <v>830</v>
      </c>
      <c r="B836" s="10">
        <v>3008.3351126667176</v>
      </c>
      <c r="C836" s="9">
        <v>830</v>
      </c>
      <c r="D836" s="10">
        <v>318.91051660524636</v>
      </c>
      <c r="E836" s="9">
        <v>830</v>
      </c>
      <c r="F836" s="10">
        <v>1892.8661591381788</v>
      </c>
      <c r="G836" s="9">
        <v>830</v>
      </c>
      <c r="H836" s="10">
        <v>-412.01843190839998</v>
      </c>
      <c r="I836" s="9">
        <v>830</v>
      </c>
      <c r="J836" s="167">
        <v>-305.54493878146934</v>
      </c>
    </row>
    <row r="837" spans="1:10" x14ac:dyDescent="0.35">
      <c r="A837" s="170">
        <v>831</v>
      </c>
      <c r="B837" s="10">
        <v>431.65842164265041</v>
      </c>
      <c r="C837" s="9">
        <v>831</v>
      </c>
      <c r="D837" s="10">
        <v>400.53506617009867</v>
      </c>
      <c r="E837" s="9">
        <v>831</v>
      </c>
      <c r="F837" s="10">
        <v>2249.5425705429143</v>
      </c>
      <c r="G837" s="9">
        <v>831</v>
      </c>
      <c r="H837" s="10">
        <v>3388.2128770743234</v>
      </c>
      <c r="I837" s="9">
        <v>831</v>
      </c>
      <c r="J837" s="167">
        <v>2485.5036093349172</v>
      </c>
    </row>
    <row r="838" spans="1:10" x14ac:dyDescent="0.35">
      <c r="A838" s="170">
        <v>832</v>
      </c>
      <c r="B838" s="10">
        <v>5456.2657923607258</v>
      </c>
      <c r="C838" s="9">
        <v>832</v>
      </c>
      <c r="D838" s="10">
        <v>492.91461502821272</v>
      </c>
      <c r="E838" s="9">
        <v>832</v>
      </c>
      <c r="F838" s="10">
        <v>10125.162261190635</v>
      </c>
      <c r="G838" s="9">
        <v>832</v>
      </c>
      <c r="H838" s="10">
        <v>1668.7740224197369</v>
      </c>
      <c r="I838" s="9">
        <v>832</v>
      </c>
      <c r="J838" s="167">
        <v>-3997.9365499311593</v>
      </c>
    </row>
    <row r="839" spans="1:10" x14ac:dyDescent="0.35">
      <c r="A839" s="170">
        <v>833</v>
      </c>
      <c r="B839" s="10">
        <v>1526.3595873310037</v>
      </c>
      <c r="C839" s="9">
        <v>833</v>
      </c>
      <c r="D839" s="10">
        <v>417.34913470847323</v>
      </c>
      <c r="E839" s="9">
        <v>833</v>
      </c>
      <c r="F839" s="10">
        <v>4987.6993219310571</v>
      </c>
      <c r="G839" s="9">
        <v>833</v>
      </c>
      <c r="H839" s="10">
        <v>3858.8761445422078</v>
      </c>
      <c r="I839" s="9">
        <v>833</v>
      </c>
      <c r="J839" s="167">
        <v>-2407.2817657720434</v>
      </c>
    </row>
    <row r="840" spans="1:10" x14ac:dyDescent="0.35">
      <c r="A840" s="170">
        <v>834</v>
      </c>
      <c r="B840" s="10">
        <v>3354.5137849090347</v>
      </c>
      <c r="C840" s="9">
        <v>834</v>
      </c>
      <c r="D840" s="10">
        <v>186.21771607060575</v>
      </c>
      <c r="E840" s="9">
        <v>834</v>
      </c>
      <c r="F840" s="10">
        <v>1032.1421391372744</v>
      </c>
      <c r="G840" s="9">
        <v>834</v>
      </c>
      <c r="H840" s="10">
        <v>1671.0241496636634</v>
      </c>
      <c r="I840" s="9">
        <v>834</v>
      </c>
      <c r="J840" s="167">
        <v>-160.61683263275199</v>
      </c>
    </row>
    <row r="841" spans="1:10" x14ac:dyDescent="0.35">
      <c r="A841" s="170">
        <v>835</v>
      </c>
      <c r="B841" s="10">
        <v>4565.1965373444373</v>
      </c>
      <c r="C841" s="9">
        <v>835</v>
      </c>
      <c r="D841" s="10">
        <v>334.31356642363386</v>
      </c>
      <c r="E841" s="9">
        <v>835</v>
      </c>
      <c r="F841" s="10">
        <v>-2263.6057665339977</v>
      </c>
      <c r="G841" s="9">
        <v>835</v>
      </c>
      <c r="H841" s="10">
        <v>1229.2910496493535</v>
      </c>
      <c r="I841" s="9">
        <v>835</v>
      </c>
      <c r="J841" s="167">
        <v>1221.3962039867029</v>
      </c>
    </row>
    <row r="842" spans="1:10" x14ac:dyDescent="0.35">
      <c r="A842" s="170">
        <v>836</v>
      </c>
      <c r="B842" s="10">
        <v>1194.7636338566253</v>
      </c>
      <c r="C842" s="9">
        <v>836</v>
      </c>
      <c r="D842" s="10">
        <v>367.80179288583361</v>
      </c>
      <c r="E842" s="9">
        <v>836</v>
      </c>
      <c r="F842" s="10">
        <v>5514.3373228683649</v>
      </c>
      <c r="G842" s="9">
        <v>836</v>
      </c>
      <c r="H842" s="10">
        <v>-4091.7780146904975</v>
      </c>
      <c r="I842" s="9">
        <v>836</v>
      </c>
      <c r="J842" s="167">
        <v>-4534.5559487047449</v>
      </c>
    </row>
    <row r="843" spans="1:10" x14ac:dyDescent="0.35">
      <c r="A843" s="170">
        <v>837</v>
      </c>
      <c r="B843" s="10">
        <v>305.67584432821695</v>
      </c>
      <c r="C843" s="9">
        <v>837</v>
      </c>
      <c r="D843" s="10">
        <v>425.78462196997191</v>
      </c>
      <c r="E843" s="9">
        <v>837</v>
      </c>
      <c r="F843" s="10">
        <v>381.42969817695848</v>
      </c>
      <c r="G843" s="9">
        <v>837</v>
      </c>
      <c r="H843" s="10">
        <v>-922.25344847952272</v>
      </c>
      <c r="I843" s="9">
        <v>837</v>
      </c>
      <c r="J843" s="167">
        <v>-2851.9674525314608</v>
      </c>
    </row>
    <row r="844" spans="1:10" x14ac:dyDescent="0.35">
      <c r="A844" s="170">
        <v>838</v>
      </c>
      <c r="B844" s="10">
        <v>1787.4376087304272</v>
      </c>
      <c r="C844" s="9">
        <v>838</v>
      </c>
      <c r="D844" s="10">
        <v>415.07897227735543</v>
      </c>
      <c r="E844" s="9">
        <v>838</v>
      </c>
      <c r="F844" s="10">
        <v>1123.8037936892254</v>
      </c>
      <c r="G844" s="9">
        <v>838</v>
      </c>
      <c r="H844" s="10">
        <v>1522.373880790869</v>
      </c>
      <c r="I844" s="9">
        <v>838</v>
      </c>
      <c r="J844" s="167">
        <v>-1509.7910442755508</v>
      </c>
    </row>
    <row r="845" spans="1:10" x14ac:dyDescent="0.35">
      <c r="A845" s="170">
        <v>839</v>
      </c>
      <c r="B845" s="10">
        <v>1827.7476102832243</v>
      </c>
      <c r="C845" s="9">
        <v>839</v>
      </c>
      <c r="D845" s="10">
        <v>324.79853573245714</v>
      </c>
      <c r="E845" s="9">
        <v>839</v>
      </c>
      <c r="F845" s="10">
        <v>3106.2553941904098</v>
      </c>
      <c r="G845" s="9">
        <v>839</v>
      </c>
      <c r="H845" s="10">
        <v>5247.1576533441694</v>
      </c>
      <c r="I845" s="9">
        <v>839</v>
      </c>
      <c r="J845" s="167">
        <v>-2059.94855359333</v>
      </c>
    </row>
    <row r="846" spans="1:10" x14ac:dyDescent="0.35">
      <c r="A846" s="170">
        <v>840</v>
      </c>
      <c r="B846" s="10">
        <v>2778.9195446828635</v>
      </c>
      <c r="C846" s="9">
        <v>840</v>
      </c>
      <c r="D846" s="10">
        <v>394.04897782049233</v>
      </c>
      <c r="E846" s="9">
        <v>840</v>
      </c>
      <c r="F846" s="10">
        <v>2122.1633766554241</v>
      </c>
      <c r="G846" s="9">
        <v>840</v>
      </c>
      <c r="H846" s="10">
        <v>-3132.3606538208792</v>
      </c>
      <c r="I846" s="9">
        <v>840</v>
      </c>
      <c r="J846" s="167">
        <v>2294.7279118161018</v>
      </c>
    </row>
    <row r="847" spans="1:10" x14ac:dyDescent="0.35">
      <c r="A847" s="170">
        <v>841</v>
      </c>
      <c r="B847" s="10">
        <v>1391.0822220768355</v>
      </c>
      <c r="C847" s="9">
        <v>841</v>
      </c>
      <c r="D847" s="10">
        <v>359.22979459351649</v>
      </c>
      <c r="E847" s="9">
        <v>841</v>
      </c>
      <c r="F847" s="10">
        <v>2683.5238612067983</v>
      </c>
      <c r="G847" s="9">
        <v>841</v>
      </c>
      <c r="H847" s="10">
        <v>-1791.3408745430966</v>
      </c>
      <c r="I847" s="9">
        <v>841</v>
      </c>
      <c r="J847" s="167">
        <v>806.43911589890354</v>
      </c>
    </row>
    <row r="848" spans="1:10" x14ac:dyDescent="0.35">
      <c r="A848" s="170">
        <v>842</v>
      </c>
      <c r="B848" s="10">
        <v>3694.0573812914618</v>
      </c>
      <c r="C848" s="9">
        <v>842</v>
      </c>
      <c r="D848" s="10">
        <v>442.890760562097</v>
      </c>
      <c r="E848" s="9">
        <v>842</v>
      </c>
      <c r="F848" s="10">
        <v>-2509.9644809163947</v>
      </c>
      <c r="G848" s="9">
        <v>842</v>
      </c>
      <c r="H848" s="10">
        <v>264.02433361109956</v>
      </c>
      <c r="I848" s="9">
        <v>842</v>
      </c>
      <c r="J848" s="167">
        <v>-5979.7181437737272</v>
      </c>
    </row>
    <row r="849" spans="1:10" x14ac:dyDescent="0.35">
      <c r="A849" s="170">
        <v>843</v>
      </c>
      <c r="B849" s="10">
        <v>3284.1954071116043</v>
      </c>
      <c r="C849" s="9">
        <v>843</v>
      </c>
      <c r="D849" s="10">
        <v>202.49661358163186</v>
      </c>
      <c r="E849" s="9">
        <v>843</v>
      </c>
      <c r="F849" s="10">
        <v>9833.8088297031063</v>
      </c>
      <c r="G849" s="9">
        <v>843</v>
      </c>
      <c r="H849" s="10">
        <v>-4181.340452023479</v>
      </c>
      <c r="I849" s="9">
        <v>843</v>
      </c>
      <c r="J849" s="167">
        <v>-2950.8752455168242</v>
      </c>
    </row>
    <row r="850" spans="1:10" x14ac:dyDescent="0.35">
      <c r="A850" s="170">
        <v>844</v>
      </c>
      <c r="B850" s="10">
        <v>315.41295385617286</v>
      </c>
      <c r="C850" s="9">
        <v>844</v>
      </c>
      <c r="D850" s="10">
        <v>261.30113491830934</v>
      </c>
      <c r="E850" s="9">
        <v>844</v>
      </c>
      <c r="F850" s="10">
        <v>3060.0725981420915</v>
      </c>
      <c r="G850" s="9">
        <v>844</v>
      </c>
      <c r="H850" s="10">
        <v>-6850.5713878413289</v>
      </c>
      <c r="I850" s="9">
        <v>844</v>
      </c>
      <c r="J850" s="167">
        <v>-4097.3008106009183</v>
      </c>
    </row>
    <row r="851" spans="1:10" x14ac:dyDescent="0.35">
      <c r="A851" s="170">
        <v>845</v>
      </c>
      <c r="B851" s="10">
        <v>3044.8946485203487</v>
      </c>
      <c r="C851" s="9">
        <v>845</v>
      </c>
      <c r="D851" s="10">
        <v>474.4001609953977</v>
      </c>
      <c r="E851" s="9">
        <v>845</v>
      </c>
      <c r="F851" s="10">
        <v>3318.2410892201997</v>
      </c>
      <c r="G851" s="9">
        <v>845</v>
      </c>
      <c r="H851" s="10">
        <v>-664.24861370876022</v>
      </c>
      <c r="I851" s="9">
        <v>845</v>
      </c>
      <c r="J851" s="167">
        <v>-1116.7565982254391</v>
      </c>
    </row>
    <row r="852" spans="1:10" x14ac:dyDescent="0.35">
      <c r="A852" s="170">
        <v>846</v>
      </c>
      <c r="B852" s="10">
        <v>4280.6724095449108</v>
      </c>
      <c r="C852" s="9">
        <v>846</v>
      </c>
      <c r="D852" s="10">
        <v>311.44153931602472</v>
      </c>
      <c r="E852" s="9">
        <v>846</v>
      </c>
      <c r="F852" s="10">
        <v>-536.69635591054384</v>
      </c>
      <c r="G852" s="9">
        <v>846</v>
      </c>
      <c r="H852" s="10">
        <v>8368.4293963558357</v>
      </c>
      <c r="I852" s="9">
        <v>846</v>
      </c>
      <c r="J852" s="167">
        <v>882.88954462299125</v>
      </c>
    </row>
    <row r="853" spans="1:10" x14ac:dyDescent="0.35">
      <c r="A853" s="170">
        <v>847</v>
      </c>
      <c r="B853" s="10">
        <v>5041.0212553408983</v>
      </c>
      <c r="C853" s="9">
        <v>847</v>
      </c>
      <c r="D853" s="10">
        <v>244.50726910176246</v>
      </c>
      <c r="E853" s="9">
        <v>847</v>
      </c>
      <c r="F853" s="10">
        <v>3075.2769597205775</v>
      </c>
      <c r="G853" s="9">
        <v>847</v>
      </c>
      <c r="H853" s="10">
        <v>-2714.0284695927076</v>
      </c>
      <c r="I853" s="9">
        <v>847</v>
      </c>
      <c r="J853" s="167">
        <v>-2634.8429243920104</v>
      </c>
    </row>
    <row r="854" spans="1:10" x14ac:dyDescent="0.35">
      <c r="A854" s="170">
        <v>848</v>
      </c>
      <c r="B854" s="10">
        <v>1520.9566162879039</v>
      </c>
      <c r="C854" s="9">
        <v>848</v>
      </c>
      <c r="D854" s="10">
        <v>364.72762938074248</v>
      </c>
      <c r="E854" s="9">
        <v>848</v>
      </c>
      <c r="F854" s="10">
        <v>2910.5984028659436</v>
      </c>
      <c r="G854" s="9">
        <v>848</v>
      </c>
      <c r="H854" s="10">
        <v>3318.1393507011758</v>
      </c>
      <c r="I854" s="9">
        <v>848</v>
      </c>
      <c r="J854" s="167">
        <v>-2087.106647454259</v>
      </c>
    </row>
    <row r="855" spans="1:10" x14ac:dyDescent="0.35">
      <c r="A855" s="170">
        <v>849</v>
      </c>
      <c r="B855" s="10">
        <v>1551.3594968662969</v>
      </c>
      <c r="C855" s="9">
        <v>849</v>
      </c>
      <c r="D855" s="10">
        <v>402.89750131916526</v>
      </c>
      <c r="E855" s="9">
        <v>849</v>
      </c>
      <c r="F855" s="10">
        <v>795.19441097356639</v>
      </c>
      <c r="G855" s="9">
        <v>849</v>
      </c>
      <c r="H855" s="10">
        <v>374.19355942555399</v>
      </c>
      <c r="I855" s="9">
        <v>849</v>
      </c>
      <c r="J855" s="167">
        <v>-1353.1722280683075</v>
      </c>
    </row>
    <row r="856" spans="1:10" x14ac:dyDescent="0.35">
      <c r="A856" s="170">
        <v>850</v>
      </c>
      <c r="B856" s="10">
        <v>4443.1553768731637</v>
      </c>
      <c r="C856" s="9">
        <v>850</v>
      </c>
      <c r="D856" s="10">
        <v>433.27999369445382</v>
      </c>
      <c r="E856" s="9">
        <v>850</v>
      </c>
      <c r="F856" s="10">
        <v>-25.089716174364639</v>
      </c>
      <c r="G856" s="9">
        <v>850</v>
      </c>
      <c r="H856" s="10">
        <v>1281.0666993232471</v>
      </c>
      <c r="I856" s="9">
        <v>850</v>
      </c>
      <c r="J856" s="167">
        <v>1401.8533455897207</v>
      </c>
    </row>
    <row r="857" spans="1:10" x14ac:dyDescent="0.35">
      <c r="A857" s="170">
        <v>851</v>
      </c>
      <c r="B857" s="10">
        <v>3189.8406533236212</v>
      </c>
      <c r="C857" s="9">
        <v>851</v>
      </c>
      <c r="D857" s="10">
        <v>329.73369068196683</v>
      </c>
      <c r="E857" s="9">
        <v>851</v>
      </c>
      <c r="F857" s="10">
        <v>3844.6990305436339</v>
      </c>
      <c r="G857" s="9">
        <v>851</v>
      </c>
      <c r="H857" s="10">
        <v>327.02148095980715</v>
      </c>
      <c r="I857" s="9">
        <v>851</v>
      </c>
      <c r="J857" s="167">
        <v>-1441.4894043194711</v>
      </c>
    </row>
    <row r="858" spans="1:10" x14ac:dyDescent="0.35">
      <c r="A858" s="170">
        <v>852</v>
      </c>
      <c r="B858" s="10">
        <v>1320.9649672629143</v>
      </c>
      <c r="C858" s="9">
        <v>852</v>
      </c>
      <c r="D858" s="10">
        <v>380.70670838093912</v>
      </c>
      <c r="E858" s="9">
        <v>852</v>
      </c>
      <c r="F858" s="10">
        <v>-718.53804804809261</v>
      </c>
      <c r="G858" s="9">
        <v>852</v>
      </c>
      <c r="H858" s="10">
        <v>-565.01087730320216</v>
      </c>
      <c r="I858" s="9">
        <v>852</v>
      </c>
      <c r="J858" s="167">
        <v>-3904.3991287863769</v>
      </c>
    </row>
    <row r="859" spans="1:10" x14ac:dyDescent="0.35">
      <c r="A859" s="170">
        <v>853</v>
      </c>
      <c r="B859" s="10">
        <v>3978.5058414236919</v>
      </c>
      <c r="C859" s="9">
        <v>853</v>
      </c>
      <c r="D859" s="10">
        <v>532.82147846226383</v>
      </c>
      <c r="E859" s="9">
        <v>853</v>
      </c>
      <c r="F859" s="10">
        <v>3827.5614230815049</v>
      </c>
      <c r="G859" s="9">
        <v>853</v>
      </c>
      <c r="H859" s="10">
        <v>750.67595569832736</v>
      </c>
      <c r="I859" s="9">
        <v>853</v>
      </c>
      <c r="J859" s="167">
        <v>4228.0784927096447</v>
      </c>
    </row>
    <row r="860" spans="1:10" x14ac:dyDescent="0.35">
      <c r="A860" s="170">
        <v>854</v>
      </c>
      <c r="B860" s="10">
        <v>2682.3636607025151</v>
      </c>
      <c r="C860" s="9">
        <v>854</v>
      </c>
      <c r="D860" s="10">
        <v>368.98791676920132</v>
      </c>
      <c r="E860" s="9">
        <v>854</v>
      </c>
      <c r="F860" s="10">
        <v>4179.727769005829</v>
      </c>
      <c r="G860" s="9">
        <v>854</v>
      </c>
      <c r="H860" s="10">
        <v>3807.3604001014683</v>
      </c>
      <c r="I860" s="9">
        <v>854</v>
      </c>
      <c r="J860" s="167">
        <v>658.76331749209612</v>
      </c>
    </row>
    <row r="861" spans="1:10" x14ac:dyDescent="0.35">
      <c r="A861" s="170">
        <v>855</v>
      </c>
      <c r="B861" s="10">
        <v>2911.6853887600914</v>
      </c>
      <c r="C861" s="9">
        <v>855</v>
      </c>
      <c r="D861" s="10">
        <v>372.43971305691508</v>
      </c>
      <c r="E861" s="9">
        <v>855</v>
      </c>
      <c r="F861" s="10">
        <v>1360.504538636128</v>
      </c>
      <c r="G861" s="9">
        <v>855</v>
      </c>
      <c r="H861" s="10">
        <v>-3518.7568153097104</v>
      </c>
      <c r="I861" s="9">
        <v>855</v>
      </c>
      <c r="J861" s="167">
        <v>-279.29485034172222</v>
      </c>
    </row>
    <row r="862" spans="1:10" x14ac:dyDescent="0.35">
      <c r="A862" s="170">
        <v>856</v>
      </c>
      <c r="B862" s="10">
        <v>3285.8253101667869</v>
      </c>
      <c r="C862" s="9">
        <v>856</v>
      </c>
      <c r="D862" s="10">
        <v>262.88394054975532</v>
      </c>
      <c r="E862" s="9">
        <v>856</v>
      </c>
      <c r="F862" s="10">
        <v>2731.3816100122312</v>
      </c>
      <c r="G862" s="9">
        <v>856</v>
      </c>
      <c r="H862" s="10">
        <v>-1428.0849783077206</v>
      </c>
      <c r="I862" s="9">
        <v>856</v>
      </c>
      <c r="J862" s="167">
        <v>447.83760021791966</v>
      </c>
    </row>
    <row r="863" spans="1:10" x14ac:dyDescent="0.35">
      <c r="A863" s="170">
        <v>857</v>
      </c>
      <c r="B863" s="10">
        <v>3375.1664867021441</v>
      </c>
      <c r="C863" s="9">
        <v>857</v>
      </c>
      <c r="D863" s="10">
        <v>442.12407646471121</v>
      </c>
      <c r="E863" s="9">
        <v>857</v>
      </c>
      <c r="F863" s="10">
        <v>1568.1257484927849</v>
      </c>
      <c r="G863" s="9">
        <v>857</v>
      </c>
      <c r="H863" s="10">
        <v>-3089.6097409279446</v>
      </c>
      <c r="I863" s="9">
        <v>857</v>
      </c>
      <c r="J863" s="167">
        <v>2132.5717054464544</v>
      </c>
    </row>
    <row r="864" spans="1:10" x14ac:dyDescent="0.35">
      <c r="A864" s="170">
        <v>858</v>
      </c>
      <c r="B864" s="10">
        <v>4588.7534363245195</v>
      </c>
      <c r="C864" s="9">
        <v>858</v>
      </c>
      <c r="D864" s="10">
        <v>360.88318025661903</v>
      </c>
      <c r="E864" s="9">
        <v>858</v>
      </c>
      <c r="F864" s="10">
        <v>2475.6735635765822</v>
      </c>
      <c r="G864" s="9">
        <v>858</v>
      </c>
      <c r="H864" s="10">
        <v>5910.8122643414263</v>
      </c>
      <c r="I864" s="9">
        <v>858</v>
      </c>
      <c r="J864" s="167">
        <v>-4202.369261848793</v>
      </c>
    </row>
    <row r="865" spans="1:10" x14ac:dyDescent="0.35">
      <c r="A865" s="170">
        <v>859</v>
      </c>
      <c r="B865" s="10">
        <v>570.50119441688548</v>
      </c>
      <c r="C865" s="9">
        <v>859</v>
      </c>
      <c r="D865" s="10">
        <v>351.13221286976773</v>
      </c>
      <c r="E865" s="9">
        <v>859</v>
      </c>
      <c r="F865" s="10">
        <v>5498.3871138552804</v>
      </c>
      <c r="G865" s="9">
        <v>859</v>
      </c>
      <c r="H865" s="10">
        <v>3224.6949568017562</v>
      </c>
      <c r="I865" s="9">
        <v>859</v>
      </c>
      <c r="J865" s="167">
        <v>2582.0888795143692</v>
      </c>
    </row>
    <row r="866" spans="1:10" x14ac:dyDescent="0.35">
      <c r="A866" s="170">
        <v>860</v>
      </c>
      <c r="B866" s="10">
        <v>2499.509825547716</v>
      </c>
      <c r="C866" s="9">
        <v>860</v>
      </c>
      <c r="D866" s="10">
        <v>258.52475465643522</v>
      </c>
      <c r="E866" s="9">
        <v>860</v>
      </c>
      <c r="F866" s="10">
        <v>2850.6252348670105</v>
      </c>
      <c r="G866" s="9">
        <v>860</v>
      </c>
      <c r="H866" s="10">
        <v>-3836.4806328894369</v>
      </c>
      <c r="I866" s="9">
        <v>860</v>
      </c>
      <c r="J866" s="167">
        <v>-479.42480694570935</v>
      </c>
    </row>
    <row r="867" spans="1:10" x14ac:dyDescent="0.35">
      <c r="A867" s="170">
        <v>861</v>
      </c>
      <c r="B867" s="10">
        <v>4061.7298358623043</v>
      </c>
      <c r="C867" s="9">
        <v>861</v>
      </c>
      <c r="D867" s="10">
        <v>399.19634848750633</v>
      </c>
      <c r="E867" s="9">
        <v>861</v>
      </c>
      <c r="F867" s="10">
        <v>5007.6451177723256</v>
      </c>
      <c r="G867" s="9">
        <v>861</v>
      </c>
      <c r="H867" s="10">
        <v>-2072.0380546481592</v>
      </c>
      <c r="I867" s="9">
        <v>861</v>
      </c>
      <c r="J867" s="167">
        <v>-1710.1782509436271</v>
      </c>
    </row>
    <row r="868" spans="1:10" x14ac:dyDescent="0.35">
      <c r="A868" s="170">
        <v>862</v>
      </c>
      <c r="B868" s="10">
        <v>3229.0705460793993</v>
      </c>
      <c r="C868" s="9">
        <v>862</v>
      </c>
      <c r="D868" s="10">
        <v>416.88308979278071</v>
      </c>
      <c r="E868" s="9">
        <v>862</v>
      </c>
      <c r="F868" s="10">
        <v>-2310.3602122621605</v>
      </c>
      <c r="G868" s="9">
        <v>862</v>
      </c>
      <c r="H868" s="10">
        <v>-282.86721651755499</v>
      </c>
      <c r="I868" s="9">
        <v>862</v>
      </c>
      <c r="J868" s="167">
        <v>3491.1390323248361</v>
      </c>
    </row>
    <row r="869" spans="1:10" x14ac:dyDescent="0.35">
      <c r="A869" s="170">
        <v>863</v>
      </c>
      <c r="B869" s="10">
        <v>1263.6555715108773</v>
      </c>
      <c r="C869" s="9">
        <v>863</v>
      </c>
      <c r="D869" s="10">
        <v>429.68954908641774</v>
      </c>
      <c r="E869" s="9">
        <v>863</v>
      </c>
      <c r="F869" s="10">
        <v>-2563.4505863299491</v>
      </c>
      <c r="G869" s="9">
        <v>863</v>
      </c>
      <c r="H869" s="10">
        <v>79.850240894867966</v>
      </c>
      <c r="I869" s="9">
        <v>863</v>
      </c>
      <c r="J869" s="167">
        <v>-3797.7284061284399</v>
      </c>
    </row>
    <row r="870" spans="1:10" x14ac:dyDescent="0.35">
      <c r="A870" s="170">
        <v>864</v>
      </c>
      <c r="B870" s="10">
        <v>562.34615795908257</v>
      </c>
      <c r="C870" s="9">
        <v>864</v>
      </c>
      <c r="D870" s="10">
        <v>380.72069719879096</v>
      </c>
      <c r="E870" s="9">
        <v>864</v>
      </c>
      <c r="F870" s="10">
        <v>6922.8523985687279</v>
      </c>
      <c r="G870" s="9">
        <v>864</v>
      </c>
      <c r="H870" s="10">
        <v>-1811.3231130849172</v>
      </c>
      <c r="I870" s="9">
        <v>864</v>
      </c>
      <c r="J870" s="167">
        <v>2009.7034983890526</v>
      </c>
    </row>
    <row r="871" spans="1:10" x14ac:dyDescent="0.35">
      <c r="A871" s="170">
        <v>865</v>
      </c>
      <c r="B871" s="10">
        <v>5598.3709003088024</v>
      </c>
      <c r="C871" s="9">
        <v>865</v>
      </c>
      <c r="D871" s="10">
        <v>504.82333999219003</v>
      </c>
      <c r="E871" s="9">
        <v>865</v>
      </c>
      <c r="F871" s="10">
        <v>4600.8102147989784</v>
      </c>
      <c r="G871" s="9">
        <v>865</v>
      </c>
      <c r="H871" s="10">
        <v>1981.6228352245535</v>
      </c>
      <c r="I871" s="9">
        <v>865</v>
      </c>
      <c r="J871" s="167">
        <v>-1074.5172551263718</v>
      </c>
    </row>
    <row r="872" spans="1:10" x14ac:dyDescent="0.35">
      <c r="A872" s="170">
        <v>866</v>
      </c>
      <c r="B872" s="10">
        <v>4962.6634589456808</v>
      </c>
      <c r="C872" s="9">
        <v>866</v>
      </c>
      <c r="D872" s="10">
        <v>281.50356400022179</v>
      </c>
      <c r="E872" s="9">
        <v>866</v>
      </c>
      <c r="F872" s="10">
        <v>10519.160709405996</v>
      </c>
      <c r="G872" s="9">
        <v>866</v>
      </c>
      <c r="H872" s="10">
        <v>-426.20614383074906</v>
      </c>
      <c r="I872" s="9">
        <v>866</v>
      </c>
      <c r="J872" s="167">
        <v>2925.6455024714051</v>
      </c>
    </row>
    <row r="873" spans="1:10" x14ac:dyDescent="0.35">
      <c r="A873" s="170">
        <v>867</v>
      </c>
      <c r="B873" s="10">
        <v>2244.0134337648219</v>
      </c>
      <c r="C873" s="9">
        <v>867</v>
      </c>
      <c r="D873" s="10">
        <v>322.1144789328705</v>
      </c>
      <c r="E873" s="9">
        <v>867</v>
      </c>
      <c r="F873" s="10">
        <v>7352.3738187526178</v>
      </c>
      <c r="G873" s="9">
        <v>867</v>
      </c>
      <c r="H873" s="10">
        <v>-1736.9559406525054</v>
      </c>
      <c r="I873" s="9">
        <v>867</v>
      </c>
      <c r="J873" s="167">
        <v>-785.60406788831403</v>
      </c>
    </row>
    <row r="874" spans="1:10" x14ac:dyDescent="0.35">
      <c r="A874" s="170">
        <v>868</v>
      </c>
      <c r="B874" s="10">
        <v>2795.9640510689796</v>
      </c>
      <c r="C874" s="9">
        <v>868</v>
      </c>
      <c r="D874" s="10">
        <v>366.25336200329377</v>
      </c>
      <c r="E874" s="9">
        <v>868</v>
      </c>
      <c r="F874" s="10">
        <v>4037.904208073583</v>
      </c>
      <c r="G874" s="9">
        <v>868</v>
      </c>
      <c r="H874" s="10">
        <v>366.13944898771916</v>
      </c>
      <c r="I874" s="9">
        <v>868</v>
      </c>
      <c r="J874" s="167">
        <v>229.89253360773478</v>
      </c>
    </row>
    <row r="875" spans="1:10" x14ac:dyDescent="0.35">
      <c r="A875" s="170">
        <v>869</v>
      </c>
      <c r="B875" s="10">
        <v>2331.0604457590666</v>
      </c>
      <c r="C875" s="9">
        <v>869</v>
      </c>
      <c r="D875" s="10">
        <v>395.59825272657787</v>
      </c>
      <c r="E875" s="9">
        <v>869</v>
      </c>
      <c r="F875" s="10">
        <v>3017.8465353337551</v>
      </c>
      <c r="G875" s="9">
        <v>869</v>
      </c>
      <c r="H875" s="10">
        <v>-830.64743855380573</v>
      </c>
      <c r="I875" s="9">
        <v>869</v>
      </c>
      <c r="J875" s="167">
        <v>-5286.2806360129416</v>
      </c>
    </row>
    <row r="876" spans="1:10" x14ac:dyDescent="0.35">
      <c r="A876" s="170">
        <v>870</v>
      </c>
      <c r="B876" s="10">
        <v>1630.5301487298123</v>
      </c>
      <c r="C876" s="9">
        <v>870</v>
      </c>
      <c r="D876" s="10">
        <v>520.53402543299819</v>
      </c>
      <c r="E876" s="9">
        <v>870</v>
      </c>
      <c r="F876" s="10">
        <v>3604.1719145712514</v>
      </c>
      <c r="G876" s="9">
        <v>870</v>
      </c>
      <c r="H876" s="10">
        <v>2978.3188236981814</v>
      </c>
      <c r="I876" s="9">
        <v>870</v>
      </c>
      <c r="J876" s="167">
        <v>-2301.5040265651501</v>
      </c>
    </row>
    <row r="877" spans="1:10" x14ac:dyDescent="0.35">
      <c r="A877" s="170">
        <v>871</v>
      </c>
      <c r="B877" s="10">
        <v>-154.49303812587914</v>
      </c>
      <c r="C877" s="9">
        <v>871</v>
      </c>
      <c r="D877" s="10">
        <v>555.16609991134123</v>
      </c>
      <c r="E877" s="9">
        <v>871</v>
      </c>
      <c r="F877" s="10">
        <v>4989.8143205274746</v>
      </c>
      <c r="G877" s="9">
        <v>871</v>
      </c>
      <c r="H877" s="10">
        <v>-2606.0336516780512</v>
      </c>
      <c r="I877" s="9">
        <v>871</v>
      </c>
      <c r="J877" s="167">
        <v>-3405.3337142104592</v>
      </c>
    </row>
    <row r="878" spans="1:10" x14ac:dyDescent="0.35">
      <c r="A878" s="170">
        <v>872</v>
      </c>
      <c r="B878" s="10">
        <v>902.49928291561855</v>
      </c>
      <c r="C878" s="9">
        <v>872</v>
      </c>
      <c r="D878" s="10">
        <v>636.95483227714294</v>
      </c>
      <c r="E878" s="9">
        <v>872</v>
      </c>
      <c r="F878" s="10">
        <v>1846.5948869726415</v>
      </c>
      <c r="G878" s="9">
        <v>872</v>
      </c>
      <c r="H878" s="10">
        <v>696.8307631146223</v>
      </c>
      <c r="I878" s="9">
        <v>872</v>
      </c>
      <c r="J878" s="167">
        <v>1269.6130317223708</v>
      </c>
    </row>
    <row r="879" spans="1:10" x14ac:dyDescent="0.35">
      <c r="A879" s="170">
        <v>873</v>
      </c>
      <c r="B879" s="10">
        <v>1782.995154463885</v>
      </c>
      <c r="C879" s="9">
        <v>873</v>
      </c>
      <c r="D879" s="10">
        <v>291.0670489034444</v>
      </c>
      <c r="E879" s="9">
        <v>873</v>
      </c>
      <c r="F879" s="10">
        <v>-3013.2349875454775</v>
      </c>
      <c r="G879" s="9">
        <v>873</v>
      </c>
      <c r="H879" s="10">
        <v>815.98744956652126</v>
      </c>
      <c r="I879" s="9">
        <v>873</v>
      </c>
      <c r="J879" s="167">
        <v>2317.0439079293014</v>
      </c>
    </row>
    <row r="880" spans="1:10" x14ac:dyDescent="0.35">
      <c r="A880" s="170">
        <v>874</v>
      </c>
      <c r="B880" s="10">
        <v>4050.6831799402403</v>
      </c>
      <c r="C880" s="9">
        <v>874</v>
      </c>
      <c r="D880" s="10">
        <v>306.42542104947665</v>
      </c>
      <c r="E880" s="9">
        <v>874</v>
      </c>
      <c r="F880" s="10">
        <v>3542.2824018653632</v>
      </c>
      <c r="G880" s="9">
        <v>874</v>
      </c>
      <c r="H880" s="10">
        <v>3707.3750107586802</v>
      </c>
      <c r="I880" s="9">
        <v>874</v>
      </c>
      <c r="J880" s="167">
        <v>1937.6439493823113</v>
      </c>
    </row>
    <row r="881" spans="1:10" x14ac:dyDescent="0.35">
      <c r="A881" s="170">
        <v>875</v>
      </c>
      <c r="B881" s="10">
        <v>4877.1794171868696</v>
      </c>
      <c r="C881" s="9">
        <v>875</v>
      </c>
      <c r="D881" s="10">
        <v>441.88474036700711</v>
      </c>
      <c r="E881" s="9">
        <v>875</v>
      </c>
      <c r="F881" s="10">
        <v>-385.5701902795854</v>
      </c>
      <c r="G881" s="9">
        <v>875</v>
      </c>
      <c r="H881" s="10">
        <v>3570.2416142090119</v>
      </c>
      <c r="I881" s="9">
        <v>875</v>
      </c>
      <c r="J881" s="167">
        <v>1329.0545268773999</v>
      </c>
    </row>
    <row r="882" spans="1:10" x14ac:dyDescent="0.35">
      <c r="A882" s="170">
        <v>876</v>
      </c>
      <c r="B882" s="10">
        <v>4199.188988294788</v>
      </c>
      <c r="C882" s="9">
        <v>876</v>
      </c>
      <c r="D882" s="10">
        <v>495.53213605633147</v>
      </c>
      <c r="E882" s="9">
        <v>876</v>
      </c>
      <c r="F882" s="10">
        <v>5073.8838857633091</v>
      </c>
      <c r="G882" s="9">
        <v>876</v>
      </c>
      <c r="H882" s="10">
        <v>-253.93371717973923</v>
      </c>
      <c r="I882" s="9">
        <v>876</v>
      </c>
      <c r="J882" s="167">
        <v>-3998.4822814178888</v>
      </c>
    </row>
    <row r="883" spans="1:10" x14ac:dyDescent="0.35">
      <c r="A883" s="170">
        <v>877</v>
      </c>
      <c r="B883" s="10">
        <v>130.69776233961693</v>
      </c>
      <c r="C883" s="9">
        <v>877</v>
      </c>
      <c r="D883" s="10">
        <v>412.18645453208478</v>
      </c>
      <c r="E883" s="9">
        <v>877</v>
      </c>
      <c r="F883" s="10">
        <v>1172.5506641358361</v>
      </c>
      <c r="G883" s="9">
        <v>877</v>
      </c>
      <c r="H883" s="10">
        <v>-3594.9458979925735</v>
      </c>
      <c r="I883" s="9">
        <v>877</v>
      </c>
      <c r="J883" s="167">
        <v>-677.01408189014774</v>
      </c>
    </row>
    <row r="884" spans="1:10" x14ac:dyDescent="0.35">
      <c r="A884" s="170">
        <v>878</v>
      </c>
      <c r="B884" s="10">
        <v>-826.62108167521683</v>
      </c>
      <c r="C884" s="9">
        <v>878</v>
      </c>
      <c r="D884" s="10">
        <v>401.98426836734399</v>
      </c>
      <c r="E884" s="9">
        <v>878</v>
      </c>
      <c r="F884" s="10">
        <v>4270.0975983533772</v>
      </c>
      <c r="G884" s="9">
        <v>878</v>
      </c>
      <c r="H884" s="10">
        <v>4754.6842553838342</v>
      </c>
      <c r="I884" s="9">
        <v>878</v>
      </c>
      <c r="J884" s="167">
        <v>-4636.9477365191269</v>
      </c>
    </row>
    <row r="885" spans="1:10" x14ac:dyDescent="0.35">
      <c r="A885" s="170">
        <v>879</v>
      </c>
      <c r="B885" s="10">
        <v>2658.1567223553257</v>
      </c>
      <c r="C885" s="9">
        <v>879</v>
      </c>
      <c r="D885" s="10">
        <v>302.98745912044296</v>
      </c>
      <c r="E885" s="9">
        <v>879</v>
      </c>
      <c r="F885" s="10">
        <v>6674.9168528980854</v>
      </c>
      <c r="G885" s="9">
        <v>879</v>
      </c>
      <c r="H885" s="10">
        <v>3415.5573377141532</v>
      </c>
      <c r="I885" s="9">
        <v>879</v>
      </c>
      <c r="J885" s="167">
        <v>-1944.4925063975063</v>
      </c>
    </row>
    <row r="886" spans="1:10" x14ac:dyDescent="0.35">
      <c r="A886" s="170">
        <v>880</v>
      </c>
      <c r="B886" s="10">
        <v>860.28101663097482</v>
      </c>
      <c r="C886" s="9">
        <v>880</v>
      </c>
      <c r="D886" s="10">
        <v>574.93410887655727</v>
      </c>
      <c r="E886" s="9">
        <v>880</v>
      </c>
      <c r="F886" s="10">
        <v>2816.2864375898939</v>
      </c>
      <c r="G886" s="9">
        <v>880</v>
      </c>
      <c r="H886" s="10">
        <v>2809.7812248757509</v>
      </c>
      <c r="I886" s="9">
        <v>880</v>
      </c>
      <c r="J886" s="167">
        <v>581.51055918191048</v>
      </c>
    </row>
    <row r="887" spans="1:10" x14ac:dyDescent="0.35">
      <c r="A887" s="170">
        <v>881</v>
      </c>
      <c r="B887" s="10">
        <v>2621.5502359031461</v>
      </c>
      <c r="C887" s="9">
        <v>881</v>
      </c>
      <c r="D887" s="10">
        <v>295.70599782653829</v>
      </c>
      <c r="E887" s="9">
        <v>881</v>
      </c>
      <c r="F887" s="10">
        <v>3853.4208193761033</v>
      </c>
      <c r="G887" s="9">
        <v>881</v>
      </c>
      <c r="H887" s="10">
        <v>1347.2492640606238</v>
      </c>
      <c r="I887" s="9">
        <v>881</v>
      </c>
      <c r="J887" s="167">
        <v>-2001.5651743076858</v>
      </c>
    </row>
    <row r="888" spans="1:10" x14ac:dyDescent="0.35">
      <c r="A888" s="170">
        <v>882</v>
      </c>
      <c r="B888" s="10">
        <v>5272.929336529025</v>
      </c>
      <c r="C888" s="9">
        <v>882</v>
      </c>
      <c r="D888" s="10">
        <v>232.43198597813986</v>
      </c>
      <c r="E888" s="9">
        <v>882</v>
      </c>
      <c r="F888" s="10">
        <v>3986.7326740025283</v>
      </c>
      <c r="G888" s="9">
        <v>882</v>
      </c>
      <c r="H888" s="10">
        <v>4615.7709842233526</v>
      </c>
      <c r="I888" s="9">
        <v>882</v>
      </c>
      <c r="J888" s="167">
        <v>-2046.6369899286906</v>
      </c>
    </row>
    <row r="889" spans="1:10" x14ac:dyDescent="0.35">
      <c r="A889" s="170">
        <v>883</v>
      </c>
      <c r="B889" s="10">
        <v>3992.7643531779622</v>
      </c>
      <c r="C889" s="9">
        <v>883</v>
      </c>
      <c r="D889" s="10">
        <v>377.83263078476102</v>
      </c>
      <c r="E889" s="9">
        <v>883</v>
      </c>
      <c r="F889" s="10">
        <v>-3.0145803099821933</v>
      </c>
      <c r="G889" s="9">
        <v>883</v>
      </c>
      <c r="H889" s="10">
        <v>4590.9584692107474</v>
      </c>
      <c r="I889" s="9">
        <v>883</v>
      </c>
      <c r="J889" s="167">
        <v>-2884.3065235363902</v>
      </c>
    </row>
    <row r="890" spans="1:10" x14ac:dyDescent="0.35">
      <c r="A890" s="170">
        <v>884</v>
      </c>
      <c r="B890" s="10">
        <v>-3143.6513405399096</v>
      </c>
      <c r="C890" s="9">
        <v>884</v>
      </c>
      <c r="D890" s="10">
        <v>456.51309807091667</v>
      </c>
      <c r="E890" s="9">
        <v>884</v>
      </c>
      <c r="F890" s="10">
        <v>1497.534306967133</v>
      </c>
      <c r="G890" s="9">
        <v>884</v>
      </c>
      <c r="H890" s="10">
        <v>2720.1619134485532</v>
      </c>
      <c r="I890" s="9">
        <v>884</v>
      </c>
      <c r="J890" s="167">
        <v>2809.7333153440859</v>
      </c>
    </row>
    <row r="891" spans="1:10" x14ac:dyDescent="0.35">
      <c r="A891" s="170">
        <v>885</v>
      </c>
      <c r="B891" s="10">
        <v>4474.2317891796893</v>
      </c>
      <c r="C891" s="9">
        <v>885</v>
      </c>
      <c r="D891" s="10">
        <v>429.58913540642379</v>
      </c>
      <c r="E891" s="9">
        <v>885</v>
      </c>
      <c r="F891" s="10">
        <v>2780.0950777880012</v>
      </c>
      <c r="G891" s="9">
        <v>885</v>
      </c>
      <c r="H891" s="10">
        <v>-1768.4884113228695</v>
      </c>
      <c r="I891" s="9">
        <v>885</v>
      </c>
      <c r="J891" s="167">
        <v>-2718.3434733002919</v>
      </c>
    </row>
    <row r="892" spans="1:10" x14ac:dyDescent="0.35">
      <c r="A892" s="170">
        <v>886</v>
      </c>
      <c r="B892" s="10">
        <v>2247.6362497213104</v>
      </c>
      <c r="C892" s="9">
        <v>886</v>
      </c>
      <c r="D892" s="10">
        <v>318.22955046590465</v>
      </c>
      <c r="E892" s="9">
        <v>886</v>
      </c>
      <c r="F892" s="10">
        <v>6680.7476757110981</v>
      </c>
      <c r="G892" s="9">
        <v>886</v>
      </c>
      <c r="H892" s="10">
        <v>-496.14669755790385</v>
      </c>
      <c r="I892" s="9">
        <v>886</v>
      </c>
      <c r="J892" s="167">
        <v>-3407.2094983392112</v>
      </c>
    </row>
    <row r="893" spans="1:10" x14ac:dyDescent="0.35">
      <c r="A893" s="170">
        <v>887</v>
      </c>
      <c r="B893" s="10">
        <v>1319.4727669853246</v>
      </c>
      <c r="C893" s="9">
        <v>887</v>
      </c>
      <c r="D893" s="10">
        <v>422.3249940916437</v>
      </c>
      <c r="E893" s="9">
        <v>887</v>
      </c>
      <c r="F893" s="10">
        <v>1854.6846132293672</v>
      </c>
      <c r="G893" s="9">
        <v>887</v>
      </c>
      <c r="H893" s="10">
        <v>2874.3718020276233</v>
      </c>
      <c r="I893" s="9">
        <v>887</v>
      </c>
      <c r="J893" s="167">
        <v>-4056.2517826564681</v>
      </c>
    </row>
    <row r="894" spans="1:10" x14ac:dyDescent="0.35">
      <c r="A894" s="170">
        <v>888</v>
      </c>
      <c r="B894" s="10">
        <v>2217.3447310085921</v>
      </c>
      <c r="C894" s="9">
        <v>888</v>
      </c>
      <c r="D894" s="10">
        <v>310.60170614496019</v>
      </c>
      <c r="E894" s="9">
        <v>888</v>
      </c>
      <c r="F894" s="10">
        <v>54.625807085350971</v>
      </c>
      <c r="G894" s="9">
        <v>888</v>
      </c>
      <c r="H894" s="10">
        <v>-198.21753360538639</v>
      </c>
      <c r="I894" s="9">
        <v>888</v>
      </c>
      <c r="J894" s="167">
        <v>-3136.3239333147621</v>
      </c>
    </row>
    <row r="895" spans="1:10" x14ac:dyDescent="0.35">
      <c r="A895" s="170">
        <v>889</v>
      </c>
      <c r="B895" s="10">
        <v>2728.1233813004551</v>
      </c>
      <c r="C895" s="9">
        <v>889</v>
      </c>
      <c r="D895" s="10">
        <v>359.67902833111123</v>
      </c>
      <c r="E895" s="9">
        <v>889</v>
      </c>
      <c r="F895" s="10">
        <v>2321.6455186243866</v>
      </c>
      <c r="G895" s="9">
        <v>889</v>
      </c>
      <c r="H895" s="10">
        <v>251.40525488846674</v>
      </c>
      <c r="I895" s="9">
        <v>889</v>
      </c>
      <c r="J895" s="167">
        <v>-3268.1926239365785</v>
      </c>
    </row>
    <row r="896" spans="1:10" x14ac:dyDescent="0.35">
      <c r="A896" s="170">
        <v>890</v>
      </c>
      <c r="B896" s="10">
        <v>906.67682419605831</v>
      </c>
      <c r="C896" s="9">
        <v>890</v>
      </c>
      <c r="D896" s="10">
        <v>390.05029601707054</v>
      </c>
      <c r="E896" s="9">
        <v>890</v>
      </c>
      <c r="F896" s="10">
        <v>6927.3178971755442</v>
      </c>
      <c r="G896" s="9">
        <v>890</v>
      </c>
      <c r="H896" s="10">
        <v>121.51819183862301</v>
      </c>
      <c r="I896" s="9">
        <v>890</v>
      </c>
      <c r="J896" s="167">
        <v>2255.7233379039153</v>
      </c>
    </row>
    <row r="897" spans="1:10" x14ac:dyDescent="0.35">
      <c r="A897" s="170">
        <v>891</v>
      </c>
      <c r="B897" s="10">
        <v>2222.3309537923901</v>
      </c>
      <c r="C897" s="9">
        <v>891</v>
      </c>
      <c r="D897" s="10">
        <v>377.67643170850118</v>
      </c>
      <c r="E897" s="9">
        <v>891</v>
      </c>
      <c r="F897" s="10">
        <v>4303.5646518327057</v>
      </c>
      <c r="G897" s="9">
        <v>891</v>
      </c>
      <c r="H897" s="10">
        <v>3529.7040465628884</v>
      </c>
      <c r="I897" s="9">
        <v>891</v>
      </c>
      <c r="J897" s="167">
        <v>-2130.8967047914134</v>
      </c>
    </row>
    <row r="898" spans="1:10" x14ac:dyDescent="0.35">
      <c r="A898" s="170">
        <v>892</v>
      </c>
      <c r="B898" s="10">
        <v>2576.9714123908607</v>
      </c>
      <c r="C898" s="9">
        <v>892</v>
      </c>
      <c r="D898" s="10">
        <v>427.87319362080865</v>
      </c>
      <c r="E898" s="9">
        <v>892</v>
      </c>
      <c r="F898" s="10">
        <v>1559.5592106628344</v>
      </c>
      <c r="G898" s="9">
        <v>892</v>
      </c>
      <c r="H898" s="10">
        <v>-2855.6067276897625</v>
      </c>
      <c r="I898" s="9">
        <v>892</v>
      </c>
      <c r="J898" s="167">
        <v>1683.0038707504455</v>
      </c>
    </row>
    <row r="899" spans="1:10" x14ac:dyDescent="0.35">
      <c r="A899" s="170">
        <v>893</v>
      </c>
      <c r="B899" s="10">
        <v>3634.0439261637775</v>
      </c>
      <c r="C899" s="9">
        <v>893</v>
      </c>
      <c r="D899" s="10">
        <v>378.62349608152732</v>
      </c>
      <c r="E899" s="9">
        <v>893</v>
      </c>
      <c r="F899" s="10">
        <v>5149.6648966418425</v>
      </c>
      <c r="G899" s="9">
        <v>893</v>
      </c>
      <c r="H899" s="10">
        <v>-192.91013039417567</v>
      </c>
      <c r="I899" s="9">
        <v>893</v>
      </c>
      <c r="J899" s="167">
        <v>-5171.1462592440967</v>
      </c>
    </row>
    <row r="900" spans="1:10" x14ac:dyDescent="0.35">
      <c r="A900" s="170">
        <v>894</v>
      </c>
      <c r="B900" s="10">
        <v>5115.4915605837059</v>
      </c>
      <c r="C900" s="9">
        <v>894</v>
      </c>
      <c r="D900" s="10">
        <v>368.50772778063583</v>
      </c>
      <c r="E900" s="9">
        <v>894</v>
      </c>
      <c r="F900" s="10">
        <v>-72.494689958681192</v>
      </c>
      <c r="G900" s="9">
        <v>894</v>
      </c>
      <c r="H900" s="10">
        <v>2198.9103402576729</v>
      </c>
      <c r="I900" s="9">
        <v>894</v>
      </c>
      <c r="J900" s="167">
        <v>-519.1322386099439</v>
      </c>
    </row>
    <row r="901" spans="1:10" x14ac:dyDescent="0.35">
      <c r="A901" s="170">
        <v>895</v>
      </c>
      <c r="B901" s="10">
        <v>1479.8166371611514</v>
      </c>
      <c r="C901" s="9">
        <v>895</v>
      </c>
      <c r="D901" s="10">
        <v>290.32950884277693</v>
      </c>
      <c r="E901" s="9">
        <v>895</v>
      </c>
      <c r="F901" s="10">
        <v>-772.288348512011</v>
      </c>
      <c r="G901" s="9">
        <v>895</v>
      </c>
      <c r="H901" s="10">
        <v>-498.95466138609379</v>
      </c>
      <c r="I901" s="9">
        <v>895</v>
      </c>
      <c r="J901" s="167">
        <v>1472.7034950698776</v>
      </c>
    </row>
    <row r="902" spans="1:10" x14ac:dyDescent="0.35">
      <c r="A902" s="170">
        <v>896</v>
      </c>
      <c r="B902" s="10">
        <v>3058.1118677094273</v>
      </c>
      <c r="C902" s="9">
        <v>896</v>
      </c>
      <c r="D902" s="10">
        <v>453.98482625706941</v>
      </c>
      <c r="E902" s="9">
        <v>896</v>
      </c>
      <c r="F902" s="10">
        <v>5787.9137440583017</v>
      </c>
      <c r="G902" s="9">
        <v>896</v>
      </c>
      <c r="H902" s="10">
        <v>1573.5337243974489</v>
      </c>
      <c r="I902" s="9">
        <v>896</v>
      </c>
      <c r="J902" s="167">
        <v>1102.7016107259176</v>
      </c>
    </row>
    <row r="903" spans="1:10" x14ac:dyDescent="0.35">
      <c r="A903" s="170">
        <v>897</v>
      </c>
      <c r="B903" s="10">
        <v>4195.8967405832591</v>
      </c>
      <c r="C903" s="9">
        <v>897</v>
      </c>
      <c r="D903" s="10">
        <v>319.70280068665824</v>
      </c>
      <c r="E903" s="9">
        <v>897</v>
      </c>
      <c r="F903" s="10">
        <v>1384.3262170458943</v>
      </c>
      <c r="G903" s="9">
        <v>897</v>
      </c>
      <c r="H903" s="10">
        <v>2622.2078217715998</v>
      </c>
      <c r="I903" s="9">
        <v>897</v>
      </c>
      <c r="J903" s="167">
        <v>727.95554677909035</v>
      </c>
    </row>
    <row r="904" spans="1:10" x14ac:dyDescent="0.35">
      <c r="A904" s="170">
        <v>898</v>
      </c>
      <c r="B904" s="10">
        <v>2449.8091882562567</v>
      </c>
      <c r="C904" s="9">
        <v>898</v>
      </c>
      <c r="D904" s="10">
        <v>240.81031803133089</v>
      </c>
      <c r="E904" s="9">
        <v>898</v>
      </c>
      <c r="F904" s="10">
        <v>2618.000493363611</v>
      </c>
      <c r="G904" s="9">
        <v>898</v>
      </c>
      <c r="H904" s="10">
        <v>-1491.4980780135311</v>
      </c>
      <c r="I904" s="9">
        <v>898</v>
      </c>
      <c r="J904" s="167">
        <v>-1045.5229323186554</v>
      </c>
    </row>
    <row r="905" spans="1:10" x14ac:dyDescent="0.35">
      <c r="A905" s="170">
        <v>899</v>
      </c>
      <c r="B905" s="10">
        <v>1538.195176249659</v>
      </c>
      <c r="C905" s="9">
        <v>899</v>
      </c>
      <c r="D905" s="10">
        <v>395.87022645227393</v>
      </c>
      <c r="E905" s="9">
        <v>899</v>
      </c>
      <c r="F905" s="10">
        <v>9.2622227082424615</v>
      </c>
      <c r="G905" s="9">
        <v>899</v>
      </c>
      <c r="H905" s="10">
        <v>-1163.5572205472363</v>
      </c>
      <c r="I905" s="9">
        <v>899</v>
      </c>
      <c r="J905" s="167">
        <v>1583.9399740508177</v>
      </c>
    </row>
    <row r="906" spans="1:10" x14ac:dyDescent="0.35">
      <c r="A906" s="170">
        <v>900</v>
      </c>
      <c r="B906" s="10">
        <v>3071.8260967657466</v>
      </c>
      <c r="C906" s="9">
        <v>900</v>
      </c>
      <c r="D906" s="10">
        <v>461.86876546331234</v>
      </c>
      <c r="E906" s="9">
        <v>900</v>
      </c>
      <c r="F906" s="10">
        <v>1513.217918779804</v>
      </c>
      <c r="G906" s="9">
        <v>900</v>
      </c>
      <c r="H906" s="10">
        <v>5412.8651520718176</v>
      </c>
      <c r="I906" s="9">
        <v>900</v>
      </c>
      <c r="J906" s="167">
        <v>-1121.303511111938</v>
      </c>
    </row>
    <row r="907" spans="1:10" x14ac:dyDescent="0.35">
      <c r="A907" s="170">
        <v>901</v>
      </c>
      <c r="B907" s="10">
        <v>3719.4659113056423</v>
      </c>
      <c r="C907" s="9">
        <v>901</v>
      </c>
      <c r="D907" s="10">
        <v>507.1406980689452</v>
      </c>
      <c r="E907" s="9">
        <v>901</v>
      </c>
      <c r="F907" s="10">
        <v>5868.8505834272601</v>
      </c>
      <c r="G907" s="9">
        <v>901</v>
      </c>
      <c r="H907" s="10">
        <v>2501.8665404049557</v>
      </c>
      <c r="I907" s="9">
        <v>901</v>
      </c>
      <c r="J907" s="167">
        <v>-2387.9830223618474</v>
      </c>
    </row>
    <row r="908" spans="1:10" x14ac:dyDescent="0.35">
      <c r="A908" s="170">
        <v>902</v>
      </c>
      <c r="B908" s="10">
        <v>1083.3170643117592</v>
      </c>
      <c r="C908" s="9">
        <v>902</v>
      </c>
      <c r="D908" s="10">
        <v>352.46317332027593</v>
      </c>
      <c r="E908" s="9">
        <v>902</v>
      </c>
      <c r="F908" s="10">
        <v>8578.7086190512091</v>
      </c>
      <c r="G908" s="9">
        <v>902</v>
      </c>
      <c r="H908" s="10">
        <v>-5243.5323071396806</v>
      </c>
      <c r="I908" s="9">
        <v>902</v>
      </c>
      <c r="J908" s="167">
        <v>-100.94018672273137</v>
      </c>
    </row>
    <row r="909" spans="1:10" x14ac:dyDescent="0.35">
      <c r="A909" s="170">
        <v>903</v>
      </c>
      <c r="B909" s="10">
        <v>1999.3255185816911</v>
      </c>
      <c r="C909" s="9">
        <v>903</v>
      </c>
      <c r="D909" s="10">
        <v>342.2075766971999</v>
      </c>
      <c r="E909" s="9">
        <v>903</v>
      </c>
      <c r="F909" s="10">
        <v>4985.5435233751414</v>
      </c>
      <c r="G909" s="9">
        <v>903</v>
      </c>
      <c r="H909" s="10">
        <v>7036.7057351668882</v>
      </c>
      <c r="I909" s="9">
        <v>903</v>
      </c>
      <c r="J909" s="167">
        <v>-279.39960729963053</v>
      </c>
    </row>
    <row r="910" spans="1:10" x14ac:dyDescent="0.35">
      <c r="A910" s="170">
        <v>904</v>
      </c>
      <c r="B910" s="10">
        <v>3557.2447372555821</v>
      </c>
      <c r="C910" s="9">
        <v>904</v>
      </c>
      <c r="D910" s="10">
        <v>397.62586793378199</v>
      </c>
      <c r="E910" s="9">
        <v>904</v>
      </c>
      <c r="F910" s="10">
        <v>491.21467395071659</v>
      </c>
      <c r="G910" s="9">
        <v>904</v>
      </c>
      <c r="H910" s="10">
        <v>1691.5728921645891</v>
      </c>
      <c r="I910" s="9">
        <v>904</v>
      </c>
      <c r="J910" s="167">
        <v>-3418.8677197696725</v>
      </c>
    </row>
    <row r="911" spans="1:10" x14ac:dyDescent="0.35">
      <c r="A911" s="170">
        <v>905</v>
      </c>
      <c r="B911" s="10">
        <v>3672.4648638191156</v>
      </c>
      <c r="C911" s="9">
        <v>905</v>
      </c>
      <c r="D911" s="10">
        <v>408.44801354245709</v>
      </c>
      <c r="E911" s="9">
        <v>905</v>
      </c>
      <c r="F911" s="10">
        <v>-2562.2728615765191</v>
      </c>
      <c r="G911" s="9">
        <v>905</v>
      </c>
      <c r="H911" s="10">
        <v>293.43119428927577</v>
      </c>
      <c r="I911" s="9">
        <v>905</v>
      </c>
      <c r="J911" s="167">
        <v>-960.49228874224775</v>
      </c>
    </row>
    <row r="912" spans="1:10" x14ac:dyDescent="0.35">
      <c r="A912" s="170">
        <v>906</v>
      </c>
      <c r="B912" s="10">
        <v>5311.1571342068737</v>
      </c>
      <c r="C912" s="9">
        <v>906</v>
      </c>
      <c r="D912" s="10">
        <v>426.48369458895394</v>
      </c>
      <c r="E912" s="9">
        <v>906</v>
      </c>
      <c r="F912" s="10">
        <v>4416.8091542669754</v>
      </c>
      <c r="G912" s="9">
        <v>906</v>
      </c>
      <c r="H912" s="10">
        <v>4806.1525563854666</v>
      </c>
      <c r="I912" s="9">
        <v>906</v>
      </c>
      <c r="J912" s="167">
        <v>1825.4384179817457</v>
      </c>
    </row>
    <row r="913" spans="1:10" x14ac:dyDescent="0.35">
      <c r="A913" s="170">
        <v>907</v>
      </c>
      <c r="B913" s="10">
        <v>1022.846008293546</v>
      </c>
      <c r="C913" s="9">
        <v>907</v>
      </c>
      <c r="D913" s="10">
        <v>423.45668654759771</v>
      </c>
      <c r="E913" s="9">
        <v>907</v>
      </c>
      <c r="F913" s="10">
        <v>-1028.5298936840031</v>
      </c>
      <c r="G913" s="9">
        <v>907</v>
      </c>
      <c r="H913" s="10">
        <v>-741.02098245341006</v>
      </c>
      <c r="I913" s="9">
        <v>907</v>
      </c>
      <c r="J913" s="167">
        <v>-1103.5239306435753</v>
      </c>
    </row>
    <row r="914" spans="1:10" x14ac:dyDescent="0.35">
      <c r="A914" s="170">
        <v>908</v>
      </c>
      <c r="B914" s="10">
        <v>1184.2736160727484</v>
      </c>
      <c r="C914" s="9">
        <v>908</v>
      </c>
      <c r="D914" s="10">
        <v>344.93736457543838</v>
      </c>
      <c r="E914" s="9">
        <v>908</v>
      </c>
      <c r="F914" s="10">
        <v>2536.5921722260905</v>
      </c>
      <c r="G914" s="9">
        <v>908</v>
      </c>
      <c r="H914" s="10">
        <v>1865.8864998063882</v>
      </c>
      <c r="I914" s="9">
        <v>908</v>
      </c>
      <c r="J914" s="167">
        <v>-2044.471179696777</v>
      </c>
    </row>
    <row r="915" spans="1:10" x14ac:dyDescent="0.35">
      <c r="A915" s="170">
        <v>909</v>
      </c>
      <c r="B915" s="10">
        <v>3696.2917242307012</v>
      </c>
      <c r="C915" s="9">
        <v>909</v>
      </c>
      <c r="D915" s="10">
        <v>506.40387477191928</v>
      </c>
      <c r="E915" s="9">
        <v>909</v>
      </c>
      <c r="F915" s="10">
        <v>6032.5905309131485</v>
      </c>
      <c r="G915" s="9">
        <v>909</v>
      </c>
      <c r="H915" s="10">
        <v>-3018.1339449503648</v>
      </c>
      <c r="I915" s="9">
        <v>909</v>
      </c>
      <c r="J915" s="167">
        <v>-2000.0648209084077</v>
      </c>
    </row>
    <row r="916" spans="1:10" x14ac:dyDescent="0.35">
      <c r="A916" s="170">
        <v>910</v>
      </c>
      <c r="B916" s="10">
        <v>819.33958796055072</v>
      </c>
      <c r="C916" s="9">
        <v>910</v>
      </c>
      <c r="D916" s="10">
        <v>471.65824922016321</v>
      </c>
      <c r="E916" s="9">
        <v>910</v>
      </c>
      <c r="F916" s="10">
        <v>8271.5491246716847</v>
      </c>
      <c r="G916" s="9">
        <v>910</v>
      </c>
      <c r="H916" s="10">
        <v>2961.4779703611703</v>
      </c>
      <c r="I916" s="9">
        <v>910</v>
      </c>
      <c r="J916" s="167">
        <v>1092.9035184641768</v>
      </c>
    </row>
    <row r="917" spans="1:10" x14ac:dyDescent="0.35">
      <c r="A917" s="170">
        <v>911</v>
      </c>
      <c r="B917" s="10">
        <v>487.80992642219326</v>
      </c>
      <c r="C917" s="9">
        <v>911</v>
      </c>
      <c r="D917" s="10">
        <v>368.66449130776471</v>
      </c>
      <c r="E917" s="9">
        <v>911</v>
      </c>
      <c r="F917" s="10">
        <v>-3001.7301325229009</v>
      </c>
      <c r="G917" s="9">
        <v>911</v>
      </c>
      <c r="H917" s="10">
        <v>-3355.3408763428374</v>
      </c>
      <c r="I917" s="9">
        <v>911</v>
      </c>
      <c r="J917" s="167">
        <v>221.16644095767958</v>
      </c>
    </row>
    <row r="918" spans="1:10" x14ac:dyDescent="0.35">
      <c r="A918" s="170">
        <v>912</v>
      </c>
      <c r="B918" s="10">
        <v>910.35374805785318</v>
      </c>
      <c r="C918" s="9">
        <v>912</v>
      </c>
      <c r="D918" s="10">
        <v>290.78406870677611</v>
      </c>
      <c r="E918" s="9">
        <v>912</v>
      </c>
      <c r="F918" s="10">
        <v>2121.6766727674399</v>
      </c>
      <c r="G918" s="9">
        <v>912</v>
      </c>
      <c r="H918" s="10">
        <v>4279.1497346250471</v>
      </c>
      <c r="I918" s="9">
        <v>912</v>
      </c>
      <c r="J918" s="167">
        <v>975.83655934874469</v>
      </c>
    </row>
    <row r="919" spans="1:10" x14ac:dyDescent="0.35">
      <c r="A919" s="170">
        <v>913</v>
      </c>
      <c r="B919" s="10">
        <v>2832.9096209037743</v>
      </c>
      <c r="C919" s="9">
        <v>913</v>
      </c>
      <c r="D919" s="10">
        <v>408.06182685088197</v>
      </c>
      <c r="E919" s="9">
        <v>913</v>
      </c>
      <c r="F919" s="10">
        <v>10395.640158640112</v>
      </c>
      <c r="G919" s="9">
        <v>913</v>
      </c>
      <c r="H919" s="10">
        <v>-863.52042656871288</v>
      </c>
      <c r="I919" s="9">
        <v>913</v>
      </c>
      <c r="J919" s="167">
        <v>-65.509879719578294</v>
      </c>
    </row>
    <row r="920" spans="1:10" x14ac:dyDescent="0.35">
      <c r="A920" s="170">
        <v>914</v>
      </c>
      <c r="B920" s="10">
        <v>4869.5251497869613</v>
      </c>
      <c r="C920" s="9">
        <v>914</v>
      </c>
      <c r="D920" s="10">
        <v>415.39423784198874</v>
      </c>
      <c r="E920" s="9">
        <v>914</v>
      </c>
      <c r="F920" s="10">
        <v>4492.6370314873493</v>
      </c>
      <c r="G920" s="9">
        <v>914</v>
      </c>
      <c r="H920" s="10">
        <v>763.61217219379898</v>
      </c>
      <c r="I920" s="9">
        <v>914</v>
      </c>
      <c r="J920" s="167">
        <v>1569.3719049163331</v>
      </c>
    </row>
    <row r="921" spans="1:10" x14ac:dyDescent="0.35">
      <c r="A921" s="170">
        <v>915</v>
      </c>
      <c r="B921" s="10">
        <v>981.16535306676224</v>
      </c>
      <c r="C921" s="9">
        <v>915</v>
      </c>
      <c r="D921" s="10">
        <v>480.78250590580228</v>
      </c>
      <c r="E921" s="9">
        <v>915</v>
      </c>
      <c r="F921" s="10">
        <v>2853.5225319995952</v>
      </c>
      <c r="G921" s="9">
        <v>915</v>
      </c>
      <c r="H921" s="10">
        <v>564.96287370535083</v>
      </c>
      <c r="I921" s="9">
        <v>915</v>
      </c>
      <c r="J921" s="167">
        <v>110.13112878664231</v>
      </c>
    </row>
    <row r="922" spans="1:10" x14ac:dyDescent="0.35">
      <c r="A922" s="170">
        <v>916</v>
      </c>
      <c r="B922" s="10">
        <v>-130.20845162567139</v>
      </c>
      <c r="C922" s="9">
        <v>916</v>
      </c>
      <c r="D922" s="10">
        <v>422.82356701418928</v>
      </c>
      <c r="E922" s="9">
        <v>916</v>
      </c>
      <c r="F922" s="10">
        <v>6309.2163145289251</v>
      </c>
      <c r="G922" s="9">
        <v>916</v>
      </c>
      <c r="H922" s="10">
        <v>-2119.6631394875808</v>
      </c>
      <c r="I922" s="9">
        <v>916</v>
      </c>
      <c r="J922" s="167">
        <v>2203.725695947754</v>
      </c>
    </row>
    <row r="923" spans="1:10" x14ac:dyDescent="0.35">
      <c r="A923" s="170">
        <v>917</v>
      </c>
      <c r="B923" s="10">
        <v>656.067932384507</v>
      </c>
      <c r="C923" s="9">
        <v>917</v>
      </c>
      <c r="D923" s="10">
        <v>231.7363978867383</v>
      </c>
      <c r="E923" s="9">
        <v>917</v>
      </c>
      <c r="F923" s="10">
        <v>3046.6668592523765</v>
      </c>
      <c r="G923" s="9">
        <v>917</v>
      </c>
      <c r="H923" s="10">
        <v>-1593.6258233681774</v>
      </c>
      <c r="I923" s="9">
        <v>917</v>
      </c>
      <c r="J923" s="167">
        <v>-296.74628150267279</v>
      </c>
    </row>
    <row r="924" spans="1:10" x14ac:dyDescent="0.35">
      <c r="A924" s="170">
        <v>918</v>
      </c>
      <c r="B924" s="10">
        <v>1153.3580779336155</v>
      </c>
      <c r="C924" s="9">
        <v>918</v>
      </c>
      <c r="D924" s="10">
        <v>337.85466555698866</v>
      </c>
      <c r="E924" s="9">
        <v>918</v>
      </c>
      <c r="F924" s="10">
        <v>2086.0685098593453</v>
      </c>
      <c r="G924" s="9">
        <v>918</v>
      </c>
      <c r="H924" s="10">
        <v>1433.8385146122641</v>
      </c>
      <c r="I924" s="9">
        <v>918</v>
      </c>
      <c r="J924" s="167">
        <v>-639.70255949756643</v>
      </c>
    </row>
    <row r="925" spans="1:10" x14ac:dyDescent="0.35">
      <c r="A925" s="170">
        <v>919</v>
      </c>
      <c r="B925" s="10">
        <v>1924.5280682241873</v>
      </c>
      <c r="C925" s="9">
        <v>919</v>
      </c>
      <c r="D925" s="10">
        <v>433.31764128219277</v>
      </c>
      <c r="E925" s="9">
        <v>919</v>
      </c>
      <c r="F925" s="10">
        <v>425.15361013672282</v>
      </c>
      <c r="G925" s="9">
        <v>919</v>
      </c>
      <c r="H925" s="10">
        <v>860.16175802059718</v>
      </c>
      <c r="I925" s="9">
        <v>919</v>
      </c>
      <c r="J925" s="167">
        <v>884.81759835783305</v>
      </c>
    </row>
    <row r="926" spans="1:10" x14ac:dyDescent="0.35">
      <c r="A926" s="170">
        <v>920</v>
      </c>
      <c r="B926" s="10">
        <v>2149.5011151483445</v>
      </c>
      <c r="C926" s="9">
        <v>920</v>
      </c>
      <c r="D926" s="10">
        <v>513.94146227363285</v>
      </c>
      <c r="E926" s="9">
        <v>920</v>
      </c>
      <c r="F926" s="10">
        <v>5050.5883401546434</v>
      </c>
      <c r="G926" s="9">
        <v>920</v>
      </c>
      <c r="H926" s="10">
        <v>2373.5801325042926</v>
      </c>
      <c r="I926" s="9">
        <v>920</v>
      </c>
      <c r="J926" s="167">
        <v>1036.3423869786413</v>
      </c>
    </row>
    <row r="927" spans="1:10" x14ac:dyDescent="0.35">
      <c r="A927" s="170">
        <v>921</v>
      </c>
      <c r="B927" s="10">
        <v>3332.8937101459251</v>
      </c>
      <c r="C927" s="9">
        <v>921</v>
      </c>
      <c r="D927" s="10">
        <v>306.41291874024512</v>
      </c>
      <c r="E927" s="9">
        <v>921</v>
      </c>
      <c r="F927" s="10">
        <v>-1229.2627395925178</v>
      </c>
      <c r="G927" s="9">
        <v>921</v>
      </c>
      <c r="H927" s="10">
        <v>-1285.1353724440341</v>
      </c>
      <c r="I927" s="9">
        <v>921</v>
      </c>
      <c r="J927" s="167">
        <v>-716.21804305259616</v>
      </c>
    </row>
    <row r="928" spans="1:10" x14ac:dyDescent="0.35">
      <c r="A928" s="170">
        <v>922</v>
      </c>
      <c r="B928" s="10">
        <v>3317.9083689693903</v>
      </c>
      <c r="C928" s="9">
        <v>922</v>
      </c>
      <c r="D928" s="10">
        <v>458.88190337527465</v>
      </c>
      <c r="E928" s="9">
        <v>922</v>
      </c>
      <c r="F928" s="10">
        <v>4398.00232533089</v>
      </c>
      <c r="G928" s="9">
        <v>922</v>
      </c>
      <c r="H928" s="10">
        <v>-2521.5282064754992</v>
      </c>
      <c r="I928" s="9">
        <v>922</v>
      </c>
      <c r="J928" s="167">
        <v>-3301.8612775133229</v>
      </c>
    </row>
    <row r="929" spans="1:10" x14ac:dyDescent="0.35">
      <c r="A929" s="170">
        <v>923</v>
      </c>
      <c r="B929" s="10">
        <v>1093.9990538062189</v>
      </c>
      <c r="C929" s="9">
        <v>923</v>
      </c>
      <c r="D929" s="10">
        <v>345.71333723194351</v>
      </c>
      <c r="E929" s="9">
        <v>923</v>
      </c>
      <c r="F929" s="10">
        <v>2211.5870208675024</v>
      </c>
      <c r="G929" s="9">
        <v>923</v>
      </c>
      <c r="H929" s="10">
        <v>-2844.967609670342</v>
      </c>
      <c r="I929" s="9">
        <v>923</v>
      </c>
      <c r="J929" s="167">
        <v>-831.28193230342163</v>
      </c>
    </row>
    <row r="930" spans="1:10" x14ac:dyDescent="0.35">
      <c r="A930" s="170">
        <v>924</v>
      </c>
      <c r="B930" s="10">
        <v>5851.874239783825</v>
      </c>
      <c r="C930" s="9">
        <v>924</v>
      </c>
      <c r="D930" s="10">
        <v>480.41377046291217</v>
      </c>
      <c r="E930" s="9">
        <v>924</v>
      </c>
      <c r="F930" s="10">
        <v>4153.0443066188636</v>
      </c>
      <c r="G930" s="9">
        <v>924</v>
      </c>
      <c r="H930" s="10">
        <v>2752.4351307552829</v>
      </c>
      <c r="I930" s="9">
        <v>924</v>
      </c>
      <c r="J930" s="167">
        <v>-1968.2695652714292</v>
      </c>
    </row>
    <row r="931" spans="1:10" x14ac:dyDescent="0.35">
      <c r="A931" s="170">
        <v>925</v>
      </c>
      <c r="B931" s="10">
        <v>3760.3250197946154</v>
      </c>
      <c r="C931" s="9">
        <v>925</v>
      </c>
      <c r="D931" s="10">
        <v>382.93785280858492</v>
      </c>
      <c r="E931" s="9">
        <v>925</v>
      </c>
      <c r="F931" s="10">
        <v>511.8689196208129</v>
      </c>
      <c r="G931" s="9">
        <v>925</v>
      </c>
      <c r="H931" s="10">
        <v>677.95184803679115</v>
      </c>
      <c r="I931" s="9">
        <v>925</v>
      </c>
      <c r="J931" s="167">
        <v>-2668.1771804017244</v>
      </c>
    </row>
    <row r="932" spans="1:10" x14ac:dyDescent="0.35">
      <c r="A932" s="170">
        <v>926</v>
      </c>
      <c r="B932" s="10">
        <v>3169.7236279296235</v>
      </c>
      <c r="C932" s="9">
        <v>926</v>
      </c>
      <c r="D932" s="10">
        <v>474.55928355960884</v>
      </c>
      <c r="E932" s="9">
        <v>926</v>
      </c>
      <c r="F932" s="10">
        <v>6064.6067190723588</v>
      </c>
      <c r="G932" s="9">
        <v>926</v>
      </c>
      <c r="H932" s="10">
        <v>-3771.1067604504155</v>
      </c>
      <c r="I932" s="9">
        <v>926</v>
      </c>
      <c r="J932" s="167">
        <v>-1177.2648559069312</v>
      </c>
    </row>
    <row r="933" spans="1:10" x14ac:dyDescent="0.35">
      <c r="A933" s="170">
        <v>927</v>
      </c>
      <c r="B933" s="10">
        <v>-79.583424363962877</v>
      </c>
      <c r="C933" s="9">
        <v>927</v>
      </c>
      <c r="D933" s="10">
        <v>555.48175607003009</v>
      </c>
      <c r="E933" s="9">
        <v>927</v>
      </c>
      <c r="F933" s="10">
        <v>346.61950323259498</v>
      </c>
      <c r="G933" s="9">
        <v>927</v>
      </c>
      <c r="H933" s="10">
        <v>2540.5213481370247</v>
      </c>
      <c r="I933" s="9">
        <v>927</v>
      </c>
      <c r="J933" s="167">
        <v>-657.92264766983715</v>
      </c>
    </row>
    <row r="934" spans="1:10" x14ac:dyDescent="0.35">
      <c r="A934" s="170">
        <v>928</v>
      </c>
      <c r="B934" s="10">
        <v>248.32325711342901</v>
      </c>
      <c r="C934" s="9">
        <v>928</v>
      </c>
      <c r="D934" s="10">
        <v>397.07302161348201</v>
      </c>
      <c r="E934" s="9">
        <v>928</v>
      </c>
      <c r="F934" s="10">
        <v>5934.6414330241305</v>
      </c>
      <c r="G934" s="9">
        <v>928</v>
      </c>
      <c r="H934" s="10">
        <v>1205.1796579936836</v>
      </c>
      <c r="I934" s="9">
        <v>928</v>
      </c>
      <c r="J934" s="167">
        <v>3611.5316624846555</v>
      </c>
    </row>
    <row r="935" spans="1:10" x14ac:dyDescent="0.35">
      <c r="A935" s="170">
        <v>929</v>
      </c>
      <c r="B935" s="10">
        <v>3513.1240064074577</v>
      </c>
      <c r="C935" s="9">
        <v>929</v>
      </c>
      <c r="D935" s="10">
        <v>323.94617586592176</v>
      </c>
      <c r="E935" s="9">
        <v>929</v>
      </c>
      <c r="F935" s="10">
        <v>3622.142044839452</v>
      </c>
      <c r="G935" s="9">
        <v>929</v>
      </c>
      <c r="H935" s="10">
        <v>-1736.34598365293</v>
      </c>
      <c r="I935" s="9">
        <v>929</v>
      </c>
      <c r="J935" s="167">
        <v>-3451.2047103228238</v>
      </c>
    </row>
    <row r="936" spans="1:10" x14ac:dyDescent="0.35">
      <c r="A936" s="170">
        <v>930</v>
      </c>
      <c r="B936" s="10">
        <v>2450.8279411109406</v>
      </c>
      <c r="C936" s="9">
        <v>930</v>
      </c>
      <c r="D936" s="10">
        <v>320.63826222409295</v>
      </c>
      <c r="E936" s="9">
        <v>930</v>
      </c>
      <c r="F936" s="10">
        <v>-763.48453449304543</v>
      </c>
      <c r="G936" s="9">
        <v>930</v>
      </c>
      <c r="H936" s="10">
        <v>2596.2703656024169</v>
      </c>
      <c r="I936" s="9">
        <v>930</v>
      </c>
      <c r="J936" s="167">
        <v>-4621.6341395638301</v>
      </c>
    </row>
    <row r="937" spans="1:10" x14ac:dyDescent="0.35">
      <c r="A937" s="170">
        <v>931</v>
      </c>
      <c r="B937" s="10">
        <v>3995.6937447878331</v>
      </c>
      <c r="C937" s="9">
        <v>931</v>
      </c>
      <c r="D937" s="10">
        <v>433.31817373587694</v>
      </c>
      <c r="E937" s="9">
        <v>931</v>
      </c>
      <c r="F937" s="10">
        <v>2181.5278981881338</v>
      </c>
      <c r="G937" s="9">
        <v>931</v>
      </c>
      <c r="H937" s="10">
        <v>2987.5709427173856</v>
      </c>
      <c r="I937" s="9">
        <v>931</v>
      </c>
      <c r="J937" s="167">
        <v>-2616.2815137672274</v>
      </c>
    </row>
    <row r="938" spans="1:10" x14ac:dyDescent="0.35">
      <c r="A938" s="170">
        <v>932</v>
      </c>
      <c r="B938" s="10">
        <v>4960.3881944705308</v>
      </c>
      <c r="C938" s="9">
        <v>932</v>
      </c>
      <c r="D938" s="10">
        <v>566.84446974645323</v>
      </c>
      <c r="E938" s="9">
        <v>932</v>
      </c>
      <c r="F938" s="10">
        <v>5230.6010822502558</v>
      </c>
      <c r="G938" s="9">
        <v>932</v>
      </c>
      <c r="H938" s="10">
        <v>1739.5035733598311</v>
      </c>
      <c r="I938" s="9">
        <v>932</v>
      </c>
      <c r="J938" s="167">
        <v>-137.0101343735538</v>
      </c>
    </row>
    <row r="939" spans="1:10" x14ac:dyDescent="0.35">
      <c r="A939" s="170">
        <v>933</v>
      </c>
      <c r="B939" s="10">
        <v>1085.3966751165617</v>
      </c>
      <c r="C939" s="9">
        <v>933</v>
      </c>
      <c r="D939" s="10">
        <v>485.88580973459671</v>
      </c>
      <c r="E939" s="9">
        <v>933</v>
      </c>
      <c r="F939" s="10">
        <v>2573.6947941387089</v>
      </c>
      <c r="G939" s="9">
        <v>933</v>
      </c>
      <c r="H939" s="10">
        <v>-3022.7675708315637</v>
      </c>
      <c r="I939" s="9">
        <v>933</v>
      </c>
      <c r="J939" s="167">
        <v>-323.39731323404908</v>
      </c>
    </row>
    <row r="940" spans="1:10" x14ac:dyDescent="0.35">
      <c r="A940" s="170">
        <v>934</v>
      </c>
      <c r="B940" s="10">
        <v>3043.7483273550274</v>
      </c>
      <c r="C940" s="9">
        <v>934</v>
      </c>
      <c r="D940" s="10">
        <v>517.16557688696844</v>
      </c>
      <c r="E940" s="9">
        <v>934</v>
      </c>
      <c r="F940" s="10">
        <v>2205.062618146691</v>
      </c>
      <c r="G940" s="9">
        <v>934</v>
      </c>
      <c r="H940" s="10">
        <v>1755.1184026751794</v>
      </c>
      <c r="I940" s="9">
        <v>934</v>
      </c>
      <c r="J940" s="167">
        <v>-121.40865870288036</v>
      </c>
    </row>
    <row r="941" spans="1:10" x14ac:dyDescent="0.35">
      <c r="A941" s="170">
        <v>935</v>
      </c>
      <c r="B941" s="10">
        <v>-250.50180339949839</v>
      </c>
      <c r="C941" s="9">
        <v>935</v>
      </c>
      <c r="D941" s="10">
        <v>127.60893489931891</v>
      </c>
      <c r="E941" s="9">
        <v>935</v>
      </c>
      <c r="F941" s="10">
        <v>1296.2721227432371</v>
      </c>
      <c r="G941" s="9">
        <v>935</v>
      </c>
      <c r="H941" s="10">
        <v>2474.1450740588816</v>
      </c>
      <c r="I941" s="9">
        <v>935</v>
      </c>
      <c r="J941" s="167">
        <v>2219.9159606797593</v>
      </c>
    </row>
    <row r="942" spans="1:10" x14ac:dyDescent="0.35">
      <c r="A942" s="170">
        <v>936</v>
      </c>
      <c r="B942" s="10">
        <v>4366.4246423610075</v>
      </c>
      <c r="C942" s="9">
        <v>936</v>
      </c>
      <c r="D942" s="10">
        <v>437.30922739172115</v>
      </c>
      <c r="E942" s="9">
        <v>936</v>
      </c>
      <c r="F942" s="10">
        <v>5323.4895240064998</v>
      </c>
      <c r="G942" s="9">
        <v>936</v>
      </c>
      <c r="H942" s="10">
        <v>2472.4854441654761</v>
      </c>
      <c r="I942" s="9">
        <v>936</v>
      </c>
      <c r="J942" s="167">
        <v>-2786.8888478866083</v>
      </c>
    </row>
    <row r="943" spans="1:10" x14ac:dyDescent="0.35">
      <c r="A943" s="170">
        <v>937</v>
      </c>
      <c r="B943" s="10">
        <v>1571.625031361481</v>
      </c>
      <c r="C943" s="9">
        <v>937</v>
      </c>
      <c r="D943" s="10">
        <v>339.1263429527533</v>
      </c>
      <c r="E943" s="9">
        <v>937</v>
      </c>
      <c r="F943" s="10">
        <v>11057.193440719358</v>
      </c>
      <c r="G943" s="9">
        <v>937</v>
      </c>
      <c r="H943" s="10">
        <v>1065.7786477504276</v>
      </c>
      <c r="I943" s="9">
        <v>937</v>
      </c>
      <c r="J943" s="167">
        <v>-2056.9723503144496</v>
      </c>
    </row>
    <row r="944" spans="1:10" x14ac:dyDescent="0.35">
      <c r="A944" s="170">
        <v>938</v>
      </c>
      <c r="B944" s="10">
        <v>2940.1480622753379</v>
      </c>
      <c r="C944" s="9">
        <v>938</v>
      </c>
      <c r="D944" s="10">
        <v>318.74164261520997</v>
      </c>
      <c r="E944" s="9">
        <v>938</v>
      </c>
      <c r="F944" s="10">
        <v>3087.4612829657467</v>
      </c>
      <c r="G944" s="9">
        <v>938</v>
      </c>
      <c r="H944" s="10">
        <v>2073.4807859246148</v>
      </c>
      <c r="I944" s="9">
        <v>938</v>
      </c>
      <c r="J944" s="167">
        <v>1237.7875654528148</v>
      </c>
    </row>
    <row r="945" spans="1:10" x14ac:dyDescent="0.35">
      <c r="A945" s="170">
        <v>939</v>
      </c>
      <c r="B945" s="10">
        <v>4743.7266904177304</v>
      </c>
      <c r="C945" s="9">
        <v>939</v>
      </c>
      <c r="D945" s="10">
        <v>470.59233657063868</v>
      </c>
      <c r="E945" s="9">
        <v>939</v>
      </c>
      <c r="F945" s="10">
        <v>3128.1895777483051</v>
      </c>
      <c r="G945" s="9">
        <v>939</v>
      </c>
      <c r="H945" s="10">
        <v>117.47338067764849</v>
      </c>
      <c r="I945" s="9">
        <v>939</v>
      </c>
      <c r="J945" s="167">
        <v>-1579.3360504941738</v>
      </c>
    </row>
    <row r="946" spans="1:10" x14ac:dyDescent="0.35">
      <c r="A946" s="170">
        <v>940</v>
      </c>
      <c r="B946" s="10">
        <v>1981.4530745836823</v>
      </c>
      <c r="C946" s="9">
        <v>940</v>
      </c>
      <c r="D946" s="10">
        <v>466.44209046107164</v>
      </c>
      <c r="E946" s="9">
        <v>940</v>
      </c>
      <c r="F946" s="10">
        <v>7189.4981198108389</v>
      </c>
      <c r="G946" s="9">
        <v>940</v>
      </c>
      <c r="H946" s="10">
        <v>631.30570737861012</v>
      </c>
      <c r="I946" s="9">
        <v>940</v>
      </c>
      <c r="J946" s="167">
        <v>-1753.37541682701</v>
      </c>
    </row>
    <row r="947" spans="1:10" x14ac:dyDescent="0.35">
      <c r="A947" s="170">
        <v>941</v>
      </c>
      <c r="B947" s="10">
        <v>1812.7659851374133</v>
      </c>
      <c r="C947" s="9">
        <v>941</v>
      </c>
      <c r="D947" s="10">
        <v>460.69836866283782</v>
      </c>
      <c r="E947" s="9">
        <v>941</v>
      </c>
      <c r="F947" s="10">
        <v>2588.1931260009824</v>
      </c>
      <c r="G947" s="9">
        <v>941</v>
      </c>
      <c r="H947" s="10">
        <v>3196.5199837481455</v>
      </c>
      <c r="I947" s="9">
        <v>941</v>
      </c>
      <c r="J947" s="167">
        <v>861.10265729755815</v>
      </c>
    </row>
    <row r="948" spans="1:10" x14ac:dyDescent="0.35">
      <c r="A948" s="170">
        <v>942</v>
      </c>
      <c r="B948" s="10">
        <v>-116.8292703451657</v>
      </c>
      <c r="C948" s="9">
        <v>942</v>
      </c>
      <c r="D948" s="10">
        <v>313.00646782400077</v>
      </c>
      <c r="E948" s="9">
        <v>942</v>
      </c>
      <c r="F948" s="10">
        <v>2571.9997286160547</v>
      </c>
      <c r="G948" s="9">
        <v>942</v>
      </c>
      <c r="H948" s="10">
        <v>4825.1353271556691</v>
      </c>
      <c r="I948" s="9">
        <v>942</v>
      </c>
      <c r="J948" s="167">
        <v>-1805.0998128101701</v>
      </c>
    </row>
    <row r="949" spans="1:10" x14ac:dyDescent="0.35">
      <c r="A949" s="170">
        <v>943</v>
      </c>
      <c r="B949" s="10">
        <v>5592.098820838637</v>
      </c>
      <c r="C949" s="9">
        <v>943</v>
      </c>
      <c r="D949" s="10">
        <v>380.42262089634585</v>
      </c>
      <c r="E949" s="9">
        <v>943</v>
      </c>
      <c r="F949" s="10">
        <v>-2449.2476897672241</v>
      </c>
      <c r="G949" s="9">
        <v>943</v>
      </c>
      <c r="H949" s="10">
        <v>5578.8164768367569</v>
      </c>
      <c r="I949" s="9">
        <v>943</v>
      </c>
      <c r="J949" s="167">
        <v>463.98728820916631</v>
      </c>
    </row>
    <row r="950" spans="1:10" x14ac:dyDescent="0.35">
      <c r="A950" s="170">
        <v>944</v>
      </c>
      <c r="B950" s="10">
        <v>3776.1935951050991</v>
      </c>
      <c r="C950" s="9">
        <v>944</v>
      </c>
      <c r="D950" s="10">
        <v>392.54570843948568</v>
      </c>
      <c r="E950" s="9">
        <v>944</v>
      </c>
      <c r="F950" s="10">
        <v>7696.8896645827954</v>
      </c>
      <c r="G950" s="9">
        <v>944</v>
      </c>
      <c r="H950" s="10">
        <v>518.87350738459133</v>
      </c>
      <c r="I950" s="9">
        <v>944</v>
      </c>
      <c r="J950" s="167">
        <v>400.48857478386333</v>
      </c>
    </row>
    <row r="951" spans="1:10" x14ac:dyDescent="0.35">
      <c r="A951" s="170">
        <v>945</v>
      </c>
      <c r="B951" s="10">
        <v>1650.9171414033874</v>
      </c>
      <c r="C951" s="9">
        <v>945</v>
      </c>
      <c r="D951" s="10">
        <v>470.99577882706706</v>
      </c>
      <c r="E951" s="9">
        <v>945</v>
      </c>
      <c r="F951" s="10">
        <v>1979.9737763332496</v>
      </c>
      <c r="G951" s="9">
        <v>945</v>
      </c>
      <c r="H951" s="10">
        <v>-3492.1273056337218</v>
      </c>
      <c r="I951" s="9">
        <v>945</v>
      </c>
      <c r="J951" s="167">
        <v>-648.16556595880229</v>
      </c>
    </row>
    <row r="952" spans="1:10" x14ac:dyDescent="0.35">
      <c r="A952" s="170">
        <v>946</v>
      </c>
      <c r="B952" s="10">
        <v>3006.6616568523987</v>
      </c>
      <c r="C952" s="9">
        <v>946</v>
      </c>
      <c r="D952" s="10">
        <v>425.09925706087438</v>
      </c>
      <c r="E952" s="9">
        <v>946</v>
      </c>
      <c r="F952" s="10">
        <v>118.07814964652061</v>
      </c>
      <c r="G952" s="9">
        <v>946</v>
      </c>
      <c r="H952" s="10">
        <v>7548.6678266767885</v>
      </c>
      <c r="I952" s="9">
        <v>946</v>
      </c>
      <c r="J952" s="167">
        <v>-2132.1648857869377</v>
      </c>
    </row>
    <row r="953" spans="1:10" x14ac:dyDescent="0.35">
      <c r="A953" s="170">
        <v>947</v>
      </c>
      <c r="B953" s="10">
        <v>4766.4181459224383</v>
      </c>
      <c r="C953" s="9">
        <v>947</v>
      </c>
      <c r="D953" s="10">
        <v>453.17966139324119</v>
      </c>
      <c r="E953" s="9">
        <v>947</v>
      </c>
      <c r="F953" s="10">
        <v>-4356.2797474606677</v>
      </c>
      <c r="G953" s="9">
        <v>947</v>
      </c>
      <c r="H953" s="10">
        <v>2672.3375447218259</v>
      </c>
      <c r="I953" s="9">
        <v>947</v>
      </c>
      <c r="J953" s="167">
        <v>-975.33693294460852</v>
      </c>
    </row>
    <row r="954" spans="1:10" x14ac:dyDescent="0.35">
      <c r="A954" s="170">
        <v>948</v>
      </c>
      <c r="B954" s="10">
        <v>-91.047885086913993</v>
      </c>
      <c r="C954" s="9">
        <v>948</v>
      </c>
      <c r="D954" s="10">
        <v>406.41568056773662</v>
      </c>
      <c r="E954" s="9">
        <v>948</v>
      </c>
      <c r="F954" s="10">
        <v>1092.8000094618492</v>
      </c>
      <c r="G954" s="9">
        <v>948</v>
      </c>
      <c r="H954" s="10">
        <v>1183.6208084996872</v>
      </c>
      <c r="I954" s="9">
        <v>948</v>
      </c>
      <c r="J954" s="167">
        <v>1556.4349461342852</v>
      </c>
    </row>
    <row r="955" spans="1:10" x14ac:dyDescent="0.35">
      <c r="A955" s="170">
        <v>949</v>
      </c>
      <c r="B955" s="10">
        <v>3522.8405478605973</v>
      </c>
      <c r="C955" s="9">
        <v>949</v>
      </c>
      <c r="D955" s="10">
        <v>441.19178833956983</v>
      </c>
      <c r="E955" s="9">
        <v>949</v>
      </c>
      <c r="F955" s="10">
        <v>-4.7060832660031338</v>
      </c>
      <c r="G955" s="9">
        <v>949</v>
      </c>
      <c r="H955" s="10">
        <v>2270.8729169306475</v>
      </c>
      <c r="I955" s="9">
        <v>949</v>
      </c>
      <c r="J955" s="167">
        <v>5295.1432541457198</v>
      </c>
    </row>
    <row r="956" spans="1:10" x14ac:dyDescent="0.35">
      <c r="A956" s="170">
        <v>950</v>
      </c>
      <c r="B956" s="10">
        <v>2645.6294955131848</v>
      </c>
      <c r="C956" s="9">
        <v>950</v>
      </c>
      <c r="D956" s="10">
        <v>260.36288047762275</v>
      </c>
      <c r="E956" s="9">
        <v>950</v>
      </c>
      <c r="F956" s="10">
        <v>1670.4681829859676</v>
      </c>
      <c r="G956" s="9">
        <v>950</v>
      </c>
      <c r="H956" s="10">
        <v>89.254709422960104</v>
      </c>
      <c r="I956" s="9">
        <v>950</v>
      </c>
      <c r="J956" s="167">
        <v>-61.159024638394612</v>
      </c>
    </row>
    <row r="957" spans="1:10" x14ac:dyDescent="0.35">
      <c r="A957" s="170">
        <v>951</v>
      </c>
      <c r="B957" s="10">
        <v>2026.6147040973733</v>
      </c>
      <c r="C957" s="9">
        <v>951</v>
      </c>
      <c r="D957" s="10">
        <v>242.39787164047254</v>
      </c>
      <c r="E957" s="9">
        <v>951</v>
      </c>
      <c r="F957" s="10">
        <v>2350.67905749379</v>
      </c>
      <c r="G957" s="9">
        <v>951</v>
      </c>
      <c r="H957" s="10">
        <v>1364.7687778847524</v>
      </c>
      <c r="I957" s="9">
        <v>951</v>
      </c>
      <c r="J957" s="167">
        <v>-59.823152755122294</v>
      </c>
    </row>
    <row r="958" spans="1:10" x14ac:dyDescent="0.35">
      <c r="A958" s="170">
        <v>952</v>
      </c>
      <c r="B958" s="10">
        <v>2323.132868845039</v>
      </c>
      <c r="C958" s="9">
        <v>952</v>
      </c>
      <c r="D958" s="10">
        <v>337.724558647756</v>
      </c>
      <c r="E958" s="9">
        <v>952</v>
      </c>
      <c r="F958" s="10">
        <v>2813.3698535946382</v>
      </c>
      <c r="G958" s="9">
        <v>952</v>
      </c>
      <c r="H958" s="10">
        <v>833.12253470944916</v>
      </c>
      <c r="I958" s="9">
        <v>952</v>
      </c>
      <c r="J958" s="167">
        <v>-2036.6418916258613</v>
      </c>
    </row>
    <row r="959" spans="1:10" x14ac:dyDescent="0.35">
      <c r="A959" s="170">
        <v>953</v>
      </c>
      <c r="B959" s="10">
        <v>2817.3830435669101</v>
      </c>
      <c r="C959" s="9">
        <v>953</v>
      </c>
      <c r="D959" s="10">
        <v>465.34350187258576</v>
      </c>
      <c r="E959" s="9">
        <v>953</v>
      </c>
      <c r="F959" s="10">
        <v>2797.7562690580862</v>
      </c>
      <c r="G959" s="9">
        <v>953</v>
      </c>
      <c r="H959" s="10">
        <v>-2368.4914785042506</v>
      </c>
      <c r="I959" s="9">
        <v>953</v>
      </c>
      <c r="J959" s="167">
        <v>-2678.5114019621701</v>
      </c>
    </row>
    <row r="960" spans="1:10" x14ac:dyDescent="0.35">
      <c r="A960" s="170">
        <v>954</v>
      </c>
      <c r="B960" s="10">
        <v>5529.5087110376553</v>
      </c>
      <c r="C960" s="9">
        <v>954</v>
      </c>
      <c r="D960" s="10">
        <v>284.7596021188989</v>
      </c>
      <c r="E960" s="9">
        <v>954</v>
      </c>
      <c r="F960" s="10">
        <v>6497.8866309979567</v>
      </c>
      <c r="G960" s="9">
        <v>954</v>
      </c>
      <c r="H960" s="10">
        <v>1845.6413783429489</v>
      </c>
      <c r="I960" s="9">
        <v>954</v>
      </c>
      <c r="J960" s="167">
        <v>-366.81076988871575</v>
      </c>
    </row>
    <row r="961" spans="1:10" x14ac:dyDescent="0.35">
      <c r="A961" s="170">
        <v>955</v>
      </c>
      <c r="B961" s="10">
        <v>2830.5600258120885</v>
      </c>
      <c r="C961" s="9">
        <v>955</v>
      </c>
      <c r="D961" s="10">
        <v>169.86206752413244</v>
      </c>
      <c r="E961" s="9">
        <v>955</v>
      </c>
      <c r="F961" s="10">
        <v>5329.2199335803762</v>
      </c>
      <c r="G961" s="9">
        <v>955</v>
      </c>
      <c r="H961" s="10">
        <v>-2290.7752183227235</v>
      </c>
      <c r="I961" s="9">
        <v>955</v>
      </c>
      <c r="J961" s="167">
        <v>-4717.7962679916345</v>
      </c>
    </row>
    <row r="962" spans="1:10" x14ac:dyDescent="0.35">
      <c r="A962" s="170">
        <v>956</v>
      </c>
      <c r="B962" s="10">
        <v>2867.6830949021546</v>
      </c>
      <c r="C962" s="9">
        <v>956</v>
      </c>
      <c r="D962" s="10">
        <v>371.71893574689182</v>
      </c>
      <c r="E962" s="9">
        <v>956</v>
      </c>
      <c r="F962" s="10">
        <v>1603.1100709897232</v>
      </c>
      <c r="G962" s="9">
        <v>956</v>
      </c>
      <c r="H962" s="10">
        <v>-256.97337794712507</v>
      </c>
      <c r="I962" s="9">
        <v>956</v>
      </c>
      <c r="J962" s="167">
        <v>1222.7819956391236</v>
      </c>
    </row>
    <row r="963" spans="1:10" x14ac:dyDescent="0.35">
      <c r="A963" s="170">
        <v>957</v>
      </c>
      <c r="B963" s="10">
        <v>686.41508133608545</v>
      </c>
      <c r="C963" s="9">
        <v>957</v>
      </c>
      <c r="D963" s="10">
        <v>559.62833105401705</v>
      </c>
      <c r="E963" s="9">
        <v>957</v>
      </c>
      <c r="F963" s="10">
        <v>2552.0572705197224</v>
      </c>
      <c r="G963" s="9">
        <v>957</v>
      </c>
      <c r="H963" s="10">
        <v>-588.39165253131716</v>
      </c>
      <c r="I963" s="9">
        <v>957</v>
      </c>
      <c r="J963" s="167">
        <v>709.20097098395331</v>
      </c>
    </row>
    <row r="964" spans="1:10" x14ac:dyDescent="0.35">
      <c r="A964" s="170">
        <v>958</v>
      </c>
      <c r="B964" s="10">
        <v>4082.4890822881125</v>
      </c>
      <c r="C964" s="9">
        <v>958</v>
      </c>
      <c r="D964" s="10">
        <v>491.12506456743245</v>
      </c>
      <c r="E964" s="9">
        <v>958</v>
      </c>
      <c r="F964" s="10">
        <v>-2434.7863776680842</v>
      </c>
      <c r="G964" s="9">
        <v>958</v>
      </c>
      <c r="H964" s="10">
        <v>5834.7879119580048</v>
      </c>
      <c r="I964" s="9">
        <v>958</v>
      </c>
      <c r="J964" s="167">
        <v>-1504.4814109802478</v>
      </c>
    </row>
    <row r="965" spans="1:10" x14ac:dyDescent="0.35">
      <c r="A965" s="170">
        <v>959</v>
      </c>
      <c r="B965" s="10">
        <v>3697.5370748483874</v>
      </c>
      <c r="C965" s="9">
        <v>959</v>
      </c>
      <c r="D965" s="10">
        <v>405.53544424340481</v>
      </c>
      <c r="E965" s="9">
        <v>959</v>
      </c>
      <c r="F965" s="10">
        <v>11028.140533458216</v>
      </c>
      <c r="G965" s="9">
        <v>959</v>
      </c>
      <c r="H965" s="10">
        <v>2152.4959055809827</v>
      </c>
      <c r="I965" s="9">
        <v>959</v>
      </c>
      <c r="J965" s="167">
        <v>283.29130780091759</v>
      </c>
    </row>
    <row r="966" spans="1:10" x14ac:dyDescent="0.35">
      <c r="A966" s="170">
        <v>960</v>
      </c>
      <c r="B966" s="10">
        <v>2412.1573539971664</v>
      </c>
      <c r="C966" s="9">
        <v>960</v>
      </c>
      <c r="D966" s="10">
        <v>510.44825808102058</v>
      </c>
      <c r="E966" s="9">
        <v>960</v>
      </c>
      <c r="F966" s="10">
        <v>5808.2491359459691</v>
      </c>
      <c r="G966" s="9">
        <v>960</v>
      </c>
      <c r="H966" s="10">
        <v>694.54294449873385</v>
      </c>
      <c r="I966" s="9">
        <v>960</v>
      </c>
      <c r="J966" s="167">
        <v>-2394.0354433305765</v>
      </c>
    </row>
    <row r="967" spans="1:10" x14ac:dyDescent="0.35">
      <c r="A967" s="170">
        <v>961</v>
      </c>
      <c r="B967" s="10">
        <v>4296.3165840114543</v>
      </c>
      <c r="C967" s="9">
        <v>961</v>
      </c>
      <c r="D967" s="10">
        <v>396.79526387545627</v>
      </c>
      <c r="E967" s="9">
        <v>961</v>
      </c>
      <c r="F967" s="10">
        <v>9237.3810382063493</v>
      </c>
      <c r="G967" s="9">
        <v>961</v>
      </c>
      <c r="H967" s="10">
        <v>4804.0375660396567</v>
      </c>
      <c r="I967" s="9">
        <v>961</v>
      </c>
      <c r="J967" s="167">
        <v>-2440.6595076698177</v>
      </c>
    </row>
    <row r="968" spans="1:10" x14ac:dyDescent="0.35">
      <c r="A968" s="170">
        <v>962</v>
      </c>
      <c r="B968" s="10">
        <v>2550.451147623623</v>
      </c>
      <c r="C968" s="9">
        <v>962</v>
      </c>
      <c r="D968" s="10">
        <v>322.80890566679784</v>
      </c>
      <c r="E968" s="9">
        <v>962</v>
      </c>
      <c r="F968" s="10">
        <v>3490.914098287577</v>
      </c>
      <c r="G968" s="9">
        <v>962</v>
      </c>
      <c r="H968" s="10">
        <v>-632.52237648953189</v>
      </c>
      <c r="I968" s="9">
        <v>962</v>
      </c>
      <c r="J968" s="167">
        <v>-576.71990474944937</v>
      </c>
    </row>
    <row r="969" spans="1:10" x14ac:dyDescent="0.35">
      <c r="A969" s="170">
        <v>963</v>
      </c>
      <c r="B969" s="10">
        <v>2154.9208749170066</v>
      </c>
      <c r="C969" s="9">
        <v>963</v>
      </c>
      <c r="D969" s="10">
        <v>496.93087582704953</v>
      </c>
      <c r="E969" s="9">
        <v>963</v>
      </c>
      <c r="F969" s="10">
        <v>-1943.4294043290429</v>
      </c>
      <c r="G969" s="9">
        <v>963</v>
      </c>
      <c r="H969" s="10">
        <v>-2893.2835013084314</v>
      </c>
      <c r="I969" s="9">
        <v>963</v>
      </c>
      <c r="J969" s="167">
        <v>-2073.7882006831805</v>
      </c>
    </row>
    <row r="970" spans="1:10" x14ac:dyDescent="0.35">
      <c r="A970" s="170">
        <v>964</v>
      </c>
      <c r="B970" s="10">
        <v>4581.8357412905052</v>
      </c>
      <c r="C970" s="9">
        <v>964</v>
      </c>
      <c r="D970" s="10">
        <v>422.0146327653822</v>
      </c>
      <c r="E970" s="9">
        <v>964</v>
      </c>
      <c r="F970" s="10">
        <v>2582.0149054911694</v>
      </c>
      <c r="G970" s="9">
        <v>964</v>
      </c>
      <c r="H970" s="10">
        <v>1746.8765884061409</v>
      </c>
      <c r="I970" s="9">
        <v>964</v>
      </c>
      <c r="J970" s="167">
        <v>-6827.6141770605864</v>
      </c>
    </row>
    <row r="971" spans="1:10" x14ac:dyDescent="0.35">
      <c r="A971" s="170">
        <v>965</v>
      </c>
      <c r="B971" s="10">
        <v>852.95337748138104</v>
      </c>
      <c r="C971" s="9">
        <v>965</v>
      </c>
      <c r="D971" s="10">
        <v>472.16243384045748</v>
      </c>
      <c r="E971" s="9">
        <v>965</v>
      </c>
      <c r="F971" s="10">
        <v>4055.0633446076054</v>
      </c>
      <c r="G971" s="9">
        <v>965</v>
      </c>
      <c r="H971" s="10">
        <v>-2540.4515260459443</v>
      </c>
      <c r="I971" s="9">
        <v>965</v>
      </c>
      <c r="J971" s="167">
        <v>3882.0593028982553</v>
      </c>
    </row>
    <row r="972" spans="1:10" x14ac:dyDescent="0.35">
      <c r="A972" s="170">
        <v>966</v>
      </c>
      <c r="B972" s="10">
        <v>3541.7010503119991</v>
      </c>
      <c r="C972" s="9">
        <v>966</v>
      </c>
      <c r="D972" s="10">
        <v>488.65038824265116</v>
      </c>
      <c r="E972" s="9">
        <v>966</v>
      </c>
      <c r="F972" s="10">
        <v>6649.8618627630831</v>
      </c>
      <c r="G972" s="9">
        <v>966</v>
      </c>
      <c r="H972" s="10">
        <v>5607.3077735785073</v>
      </c>
      <c r="I972" s="9">
        <v>966</v>
      </c>
      <c r="J972" s="167">
        <v>3019.5619673927818</v>
      </c>
    </row>
    <row r="973" spans="1:10" x14ac:dyDescent="0.35">
      <c r="A973" s="170">
        <v>967</v>
      </c>
      <c r="B973" s="10">
        <v>2847.3911557638066</v>
      </c>
      <c r="C973" s="9">
        <v>967</v>
      </c>
      <c r="D973" s="10">
        <v>441.7960445702621</v>
      </c>
      <c r="E973" s="9">
        <v>967</v>
      </c>
      <c r="F973" s="10">
        <v>-3832.6018916610456</v>
      </c>
      <c r="G973" s="9">
        <v>967</v>
      </c>
      <c r="H973" s="10">
        <v>-1921.5894193764589</v>
      </c>
      <c r="I973" s="9">
        <v>967</v>
      </c>
      <c r="J973" s="167">
        <v>491.50843521955505</v>
      </c>
    </row>
    <row r="974" spans="1:10" x14ac:dyDescent="0.35">
      <c r="A974" s="170">
        <v>968</v>
      </c>
      <c r="B974" s="10">
        <v>4470.4666570695454</v>
      </c>
      <c r="C974" s="9">
        <v>968</v>
      </c>
      <c r="D974" s="10">
        <v>462.41338912585013</v>
      </c>
      <c r="E974" s="9">
        <v>968</v>
      </c>
      <c r="F974" s="10">
        <v>2760.4786299974899</v>
      </c>
      <c r="G974" s="9">
        <v>968</v>
      </c>
      <c r="H974" s="10">
        <v>1941.7765477138073</v>
      </c>
      <c r="I974" s="9">
        <v>968</v>
      </c>
      <c r="J974" s="167">
        <v>1549.7890280138702</v>
      </c>
    </row>
    <row r="975" spans="1:10" x14ac:dyDescent="0.35">
      <c r="A975" s="170">
        <v>969</v>
      </c>
      <c r="B975" s="10">
        <v>5483.3513120518601</v>
      </c>
      <c r="C975" s="9">
        <v>969</v>
      </c>
      <c r="D975" s="10">
        <v>421.61516817148322</v>
      </c>
      <c r="E975" s="9">
        <v>969</v>
      </c>
      <c r="F975" s="10">
        <v>240.09602190951773</v>
      </c>
      <c r="G975" s="9">
        <v>969</v>
      </c>
      <c r="H975" s="10">
        <v>882.16767173320056</v>
      </c>
      <c r="I975" s="9">
        <v>969</v>
      </c>
      <c r="J975" s="167">
        <v>519.77662711473704</v>
      </c>
    </row>
    <row r="976" spans="1:10" x14ac:dyDescent="0.35">
      <c r="A976" s="170">
        <v>970</v>
      </c>
      <c r="B976" s="10">
        <v>5191.9630370955565</v>
      </c>
      <c r="C976" s="9">
        <v>970</v>
      </c>
      <c r="D976" s="10">
        <v>371.14737583631626</v>
      </c>
      <c r="E976" s="9">
        <v>970</v>
      </c>
      <c r="F976" s="10">
        <v>2933.7087641967032</v>
      </c>
      <c r="G976" s="9">
        <v>970</v>
      </c>
      <c r="H976" s="10">
        <v>-3726.5032683808836</v>
      </c>
      <c r="I976" s="9">
        <v>970</v>
      </c>
      <c r="J976" s="167">
        <v>-257.07948626297633</v>
      </c>
    </row>
    <row r="977" spans="1:10" x14ac:dyDescent="0.35">
      <c r="A977" s="170">
        <v>971</v>
      </c>
      <c r="B977" s="10">
        <v>5262.273755388811</v>
      </c>
      <c r="C977" s="9">
        <v>971</v>
      </c>
      <c r="D977" s="10">
        <v>373.52409170240418</v>
      </c>
      <c r="E977" s="9">
        <v>971</v>
      </c>
      <c r="F977" s="10">
        <v>3377.6861790751182</v>
      </c>
      <c r="G977" s="9">
        <v>971</v>
      </c>
      <c r="H977" s="10">
        <v>-2103.6756529313257</v>
      </c>
      <c r="I977" s="9">
        <v>971</v>
      </c>
      <c r="J977" s="167">
        <v>2128.0287764346049</v>
      </c>
    </row>
    <row r="978" spans="1:10" x14ac:dyDescent="0.35">
      <c r="A978" s="170">
        <v>972</v>
      </c>
      <c r="B978" s="10">
        <v>2048.2782746659882</v>
      </c>
      <c r="C978" s="9">
        <v>972</v>
      </c>
      <c r="D978" s="10">
        <v>366.59539776478579</v>
      </c>
      <c r="E978" s="9">
        <v>972</v>
      </c>
      <c r="F978" s="10">
        <v>-767.77954492943945</v>
      </c>
      <c r="G978" s="9">
        <v>972</v>
      </c>
      <c r="H978" s="10">
        <v>1764.6228672114721</v>
      </c>
      <c r="I978" s="9">
        <v>972</v>
      </c>
      <c r="J978" s="167">
        <v>-57.264495477674245</v>
      </c>
    </row>
    <row r="979" spans="1:10" x14ac:dyDescent="0.35">
      <c r="A979" s="170">
        <v>973</v>
      </c>
      <c r="B979" s="10">
        <v>3768.8606422477073</v>
      </c>
      <c r="C979" s="9">
        <v>973</v>
      </c>
      <c r="D979" s="10">
        <v>418.09004054491521</v>
      </c>
      <c r="E979" s="9">
        <v>973</v>
      </c>
      <c r="F979" s="10">
        <v>4846.2568073515367</v>
      </c>
      <c r="G979" s="9">
        <v>973</v>
      </c>
      <c r="H979" s="10">
        <v>4549.0347894693969</v>
      </c>
      <c r="I979" s="9">
        <v>973</v>
      </c>
      <c r="J979" s="167">
        <v>2217.0884779422368</v>
      </c>
    </row>
    <row r="980" spans="1:10" x14ac:dyDescent="0.35">
      <c r="A980" s="170">
        <v>974</v>
      </c>
      <c r="B980" s="10">
        <v>919.6670188245721</v>
      </c>
      <c r="C980" s="9">
        <v>974</v>
      </c>
      <c r="D980" s="10">
        <v>534.44521800773055</v>
      </c>
      <c r="E980" s="9">
        <v>974</v>
      </c>
      <c r="F980" s="10">
        <v>4422.3562946429993</v>
      </c>
      <c r="G980" s="9">
        <v>974</v>
      </c>
      <c r="H980" s="10">
        <v>3715.1389793020185</v>
      </c>
      <c r="I980" s="9">
        <v>974</v>
      </c>
      <c r="J980" s="167">
        <v>-1529.8778335729412</v>
      </c>
    </row>
    <row r="981" spans="1:10" x14ac:dyDescent="0.35">
      <c r="A981" s="170">
        <v>975</v>
      </c>
      <c r="B981" s="10">
        <v>1118.3021225974592</v>
      </c>
      <c r="C981" s="9">
        <v>975</v>
      </c>
      <c r="D981" s="10">
        <v>368.74806286433443</v>
      </c>
      <c r="E981" s="9">
        <v>975</v>
      </c>
      <c r="F981" s="10">
        <v>7216.9252360016353</v>
      </c>
      <c r="G981" s="9">
        <v>975</v>
      </c>
      <c r="H981" s="10">
        <v>-411.25380339295282</v>
      </c>
      <c r="I981" s="9">
        <v>975</v>
      </c>
      <c r="J981" s="167">
        <v>-818.74170985384512</v>
      </c>
    </row>
    <row r="982" spans="1:10" x14ac:dyDescent="0.35">
      <c r="A982" s="170">
        <v>976</v>
      </c>
      <c r="B982" s="10">
        <v>1993.3359878911806</v>
      </c>
      <c r="C982" s="9">
        <v>976</v>
      </c>
      <c r="D982" s="10">
        <v>338.14447492255346</v>
      </c>
      <c r="E982" s="9">
        <v>976</v>
      </c>
      <c r="F982" s="10">
        <v>1519.1541627754366</v>
      </c>
      <c r="G982" s="9">
        <v>976</v>
      </c>
      <c r="H982" s="10">
        <v>955.43819388067425</v>
      </c>
      <c r="I982" s="9">
        <v>976</v>
      </c>
      <c r="J982" s="167">
        <v>-3444.7540129053837</v>
      </c>
    </row>
    <row r="983" spans="1:10" x14ac:dyDescent="0.35">
      <c r="A983" s="170">
        <v>977</v>
      </c>
      <c r="B983" s="10">
        <v>3083.6578039968431</v>
      </c>
      <c r="C983" s="9">
        <v>977</v>
      </c>
      <c r="D983" s="10">
        <v>503.88900885911892</v>
      </c>
      <c r="E983" s="9">
        <v>977</v>
      </c>
      <c r="F983" s="10">
        <v>-1360.1219051897442</v>
      </c>
      <c r="G983" s="9">
        <v>977</v>
      </c>
      <c r="H983" s="10">
        <v>-858.80787552243521</v>
      </c>
      <c r="I983" s="9">
        <v>977</v>
      </c>
      <c r="J983" s="167">
        <v>2321.5316542907503</v>
      </c>
    </row>
    <row r="984" spans="1:10" x14ac:dyDescent="0.35">
      <c r="A984" s="170">
        <v>978</v>
      </c>
      <c r="B984" s="10">
        <v>4447.6051635939193</v>
      </c>
      <c r="C984" s="9">
        <v>978</v>
      </c>
      <c r="D984" s="10">
        <v>274.76556357131221</v>
      </c>
      <c r="E984" s="9">
        <v>978</v>
      </c>
      <c r="F984" s="10">
        <v>2893.9626031642433</v>
      </c>
      <c r="G984" s="9">
        <v>978</v>
      </c>
      <c r="H984" s="10">
        <v>615.12827693686802</v>
      </c>
      <c r="I984" s="9">
        <v>978</v>
      </c>
      <c r="J984" s="167">
        <v>-1406.5928172651402</v>
      </c>
    </row>
    <row r="985" spans="1:10" x14ac:dyDescent="0.35">
      <c r="A985" s="170">
        <v>979</v>
      </c>
      <c r="B985" s="10">
        <v>2383.10609547691</v>
      </c>
      <c r="C985" s="9">
        <v>979</v>
      </c>
      <c r="D985" s="10">
        <v>440.09328211515395</v>
      </c>
      <c r="E985" s="9">
        <v>979</v>
      </c>
      <c r="F985" s="10">
        <v>1144.5733565676023</v>
      </c>
      <c r="G985" s="9">
        <v>979</v>
      </c>
      <c r="H985" s="10">
        <v>-4760.9803981314053</v>
      </c>
      <c r="I985" s="9">
        <v>979</v>
      </c>
      <c r="J985" s="167">
        <v>-483.42877694420247</v>
      </c>
    </row>
    <row r="986" spans="1:10" x14ac:dyDescent="0.35">
      <c r="A986" s="170">
        <v>980</v>
      </c>
      <c r="B986" s="10">
        <v>2267.4430371009021</v>
      </c>
      <c r="C986" s="9">
        <v>980</v>
      </c>
      <c r="D986" s="10">
        <v>503.90628265823381</v>
      </c>
      <c r="E986" s="9">
        <v>980</v>
      </c>
      <c r="F986" s="10">
        <v>4501.2323914022445</v>
      </c>
      <c r="G986" s="9">
        <v>980</v>
      </c>
      <c r="H986" s="10">
        <v>4747.1248185331197</v>
      </c>
      <c r="I986" s="9">
        <v>980</v>
      </c>
      <c r="J986" s="167">
        <v>3482.655580043544</v>
      </c>
    </row>
    <row r="987" spans="1:10" x14ac:dyDescent="0.35">
      <c r="A987" s="170">
        <v>981</v>
      </c>
      <c r="B987" s="10">
        <v>4548.1250602742921</v>
      </c>
      <c r="C987" s="9">
        <v>981</v>
      </c>
      <c r="D987" s="10">
        <v>395.79180758937952</v>
      </c>
      <c r="E987" s="9">
        <v>981</v>
      </c>
      <c r="F987" s="10">
        <v>-1301.7242771200572</v>
      </c>
      <c r="G987" s="9">
        <v>981</v>
      </c>
      <c r="H987" s="10">
        <v>1077.9350019155033</v>
      </c>
      <c r="I987" s="9">
        <v>981</v>
      </c>
      <c r="J987" s="167">
        <v>2866.098419917018</v>
      </c>
    </row>
    <row r="988" spans="1:10" x14ac:dyDescent="0.35">
      <c r="A988" s="170">
        <v>982</v>
      </c>
      <c r="B988" s="10">
        <v>3316.5775325508075</v>
      </c>
      <c r="C988" s="9">
        <v>982</v>
      </c>
      <c r="D988" s="10">
        <v>445.46823898059318</v>
      </c>
      <c r="E988" s="9">
        <v>982</v>
      </c>
      <c r="F988" s="10">
        <v>1652.7063351207669</v>
      </c>
      <c r="G988" s="9">
        <v>982</v>
      </c>
      <c r="H988" s="10">
        <v>-1089.0808898896121</v>
      </c>
      <c r="I988" s="9">
        <v>982</v>
      </c>
      <c r="J988" s="167">
        <v>-3032.9008650132946</v>
      </c>
    </row>
    <row r="989" spans="1:10" x14ac:dyDescent="0.35">
      <c r="A989" s="170">
        <v>983</v>
      </c>
      <c r="B989" s="10">
        <v>4099.3658409645186</v>
      </c>
      <c r="C989" s="9">
        <v>983</v>
      </c>
      <c r="D989" s="10">
        <v>404.56232204752854</v>
      </c>
      <c r="E989" s="9">
        <v>983</v>
      </c>
      <c r="F989" s="10">
        <v>2325.6494391261235</v>
      </c>
      <c r="G989" s="9">
        <v>983</v>
      </c>
      <c r="H989" s="10">
        <v>2810.6537303581786</v>
      </c>
      <c r="I989" s="9">
        <v>983</v>
      </c>
      <c r="J989" s="167">
        <v>-4006.192755940478</v>
      </c>
    </row>
    <row r="990" spans="1:10" x14ac:dyDescent="0.35">
      <c r="A990" s="170">
        <v>984</v>
      </c>
      <c r="B990" s="10">
        <v>3719.9376407819509</v>
      </c>
      <c r="C990" s="9">
        <v>984</v>
      </c>
      <c r="D990" s="10">
        <v>354.33750570057578</v>
      </c>
      <c r="E990" s="9">
        <v>984</v>
      </c>
      <c r="F990" s="10">
        <v>2234.8414611915996</v>
      </c>
      <c r="G990" s="9">
        <v>984</v>
      </c>
      <c r="H990" s="10">
        <v>2602.3596902292074</v>
      </c>
      <c r="I990" s="9">
        <v>984</v>
      </c>
      <c r="J990" s="167">
        <v>-3218.4258551065773</v>
      </c>
    </row>
    <row r="991" spans="1:10" x14ac:dyDescent="0.35">
      <c r="A991" s="170">
        <v>985</v>
      </c>
      <c r="B991" s="10">
        <v>3640.682885512887</v>
      </c>
      <c r="C991" s="9">
        <v>985</v>
      </c>
      <c r="D991" s="10">
        <v>433.13335198091187</v>
      </c>
      <c r="E991" s="9">
        <v>985</v>
      </c>
      <c r="F991" s="10">
        <v>862.2234879871321</v>
      </c>
      <c r="G991" s="9">
        <v>985</v>
      </c>
      <c r="H991" s="10">
        <v>4846.6606236341904</v>
      </c>
      <c r="I991" s="9">
        <v>985</v>
      </c>
      <c r="J991" s="167">
        <v>-3961.014847137275</v>
      </c>
    </row>
    <row r="992" spans="1:10" x14ac:dyDescent="0.35">
      <c r="A992" s="170">
        <v>986</v>
      </c>
      <c r="B992" s="10">
        <v>3370.6643676333488</v>
      </c>
      <c r="C992" s="9">
        <v>986</v>
      </c>
      <c r="D992" s="10">
        <v>249.76939893944746</v>
      </c>
      <c r="E992" s="9">
        <v>986</v>
      </c>
      <c r="F992" s="10">
        <v>6801.8968993263525</v>
      </c>
      <c r="G992" s="9">
        <v>986</v>
      </c>
      <c r="H992" s="10">
        <v>-1134.8775073993052</v>
      </c>
      <c r="I992" s="9">
        <v>986</v>
      </c>
      <c r="J992" s="167">
        <v>-1665.5453904891287</v>
      </c>
    </row>
    <row r="993" spans="1:10" x14ac:dyDescent="0.35">
      <c r="A993" s="170">
        <v>987</v>
      </c>
      <c r="B993" s="10">
        <v>2235.9365812325841</v>
      </c>
      <c r="C993" s="9">
        <v>987</v>
      </c>
      <c r="D993" s="10">
        <v>469.88075237961959</v>
      </c>
      <c r="E993" s="9">
        <v>987</v>
      </c>
      <c r="F993" s="10">
        <v>2151.0139465416887</v>
      </c>
      <c r="G993" s="9">
        <v>987</v>
      </c>
      <c r="H993" s="10">
        <v>663.73900536487076</v>
      </c>
      <c r="I993" s="9">
        <v>987</v>
      </c>
      <c r="J993" s="167">
        <v>1691.2443581839379</v>
      </c>
    </row>
    <row r="994" spans="1:10" x14ac:dyDescent="0.35">
      <c r="A994" s="170">
        <v>988</v>
      </c>
      <c r="B994" s="10">
        <v>3062.9315530176277</v>
      </c>
      <c r="C994" s="9">
        <v>988</v>
      </c>
      <c r="D994" s="10">
        <v>358.59952956924172</v>
      </c>
      <c r="E994" s="9">
        <v>988</v>
      </c>
      <c r="F994" s="10">
        <v>279.20399374413319</v>
      </c>
      <c r="G994" s="9">
        <v>988</v>
      </c>
      <c r="H994" s="10">
        <v>3394.4879846948229</v>
      </c>
      <c r="I994" s="9">
        <v>988</v>
      </c>
      <c r="J994" s="167">
        <v>2399.1222638113572</v>
      </c>
    </row>
    <row r="995" spans="1:10" x14ac:dyDescent="0.35">
      <c r="A995" s="170">
        <v>989</v>
      </c>
      <c r="B995" s="10">
        <v>2746.7510545964851</v>
      </c>
      <c r="C995" s="9">
        <v>989</v>
      </c>
      <c r="D995" s="10">
        <v>552.71968831178822</v>
      </c>
      <c r="E995" s="9">
        <v>989</v>
      </c>
      <c r="F995" s="10">
        <v>801.51021258186711</v>
      </c>
      <c r="G995" s="9">
        <v>989</v>
      </c>
      <c r="H995" s="10">
        <v>-499.86704319122998</v>
      </c>
      <c r="I995" s="9">
        <v>989</v>
      </c>
      <c r="J995" s="167">
        <v>-1659.7203279463033</v>
      </c>
    </row>
    <row r="996" spans="1:10" x14ac:dyDescent="0.35">
      <c r="A996" s="170">
        <v>990</v>
      </c>
      <c r="B996" s="10">
        <v>1457.8229924000013</v>
      </c>
      <c r="C996" s="9">
        <v>990</v>
      </c>
      <c r="D996" s="10">
        <v>450.70349642948815</v>
      </c>
      <c r="E996" s="9">
        <v>990</v>
      </c>
      <c r="F996" s="10">
        <v>-2746.9230815966648</v>
      </c>
      <c r="G996" s="9">
        <v>990</v>
      </c>
      <c r="H996" s="10">
        <v>1873.2888218997841</v>
      </c>
      <c r="I996" s="9">
        <v>990</v>
      </c>
      <c r="J996" s="167">
        <v>-3109.5725701129468</v>
      </c>
    </row>
    <row r="997" spans="1:10" x14ac:dyDescent="0.35">
      <c r="A997" s="170">
        <v>991</v>
      </c>
      <c r="B997" s="10">
        <v>1781.050869194989</v>
      </c>
      <c r="C997" s="9">
        <v>991</v>
      </c>
      <c r="D997" s="10">
        <v>338.72049512625108</v>
      </c>
      <c r="E997" s="9">
        <v>991</v>
      </c>
      <c r="F997" s="10">
        <v>-512.97209997760774</v>
      </c>
      <c r="G997" s="9">
        <v>991</v>
      </c>
      <c r="H997" s="10">
        <v>167.58622007624774</v>
      </c>
      <c r="I997" s="9">
        <v>991</v>
      </c>
      <c r="J997" s="167">
        <v>1734.3505394265871</v>
      </c>
    </row>
    <row r="998" spans="1:10" x14ac:dyDescent="0.35">
      <c r="A998" s="170">
        <v>992</v>
      </c>
      <c r="B998" s="10">
        <v>3788.9630017505206</v>
      </c>
      <c r="C998" s="9">
        <v>992</v>
      </c>
      <c r="D998" s="10">
        <v>368.83559019830057</v>
      </c>
      <c r="E998" s="9">
        <v>992</v>
      </c>
      <c r="F998" s="10">
        <v>9071.7206584418964</v>
      </c>
      <c r="G998" s="9">
        <v>992</v>
      </c>
      <c r="H998" s="10">
        <v>1546.7604282859747</v>
      </c>
      <c r="I998" s="9">
        <v>992</v>
      </c>
      <c r="J998" s="167">
        <v>-1566.9020653428736</v>
      </c>
    </row>
    <row r="999" spans="1:10" x14ac:dyDescent="0.35">
      <c r="A999" s="170">
        <v>993</v>
      </c>
      <c r="B999" s="10">
        <v>3097.6898107181273</v>
      </c>
      <c r="C999" s="9">
        <v>993</v>
      </c>
      <c r="D999" s="10">
        <v>376.14262441437387</v>
      </c>
      <c r="E999" s="9">
        <v>993</v>
      </c>
      <c r="F999" s="10">
        <v>1031.7863762412278</v>
      </c>
      <c r="G999" s="9">
        <v>993</v>
      </c>
      <c r="H999" s="10">
        <v>-1557.7184225514138</v>
      </c>
      <c r="I999" s="9">
        <v>993</v>
      </c>
      <c r="J999" s="167">
        <v>-1938.1718236386625</v>
      </c>
    </row>
    <row r="1000" spans="1:10" x14ac:dyDescent="0.35">
      <c r="A1000" s="170">
        <v>994</v>
      </c>
      <c r="B1000" s="10">
        <v>2765.3722559911403</v>
      </c>
      <c r="C1000" s="9">
        <v>994</v>
      </c>
      <c r="D1000" s="10">
        <v>248.19001756669581</v>
      </c>
      <c r="E1000" s="9">
        <v>994</v>
      </c>
      <c r="F1000" s="10">
        <v>3128.7683215549696</v>
      </c>
      <c r="G1000" s="9">
        <v>994</v>
      </c>
      <c r="H1000" s="10">
        <v>-2457.2501655177707</v>
      </c>
      <c r="I1000" s="9">
        <v>994</v>
      </c>
      <c r="J1000" s="167">
        <v>-4733.5442081944202</v>
      </c>
    </row>
    <row r="1001" spans="1:10" x14ac:dyDescent="0.35">
      <c r="A1001" s="170">
        <v>995</v>
      </c>
      <c r="B1001" s="10">
        <v>3606.595869112029</v>
      </c>
      <c r="C1001" s="9">
        <v>995</v>
      </c>
      <c r="D1001" s="10">
        <v>375.5565906184811</v>
      </c>
      <c r="E1001" s="9">
        <v>995</v>
      </c>
      <c r="F1001" s="10">
        <v>-3189.8498985077913</v>
      </c>
      <c r="G1001" s="9">
        <v>995</v>
      </c>
      <c r="H1001" s="10">
        <v>576.66269128504644</v>
      </c>
      <c r="I1001" s="9">
        <v>995</v>
      </c>
      <c r="J1001" s="167">
        <v>-3608.4574949722637</v>
      </c>
    </row>
    <row r="1002" spans="1:10" x14ac:dyDescent="0.35">
      <c r="A1002" s="170">
        <v>996</v>
      </c>
      <c r="B1002" s="10">
        <v>3768.8337178533038</v>
      </c>
      <c r="C1002" s="9">
        <v>996</v>
      </c>
      <c r="D1002" s="10">
        <v>438.68548323902991</v>
      </c>
      <c r="E1002" s="9">
        <v>996</v>
      </c>
      <c r="F1002" s="10">
        <v>3989.454404304819</v>
      </c>
      <c r="G1002" s="9">
        <v>996</v>
      </c>
      <c r="H1002" s="10">
        <v>-12.821038249507524</v>
      </c>
      <c r="I1002" s="9">
        <v>996</v>
      </c>
      <c r="J1002" s="167">
        <v>3567.4456061933074</v>
      </c>
    </row>
    <row r="1003" spans="1:10" x14ac:dyDescent="0.35">
      <c r="A1003" s="170">
        <v>997</v>
      </c>
      <c r="B1003" s="10">
        <v>3259.5977769682067</v>
      </c>
      <c r="C1003" s="9">
        <v>997</v>
      </c>
      <c r="D1003" s="10">
        <v>422.91185741992541</v>
      </c>
      <c r="E1003" s="9">
        <v>997</v>
      </c>
      <c r="F1003" s="10">
        <v>2524.7740388885504</v>
      </c>
      <c r="G1003" s="9">
        <v>997</v>
      </c>
      <c r="H1003" s="10">
        <v>-59.63356546281932</v>
      </c>
      <c r="I1003" s="9">
        <v>997</v>
      </c>
      <c r="J1003" s="167">
        <v>665.58949309971877</v>
      </c>
    </row>
    <row r="1004" spans="1:10" x14ac:dyDescent="0.35">
      <c r="A1004" s="170">
        <v>998</v>
      </c>
      <c r="B1004" s="10">
        <v>2207.6008501300762</v>
      </c>
      <c r="C1004" s="9">
        <v>998</v>
      </c>
      <c r="D1004" s="10">
        <v>343.79992718588204</v>
      </c>
      <c r="E1004" s="9">
        <v>998</v>
      </c>
      <c r="F1004" s="10">
        <v>4387.3988911098841</v>
      </c>
      <c r="G1004" s="9">
        <v>998</v>
      </c>
      <c r="H1004" s="10">
        <v>4883.9663755453194</v>
      </c>
      <c r="I1004" s="9">
        <v>998</v>
      </c>
      <c r="J1004" s="167">
        <v>1165.370003615516</v>
      </c>
    </row>
    <row r="1005" spans="1:10" ht="18.600000000000001" thickBot="1" x14ac:dyDescent="0.4">
      <c r="A1005" s="171">
        <v>999</v>
      </c>
      <c r="B1005" s="172">
        <v>3248.0826899353347</v>
      </c>
      <c r="C1005" s="173">
        <v>999</v>
      </c>
      <c r="D1005" s="172">
        <v>507.52544164290543</v>
      </c>
      <c r="E1005" s="173">
        <v>999</v>
      </c>
      <c r="F1005" s="172">
        <v>193.44694320107646</v>
      </c>
      <c r="G1005" s="173">
        <v>999</v>
      </c>
      <c r="H1005" s="172">
        <v>2357.7472194331003</v>
      </c>
      <c r="I1005" s="173">
        <v>999</v>
      </c>
      <c r="J1005" s="174">
        <v>-782.44031617933774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 THE COMPANY</vt:lpstr>
      <vt:lpstr>PROFIT &amp; LOSS</vt:lpstr>
      <vt:lpstr>BALANCE SHEET</vt:lpstr>
      <vt:lpstr>CASH FLOW STATEMENT</vt:lpstr>
      <vt:lpstr>KEY RATIO ANALYSIS</vt:lpstr>
      <vt:lpstr>KEY PERFORMANCE INDICATORS</vt:lpstr>
      <vt:lpstr>PROJECT FINANCING</vt:lpstr>
      <vt:lpstr>MONTE CARLO SIMULATION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KANISHKA SHARMA</dc:creator>
  <cp:lastModifiedBy>KANISHKA SHARMA</cp:lastModifiedBy>
  <dcterms:created xsi:type="dcterms:W3CDTF">2025-10-07T03:54:35Z</dcterms:created>
  <dcterms:modified xsi:type="dcterms:W3CDTF">2025-11-09T12:07:30Z</dcterms:modified>
</cp:coreProperties>
</file>