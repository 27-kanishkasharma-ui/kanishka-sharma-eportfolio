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arm\Downloads\"/>
    </mc:Choice>
  </mc:AlternateContent>
  <xr:revisionPtr revIDLastSave="0" documentId="13_ncr:1_{6C15CFDD-3D10-4BF9-A98D-08D14226CF99}" xr6:coauthVersionLast="47" xr6:coauthVersionMax="47" xr10:uidLastSave="{00000000-0000-0000-0000-000000000000}"/>
  <bookViews>
    <workbookView xWindow="-108" yWindow="-108" windowWidth="23256" windowHeight="12456" tabRatio="500" activeTab="1" xr2:uid="{00000000-000D-0000-FFFF-FFFF00000000}"/>
  </bookViews>
  <sheets>
    <sheet name="Table of Contents" sheetId="1" r:id="rId1"/>
    <sheet name="SOURCES" sheetId="2" r:id="rId2"/>
    <sheet name="ABOUT THE COMPANY" sheetId="3" r:id="rId3"/>
    <sheet name="ECONOMY ANALYSIS" sheetId="4" r:id="rId4"/>
    <sheet name="INDUSTRY ANALYSIS" sheetId="5" r:id="rId5"/>
    <sheet name="BETA" sheetId="6" r:id="rId6"/>
    <sheet name="WACC &amp; EVA" sheetId="7" r:id="rId7"/>
    <sheet name="DDM" sheetId="8" r:id="rId8"/>
    <sheet name="Assumptions" sheetId="9" r:id="rId9"/>
    <sheet name="FS" sheetId="10" r:id="rId10"/>
    <sheet name="CFS" sheetId="11" r:id="rId11"/>
    <sheet name="OPERATING CYCLE" sheetId="12" r:id="rId12"/>
    <sheet name="DCF Valuation" sheetId="13" r:id="rId13"/>
    <sheet name="Relative Valuation" sheetId="14" r:id="rId14"/>
    <sheet name="Ratio Analysis" sheetId="15" r:id="rId15"/>
    <sheet name="Key Ratio Forecast"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5" i="14" l="1"/>
  <c r="B24" i="14"/>
  <c r="B23" i="14"/>
  <c r="B22" i="14"/>
  <c r="C17" i="14"/>
  <c r="D17" i="14"/>
  <c r="E17" i="14"/>
  <c r="F17" i="14"/>
  <c r="G17" i="14"/>
  <c r="H17" i="14"/>
  <c r="I17" i="14"/>
  <c r="B17" i="14"/>
  <c r="H21" i="16" l="1"/>
  <c r="G21" i="16"/>
  <c r="F21" i="16"/>
  <c r="E21" i="16"/>
  <c r="D21" i="16"/>
  <c r="C21" i="16"/>
  <c r="B21" i="16"/>
  <c r="H20" i="16"/>
  <c r="G20" i="16"/>
  <c r="F20" i="16"/>
  <c r="E20" i="16"/>
  <c r="D20" i="16"/>
  <c r="C20" i="16"/>
  <c r="B20" i="16"/>
  <c r="H19" i="16"/>
  <c r="G19" i="16"/>
  <c r="F19" i="16"/>
  <c r="E19" i="16"/>
  <c r="D19" i="16"/>
  <c r="C19" i="16"/>
  <c r="B19" i="16"/>
  <c r="H17" i="16"/>
  <c r="G17" i="16"/>
  <c r="F17" i="16"/>
  <c r="E17" i="16"/>
  <c r="D17" i="16"/>
  <c r="C17" i="16"/>
  <c r="B17" i="16"/>
  <c r="E16" i="16"/>
  <c r="D16" i="16"/>
  <c r="H15" i="16"/>
  <c r="G15" i="16"/>
  <c r="F15" i="16"/>
  <c r="E15" i="16"/>
  <c r="D15" i="16"/>
  <c r="C15" i="16"/>
  <c r="B15" i="16"/>
  <c r="H13" i="16"/>
  <c r="G13" i="16"/>
  <c r="F13" i="16"/>
  <c r="E13" i="16"/>
  <c r="D13" i="16"/>
  <c r="C13" i="16"/>
  <c r="H12" i="16"/>
  <c r="G12" i="16"/>
  <c r="F12" i="16"/>
  <c r="E12" i="16"/>
  <c r="D12" i="16"/>
  <c r="C12" i="16"/>
  <c r="B12" i="16"/>
  <c r="H4" i="16"/>
  <c r="G4" i="16"/>
  <c r="F4" i="16"/>
  <c r="E4" i="16"/>
  <c r="D4" i="16"/>
  <c r="C4" i="16"/>
  <c r="B4" i="16"/>
  <c r="H37" i="15"/>
  <c r="G37" i="15"/>
  <c r="F37" i="15"/>
  <c r="E37" i="15"/>
  <c r="D37" i="15"/>
  <c r="C37" i="15"/>
  <c r="B37" i="15"/>
  <c r="H36" i="15"/>
  <c r="G36" i="15"/>
  <c r="F36" i="15"/>
  <c r="E36" i="15"/>
  <c r="D36" i="15"/>
  <c r="C36" i="15"/>
  <c r="B36" i="15"/>
  <c r="B35" i="15"/>
  <c r="H33" i="15"/>
  <c r="G33" i="15"/>
  <c r="F33" i="15"/>
  <c r="E33" i="15"/>
  <c r="D33" i="15"/>
  <c r="C33" i="15"/>
  <c r="B33" i="15"/>
  <c r="H32" i="15"/>
  <c r="G32" i="15"/>
  <c r="F32" i="15"/>
  <c r="E32" i="15"/>
  <c r="D32" i="15"/>
  <c r="C32" i="15"/>
  <c r="B32" i="15"/>
  <c r="H30" i="15"/>
  <c r="G30" i="15"/>
  <c r="F30" i="15"/>
  <c r="E30" i="15"/>
  <c r="D30" i="15"/>
  <c r="C30" i="15"/>
  <c r="B30" i="15"/>
  <c r="H26" i="15"/>
  <c r="G26" i="15"/>
  <c r="F26" i="15"/>
  <c r="E26" i="15"/>
  <c r="D26" i="15"/>
  <c r="C26" i="15"/>
  <c r="B26" i="15"/>
  <c r="H24" i="15"/>
  <c r="G24" i="15"/>
  <c r="F24" i="15"/>
  <c r="E24" i="15"/>
  <c r="D24" i="15"/>
  <c r="C24" i="15"/>
  <c r="B24" i="15"/>
  <c r="E23" i="15"/>
  <c r="D23" i="15"/>
  <c r="H22" i="15"/>
  <c r="G22" i="15"/>
  <c r="F22" i="15"/>
  <c r="E22" i="15"/>
  <c r="D22" i="15"/>
  <c r="C22" i="15"/>
  <c r="B22" i="15"/>
  <c r="H21" i="15"/>
  <c r="G21" i="15"/>
  <c r="F21" i="15"/>
  <c r="E21" i="15"/>
  <c r="D21" i="15"/>
  <c r="C21" i="15"/>
  <c r="B21" i="15"/>
  <c r="I20" i="15"/>
  <c r="H20" i="15"/>
  <c r="G20" i="15"/>
  <c r="F20" i="15"/>
  <c r="E20" i="15"/>
  <c r="D20" i="15"/>
  <c r="C20" i="15"/>
  <c r="B20" i="15"/>
  <c r="H18" i="15"/>
  <c r="G18" i="15"/>
  <c r="F18" i="15"/>
  <c r="E18" i="15"/>
  <c r="D18" i="15"/>
  <c r="C18" i="15"/>
  <c r="H17" i="15"/>
  <c r="G17" i="15"/>
  <c r="F17" i="15"/>
  <c r="E17" i="15"/>
  <c r="D17" i="15"/>
  <c r="C17" i="15"/>
  <c r="B17" i="15"/>
  <c r="H11" i="15"/>
  <c r="H10" i="15"/>
  <c r="E10" i="15"/>
  <c r="E6" i="15"/>
  <c r="H5" i="15"/>
  <c r="G5" i="15"/>
  <c r="F5" i="15"/>
  <c r="E5" i="15"/>
  <c r="D5" i="15"/>
  <c r="C5" i="15"/>
  <c r="B5" i="15"/>
  <c r="H4" i="15"/>
  <c r="G4" i="15"/>
  <c r="F4" i="15"/>
  <c r="E4" i="15"/>
  <c r="D4" i="15"/>
  <c r="C4" i="15"/>
  <c r="B4" i="15"/>
  <c r="F10" i="14"/>
  <c r="E10" i="14"/>
  <c r="D10" i="14"/>
  <c r="C10" i="14"/>
  <c r="B10" i="14"/>
  <c r="F9" i="14"/>
  <c r="E9" i="14"/>
  <c r="D9" i="14"/>
  <c r="C9" i="14"/>
  <c r="B9" i="14"/>
  <c r="C7" i="14"/>
  <c r="C6" i="14"/>
  <c r="F5" i="14"/>
  <c r="E5" i="14"/>
  <c r="D5" i="14"/>
  <c r="C5" i="14"/>
  <c r="B5" i="14"/>
  <c r="B28" i="13"/>
  <c r="B27" i="13"/>
  <c r="B26" i="13"/>
  <c r="F18" i="13"/>
  <c r="E18" i="13"/>
  <c r="D18" i="13"/>
  <c r="C18" i="13"/>
  <c r="I30" i="11"/>
  <c r="H27" i="11"/>
  <c r="G27" i="11"/>
  <c r="F27" i="11"/>
  <c r="E27" i="11"/>
  <c r="E29" i="11" s="1"/>
  <c r="E31" i="11" s="1"/>
  <c r="D27" i="11"/>
  <c r="C27" i="11"/>
  <c r="B27" i="11"/>
  <c r="B22" i="11"/>
  <c r="H21" i="11"/>
  <c r="H22" i="11" s="1"/>
  <c r="D21" i="11"/>
  <c r="D22" i="11" s="1"/>
  <c r="H18" i="11"/>
  <c r="G18" i="11"/>
  <c r="C18" i="11"/>
  <c r="H16" i="11"/>
  <c r="G16" i="11"/>
  <c r="F16" i="11"/>
  <c r="E16" i="11"/>
  <c r="E18" i="11" s="1"/>
  <c r="D16" i="11"/>
  <c r="C16" i="11"/>
  <c r="B16" i="11"/>
  <c r="H8" i="11"/>
  <c r="G8" i="11"/>
  <c r="F8" i="11"/>
  <c r="E8" i="11"/>
  <c r="D8" i="11"/>
  <c r="C8" i="11"/>
  <c r="B8" i="11"/>
  <c r="B18" i="11" s="1"/>
  <c r="H78" i="10"/>
  <c r="G78" i="10"/>
  <c r="F78" i="10"/>
  <c r="E78" i="10"/>
  <c r="D78" i="10"/>
  <c r="C78" i="10"/>
  <c r="B78" i="10"/>
  <c r="H77" i="10"/>
  <c r="G77" i="10"/>
  <c r="F77" i="10"/>
  <c r="E77" i="10"/>
  <c r="D77" i="10"/>
  <c r="C77" i="10"/>
  <c r="B77" i="10"/>
  <c r="M69" i="10"/>
  <c r="L69" i="10"/>
  <c r="K69" i="10"/>
  <c r="J69" i="10"/>
  <c r="I69" i="10"/>
  <c r="M66" i="10"/>
  <c r="L66" i="10"/>
  <c r="K66" i="10"/>
  <c r="J66" i="10"/>
  <c r="I66" i="10"/>
  <c r="M65" i="10"/>
  <c r="L65" i="10"/>
  <c r="K65" i="10"/>
  <c r="J65" i="10"/>
  <c r="I65" i="10"/>
  <c r="M64" i="10"/>
  <c r="L64" i="10"/>
  <c r="K64" i="10"/>
  <c r="J64" i="10"/>
  <c r="I64" i="10"/>
  <c r="M63" i="10"/>
  <c r="L63" i="10"/>
  <c r="K63" i="10"/>
  <c r="J63" i="10"/>
  <c r="I63" i="10"/>
  <c r="M62" i="10"/>
  <c r="L62" i="10"/>
  <c r="K62" i="10"/>
  <c r="J62" i="10"/>
  <c r="I62" i="10"/>
  <c r="M61" i="10"/>
  <c r="L61" i="10"/>
  <c r="K61" i="10"/>
  <c r="J61" i="10"/>
  <c r="I61" i="10"/>
  <c r="M60" i="10"/>
  <c r="L60" i="10"/>
  <c r="K60" i="10"/>
  <c r="J60" i="10"/>
  <c r="I60" i="10"/>
  <c r="M59" i="10"/>
  <c r="L59" i="10"/>
  <c r="K59" i="10"/>
  <c r="J59" i="10"/>
  <c r="I59" i="10"/>
  <c r="M52" i="10"/>
  <c r="L52" i="10"/>
  <c r="K52" i="10"/>
  <c r="J52" i="10"/>
  <c r="I52" i="10"/>
  <c r="M49" i="10"/>
  <c r="L49" i="10"/>
  <c r="K49" i="10"/>
  <c r="J49" i="10"/>
  <c r="I49" i="10"/>
  <c r="M48" i="10"/>
  <c r="L48" i="10"/>
  <c r="K48" i="10"/>
  <c r="J48" i="10"/>
  <c r="I48" i="10"/>
  <c r="K46" i="10"/>
  <c r="J46" i="10"/>
  <c r="M45" i="10"/>
  <c r="L45" i="10"/>
  <c r="K45" i="10"/>
  <c r="J45" i="10"/>
  <c r="I45" i="10"/>
  <c r="M44" i="10"/>
  <c r="L44" i="10"/>
  <c r="K44" i="10"/>
  <c r="J44" i="10"/>
  <c r="I44" i="10"/>
  <c r="I46" i="10" s="1"/>
  <c r="M43" i="10"/>
  <c r="L43" i="10"/>
  <c r="K43" i="10"/>
  <c r="J43" i="10"/>
  <c r="I43" i="10"/>
  <c r="M39" i="10"/>
  <c r="L39" i="10"/>
  <c r="K39" i="10"/>
  <c r="J39" i="10"/>
  <c r="I39" i="10"/>
  <c r="M38" i="10"/>
  <c r="L38" i="10"/>
  <c r="K38" i="10"/>
  <c r="J38" i="10"/>
  <c r="I38" i="10"/>
  <c r="H25" i="10"/>
  <c r="G25" i="10"/>
  <c r="F25" i="10"/>
  <c r="E25" i="10"/>
  <c r="D25" i="10"/>
  <c r="C25" i="10"/>
  <c r="B25" i="10"/>
  <c r="H9" i="10"/>
  <c r="F6" i="14" s="1"/>
  <c r="C9" i="10"/>
  <c r="B9" i="10"/>
  <c r="H60" i="9"/>
  <c r="G60" i="9"/>
  <c r="F60" i="9"/>
  <c r="E60" i="9"/>
  <c r="D60" i="9"/>
  <c r="E59" i="9" s="1"/>
  <c r="C60" i="9"/>
  <c r="D59" i="9" s="1"/>
  <c r="B60" i="9"/>
  <c r="I59" i="9"/>
  <c r="I57" i="9" s="1"/>
  <c r="I17" i="10" s="1"/>
  <c r="H59" i="9"/>
  <c r="G59" i="9"/>
  <c r="F59" i="9"/>
  <c r="C59" i="9"/>
  <c r="F58" i="9"/>
  <c r="E58" i="9"/>
  <c r="D58" i="9"/>
  <c r="H57" i="9"/>
  <c r="G57" i="9"/>
  <c r="F57" i="9"/>
  <c r="E57" i="9"/>
  <c r="D57" i="9"/>
  <c r="C57" i="9"/>
  <c r="B57" i="9"/>
  <c r="D55" i="9"/>
  <c r="H54" i="9"/>
  <c r="H58" i="9" s="1"/>
  <c r="G54" i="9"/>
  <c r="F54" i="9"/>
  <c r="F21" i="11" s="1"/>
  <c r="F22" i="11" s="1"/>
  <c r="E54" i="9"/>
  <c r="E21" i="11" s="1"/>
  <c r="E22" i="11" s="1"/>
  <c r="D54" i="9"/>
  <c r="C54" i="9"/>
  <c r="C21" i="11" s="1"/>
  <c r="C22" i="11" s="1"/>
  <c r="B50" i="9"/>
  <c r="H49" i="9"/>
  <c r="H50" i="9" s="1"/>
  <c r="G49" i="9"/>
  <c r="G50" i="9" s="1"/>
  <c r="F49" i="9"/>
  <c r="E49" i="9"/>
  <c r="D49" i="9"/>
  <c r="D50" i="9" s="1"/>
  <c r="C49" i="9"/>
  <c r="C50" i="9" s="1"/>
  <c r="B49" i="9"/>
  <c r="B47" i="9"/>
  <c r="H46" i="9"/>
  <c r="H47" i="9" s="1"/>
  <c r="G46" i="9"/>
  <c r="G47" i="9" s="1"/>
  <c r="F46" i="9"/>
  <c r="E46" i="9"/>
  <c r="D46" i="9"/>
  <c r="D47" i="9" s="1"/>
  <c r="C46" i="9"/>
  <c r="C47" i="9" s="1"/>
  <c r="B46" i="9"/>
  <c r="H43" i="9"/>
  <c r="H44" i="9" s="1"/>
  <c r="G43" i="9"/>
  <c r="G44" i="9" s="1"/>
  <c r="F43" i="9"/>
  <c r="E43" i="9"/>
  <c r="D43" i="9"/>
  <c r="D44" i="9" s="1"/>
  <c r="C43" i="9"/>
  <c r="C44" i="9" s="1"/>
  <c r="B43" i="9"/>
  <c r="B44" i="9" s="1"/>
  <c r="B41" i="9"/>
  <c r="H40" i="9"/>
  <c r="H41" i="9" s="1"/>
  <c r="G40" i="9"/>
  <c r="G41" i="9" s="1"/>
  <c r="F40" i="9"/>
  <c r="F41" i="9" s="1"/>
  <c r="E40" i="9"/>
  <c r="E41" i="9" s="1"/>
  <c r="D40" i="9"/>
  <c r="D41" i="9" s="1"/>
  <c r="C40" i="9"/>
  <c r="C41" i="9" s="1"/>
  <c r="B40" i="9"/>
  <c r="B38" i="9"/>
  <c r="H37" i="9"/>
  <c r="H38" i="9" s="1"/>
  <c r="G37" i="9"/>
  <c r="F37" i="9"/>
  <c r="F38" i="9" s="1"/>
  <c r="E37" i="9"/>
  <c r="E38" i="9" s="1"/>
  <c r="D37" i="9"/>
  <c r="D38" i="9" s="1"/>
  <c r="C37" i="9"/>
  <c r="C38" i="9" s="1"/>
  <c r="B37" i="9"/>
  <c r="H34" i="9"/>
  <c r="H35" i="9" s="1"/>
  <c r="G34" i="9"/>
  <c r="G35" i="9" s="1"/>
  <c r="F34" i="9"/>
  <c r="E34" i="9"/>
  <c r="D34" i="9"/>
  <c r="D35" i="9" s="1"/>
  <c r="C34" i="9"/>
  <c r="C35" i="9" s="1"/>
  <c r="B34" i="9"/>
  <c r="B35" i="9" s="1"/>
  <c r="H26" i="9"/>
  <c r="G26" i="9"/>
  <c r="F26" i="9"/>
  <c r="E26" i="9"/>
  <c r="D26" i="9"/>
  <c r="C26" i="9"/>
  <c r="B26" i="9"/>
  <c r="G24" i="9"/>
  <c r="D24" i="9"/>
  <c r="H23" i="9"/>
  <c r="H24" i="9" s="1"/>
  <c r="G23" i="9"/>
  <c r="F23" i="9"/>
  <c r="E23" i="9"/>
  <c r="D23" i="9"/>
  <c r="C23" i="9"/>
  <c r="C24" i="9" s="1"/>
  <c r="B23" i="9"/>
  <c r="B24" i="9" s="1"/>
  <c r="G21" i="9"/>
  <c r="F21" i="9"/>
  <c r="H20" i="9"/>
  <c r="H21" i="9" s="1"/>
  <c r="G20" i="9"/>
  <c r="F20" i="9"/>
  <c r="E20" i="9"/>
  <c r="D20" i="9"/>
  <c r="D21" i="9" s="1"/>
  <c r="C20" i="9"/>
  <c r="C21" i="9" s="1"/>
  <c r="B20" i="9"/>
  <c r="B21" i="9" s="1"/>
  <c r="H17" i="9"/>
  <c r="H18" i="9" s="1"/>
  <c r="G17" i="9"/>
  <c r="G18" i="9" s="1"/>
  <c r="F17" i="9"/>
  <c r="F18" i="9" s="1"/>
  <c r="E17" i="9"/>
  <c r="E18" i="9" s="1"/>
  <c r="D17" i="9"/>
  <c r="D18" i="9" s="1"/>
  <c r="C17" i="9"/>
  <c r="B17" i="9"/>
  <c r="B18" i="9" s="1"/>
  <c r="D15" i="9"/>
  <c r="H14" i="9"/>
  <c r="H15" i="9" s="1"/>
  <c r="G14" i="9"/>
  <c r="F14" i="9"/>
  <c r="F9" i="10" s="1"/>
  <c r="F23" i="15" s="1"/>
  <c r="E14" i="9"/>
  <c r="E9" i="10" s="1"/>
  <c r="E27" i="15" s="1"/>
  <c r="D14" i="9"/>
  <c r="D9" i="10" s="1"/>
  <c r="D6" i="15" s="1"/>
  <c r="C14" i="9"/>
  <c r="C15" i="9" s="1"/>
  <c r="B14" i="9"/>
  <c r="B15" i="9" s="1"/>
  <c r="G12" i="9"/>
  <c r="D12" i="9"/>
  <c r="H11" i="9"/>
  <c r="H12" i="9" s="1"/>
  <c r="G11" i="9"/>
  <c r="F11" i="9"/>
  <c r="F12" i="9" s="1"/>
  <c r="E11" i="9"/>
  <c r="D11" i="9"/>
  <c r="C11" i="9"/>
  <c r="C12" i="9" s="1"/>
  <c r="B11" i="9"/>
  <c r="B12" i="9" s="1"/>
  <c r="M9" i="9"/>
  <c r="L9" i="9"/>
  <c r="K9" i="9"/>
  <c r="J9" i="9"/>
  <c r="I9" i="9"/>
  <c r="I8" i="9" s="1"/>
  <c r="D9" i="9"/>
  <c r="H8" i="9"/>
  <c r="G8" i="9"/>
  <c r="H9" i="9" s="1"/>
  <c r="F8" i="9"/>
  <c r="E8" i="9"/>
  <c r="D8" i="9"/>
  <c r="C8" i="9"/>
  <c r="C9" i="9" s="1"/>
  <c r="B8" i="9"/>
  <c r="K5" i="9"/>
  <c r="K3" i="9"/>
  <c r="B6" i="8"/>
  <c r="L3" i="8"/>
  <c r="K3" i="8"/>
  <c r="J3" i="8"/>
  <c r="I3" i="8"/>
  <c r="H3" i="8"/>
  <c r="G3" i="8"/>
  <c r="F3" i="8"/>
  <c r="E3" i="8"/>
  <c r="D3" i="8"/>
  <c r="C3" i="8"/>
  <c r="C21" i="7"/>
  <c r="C22" i="7" s="1"/>
  <c r="C19" i="7"/>
  <c r="C13" i="7"/>
  <c r="C12" i="7"/>
  <c r="C9" i="7"/>
  <c r="E3720" i="6"/>
  <c r="D3720" i="6"/>
  <c r="E3719" i="6"/>
  <c r="D3719" i="6"/>
  <c r="E3718" i="6"/>
  <c r="D3718" i="6"/>
  <c r="E3717" i="6"/>
  <c r="D3717" i="6"/>
  <c r="E3716" i="6"/>
  <c r="D3716" i="6"/>
  <c r="E3715" i="6"/>
  <c r="D3715" i="6"/>
  <c r="E3714" i="6"/>
  <c r="D3714" i="6"/>
  <c r="E3713" i="6"/>
  <c r="D3713" i="6"/>
  <c r="E3712" i="6"/>
  <c r="D3712" i="6"/>
  <c r="E3711" i="6"/>
  <c r="D3711" i="6"/>
  <c r="E3710" i="6"/>
  <c r="D3710" i="6"/>
  <c r="E3709" i="6"/>
  <c r="D3709" i="6"/>
  <c r="E3708" i="6"/>
  <c r="D3708" i="6"/>
  <c r="E3707" i="6"/>
  <c r="D3707" i="6"/>
  <c r="E3706" i="6"/>
  <c r="D3706" i="6"/>
  <c r="E3705" i="6"/>
  <c r="D3705" i="6"/>
  <c r="E3704" i="6"/>
  <c r="D3704" i="6"/>
  <c r="E3703" i="6"/>
  <c r="D3703" i="6"/>
  <c r="E3702" i="6"/>
  <c r="D3702" i="6"/>
  <c r="E3701" i="6"/>
  <c r="D3701" i="6"/>
  <c r="E3700" i="6"/>
  <c r="D3700" i="6"/>
  <c r="E3699" i="6"/>
  <c r="D3699" i="6"/>
  <c r="E3698" i="6"/>
  <c r="D3698" i="6"/>
  <c r="E3697" i="6"/>
  <c r="D3697" i="6"/>
  <c r="E3696" i="6"/>
  <c r="D3696" i="6"/>
  <c r="E3695" i="6"/>
  <c r="D3695" i="6"/>
  <c r="E3694" i="6"/>
  <c r="D3694" i="6"/>
  <c r="E3693" i="6"/>
  <c r="D3693" i="6"/>
  <c r="E3692" i="6"/>
  <c r="D3692" i="6"/>
  <c r="E3691" i="6"/>
  <c r="D3691" i="6"/>
  <c r="E3690" i="6"/>
  <c r="D3690" i="6"/>
  <c r="E3689" i="6"/>
  <c r="D3689" i="6"/>
  <c r="E3688" i="6"/>
  <c r="D3688" i="6"/>
  <c r="E3687" i="6"/>
  <c r="D3687" i="6"/>
  <c r="E3686" i="6"/>
  <c r="D3686" i="6"/>
  <c r="E3685" i="6"/>
  <c r="D3685" i="6"/>
  <c r="E3684" i="6"/>
  <c r="D3684" i="6"/>
  <c r="E3683" i="6"/>
  <c r="D3683" i="6"/>
  <c r="E3682" i="6"/>
  <c r="D3682" i="6"/>
  <c r="E3681" i="6"/>
  <c r="D3681" i="6"/>
  <c r="E3680" i="6"/>
  <c r="D3680" i="6"/>
  <c r="E3679" i="6"/>
  <c r="D3679" i="6"/>
  <c r="E3678" i="6"/>
  <c r="D3678" i="6"/>
  <c r="E3677" i="6"/>
  <c r="D3677" i="6"/>
  <c r="E3676" i="6"/>
  <c r="D3676" i="6"/>
  <c r="E3675" i="6"/>
  <c r="D3675" i="6"/>
  <c r="E3674" i="6"/>
  <c r="D3674" i="6"/>
  <c r="E3673" i="6"/>
  <c r="D3673" i="6"/>
  <c r="E3672" i="6"/>
  <c r="D3672" i="6"/>
  <c r="E3671" i="6"/>
  <c r="D3671" i="6"/>
  <c r="E3670" i="6"/>
  <c r="D3670" i="6"/>
  <c r="E3669" i="6"/>
  <c r="D3669" i="6"/>
  <c r="E3668" i="6"/>
  <c r="D3668" i="6"/>
  <c r="E3667" i="6"/>
  <c r="D3667" i="6"/>
  <c r="E3666" i="6"/>
  <c r="D3666" i="6"/>
  <c r="E3665" i="6"/>
  <c r="D3665" i="6"/>
  <c r="E3664" i="6"/>
  <c r="D3664" i="6"/>
  <c r="E3663" i="6"/>
  <c r="D3663" i="6"/>
  <c r="E3662" i="6"/>
  <c r="D3662" i="6"/>
  <c r="E3661" i="6"/>
  <c r="D3661" i="6"/>
  <c r="E3660" i="6"/>
  <c r="D3660" i="6"/>
  <c r="E3659" i="6"/>
  <c r="D3659" i="6"/>
  <c r="E3658" i="6"/>
  <c r="D3658" i="6"/>
  <c r="E3657" i="6"/>
  <c r="D3657" i="6"/>
  <c r="E3656" i="6"/>
  <c r="D3656" i="6"/>
  <c r="E3655" i="6"/>
  <c r="D3655" i="6"/>
  <c r="E3654" i="6"/>
  <c r="D3654" i="6"/>
  <c r="E3653" i="6"/>
  <c r="D3653" i="6"/>
  <c r="E3652" i="6"/>
  <c r="D3652" i="6"/>
  <c r="E3651" i="6"/>
  <c r="D3651" i="6"/>
  <c r="E3650" i="6"/>
  <c r="D3650" i="6"/>
  <c r="E3649" i="6"/>
  <c r="D3649" i="6"/>
  <c r="E3648" i="6"/>
  <c r="D3648" i="6"/>
  <c r="E3647" i="6"/>
  <c r="D3647" i="6"/>
  <c r="E3646" i="6"/>
  <c r="D3646" i="6"/>
  <c r="E3645" i="6"/>
  <c r="D3645" i="6"/>
  <c r="E3644" i="6"/>
  <c r="D3644" i="6"/>
  <c r="E3643" i="6"/>
  <c r="D3643" i="6"/>
  <c r="E3642" i="6"/>
  <c r="D3642" i="6"/>
  <c r="E3641" i="6"/>
  <c r="D3641" i="6"/>
  <c r="E3640" i="6"/>
  <c r="D3640" i="6"/>
  <c r="E3639" i="6"/>
  <c r="D3639" i="6"/>
  <c r="E3638" i="6"/>
  <c r="D3638" i="6"/>
  <c r="E3637" i="6"/>
  <c r="D3637" i="6"/>
  <c r="E3636" i="6"/>
  <c r="D3636" i="6"/>
  <c r="E3635" i="6"/>
  <c r="D3635" i="6"/>
  <c r="E3634" i="6"/>
  <c r="D3634" i="6"/>
  <c r="E3633" i="6"/>
  <c r="D3633" i="6"/>
  <c r="E3632" i="6"/>
  <c r="D3632" i="6"/>
  <c r="E3631" i="6"/>
  <c r="D3631" i="6"/>
  <c r="E3630" i="6"/>
  <c r="D3630" i="6"/>
  <c r="E3629" i="6"/>
  <c r="D3629" i="6"/>
  <c r="E3628" i="6"/>
  <c r="D3628" i="6"/>
  <c r="E3627" i="6"/>
  <c r="D3627" i="6"/>
  <c r="E3626" i="6"/>
  <c r="D3626" i="6"/>
  <c r="E3625" i="6"/>
  <c r="D3625" i="6"/>
  <c r="E3624" i="6"/>
  <c r="D3624" i="6"/>
  <c r="E3623" i="6"/>
  <c r="D3623" i="6"/>
  <c r="E3622" i="6"/>
  <c r="D3622" i="6"/>
  <c r="E3621" i="6"/>
  <c r="D3621" i="6"/>
  <c r="E3620" i="6"/>
  <c r="D3620" i="6"/>
  <c r="E3619" i="6"/>
  <c r="D3619" i="6"/>
  <c r="E3618" i="6"/>
  <c r="D3618" i="6"/>
  <c r="E3617" i="6"/>
  <c r="D3617" i="6"/>
  <c r="E3616" i="6"/>
  <c r="D3616" i="6"/>
  <c r="E3615" i="6"/>
  <c r="D3615" i="6"/>
  <c r="E3614" i="6"/>
  <c r="D3614" i="6"/>
  <c r="E3613" i="6"/>
  <c r="D3613" i="6"/>
  <c r="E3612" i="6"/>
  <c r="D3612" i="6"/>
  <c r="E3611" i="6"/>
  <c r="D3611" i="6"/>
  <c r="E3610" i="6"/>
  <c r="D3610" i="6"/>
  <c r="E3609" i="6"/>
  <c r="D3609" i="6"/>
  <c r="E3608" i="6"/>
  <c r="D3608" i="6"/>
  <c r="E3607" i="6"/>
  <c r="D3607" i="6"/>
  <c r="E3606" i="6"/>
  <c r="D3606" i="6"/>
  <c r="E3605" i="6"/>
  <c r="D3605" i="6"/>
  <c r="E3604" i="6"/>
  <c r="D3604" i="6"/>
  <c r="E3603" i="6"/>
  <c r="D3603" i="6"/>
  <c r="E3602" i="6"/>
  <c r="D3602" i="6"/>
  <c r="E3601" i="6"/>
  <c r="D3601" i="6"/>
  <c r="E3600" i="6"/>
  <c r="D3600" i="6"/>
  <c r="E3599" i="6"/>
  <c r="D3599" i="6"/>
  <c r="E3598" i="6"/>
  <c r="D3598" i="6"/>
  <c r="E3597" i="6"/>
  <c r="D3597" i="6"/>
  <c r="E3596" i="6"/>
  <c r="D3596" i="6"/>
  <c r="E3595" i="6"/>
  <c r="D3595" i="6"/>
  <c r="E3594" i="6"/>
  <c r="D3594" i="6"/>
  <c r="E3593" i="6"/>
  <c r="D3593" i="6"/>
  <c r="E3592" i="6"/>
  <c r="D3592" i="6"/>
  <c r="E3591" i="6"/>
  <c r="D3591" i="6"/>
  <c r="E3590" i="6"/>
  <c r="D3590" i="6"/>
  <c r="E3589" i="6"/>
  <c r="D3589" i="6"/>
  <c r="E3588" i="6"/>
  <c r="D3588" i="6"/>
  <c r="E3587" i="6"/>
  <c r="D3587" i="6"/>
  <c r="E3586" i="6"/>
  <c r="D3586" i="6"/>
  <c r="E3585" i="6"/>
  <c r="D3585" i="6"/>
  <c r="E3584" i="6"/>
  <c r="D3584" i="6"/>
  <c r="E3583" i="6"/>
  <c r="D3583" i="6"/>
  <c r="E3582" i="6"/>
  <c r="D3582" i="6"/>
  <c r="E3581" i="6"/>
  <c r="D3581" i="6"/>
  <c r="E3580" i="6"/>
  <c r="D3580" i="6"/>
  <c r="E3579" i="6"/>
  <c r="D3579" i="6"/>
  <c r="E3578" i="6"/>
  <c r="D3578" i="6"/>
  <c r="E3577" i="6"/>
  <c r="D3577" i="6"/>
  <c r="E3576" i="6"/>
  <c r="D3576" i="6"/>
  <c r="E3575" i="6"/>
  <c r="D3575" i="6"/>
  <c r="E3574" i="6"/>
  <c r="D3574" i="6"/>
  <c r="E3573" i="6"/>
  <c r="D3573" i="6"/>
  <c r="E3572" i="6"/>
  <c r="D3572" i="6"/>
  <c r="E3571" i="6"/>
  <c r="D3571" i="6"/>
  <c r="E3570" i="6"/>
  <c r="D3570" i="6"/>
  <c r="E3569" i="6"/>
  <c r="D3569" i="6"/>
  <c r="E3568" i="6"/>
  <c r="D3568" i="6"/>
  <c r="E3567" i="6"/>
  <c r="D3567" i="6"/>
  <c r="E3566" i="6"/>
  <c r="D3566" i="6"/>
  <c r="E3565" i="6"/>
  <c r="D3565" i="6"/>
  <c r="E3564" i="6"/>
  <c r="D3564" i="6"/>
  <c r="E3563" i="6"/>
  <c r="D3563" i="6"/>
  <c r="E3562" i="6"/>
  <c r="D3562" i="6"/>
  <c r="E3561" i="6"/>
  <c r="D3561" i="6"/>
  <c r="E3560" i="6"/>
  <c r="D3560" i="6"/>
  <c r="E3559" i="6"/>
  <c r="D3559" i="6"/>
  <c r="E3558" i="6"/>
  <c r="D3558" i="6"/>
  <c r="E3557" i="6"/>
  <c r="D3557" i="6"/>
  <c r="E3556" i="6"/>
  <c r="D3556" i="6"/>
  <c r="E3555" i="6"/>
  <c r="D3555" i="6"/>
  <c r="E3554" i="6"/>
  <c r="D3554" i="6"/>
  <c r="E3553" i="6"/>
  <c r="D3553" i="6"/>
  <c r="E3552" i="6"/>
  <c r="D3552" i="6"/>
  <c r="E3551" i="6"/>
  <c r="D3551" i="6"/>
  <c r="E3550" i="6"/>
  <c r="D3550" i="6"/>
  <c r="E3549" i="6"/>
  <c r="D3549" i="6"/>
  <c r="E3548" i="6"/>
  <c r="D3548" i="6"/>
  <c r="E3547" i="6"/>
  <c r="D3547" i="6"/>
  <c r="E3546" i="6"/>
  <c r="D3546" i="6"/>
  <c r="E3545" i="6"/>
  <c r="D3545" i="6"/>
  <c r="E3544" i="6"/>
  <c r="D3544" i="6"/>
  <c r="E3543" i="6"/>
  <c r="D3543" i="6"/>
  <c r="E3542" i="6"/>
  <c r="D3542" i="6"/>
  <c r="E3541" i="6"/>
  <c r="D3541" i="6"/>
  <c r="E3540" i="6"/>
  <c r="D3540" i="6"/>
  <c r="E3539" i="6"/>
  <c r="D3539" i="6"/>
  <c r="E3538" i="6"/>
  <c r="D3538" i="6"/>
  <c r="E3537" i="6"/>
  <c r="D3537" i="6"/>
  <c r="E3536" i="6"/>
  <c r="D3536" i="6"/>
  <c r="E3535" i="6"/>
  <c r="D3535" i="6"/>
  <c r="E3534" i="6"/>
  <c r="D3534" i="6"/>
  <c r="E3533" i="6"/>
  <c r="D3533" i="6"/>
  <c r="E3532" i="6"/>
  <c r="D3532" i="6"/>
  <c r="E3531" i="6"/>
  <c r="D3531" i="6"/>
  <c r="E3530" i="6"/>
  <c r="D3530" i="6"/>
  <c r="E3529" i="6"/>
  <c r="D3529" i="6"/>
  <c r="E3528" i="6"/>
  <c r="D3528" i="6"/>
  <c r="E3527" i="6"/>
  <c r="D3527" i="6"/>
  <c r="E3526" i="6"/>
  <c r="D3526" i="6"/>
  <c r="E3525" i="6"/>
  <c r="D3525" i="6"/>
  <c r="E3524" i="6"/>
  <c r="D3524" i="6"/>
  <c r="E3523" i="6"/>
  <c r="D3523" i="6"/>
  <c r="E3522" i="6"/>
  <c r="D3522" i="6"/>
  <c r="E3521" i="6"/>
  <c r="D3521" i="6"/>
  <c r="E3520" i="6"/>
  <c r="D3520" i="6"/>
  <c r="E3519" i="6"/>
  <c r="D3519" i="6"/>
  <c r="E3518" i="6"/>
  <c r="D3518" i="6"/>
  <c r="E3517" i="6"/>
  <c r="D3517" i="6"/>
  <c r="E3516" i="6"/>
  <c r="D3516" i="6"/>
  <c r="E3515" i="6"/>
  <c r="D3515" i="6"/>
  <c r="E3514" i="6"/>
  <c r="D3514" i="6"/>
  <c r="E3513" i="6"/>
  <c r="D3513" i="6"/>
  <c r="E3512" i="6"/>
  <c r="D3512" i="6"/>
  <c r="E3511" i="6"/>
  <c r="D3511" i="6"/>
  <c r="E3510" i="6"/>
  <c r="D3510" i="6"/>
  <c r="E3509" i="6"/>
  <c r="D3509" i="6"/>
  <c r="E3508" i="6"/>
  <c r="D3508" i="6"/>
  <c r="E3507" i="6"/>
  <c r="D3507" i="6"/>
  <c r="E3506" i="6"/>
  <c r="D3506" i="6"/>
  <c r="E3505" i="6"/>
  <c r="D3505" i="6"/>
  <c r="E3504" i="6"/>
  <c r="D3504" i="6"/>
  <c r="E3503" i="6"/>
  <c r="D3503" i="6"/>
  <c r="E3502" i="6"/>
  <c r="D3502" i="6"/>
  <c r="E3501" i="6"/>
  <c r="D3501" i="6"/>
  <c r="E3500" i="6"/>
  <c r="D3500" i="6"/>
  <c r="E3499" i="6"/>
  <c r="D3499" i="6"/>
  <c r="E3498" i="6"/>
  <c r="D3498" i="6"/>
  <c r="E3497" i="6"/>
  <c r="D3497" i="6"/>
  <c r="E3496" i="6"/>
  <c r="D3496" i="6"/>
  <c r="E3495" i="6"/>
  <c r="D3495" i="6"/>
  <c r="E3494" i="6"/>
  <c r="D3494" i="6"/>
  <c r="E3493" i="6"/>
  <c r="D3493" i="6"/>
  <c r="E3492" i="6"/>
  <c r="D3492" i="6"/>
  <c r="E3491" i="6"/>
  <c r="D3491" i="6"/>
  <c r="E3490" i="6"/>
  <c r="D3490" i="6"/>
  <c r="E3489" i="6"/>
  <c r="D3489" i="6"/>
  <c r="E3488" i="6"/>
  <c r="D3488" i="6"/>
  <c r="E3487" i="6"/>
  <c r="D3487" i="6"/>
  <c r="E3486" i="6"/>
  <c r="D3486" i="6"/>
  <c r="E3485" i="6"/>
  <c r="D3485" i="6"/>
  <c r="E3484" i="6"/>
  <c r="D3484" i="6"/>
  <c r="E3483" i="6"/>
  <c r="D3483" i="6"/>
  <c r="E3482" i="6"/>
  <c r="D3482" i="6"/>
  <c r="E3481" i="6"/>
  <c r="D3481" i="6"/>
  <c r="E3480" i="6"/>
  <c r="D3480" i="6"/>
  <c r="E3479" i="6"/>
  <c r="D3479" i="6"/>
  <c r="E3478" i="6"/>
  <c r="D3478" i="6"/>
  <c r="E3477" i="6"/>
  <c r="D3477" i="6"/>
  <c r="E3476" i="6"/>
  <c r="D3476" i="6"/>
  <c r="E3475" i="6"/>
  <c r="D3475" i="6"/>
  <c r="E3474" i="6"/>
  <c r="D3474" i="6"/>
  <c r="E3473" i="6"/>
  <c r="D3473" i="6"/>
  <c r="E3472" i="6"/>
  <c r="D3472" i="6"/>
  <c r="E3471" i="6"/>
  <c r="D3471" i="6"/>
  <c r="E3470" i="6"/>
  <c r="D3470" i="6"/>
  <c r="E3469" i="6"/>
  <c r="D3469" i="6"/>
  <c r="E3468" i="6"/>
  <c r="D3468" i="6"/>
  <c r="E3467" i="6"/>
  <c r="D3467" i="6"/>
  <c r="E3466" i="6"/>
  <c r="D3466" i="6"/>
  <c r="E3465" i="6"/>
  <c r="D3465" i="6"/>
  <c r="E3464" i="6"/>
  <c r="D3464" i="6"/>
  <c r="E3463" i="6"/>
  <c r="D3463" i="6"/>
  <c r="E3462" i="6"/>
  <c r="D3462" i="6"/>
  <c r="E3461" i="6"/>
  <c r="D3461" i="6"/>
  <c r="E3460" i="6"/>
  <c r="D3460" i="6"/>
  <c r="E3459" i="6"/>
  <c r="D3459" i="6"/>
  <c r="E3458" i="6"/>
  <c r="D3458" i="6"/>
  <c r="E3457" i="6"/>
  <c r="D3457" i="6"/>
  <c r="E3456" i="6"/>
  <c r="D3456" i="6"/>
  <c r="E3455" i="6"/>
  <c r="D3455" i="6"/>
  <c r="E3454" i="6"/>
  <c r="D3454" i="6"/>
  <c r="E3453" i="6"/>
  <c r="D3453" i="6"/>
  <c r="E3452" i="6"/>
  <c r="D3452" i="6"/>
  <c r="E3451" i="6"/>
  <c r="D3451" i="6"/>
  <c r="E3450" i="6"/>
  <c r="D3450" i="6"/>
  <c r="E3449" i="6"/>
  <c r="D3449" i="6"/>
  <c r="E3448" i="6"/>
  <c r="D3448" i="6"/>
  <c r="E3447" i="6"/>
  <c r="D3447" i="6"/>
  <c r="E3446" i="6"/>
  <c r="D3446" i="6"/>
  <c r="E3445" i="6"/>
  <c r="D3445" i="6"/>
  <c r="E3444" i="6"/>
  <c r="D3444" i="6"/>
  <c r="E3443" i="6"/>
  <c r="D3443" i="6"/>
  <c r="E3442" i="6"/>
  <c r="D3442" i="6"/>
  <c r="E3441" i="6"/>
  <c r="D3441" i="6"/>
  <c r="E3440" i="6"/>
  <c r="D3440" i="6"/>
  <c r="E3439" i="6"/>
  <c r="D3439" i="6"/>
  <c r="E3438" i="6"/>
  <c r="D3438" i="6"/>
  <c r="E3437" i="6"/>
  <c r="D3437" i="6"/>
  <c r="E3436" i="6"/>
  <c r="D3436" i="6"/>
  <c r="E3435" i="6"/>
  <c r="D3435" i="6"/>
  <c r="E3434" i="6"/>
  <c r="D3434" i="6"/>
  <c r="E3433" i="6"/>
  <c r="D3433" i="6"/>
  <c r="E3432" i="6"/>
  <c r="D3432" i="6"/>
  <c r="E3431" i="6"/>
  <c r="D3431" i="6"/>
  <c r="E3430" i="6"/>
  <c r="D3430" i="6"/>
  <c r="E3429" i="6"/>
  <c r="D3429" i="6"/>
  <c r="E3428" i="6"/>
  <c r="D3428" i="6"/>
  <c r="E3427" i="6"/>
  <c r="D3427" i="6"/>
  <c r="E3426" i="6"/>
  <c r="D3426" i="6"/>
  <c r="E3425" i="6"/>
  <c r="D3425" i="6"/>
  <c r="E3424" i="6"/>
  <c r="D3424" i="6"/>
  <c r="E3423" i="6"/>
  <c r="D3423" i="6"/>
  <c r="E3422" i="6"/>
  <c r="D3422" i="6"/>
  <c r="E3421" i="6"/>
  <c r="D3421" i="6"/>
  <c r="E3420" i="6"/>
  <c r="D3420" i="6"/>
  <c r="E3419" i="6"/>
  <c r="D3419" i="6"/>
  <c r="E3418" i="6"/>
  <c r="D3418" i="6"/>
  <c r="E3417" i="6"/>
  <c r="D3417" i="6"/>
  <c r="E3416" i="6"/>
  <c r="D3416" i="6"/>
  <c r="E3415" i="6"/>
  <c r="D3415" i="6"/>
  <c r="E3414" i="6"/>
  <c r="D3414" i="6"/>
  <c r="E3413" i="6"/>
  <c r="D3413" i="6"/>
  <c r="E3412" i="6"/>
  <c r="D3412" i="6"/>
  <c r="E3411" i="6"/>
  <c r="D3411" i="6"/>
  <c r="E3410" i="6"/>
  <c r="D3410" i="6"/>
  <c r="E3409" i="6"/>
  <c r="D3409" i="6"/>
  <c r="E3408" i="6"/>
  <c r="D3408" i="6"/>
  <c r="E3407" i="6"/>
  <c r="D3407" i="6"/>
  <c r="E3406" i="6"/>
  <c r="D3406" i="6"/>
  <c r="E3405" i="6"/>
  <c r="D3405" i="6"/>
  <c r="E3404" i="6"/>
  <c r="D3404" i="6"/>
  <c r="E3403" i="6"/>
  <c r="D3403" i="6"/>
  <c r="E3402" i="6"/>
  <c r="D3402" i="6"/>
  <c r="E3401" i="6"/>
  <c r="D3401" i="6"/>
  <c r="E3400" i="6"/>
  <c r="D3400" i="6"/>
  <c r="E3399" i="6"/>
  <c r="D3399" i="6"/>
  <c r="E3398" i="6"/>
  <c r="D3398" i="6"/>
  <c r="E3397" i="6"/>
  <c r="D3397" i="6"/>
  <c r="E3396" i="6"/>
  <c r="D3396" i="6"/>
  <c r="E3395" i="6"/>
  <c r="D3395" i="6"/>
  <c r="E3394" i="6"/>
  <c r="D3394" i="6"/>
  <c r="E3393" i="6"/>
  <c r="D3393" i="6"/>
  <c r="E3392" i="6"/>
  <c r="D3392" i="6"/>
  <c r="E3391" i="6"/>
  <c r="D3391" i="6"/>
  <c r="E3390" i="6"/>
  <c r="D3390" i="6"/>
  <c r="E3389" i="6"/>
  <c r="D3389" i="6"/>
  <c r="E3388" i="6"/>
  <c r="D3388" i="6"/>
  <c r="E3387" i="6"/>
  <c r="D3387" i="6"/>
  <c r="E3386" i="6"/>
  <c r="D3386" i="6"/>
  <c r="E3385" i="6"/>
  <c r="D3385" i="6"/>
  <c r="E3384" i="6"/>
  <c r="D3384" i="6"/>
  <c r="E3383" i="6"/>
  <c r="D3383" i="6"/>
  <c r="E3382" i="6"/>
  <c r="D3382" i="6"/>
  <c r="E3381" i="6"/>
  <c r="D3381" i="6"/>
  <c r="E3380" i="6"/>
  <c r="D3380" i="6"/>
  <c r="E3379" i="6"/>
  <c r="D3379" i="6"/>
  <c r="E3378" i="6"/>
  <c r="D3378" i="6"/>
  <c r="E3377" i="6"/>
  <c r="D3377" i="6"/>
  <c r="E3376" i="6"/>
  <c r="D3376" i="6"/>
  <c r="E3375" i="6"/>
  <c r="D3375" i="6"/>
  <c r="E3374" i="6"/>
  <c r="D3374" i="6"/>
  <c r="E3373" i="6"/>
  <c r="D3373" i="6"/>
  <c r="E3372" i="6"/>
  <c r="D3372" i="6"/>
  <c r="E3371" i="6"/>
  <c r="D3371" i="6"/>
  <c r="E3370" i="6"/>
  <c r="D3370" i="6"/>
  <c r="E3369" i="6"/>
  <c r="D3369" i="6"/>
  <c r="E3368" i="6"/>
  <c r="D3368" i="6"/>
  <c r="E3367" i="6"/>
  <c r="D3367" i="6"/>
  <c r="E3366" i="6"/>
  <c r="D3366" i="6"/>
  <c r="E3365" i="6"/>
  <c r="D3365" i="6"/>
  <c r="E3364" i="6"/>
  <c r="D3364" i="6"/>
  <c r="E3363" i="6"/>
  <c r="D3363" i="6"/>
  <c r="E3362" i="6"/>
  <c r="D3362" i="6"/>
  <c r="E3361" i="6"/>
  <c r="D3361" i="6"/>
  <c r="E3360" i="6"/>
  <c r="D3360" i="6"/>
  <c r="E3359" i="6"/>
  <c r="D3359" i="6"/>
  <c r="E3358" i="6"/>
  <c r="D3358" i="6"/>
  <c r="E3357" i="6"/>
  <c r="D3357" i="6"/>
  <c r="E3356" i="6"/>
  <c r="D3356" i="6"/>
  <c r="E3355" i="6"/>
  <c r="D3355" i="6"/>
  <c r="E3354" i="6"/>
  <c r="D3354" i="6"/>
  <c r="E3353" i="6"/>
  <c r="D3353" i="6"/>
  <c r="E3352" i="6"/>
  <c r="D3352" i="6"/>
  <c r="E3351" i="6"/>
  <c r="D3351" i="6"/>
  <c r="E3350" i="6"/>
  <c r="D3350" i="6"/>
  <c r="E3349" i="6"/>
  <c r="D3349" i="6"/>
  <c r="E3348" i="6"/>
  <c r="D3348" i="6"/>
  <c r="E3347" i="6"/>
  <c r="D3347" i="6"/>
  <c r="E3346" i="6"/>
  <c r="D3346" i="6"/>
  <c r="E3345" i="6"/>
  <c r="D3345" i="6"/>
  <c r="E3344" i="6"/>
  <c r="D3344" i="6"/>
  <c r="E3343" i="6"/>
  <c r="D3343" i="6"/>
  <c r="E3342" i="6"/>
  <c r="D3342" i="6"/>
  <c r="E3341" i="6"/>
  <c r="D3341" i="6"/>
  <c r="E3340" i="6"/>
  <c r="D3340" i="6"/>
  <c r="E3339" i="6"/>
  <c r="D3339" i="6"/>
  <c r="E3338" i="6"/>
  <c r="D3338" i="6"/>
  <c r="E3337" i="6"/>
  <c r="D3337" i="6"/>
  <c r="E3336" i="6"/>
  <c r="D3336" i="6"/>
  <c r="E3335" i="6"/>
  <c r="D3335" i="6"/>
  <c r="E3334" i="6"/>
  <c r="D3334" i="6"/>
  <c r="E3333" i="6"/>
  <c r="D3333" i="6"/>
  <c r="E3332" i="6"/>
  <c r="D3332" i="6"/>
  <c r="E3331" i="6"/>
  <c r="D3331" i="6"/>
  <c r="E3330" i="6"/>
  <c r="D3330" i="6"/>
  <c r="E3329" i="6"/>
  <c r="D3329" i="6"/>
  <c r="E3328" i="6"/>
  <c r="D3328" i="6"/>
  <c r="E3327" i="6"/>
  <c r="D3327" i="6"/>
  <c r="E3326" i="6"/>
  <c r="D3326" i="6"/>
  <c r="E3325" i="6"/>
  <c r="D3325" i="6"/>
  <c r="E3324" i="6"/>
  <c r="D3324" i="6"/>
  <c r="E3323" i="6"/>
  <c r="D3323" i="6"/>
  <c r="E3322" i="6"/>
  <c r="D3322" i="6"/>
  <c r="E3321" i="6"/>
  <c r="D3321" i="6"/>
  <c r="E3320" i="6"/>
  <c r="D3320" i="6"/>
  <c r="E3319" i="6"/>
  <c r="D3319" i="6"/>
  <c r="E3318" i="6"/>
  <c r="D3318" i="6"/>
  <c r="E3317" i="6"/>
  <c r="D3317" i="6"/>
  <c r="E3316" i="6"/>
  <c r="D3316" i="6"/>
  <c r="E3315" i="6"/>
  <c r="D3315" i="6"/>
  <c r="E3314" i="6"/>
  <c r="D3314" i="6"/>
  <c r="E3313" i="6"/>
  <c r="D3313" i="6"/>
  <c r="E3312" i="6"/>
  <c r="D3312" i="6"/>
  <c r="E3311" i="6"/>
  <c r="D3311" i="6"/>
  <c r="E3310" i="6"/>
  <c r="D3310" i="6"/>
  <c r="E3309" i="6"/>
  <c r="D3309" i="6"/>
  <c r="E3308" i="6"/>
  <c r="D3308" i="6"/>
  <c r="E3307" i="6"/>
  <c r="D3307" i="6"/>
  <c r="E3306" i="6"/>
  <c r="D3306" i="6"/>
  <c r="E3305" i="6"/>
  <c r="D3305" i="6"/>
  <c r="E3304" i="6"/>
  <c r="D3304" i="6"/>
  <c r="E3303" i="6"/>
  <c r="D3303" i="6"/>
  <c r="E3302" i="6"/>
  <c r="D3302" i="6"/>
  <c r="E3301" i="6"/>
  <c r="D3301" i="6"/>
  <c r="E3300" i="6"/>
  <c r="D3300" i="6"/>
  <c r="E3299" i="6"/>
  <c r="D3299" i="6"/>
  <c r="E3298" i="6"/>
  <c r="D3298" i="6"/>
  <c r="E3297" i="6"/>
  <c r="D3297" i="6"/>
  <c r="E3296" i="6"/>
  <c r="D3296" i="6"/>
  <c r="E3295" i="6"/>
  <c r="D3295" i="6"/>
  <c r="E3294" i="6"/>
  <c r="D3294" i="6"/>
  <c r="E3293" i="6"/>
  <c r="D3293" i="6"/>
  <c r="E3292" i="6"/>
  <c r="D3292" i="6"/>
  <c r="E3291" i="6"/>
  <c r="D3291" i="6"/>
  <c r="E3290" i="6"/>
  <c r="D3290" i="6"/>
  <c r="E3289" i="6"/>
  <c r="D3289" i="6"/>
  <c r="E3288" i="6"/>
  <c r="D3288" i="6"/>
  <c r="E3287" i="6"/>
  <c r="D3287" i="6"/>
  <c r="E3286" i="6"/>
  <c r="D3286" i="6"/>
  <c r="E3285" i="6"/>
  <c r="D3285" i="6"/>
  <c r="E3284" i="6"/>
  <c r="D3284" i="6"/>
  <c r="E3283" i="6"/>
  <c r="D3283" i="6"/>
  <c r="E3282" i="6"/>
  <c r="D3282" i="6"/>
  <c r="E3281" i="6"/>
  <c r="D3281" i="6"/>
  <c r="E3280" i="6"/>
  <c r="D3280" i="6"/>
  <c r="E3279" i="6"/>
  <c r="D3279" i="6"/>
  <c r="E3278" i="6"/>
  <c r="D3278" i="6"/>
  <c r="E3277" i="6"/>
  <c r="D3277" i="6"/>
  <c r="E3276" i="6"/>
  <c r="D3276" i="6"/>
  <c r="E3275" i="6"/>
  <c r="D3275" i="6"/>
  <c r="E3274" i="6"/>
  <c r="D3274" i="6"/>
  <c r="E3273" i="6"/>
  <c r="D3273" i="6"/>
  <c r="E3272" i="6"/>
  <c r="D3272" i="6"/>
  <c r="E3271" i="6"/>
  <c r="D3271" i="6"/>
  <c r="E3270" i="6"/>
  <c r="D3270" i="6"/>
  <c r="E3269" i="6"/>
  <c r="D3269" i="6"/>
  <c r="E3268" i="6"/>
  <c r="D3268" i="6"/>
  <c r="E3267" i="6"/>
  <c r="D3267" i="6"/>
  <c r="E3266" i="6"/>
  <c r="D3266" i="6"/>
  <c r="E3265" i="6"/>
  <c r="D3265" i="6"/>
  <c r="E3264" i="6"/>
  <c r="D3264" i="6"/>
  <c r="E3263" i="6"/>
  <c r="D3263" i="6"/>
  <c r="E3262" i="6"/>
  <c r="D3262" i="6"/>
  <c r="E3261" i="6"/>
  <c r="D3261" i="6"/>
  <c r="E3260" i="6"/>
  <c r="D3260" i="6"/>
  <c r="E3259" i="6"/>
  <c r="D3259" i="6"/>
  <c r="E3258" i="6"/>
  <c r="D3258" i="6"/>
  <c r="E3257" i="6"/>
  <c r="D3257" i="6"/>
  <c r="E3256" i="6"/>
  <c r="D3256" i="6"/>
  <c r="E3255" i="6"/>
  <c r="D3255" i="6"/>
  <c r="E3254" i="6"/>
  <c r="D3254" i="6"/>
  <c r="E3253" i="6"/>
  <c r="D3253" i="6"/>
  <c r="E3252" i="6"/>
  <c r="D3252" i="6"/>
  <c r="E3251" i="6"/>
  <c r="D3251" i="6"/>
  <c r="E3250" i="6"/>
  <c r="D3250" i="6"/>
  <c r="E3249" i="6"/>
  <c r="D3249" i="6"/>
  <c r="E3248" i="6"/>
  <c r="D3248" i="6"/>
  <c r="E3247" i="6"/>
  <c r="D3247" i="6"/>
  <c r="E3246" i="6"/>
  <c r="D3246" i="6"/>
  <c r="E3245" i="6"/>
  <c r="D3245" i="6"/>
  <c r="E3244" i="6"/>
  <c r="D3244" i="6"/>
  <c r="E3243" i="6"/>
  <c r="D3243" i="6"/>
  <c r="E3242" i="6"/>
  <c r="D3242" i="6"/>
  <c r="E3241" i="6"/>
  <c r="D3241" i="6"/>
  <c r="E3240" i="6"/>
  <c r="D3240" i="6"/>
  <c r="E3239" i="6"/>
  <c r="D3239" i="6"/>
  <c r="E3238" i="6"/>
  <c r="D3238" i="6"/>
  <c r="E3237" i="6"/>
  <c r="D3237" i="6"/>
  <c r="E3236" i="6"/>
  <c r="D3236" i="6"/>
  <c r="E3235" i="6"/>
  <c r="D3235" i="6"/>
  <c r="E3234" i="6"/>
  <c r="D3234" i="6"/>
  <c r="E3233" i="6"/>
  <c r="D3233" i="6"/>
  <c r="E3232" i="6"/>
  <c r="D3232" i="6"/>
  <c r="E3231" i="6"/>
  <c r="D3231" i="6"/>
  <c r="E3230" i="6"/>
  <c r="D3230" i="6"/>
  <c r="E3229" i="6"/>
  <c r="D3229" i="6"/>
  <c r="E3228" i="6"/>
  <c r="D3228" i="6"/>
  <c r="E3227" i="6"/>
  <c r="D3227" i="6"/>
  <c r="E3226" i="6"/>
  <c r="D3226" i="6"/>
  <c r="E3225" i="6"/>
  <c r="D3225" i="6"/>
  <c r="E3224" i="6"/>
  <c r="D3224" i="6"/>
  <c r="E3223" i="6"/>
  <c r="D3223" i="6"/>
  <c r="E3222" i="6"/>
  <c r="D3222" i="6"/>
  <c r="E3221" i="6"/>
  <c r="D3221" i="6"/>
  <c r="E3220" i="6"/>
  <c r="D3220" i="6"/>
  <c r="E3219" i="6"/>
  <c r="D3219" i="6"/>
  <c r="E3218" i="6"/>
  <c r="D3218" i="6"/>
  <c r="E3217" i="6"/>
  <c r="D3217" i="6"/>
  <c r="E3216" i="6"/>
  <c r="D3216" i="6"/>
  <c r="E3215" i="6"/>
  <c r="D3215" i="6"/>
  <c r="E3214" i="6"/>
  <c r="D3214" i="6"/>
  <c r="E3213" i="6"/>
  <c r="D3213" i="6"/>
  <c r="E3212" i="6"/>
  <c r="D3212" i="6"/>
  <c r="E3211" i="6"/>
  <c r="D3211" i="6"/>
  <c r="E3210" i="6"/>
  <c r="D3210" i="6"/>
  <c r="E3209" i="6"/>
  <c r="D3209" i="6"/>
  <c r="E3208" i="6"/>
  <c r="D3208" i="6"/>
  <c r="E3207" i="6"/>
  <c r="D3207" i="6"/>
  <c r="E3206" i="6"/>
  <c r="D3206" i="6"/>
  <c r="E3205" i="6"/>
  <c r="D3205" i="6"/>
  <c r="E3204" i="6"/>
  <c r="D3204" i="6"/>
  <c r="E3203" i="6"/>
  <c r="D3203" i="6"/>
  <c r="E3202" i="6"/>
  <c r="D3202" i="6"/>
  <c r="E3201" i="6"/>
  <c r="D3201" i="6"/>
  <c r="E3200" i="6"/>
  <c r="D3200" i="6"/>
  <c r="E3199" i="6"/>
  <c r="D3199" i="6"/>
  <c r="E3198" i="6"/>
  <c r="D3198" i="6"/>
  <c r="E3197" i="6"/>
  <c r="D3197" i="6"/>
  <c r="E3196" i="6"/>
  <c r="D3196" i="6"/>
  <c r="E3195" i="6"/>
  <c r="D3195" i="6"/>
  <c r="E3194" i="6"/>
  <c r="D3194" i="6"/>
  <c r="E3193" i="6"/>
  <c r="D3193" i="6"/>
  <c r="E3192" i="6"/>
  <c r="D3192" i="6"/>
  <c r="E3191" i="6"/>
  <c r="D3191" i="6"/>
  <c r="E3190" i="6"/>
  <c r="D3190" i="6"/>
  <c r="E3189" i="6"/>
  <c r="D3189" i="6"/>
  <c r="E3188" i="6"/>
  <c r="D3188" i="6"/>
  <c r="E3187" i="6"/>
  <c r="D3187" i="6"/>
  <c r="E3186" i="6"/>
  <c r="D3186" i="6"/>
  <c r="E3185" i="6"/>
  <c r="D3185" i="6"/>
  <c r="E3184" i="6"/>
  <c r="D3184" i="6"/>
  <c r="E3183" i="6"/>
  <c r="D3183" i="6"/>
  <c r="E3182" i="6"/>
  <c r="D3182" i="6"/>
  <c r="E3181" i="6"/>
  <c r="D3181" i="6"/>
  <c r="E3180" i="6"/>
  <c r="D3180" i="6"/>
  <c r="E3179" i="6"/>
  <c r="D3179" i="6"/>
  <c r="E3178" i="6"/>
  <c r="D3178" i="6"/>
  <c r="E3177" i="6"/>
  <c r="D3177" i="6"/>
  <c r="E3176" i="6"/>
  <c r="D3176" i="6"/>
  <c r="E3175" i="6"/>
  <c r="D3175" i="6"/>
  <c r="E3174" i="6"/>
  <c r="D3174" i="6"/>
  <c r="E3173" i="6"/>
  <c r="D3173" i="6"/>
  <c r="E3172" i="6"/>
  <c r="D3172" i="6"/>
  <c r="E3171" i="6"/>
  <c r="D3171" i="6"/>
  <c r="E3170" i="6"/>
  <c r="D3170" i="6"/>
  <c r="E3169" i="6"/>
  <c r="D3169" i="6"/>
  <c r="E3168" i="6"/>
  <c r="D3168" i="6"/>
  <c r="E3167" i="6"/>
  <c r="D3167" i="6"/>
  <c r="E3166" i="6"/>
  <c r="D3166" i="6"/>
  <c r="E3165" i="6"/>
  <c r="D3165" i="6"/>
  <c r="E3164" i="6"/>
  <c r="D3164" i="6"/>
  <c r="E3163" i="6"/>
  <c r="D3163" i="6"/>
  <c r="E3162" i="6"/>
  <c r="D3162" i="6"/>
  <c r="E3161" i="6"/>
  <c r="D3161" i="6"/>
  <c r="E3160" i="6"/>
  <c r="D3160" i="6"/>
  <c r="E3159" i="6"/>
  <c r="D3159" i="6"/>
  <c r="E3158" i="6"/>
  <c r="D3158" i="6"/>
  <c r="E3157" i="6"/>
  <c r="D3157" i="6"/>
  <c r="E3156" i="6"/>
  <c r="D3156" i="6"/>
  <c r="E3155" i="6"/>
  <c r="D3155" i="6"/>
  <c r="E3154" i="6"/>
  <c r="D3154" i="6"/>
  <c r="E3153" i="6"/>
  <c r="D3153" i="6"/>
  <c r="E3152" i="6"/>
  <c r="D3152" i="6"/>
  <c r="E3151" i="6"/>
  <c r="D3151" i="6"/>
  <c r="E3150" i="6"/>
  <c r="D3150" i="6"/>
  <c r="E3149" i="6"/>
  <c r="D3149" i="6"/>
  <c r="E3148" i="6"/>
  <c r="D3148" i="6"/>
  <c r="E3147" i="6"/>
  <c r="D3147" i="6"/>
  <c r="E3146" i="6"/>
  <c r="D3146" i="6"/>
  <c r="E3145" i="6"/>
  <c r="D3145" i="6"/>
  <c r="E3144" i="6"/>
  <c r="D3144" i="6"/>
  <c r="E3143" i="6"/>
  <c r="D3143" i="6"/>
  <c r="E3142" i="6"/>
  <c r="D3142" i="6"/>
  <c r="E3141" i="6"/>
  <c r="D3141" i="6"/>
  <c r="E3140" i="6"/>
  <c r="D3140" i="6"/>
  <c r="E3139" i="6"/>
  <c r="D3139" i="6"/>
  <c r="E3138" i="6"/>
  <c r="D3138" i="6"/>
  <c r="E3137" i="6"/>
  <c r="D3137" i="6"/>
  <c r="E3136" i="6"/>
  <c r="D3136" i="6"/>
  <c r="E3135" i="6"/>
  <c r="D3135" i="6"/>
  <c r="E3134" i="6"/>
  <c r="D3134" i="6"/>
  <c r="E3133" i="6"/>
  <c r="D3133" i="6"/>
  <c r="E3132" i="6"/>
  <c r="D3132" i="6"/>
  <c r="E3131" i="6"/>
  <c r="D3131" i="6"/>
  <c r="E3130" i="6"/>
  <c r="D3130" i="6"/>
  <c r="E3129" i="6"/>
  <c r="D3129" i="6"/>
  <c r="E3128" i="6"/>
  <c r="D3128" i="6"/>
  <c r="E3127" i="6"/>
  <c r="D3127" i="6"/>
  <c r="E3126" i="6"/>
  <c r="D3126" i="6"/>
  <c r="E3125" i="6"/>
  <c r="D3125" i="6"/>
  <c r="E3124" i="6"/>
  <c r="D3124" i="6"/>
  <c r="E3123" i="6"/>
  <c r="D3123" i="6"/>
  <c r="E3122" i="6"/>
  <c r="D3122" i="6"/>
  <c r="E3121" i="6"/>
  <c r="D3121" i="6"/>
  <c r="E3120" i="6"/>
  <c r="D3120" i="6"/>
  <c r="E3119" i="6"/>
  <c r="D3119" i="6"/>
  <c r="E3118" i="6"/>
  <c r="D3118" i="6"/>
  <c r="E3117" i="6"/>
  <c r="D3117" i="6"/>
  <c r="E3116" i="6"/>
  <c r="D3116" i="6"/>
  <c r="E3115" i="6"/>
  <c r="D3115" i="6"/>
  <c r="E3114" i="6"/>
  <c r="D3114" i="6"/>
  <c r="E3113" i="6"/>
  <c r="D3113" i="6"/>
  <c r="E3112" i="6"/>
  <c r="D3112" i="6"/>
  <c r="E3111" i="6"/>
  <c r="D3111" i="6"/>
  <c r="E3110" i="6"/>
  <c r="D3110" i="6"/>
  <c r="E3109" i="6"/>
  <c r="D3109" i="6"/>
  <c r="E3108" i="6"/>
  <c r="D3108" i="6"/>
  <c r="E3107" i="6"/>
  <c r="D3107" i="6"/>
  <c r="E3106" i="6"/>
  <c r="D3106" i="6"/>
  <c r="E3105" i="6"/>
  <c r="D3105" i="6"/>
  <c r="E3104" i="6"/>
  <c r="D3104" i="6"/>
  <c r="E3103" i="6"/>
  <c r="D3103" i="6"/>
  <c r="E3102" i="6"/>
  <c r="D3102" i="6"/>
  <c r="E3101" i="6"/>
  <c r="D3101" i="6"/>
  <c r="E3100" i="6"/>
  <c r="D3100" i="6"/>
  <c r="E3099" i="6"/>
  <c r="D3099" i="6"/>
  <c r="E3098" i="6"/>
  <c r="D3098" i="6"/>
  <c r="E3097" i="6"/>
  <c r="D3097" i="6"/>
  <c r="E3096" i="6"/>
  <c r="D3096" i="6"/>
  <c r="E3095" i="6"/>
  <c r="D3095" i="6"/>
  <c r="E3094" i="6"/>
  <c r="D3094" i="6"/>
  <c r="E3093" i="6"/>
  <c r="D3093" i="6"/>
  <c r="E3092" i="6"/>
  <c r="D3092" i="6"/>
  <c r="E3091" i="6"/>
  <c r="D3091" i="6"/>
  <c r="E3090" i="6"/>
  <c r="D3090" i="6"/>
  <c r="E3089" i="6"/>
  <c r="D3089" i="6"/>
  <c r="E3088" i="6"/>
  <c r="D3088" i="6"/>
  <c r="E3087" i="6"/>
  <c r="D3087" i="6"/>
  <c r="E3086" i="6"/>
  <c r="D3086" i="6"/>
  <c r="E3085" i="6"/>
  <c r="D3085" i="6"/>
  <c r="E3084" i="6"/>
  <c r="D3084" i="6"/>
  <c r="E3083" i="6"/>
  <c r="D3083" i="6"/>
  <c r="E3082" i="6"/>
  <c r="D3082" i="6"/>
  <c r="E3081" i="6"/>
  <c r="D3081" i="6"/>
  <c r="E3080" i="6"/>
  <c r="D3080" i="6"/>
  <c r="E3079" i="6"/>
  <c r="D3079" i="6"/>
  <c r="E3078" i="6"/>
  <c r="D3078" i="6"/>
  <c r="E3077" i="6"/>
  <c r="D3077" i="6"/>
  <c r="E3076" i="6"/>
  <c r="D3076" i="6"/>
  <c r="E3075" i="6"/>
  <c r="D3075" i="6"/>
  <c r="E3074" i="6"/>
  <c r="D3074" i="6"/>
  <c r="E3073" i="6"/>
  <c r="D3073" i="6"/>
  <c r="E3072" i="6"/>
  <c r="D3072" i="6"/>
  <c r="E3071" i="6"/>
  <c r="D3071" i="6"/>
  <c r="E3070" i="6"/>
  <c r="D3070" i="6"/>
  <c r="E3069" i="6"/>
  <c r="D3069" i="6"/>
  <c r="E3068" i="6"/>
  <c r="D3068" i="6"/>
  <c r="E3067" i="6"/>
  <c r="D3067" i="6"/>
  <c r="E3066" i="6"/>
  <c r="D3066" i="6"/>
  <c r="E3065" i="6"/>
  <c r="D3065" i="6"/>
  <c r="E3064" i="6"/>
  <c r="D3064" i="6"/>
  <c r="E3063" i="6"/>
  <c r="D3063" i="6"/>
  <c r="E3062" i="6"/>
  <c r="D3062" i="6"/>
  <c r="E3061" i="6"/>
  <c r="D3061" i="6"/>
  <c r="E3060" i="6"/>
  <c r="D3060" i="6"/>
  <c r="E3059" i="6"/>
  <c r="D3059" i="6"/>
  <c r="E3058" i="6"/>
  <c r="D3058" i="6"/>
  <c r="E3057" i="6"/>
  <c r="D3057" i="6"/>
  <c r="E3056" i="6"/>
  <c r="D3056" i="6"/>
  <c r="E3055" i="6"/>
  <c r="D3055" i="6"/>
  <c r="E3054" i="6"/>
  <c r="D3054" i="6"/>
  <c r="E3053" i="6"/>
  <c r="D3053" i="6"/>
  <c r="E3052" i="6"/>
  <c r="D3052" i="6"/>
  <c r="E3051" i="6"/>
  <c r="D3051" i="6"/>
  <c r="E3050" i="6"/>
  <c r="D3050" i="6"/>
  <c r="E3049" i="6"/>
  <c r="D3049" i="6"/>
  <c r="E3048" i="6"/>
  <c r="D3048" i="6"/>
  <c r="E3047" i="6"/>
  <c r="D3047" i="6"/>
  <c r="E3046" i="6"/>
  <c r="D3046" i="6"/>
  <c r="E3045" i="6"/>
  <c r="D3045" i="6"/>
  <c r="E3044" i="6"/>
  <c r="D3044" i="6"/>
  <c r="E3043" i="6"/>
  <c r="D3043" i="6"/>
  <c r="E3042" i="6"/>
  <c r="D3042" i="6"/>
  <c r="E3041" i="6"/>
  <c r="D3041" i="6"/>
  <c r="E3040" i="6"/>
  <c r="D3040" i="6"/>
  <c r="E3039" i="6"/>
  <c r="D3039" i="6"/>
  <c r="E3038" i="6"/>
  <c r="D3038" i="6"/>
  <c r="E3037" i="6"/>
  <c r="D3037" i="6"/>
  <c r="E3036" i="6"/>
  <c r="D3036" i="6"/>
  <c r="E3035" i="6"/>
  <c r="D3035" i="6"/>
  <c r="E3034" i="6"/>
  <c r="D3034" i="6"/>
  <c r="E3033" i="6"/>
  <c r="D3033" i="6"/>
  <c r="E3032" i="6"/>
  <c r="D3032" i="6"/>
  <c r="E3031" i="6"/>
  <c r="D3031" i="6"/>
  <c r="E3030" i="6"/>
  <c r="D3030" i="6"/>
  <c r="E3029" i="6"/>
  <c r="D3029" i="6"/>
  <c r="E3028" i="6"/>
  <c r="D3028" i="6"/>
  <c r="E3027" i="6"/>
  <c r="D3027" i="6"/>
  <c r="E3026" i="6"/>
  <c r="D3026" i="6"/>
  <c r="E3025" i="6"/>
  <c r="D3025" i="6"/>
  <c r="E3024" i="6"/>
  <c r="D3024" i="6"/>
  <c r="E3023" i="6"/>
  <c r="D3023" i="6"/>
  <c r="E3022" i="6"/>
  <c r="D3022" i="6"/>
  <c r="E3021" i="6"/>
  <c r="D3021" i="6"/>
  <c r="E3020" i="6"/>
  <c r="D3020" i="6"/>
  <c r="E3019" i="6"/>
  <c r="D3019" i="6"/>
  <c r="E3018" i="6"/>
  <c r="D3018" i="6"/>
  <c r="E3017" i="6"/>
  <c r="D3017" i="6"/>
  <c r="E3016" i="6"/>
  <c r="D3016" i="6"/>
  <c r="E3015" i="6"/>
  <c r="D3015" i="6"/>
  <c r="E3014" i="6"/>
  <c r="D3014" i="6"/>
  <c r="E3013" i="6"/>
  <c r="D3013" i="6"/>
  <c r="E3012" i="6"/>
  <c r="D3012" i="6"/>
  <c r="E3011" i="6"/>
  <c r="D3011" i="6"/>
  <c r="E3010" i="6"/>
  <c r="D3010" i="6"/>
  <c r="E3009" i="6"/>
  <c r="D3009" i="6"/>
  <c r="E3008" i="6"/>
  <c r="D3008" i="6"/>
  <c r="E3007" i="6"/>
  <c r="D3007" i="6"/>
  <c r="E3006" i="6"/>
  <c r="D3006" i="6"/>
  <c r="E3005" i="6"/>
  <c r="D3005" i="6"/>
  <c r="E3004" i="6"/>
  <c r="D3004" i="6"/>
  <c r="E3003" i="6"/>
  <c r="D3003" i="6"/>
  <c r="E3002" i="6"/>
  <c r="D3002" i="6"/>
  <c r="E3001" i="6"/>
  <c r="D3001" i="6"/>
  <c r="E3000" i="6"/>
  <c r="D3000" i="6"/>
  <c r="E2999" i="6"/>
  <c r="D2999" i="6"/>
  <c r="E2998" i="6"/>
  <c r="D2998" i="6"/>
  <c r="E2997" i="6"/>
  <c r="D2997" i="6"/>
  <c r="E2996" i="6"/>
  <c r="D2996" i="6"/>
  <c r="E2995" i="6"/>
  <c r="D2995" i="6"/>
  <c r="E2994" i="6"/>
  <c r="D2994" i="6"/>
  <c r="E2993" i="6"/>
  <c r="D2993" i="6"/>
  <c r="E2992" i="6"/>
  <c r="D2992" i="6"/>
  <c r="E2991" i="6"/>
  <c r="D2991" i="6"/>
  <c r="E2990" i="6"/>
  <c r="D2990" i="6"/>
  <c r="E2989" i="6"/>
  <c r="D2989" i="6"/>
  <c r="E2988" i="6"/>
  <c r="D2988" i="6"/>
  <c r="E2987" i="6"/>
  <c r="D2987" i="6"/>
  <c r="E2986" i="6"/>
  <c r="D2986" i="6"/>
  <c r="E2985" i="6"/>
  <c r="D2985" i="6"/>
  <c r="E2984" i="6"/>
  <c r="D2984" i="6"/>
  <c r="E2983" i="6"/>
  <c r="D2983" i="6"/>
  <c r="E2982" i="6"/>
  <c r="D2982" i="6"/>
  <c r="E2981" i="6"/>
  <c r="D2981" i="6"/>
  <c r="E2980" i="6"/>
  <c r="D2980" i="6"/>
  <c r="E2979" i="6"/>
  <c r="D2979" i="6"/>
  <c r="E2978" i="6"/>
  <c r="D2978" i="6"/>
  <c r="E2977" i="6"/>
  <c r="D2977" i="6"/>
  <c r="E2976" i="6"/>
  <c r="D2976" i="6"/>
  <c r="E2975" i="6"/>
  <c r="D2975" i="6"/>
  <c r="E2974" i="6"/>
  <c r="D2974" i="6"/>
  <c r="E2973" i="6"/>
  <c r="D2973" i="6"/>
  <c r="E2972" i="6"/>
  <c r="D2972" i="6"/>
  <c r="E2971" i="6"/>
  <c r="D2971" i="6"/>
  <c r="E2970" i="6"/>
  <c r="D2970" i="6"/>
  <c r="E2969" i="6"/>
  <c r="D2969" i="6"/>
  <c r="E2968" i="6"/>
  <c r="D2968" i="6"/>
  <c r="E2967" i="6"/>
  <c r="D2967" i="6"/>
  <c r="E2966" i="6"/>
  <c r="D2966" i="6"/>
  <c r="E2965" i="6"/>
  <c r="D2965" i="6"/>
  <c r="E2964" i="6"/>
  <c r="D2964" i="6"/>
  <c r="E2963" i="6"/>
  <c r="D2963" i="6"/>
  <c r="E2962" i="6"/>
  <c r="D2962" i="6"/>
  <c r="E2961" i="6"/>
  <c r="D2961" i="6"/>
  <c r="E2960" i="6"/>
  <c r="D2960" i="6"/>
  <c r="E2959" i="6"/>
  <c r="D2959" i="6"/>
  <c r="E2958" i="6"/>
  <c r="D2958" i="6"/>
  <c r="E2957" i="6"/>
  <c r="D2957" i="6"/>
  <c r="E2956" i="6"/>
  <c r="D2956" i="6"/>
  <c r="E2955" i="6"/>
  <c r="D2955" i="6"/>
  <c r="E2954" i="6"/>
  <c r="D2954" i="6"/>
  <c r="E2953" i="6"/>
  <c r="D2953" i="6"/>
  <c r="E2952" i="6"/>
  <c r="D2952" i="6"/>
  <c r="E2951" i="6"/>
  <c r="D2951" i="6"/>
  <c r="E2950" i="6"/>
  <c r="D2950" i="6"/>
  <c r="E2949" i="6"/>
  <c r="D2949" i="6"/>
  <c r="E2948" i="6"/>
  <c r="D2948" i="6"/>
  <c r="E2947" i="6"/>
  <c r="D2947" i="6"/>
  <c r="E2946" i="6"/>
  <c r="D2946" i="6"/>
  <c r="E2945" i="6"/>
  <c r="D2945" i="6"/>
  <c r="E2944" i="6"/>
  <c r="D2944" i="6"/>
  <c r="E2943" i="6"/>
  <c r="D2943" i="6"/>
  <c r="E2942" i="6"/>
  <c r="D2942" i="6"/>
  <c r="E2941" i="6"/>
  <c r="D2941" i="6"/>
  <c r="E2940" i="6"/>
  <c r="D2940" i="6"/>
  <c r="E2939" i="6"/>
  <c r="D2939" i="6"/>
  <c r="E2938" i="6"/>
  <c r="D2938" i="6"/>
  <c r="E2937" i="6"/>
  <c r="D2937" i="6"/>
  <c r="E2936" i="6"/>
  <c r="D2936" i="6"/>
  <c r="E2935" i="6"/>
  <c r="D2935" i="6"/>
  <c r="E2934" i="6"/>
  <c r="D2934" i="6"/>
  <c r="E2933" i="6"/>
  <c r="D2933" i="6"/>
  <c r="E2932" i="6"/>
  <c r="D2932" i="6"/>
  <c r="E2931" i="6"/>
  <c r="D2931" i="6"/>
  <c r="E2930" i="6"/>
  <c r="D2930" i="6"/>
  <c r="E2929" i="6"/>
  <c r="D2929" i="6"/>
  <c r="E2928" i="6"/>
  <c r="D2928" i="6"/>
  <c r="E2927" i="6"/>
  <c r="D2927" i="6"/>
  <c r="E2926" i="6"/>
  <c r="D2926" i="6"/>
  <c r="E2925" i="6"/>
  <c r="D2925" i="6"/>
  <c r="E2924" i="6"/>
  <c r="D2924" i="6"/>
  <c r="E2923" i="6"/>
  <c r="D2923" i="6"/>
  <c r="E2922" i="6"/>
  <c r="D2922" i="6"/>
  <c r="E2921" i="6"/>
  <c r="D2921" i="6"/>
  <c r="E2920" i="6"/>
  <c r="D2920" i="6"/>
  <c r="E2919" i="6"/>
  <c r="D2919" i="6"/>
  <c r="E2918" i="6"/>
  <c r="D2918" i="6"/>
  <c r="E2917" i="6"/>
  <c r="D2917" i="6"/>
  <c r="E2916" i="6"/>
  <c r="D2916" i="6"/>
  <c r="E2915" i="6"/>
  <c r="D2915" i="6"/>
  <c r="E2914" i="6"/>
  <c r="D2914" i="6"/>
  <c r="E2913" i="6"/>
  <c r="D2913" i="6"/>
  <c r="E2912" i="6"/>
  <c r="D2912" i="6"/>
  <c r="E2911" i="6"/>
  <c r="D2911" i="6"/>
  <c r="E2910" i="6"/>
  <c r="D2910" i="6"/>
  <c r="E2909" i="6"/>
  <c r="D2909" i="6"/>
  <c r="E2908" i="6"/>
  <c r="D2908" i="6"/>
  <c r="E2907" i="6"/>
  <c r="D2907" i="6"/>
  <c r="E2906" i="6"/>
  <c r="D2906" i="6"/>
  <c r="E2905" i="6"/>
  <c r="D2905" i="6"/>
  <c r="E2904" i="6"/>
  <c r="D2904" i="6"/>
  <c r="E2903" i="6"/>
  <c r="D2903" i="6"/>
  <c r="E2902" i="6"/>
  <c r="D2902" i="6"/>
  <c r="E2901" i="6"/>
  <c r="D2901" i="6"/>
  <c r="E2900" i="6"/>
  <c r="D2900" i="6"/>
  <c r="E2899" i="6"/>
  <c r="D2899" i="6"/>
  <c r="E2898" i="6"/>
  <c r="D2898" i="6"/>
  <c r="E2897" i="6"/>
  <c r="D2897" i="6"/>
  <c r="E2896" i="6"/>
  <c r="D2896" i="6"/>
  <c r="E2895" i="6"/>
  <c r="D2895" i="6"/>
  <c r="E2894" i="6"/>
  <c r="D2894" i="6"/>
  <c r="E2893" i="6"/>
  <c r="D2893" i="6"/>
  <c r="E2892" i="6"/>
  <c r="D2892" i="6"/>
  <c r="E2891" i="6"/>
  <c r="D2891" i="6"/>
  <c r="E2890" i="6"/>
  <c r="D2890" i="6"/>
  <c r="E2889" i="6"/>
  <c r="D2889" i="6"/>
  <c r="E2888" i="6"/>
  <c r="D2888" i="6"/>
  <c r="E2887" i="6"/>
  <c r="D2887" i="6"/>
  <c r="E2886" i="6"/>
  <c r="D2886" i="6"/>
  <c r="E2885" i="6"/>
  <c r="D2885" i="6"/>
  <c r="E2884" i="6"/>
  <c r="D2884" i="6"/>
  <c r="E2883" i="6"/>
  <c r="D2883" i="6"/>
  <c r="E2882" i="6"/>
  <c r="D2882" i="6"/>
  <c r="E2881" i="6"/>
  <c r="D2881" i="6"/>
  <c r="E2880" i="6"/>
  <c r="D2880" i="6"/>
  <c r="E2879" i="6"/>
  <c r="D2879" i="6"/>
  <c r="E2878" i="6"/>
  <c r="D2878" i="6"/>
  <c r="E2877" i="6"/>
  <c r="D2877" i="6"/>
  <c r="E2876" i="6"/>
  <c r="D2876" i="6"/>
  <c r="E2875" i="6"/>
  <c r="D2875" i="6"/>
  <c r="E2874" i="6"/>
  <c r="D2874" i="6"/>
  <c r="E2873" i="6"/>
  <c r="D2873" i="6"/>
  <c r="E2872" i="6"/>
  <c r="D2872" i="6"/>
  <c r="E2871" i="6"/>
  <c r="D2871" i="6"/>
  <c r="E2870" i="6"/>
  <c r="D2870" i="6"/>
  <c r="E2869" i="6"/>
  <c r="D2869" i="6"/>
  <c r="E2868" i="6"/>
  <c r="D2868" i="6"/>
  <c r="E2867" i="6"/>
  <c r="D2867" i="6"/>
  <c r="E2866" i="6"/>
  <c r="D2866" i="6"/>
  <c r="E2865" i="6"/>
  <c r="D2865" i="6"/>
  <c r="E2864" i="6"/>
  <c r="D2864" i="6"/>
  <c r="E2863" i="6"/>
  <c r="D2863" i="6"/>
  <c r="E2862" i="6"/>
  <c r="D2862" i="6"/>
  <c r="E2861" i="6"/>
  <c r="D2861" i="6"/>
  <c r="E2860" i="6"/>
  <c r="D2860" i="6"/>
  <c r="E2859" i="6"/>
  <c r="D2859" i="6"/>
  <c r="E2858" i="6"/>
  <c r="D2858" i="6"/>
  <c r="E2857" i="6"/>
  <c r="D2857" i="6"/>
  <c r="E2856" i="6"/>
  <c r="D2856" i="6"/>
  <c r="E2855" i="6"/>
  <c r="D2855" i="6"/>
  <c r="E2854" i="6"/>
  <c r="D2854" i="6"/>
  <c r="E2853" i="6"/>
  <c r="D2853" i="6"/>
  <c r="E2852" i="6"/>
  <c r="D2852" i="6"/>
  <c r="E2851" i="6"/>
  <c r="D2851" i="6"/>
  <c r="E2850" i="6"/>
  <c r="D2850" i="6"/>
  <c r="E2849" i="6"/>
  <c r="D2849" i="6"/>
  <c r="E2848" i="6"/>
  <c r="D2848" i="6"/>
  <c r="E2847" i="6"/>
  <c r="D2847" i="6"/>
  <c r="E2846" i="6"/>
  <c r="D2846" i="6"/>
  <c r="E2845" i="6"/>
  <c r="D2845" i="6"/>
  <c r="E2844" i="6"/>
  <c r="D2844" i="6"/>
  <c r="E2843" i="6"/>
  <c r="D2843" i="6"/>
  <c r="E2842" i="6"/>
  <c r="D2842" i="6"/>
  <c r="E2841" i="6"/>
  <c r="D2841" i="6"/>
  <c r="E2840" i="6"/>
  <c r="D2840" i="6"/>
  <c r="E2839" i="6"/>
  <c r="D2839" i="6"/>
  <c r="E2838" i="6"/>
  <c r="D2838" i="6"/>
  <c r="E2837" i="6"/>
  <c r="D2837" i="6"/>
  <c r="E2836" i="6"/>
  <c r="D2836" i="6"/>
  <c r="E2835" i="6"/>
  <c r="D2835" i="6"/>
  <c r="E2834" i="6"/>
  <c r="D2834" i="6"/>
  <c r="E2833" i="6"/>
  <c r="D2833" i="6"/>
  <c r="E2832" i="6"/>
  <c r="D2832" i="6"/>
  <c r="E2831" i="6"/>
  <c r="D2831" i="6"/>
  <c r="E2830" i="6"/>
  <c r="D2830" i="6"/>
  <c r="E2829" i="6"/>
  <c r="D2829" i="6"/>
  <c r="E2828" i="6"/>
  <c r="D2828" i="6"/>
  <c r="E2827" i="6"/>
  <c r="D2827" i="6"/>
  <c r="E2826" i="6"/>
  <c r="D2826" i="6"/>
  <c r="E2825" i="6"/>
  <c r="D2825" i="6"/>
  <c r="E2824" i="6"/>
  <c r="D2824" i="6"/>
  <c r="E2823" i="6"/>
  <c r="D2823" i="6"/>
  <c r="E2822" i="6"/>
  <c r="D2822" i="6"/>
  <c r="E2821" i="6"/>
  <c r="D2821" i="6"/>
  <c r="E2820" i="6"/>
  <c r="D2820" i="6"/>
  <c r="E2819" i="6"/>
  <c r="D2819" i="6"/>
  <c r="E2818" i="6"/>
  <c r="D2818" i="6"/>
  <c r="E2817" i="6"/>
  <c r="D2817" i="6"/>
  <c r="E2816" i="6"/>
  <c r="D2816" i="6"/>
  <c r="E2815" i="6"/>
  <c r="D2815" i="6"/>
  <c r="E2814" i="6"/>
  <c r="D2814" i="6"/>
  <c r="E2813" i="6"/>
  <c r="D2813" i="6"/>
  <c r="E2812" i="6"/>
  <c r="D2812" i="6"/>
  <c r="E2811" i="6"/>
  <c r="D2811" i="6"/>
  <c r="E2810" i="6"/>
  <c r="D2810" i="6"/>
  <c r="E2809" i="6"/>
  <c r="D2809" i="6"/>
  <c r="E2808" i="6"/>
  <c r="D2808" i="6"/>
  <c r="E2807" i="6"/>
  <c r="D2807" i="6"/>
  <c r="E2806" i="6"/>
  <c r="D2806" i="6"/>
  <c r="E2805" i="6"/>
  <c r="D2805" i="6"/>
  <c r="E2804" i="6"/>
  <c r="D2804" i="6"/>
  <c r="E2803" i="6"/>
  <c r="D2803" i="6"/>
  <c r="E2802" i="6"/>
  <c r="D2802" i="6"/>
  <c r="E2801" i="6"/>
  <c r="D2801" i="6"/>
  <c r="E2800" i="6"/>
  <c r="D2800" i="6"/>
  <c r="E2799" i="6"/>
  <c r="D2799" i="6"/>
  <c r="E2798" i="6"/>
  <c r="D2798" i="6"/>
  <c r="E2797" i="6"/>
  <c r="D2797" i="6"/>
  <c r="E2796" i="6"/>
  <c r="D2796" i="6"/>
  <c r="E2795" i="6"/>
  <c r="D2795" i="6"/>
  <c r="E2794" i="6"/>
  <c r="D2794" i="6"/>
  <c r="E2793" i="6"/>
  <c r="D2793" i="6"/>
  <c r="E2792" i="6"/>
  <c r="D2792" i="6"/>
  <c r="E2791" i="6"/>
  <c r="D2791" i="6"/>
  <c r="E2790" i="6"/>
  <c r="D2790" i="6"/>
  <c r="E2789" i="6"/>
  <c r="D2789" i="6"/>
  <c r="E2788" i="6"/>
  <c r="D2788" i="6"/>
  <c r="E2787" i="6"/>
  <c r="D2787" i="6"/>
  <c r="E2786" i="6"/>
  <c r="D2786" i="6"/>
  <c r="E2785" i="6"/>
  <c r="D2785" i="6"/>
  <c r="E2784" i="6"/>
  <c r="D2784" i="6"/>
  <c r="E2783" i="6"/>
  <c r="D2783" i="6"/>
  <c r="E2782" i="6"/>
  <c r="D2782" i="6"/>
  <c r="E2781" i="6"/>
  <c r="D2781" i="6"/>
  <c r="E2780" i="6"/>
  <c r="D2780" i="6"/>
  <c r="E2779" i="6"/>
  <c r="D2779" i="6"/>
  <c r="E2778" i="6"/>
  <c r="D2778" i="6"/>
  <c r="E2777" i="6"/>
  <c r="D2777" i="6"/>
  <c r="E2776" i="6"/>
  <c r="D2776" i="6"/>
  <c r="E2775" i="6"/>
  <c r="D2775" i="6"/>
  <c r="E2774" i="6"/>
  <c r="D2774" i="6"/>
  <c r="E2773" i="6"/>
  <c r="D2773" i="6"/>
  <c r="E2772" i="6"/>
  <c r="D2772" i="6"/>
  <c r="E2771" i="6"/>
  <c r="D2771" i="6"/>
  <c r="E2770" i="6"/>
  <c r="D2770" i="6"/>
  <c r="E2769" i="6"/>
  <c r="D2769" i="6"/>
  <c r="E2768" i="6"/>
  <c r="D2768" i="6"/>
  <c r="E2767" i="6"/>
  <c r="D2767" i="6"/>
  <c r="E2766" i="6"/>
  <c r="D2766" i="6"/>
  <c r="E2765" i="6"/>
  <c r="D2765" i="6"/>
  <c r="E2764" i="6"/>
  <c r="D2764" i="6"/>
  <c r="E2763" i="6"/>
  <c r="D2763" i="6"/>
  <c r="E2762" i="6"/>
  <c r="D2762" i="6"/>
  <c r="E2761" i="6"/>
  <c r="D2761" i="6"/>
  <c r="E2760" i="6"/>
  <c r="D2760" i="6"/>
  <c r="E2759" i="6"/>
  <c r="D2759" i="6"/>
  <c r="E2758" i="6"/>
  <c r="D2758" i="6"/>
  <c r="E2757" i="6"/>
  <c r="D2757" i="6"/>
  <c r="E2756" i="6"/>
  <c r="D2756" i="6"/>
  <c r="E2755" i="6"/>
  <c r="D2755" i="6"/>
  <c r="E2754" i="6"/>
  <c r="D2754" i="6"/>
  <c r="E2753" i="6"/>
  <c r="D2753" i="6"/>
  <c r="E2752" i="6"/>
  <c r="D2752" i="6"/>
  <c r="E2751" i="6"/>
  <c r="D2751" i="6"/>
  <c r="E2750" i="6"/>
  <c r="D2750" i="6"/>
  <c r="E2749" i="6"/>
  <c r="D2749" i="6"/>
  <c r="E2748" i="6"/>
  <c r="D2748" i="6"/>
  <c r="E2747" i="6"/>
  <c r="D2747" i="6"/>
  <c r="E2746" i="6"/>
  <c r="D2746" i="6"/>
  <c r="E2745" i="6"/>
  <c r="D2745" i="6"/>
  <c r="E2744" i="6"/>
  <c r="D2744" i="6"/>
  <c r="E2743" i="6"/>
  <c r="D2743" i="6"/>
  <c r="E2742" i="6"/>
  <c r="D2742" i="6"/>
  <c r="E2741" i="6"/>
  <c r="D2741" i="6"/>
  <c r="E2740" i="6"/>
  <c r="D2740" i="6"/>
  <c r="E2739" i="6"/>
  <c r="D2739" i="6"/>
  <c r="E2738" i="6"/>
  <c r="D2738" i="6"/>
  <c r="E2737" i="6"/>
  <c r="D2737" i="6"/>
  <c r="E2736" i="6"/>
  <c r="D2736" i="6"/>
  <c r="E2735" i="6"/>
  <c r="D2735" i="6"/>
  <c r="E2734" i="6"/>
  <c r="D2734" i="6"/>
  <c r="E2733" i="6"/>
  <c r="D2733" i="6"/>
  <c r="E2732" i="6"/>
  <c r="D2732" i="6"/>
  <c r="E2731" i="6"/>
  <c r="D2731" i="6"/>
  <c r="E2730" i="6"/>
  <c r="D2730" i="6"/>
  <c r="E2729" i="6"/>
  <c r="D2729" i="6"/>
  <c r="E2728" i="6"/>
  <c r="D2728" i="6"/>
  <c r="E2727" i="6"/>
  <c r="D2727" i="6"/>
  <c r="E2726" i="6"/>
  <c r="D2726" i="6"/>
  <c r="E2725" i="6"/>
  <c r="D2725" i="6"/>
  <c r="E2724" i="6"/>
  <c r="D2724" i="6"/>
  <c r="E2723" i="6"/>
  <c r="D2723" i="6"/>
  <c r="E2722" i="6"/>
  <c r="D2722" i="6"/>
  <c r="E2721" i="6"/>
  <c r="D2721" i="6"/>
  <c r="E2720" i="6"/>
  <c r="D2720" i="6"/>
  <c r="E2719" i="6"/>
  <c r="D2719" i="6"/>
  <c r="E2718" i="6"/>
  <c r="D2718" i="6"/>
  <c r="E2717" i="6"/>
  <c r="D2717" i="6"/>
  <c r="E2716" i="6"/>
  <c r="D2716" i="6"/>
  <c r="E2715" i="6"/>
  <c r="D2715" i="6"/>
  <c r="E2714" i="6"/>
  <c r="D2714" i="6"/>
  <c r="E2713" i="6"/>
  <c r="D2713" i="6"/>
  <c r="E2712" i="6"/>
  <c r="D2712" i="6"/>
  <c r="E2711" i="6"/>
  <c r="D2711" i="6"/>
  <c r="E2710" i="6"/>
  <c r="D2710" i="6"/>
  <c r="E2709" i="6"/>
  <c r="D2709" i="6"/>
  <c r="E2708" i="6"/>
  <c r="D2708" i="6"/>
  <c r="E2707" i="6"/>
  <c r="D2707" i="6"/>
  <c r="E2706" i="6"/>
  <c r="D2706" i="6"/>
  <c r="E2705" i="6"/>
  <c r="D2705" i="6"/>
  <c r="E2704" i="6"/>
  <c r="D2704" i="6"/>
  <c r="E2703" i="6"/>
  <c r="D2703" i="6"/>
  <c r="E2702" i="6"/>
  <c r="D2702" i="6"/>
  <c r="E2701" i="6"/>
  <c r="D2701" i="6"/>
  <c r="E2700" i="6"/>
  <c r="D2700" i="6"/>
  <c r="E2699" i="6"/>
  <c r="D2699" i="6"/>
  <c r="E2698" i="6"/>
  <c r="D2698" i="6"/>
  <c r="E2697" i="6"/>
  <c r="D2697" i="6"/>
  <c r="E2696" i="6"/>
  <c r="D2696" i="6"/>
  <c r="E2695" i="6"/>
  <c r="D2695" i="6"/>
  <c r="E2694" i="6"/>
  <c r="D2694" i="6"/>
  <c r="E2693" i="6"/>
  <c r="D2693" i="6"/>
  <c r="E2692" i="6"/>
  <c r="D2692" i="6"/>
  <c r="E2691" i="6"/>
  <c r="D2691" i="6"/>
  <c r="E2690" i="6"/>
  <c r="D2690" i="6"/>
  <c r="E2689" i="6"/>
  <c r="D2689" i="6"/>
  <c r="E2688" i="6"/>
  <c r="D2688" i="6"/>
  <c r="E2687" i="6"/>
  <c r="D2687" i="6"/>
  <c r="E2686" i="6"/>
  <c r="D2686" i="6"/>
  <c r="E2685" i="6"/>
  <c r="D2685" i="6"/>
  <c r="E2684" i="6"/>
  <c r="D2684" i="6"/>
  <c r="E2683" i="6"/>
  <c r="D2683" i="6"/>
  <c r="E2682" i="6"/>
  <c r="D2682" i="6"/>
  <c r="E2681" i="6"/>
  <c r="D2681" i="6"/>
  <c r="E2680" i="6"/>
  <c r="D2680" i="6"/>
  <c r="E2679" i="6"/>
  <c r="D2679" i="6"/>
  <c r="E2678" i="6"/>
  <c r="D2678" i="6"/>
  <c r="E2677" i="6"/>
  <c r="D2677" i="6"/>
  <c r="E2676" i="6"/>
  <c r="D2676" i="6"/>
  <c r="E2675" i="6"/>
  <c r="D2675" i="6"/>
  <c r="E2674" i="6"/>
  <c r="D2674" i="6"/>
  <c r="E2673" i="6"/>
  <c r="D2673" i="6"/>
  <c r="E2672" i="6"/>
  <c r="D2672" i="6"/>
  <c r="E2671" i="6"/>
  <c r="D2671" i="6"/>
  <c r="E2670" i="6"/>
  <c r="D2670" i="6"/>
  <c r="E2669" i="6"/>
  <c r="D2669" i="6"/>
  <c r="E2668" i="6"/>
  <c r="D2668" i="6"/>
  <c r="E2667" i="6"/>
  <c r="D2667" i="6"/>
  <c r="E2666" i="6"/>
  <c r="D2666" i="6"/>
  <c r="E2665" i="6"/>
  <c r="D2665" i="6"/>
  <c r="E2664" i="6"/>
  <c r="D2664" i="6"/>
  <c r="E2663" i="6"/>
  <c r="D2663" i="6"/>
  <c r="E2662" i="6"/>
  <c r="D2662" i="6"/>
  <c r="E2661" i="6"/>
  <c r="D2661" i="6"/>
  <c r="E2660" i="6"/>
  <c r="D2660" i="6"/>
  <c r="E2659" i="6"/>
  <c r="D2659" i="6"/>
  <c r="E2658" i="6"/>
  <c r="D2658" i="6"/>
  <c r="E2657" i="6"/>
  <c r="D2657" i="6"/>
  <c r="E2656" i="6"/>
  <c r="D2656" i="6"/>
  <c r="E2655" i="6"/>
  <c r="D2655" i="6"/>
  <c r="E2654" i="6"/>
  <c r="D2654" i="6"/>
  <c r="E2653" i="6"/>
  <c r="D2653" i="6"/>
  <c r="E2652" i="6"/>
  <c r="D2652" i="6"/>
  <c r="E2651" i="6"/>
  <c r="D2651" i="6"/>
  <c r="E2650" i="6"/>
  <c r="D2650" i="6"/>
  <c r="E2649" i="6"/>
  <c r="D2649" i="6"/>
  <c r="E2648" i="6"/>
  <c r="D2648" i="6"/>
  <c r="E2647" i="6"/>
  <c r="D2647" i="6"/>
  <c r="E2646" i="6"/>
  <c r="D2646" i="6"/>
  <c r="E2645" i="6"/>
  <c r="D2645" i="6"/>
  <c r="E2644" i="6"/>
  <c r="D2644" i="6"/>
  <c r="E2643" i="6"/>
  <c r="D2643" i="6"/>
  <c r="E2642" i="6"/>
  <c r="D2642" i="6"/>
  <c r="E2641" i="6"/>
  <c r="D2641" i="6"/>
  <c r="E2640" i="6"/>
  <c r="D2640" i="6"/>
  <c r="E2639" i="6"/>
  <c r="D2639" i="6"/>
  <c r="E2638" i="6"/>
  <c r="D2638" i="6"/>
  <c r="E2637" i="6"/>
  <c r="D2637" i="6"/>
  <c r="E2636" i="6"/>
  <c r="D2636" i="6"/>
  <c r="E2635" i="6"/>
  <c r="D2635" i="6"/>
  <c r="E2634" i="6"/>
  <c r="D2634" i="6"/>
  <c r="E2633" i="6"/>
  <c r="D2633" i="6"/>
  <c r="E2632" i="6"/>
  <c r="D2632" i="6"/>
  <c r="E2631" i="6"/>
  <c r="D2631" i="6"/>
  <c r="E2630" i="6"/>
  <c r="D2630" i="6"/>
  <c r="E2629" i="6"/>
  <c r="D2629" i="6"/>
  <c r="E2628" i="6"/>
  <c r="D2628" i="6"/>
  <c r="E2627" i="6"/>
  <c r="D2627" i="6"/>
  <c r="E2626" i="6"/>
  <c r="D2626" i="6"/>
  <c r="E2625" i="6"/>
  <c r="D2625" i="6"/>
  <c r="E2624" i="6"/>
  <c r="D2624" i="6"/>
  <c r="E2623" i="6"/>
  <c r="D2623" i="6"/>
  <c r="E2622" i="6"/>
  <c r="D2622" i="6"/>
  <c r="E2621" i="6"/>
  <c r="D2621" i="6"/>
  <c r="E2620" i="6"/>
  <c r="D2620" i="6"/>
  <c r="E2619" i="6"/>
  <c r="D2619" i="6"/>
  <c r="E2618" i="6"/>
  <c r="D2618" i="6"/>
  <c r="E2617" i="6"/>
  <c r="D2617" i="6"/>
  <c r="E2616" i="6"/>
  <c r="D2616" i="6"/>
  <c r="E2615" i="6"/>
  <c r="D2615" i="6"/>
  <c r="E2614" i="6"/>
  <c r="D2614" i="6"/>
  <c r="E2613" i="6"/>
  <c r="D2613" i="6"/>
  <c r="E2612" i="6"/>
  <c r="D2612" i="6"/>
  <c r="E2611" i="6"/>
  <c r="D2611" i="6"/>
  <c r="E2610" i="6"/>
  <c r="D2610" i="6"/>
  <c r="E2609" i="6"/>
  <c r="D2609" i="6"/>
  <c r="E2608" i="6"/>
  <c r="D2608" i="6"/>
  <c r="E2607" i="6"/>
  <c r="D2607" i="6"/>
  <c r="E2606" i="6"/>
  <c r="D2606" i="6"/>
  <c r="E2605" i="6"/>
  <c r="D2605" i="6"/>
  <c r="E2604" i="6"/>
  <c r="D2604" i="6"/>
  <c r="E2603" i="6"/>
  <c r="D2603" i="6"/>
  <c r="E2602" i="6"/>
  <c r="D2602" i="6"/>
  <c r="E2601" i="6"/>
  <c r="D2601" i="6"/>
  <c r="E2600" i="6"/>
  <c r="D2600" i="6"/>
  <c r="E2599" i="6"/>
  <c r="D2599" i="6"/>
  <c r="E2598" i="6"/>
  <c r="D2598" i="6"/>
  <c r="E2597" i="6"/>
  <c r="D2597" i="6"/>
  <c r="E2596" i="6"/>
  <c r="D2596" i="6"/>
  <c r="E2595" i="6"/>
  <c r="D2595" i="6"/>
  <c r="E2594" i="6"/>
  <c r="D2594" i="6"/>
  <c r="E2593" i="6"/>
  <c r="D2593" i="6"/>
  <c r="E2592" i="6"/>
  <c r="D2592" i="6"/>
  <c r="E2591" i="6"/>
  <c r="D2591" i="6"/>
  <c r="E2590" i="6"/>
  <c r="D2590" i="6"/>
  <c r="E2589" i="6"/>
  <c r="D2589" i="6"/>
  <c r="E2588" i="6"/>
  <c r="D2588" i="6"/>
  <c r="E2587" i="6"/>
  <c r="D2587" i="6"/>
  <c r="E2586" i="6"/>
  <c r="D2586" i="6"/>
  <c r="E2585" i="6"/>
  <c r="D2585" i="6"/>
  <c r="E2584" i="6"/>
  <c r="D2584" i="6"/>
  <c r="E2583" i="6"/>
  <c r="D2583" i="6"/>
  <c r="E2582" i="6"/>
  <c r="D2582" i="6"/>
  <c r="E2581" i="6"/>
  <c r="D2581" i="6"/>
  <c r="E2580" i="6"/>
  <c r="D2580" i="6"/>
  <c r="E2579" i="6"/>
  <c r="D2579" i="6"/>
  <c r="E2578" i="6"/>
  <c r="D2578" i="6"/>
  <c r="E2577" i="6"/>
  <c r="D2577" i="6"/>
  <c r="E2576" i="6"/>
  <c r="D2576" i="6"/>
  <c r="E2575" i="6"/>
  <c r="D2575" i="6"/>
  <c r="E2574" i="6"/>
  <c r="D2574" i="6"/>
  <c r="E2573" i="6"/>
  <c r="D2573" i="6"/>
  <c r="E2572" i="6"/>
  <c r="D2572" i="6"/>
  <c r="E2571" i="6"/>
  <c r="D2571" i="6"/>
  <c r="E2570" i="6"/>
  <c r="D2570" i="6"/>
  <c r="E2569" i="6"/>
  <c r="D2569" i="6"/>
  <c r="E2568" i="6"/>
  <c r="D2568" i="6"/>
  <c r="E2567" i="6"/>
  <c r="D2567" i="6"/>
  <c r="E2566" i="6"/>
  <c r="D2566" i="6"/>
  <c r="E2565" i="6"/>
  <c r="D2565" i="6"/>
  <c r="E2564" i="6"/>
  <c r="D2564" i="6"/>
  <c r="E2563" i="6"/>
  <c r="D2563" i="6"/>
  <c r="E2562" i="6"/>
  <c r="D2562" i="6"/>
  <c r="E2561" i="6"/>
  <c r="D2561" i="6"/>
  <c r="E2560" i="6"/>
  <c r="D2560" i="6"/>
  <c r="E2559" i="6"/>
  <c r="D2559" i="6"/>
  <c r="E2558" i="6"/>
  <c r="D2558" i="6"/>
  <c r="E2557" i="6"/>
  <c r="D2557" i="6"/>
  <c r="E2556" i="6"/>
  <c r="D2556" i="6"/>
  <c r="E2555" i="6"/>
  <c r="D2555" i="6"/>
  <c r="E2554" i="6"/>
  <c r="D2554" i="6"/>
  <c r="E2553" i="6"/>
  <c r="D2553" i="6"/>
  <c r="E2552" i="6"/>
  <c r="D2552" i="6"/>
  <c r="E2551" i="6"/>
  <c r="D2551" i="6"/>
  <c r="E2550" i="6"/>
  <c r="D2550" i="6"/>
  <c r="E2549" i="6"/>
  <c r="D2549" i="6"/>
  <c r="E2548" i="6"/>
  <c r="D2548" i="6"/>
  <c r="E2547" i="6"/>
  <c r="D2547" i="6"/>
  <c r="E2546" i="6"/>
  <c r="D2546" i="6"/>
  <c r="E2545" i="6"/>
  <c r="D2545" i="6"/>
  <c r="E2544" i="6"/>
  <c r="D2544" i="6"/>
  <c r="E2543" i="6"/>
  <c r="D2543" i="6"/>
  <c r="E2542" i="6"/>
  <c r="D2542" i="6"/>
  <c r="E2541" i="6"/>
  <c r="D2541" i="6"/>
  <c r="E2540" i="6"/>
  <c r="D2540" i="6"/>
  <c r="E2539" i="6"/>
  <c r="D2539" i="6"/>
  <c r="E2538" i="6"/>
  <c r="D2538" i="6"/>
  <c r="E2537" i="6"/>
  <c r="D2537" i="6"/>
  <c r="E2536" i="6"/>
  <c r="D2536" i="6"/>
  <c r="E2535" i="6"/>
  <c r="D2535" i="6"/>
  <c r="E2534" i="6"/>
  <c r="D2534" i="6"/>
  <c r="E2533" i="6"/>
  <c r="D2533" i="6"/>
  <c r="E2532" i="6"/>
  <c r="D2532" i="6"/>
  <c r="E2531" i="6"/>
  <c r="D2531" i="6"/>
  <c r="E2530" i="6"/>
  <c r="D2530" i="6"/>
  <c r="E2529" i="6"/>
  <c r="D2529" i="6"/>
  <c r="E2528" i="6"/>
  <c r="D2528" i="6"/>
  <c r="E2527" i="6"/>
  <c r="D2527" i="6"/>
  <c r="E2526" i="6"/>
  <c r="D2526" i="6"/>
  <c r="E2525" i="6"/>
  <c r="D2525" i="6"/>
  <c r="E2524" i="6"/>
  <c r="D2524" i="6"/>
  <c r="E2523" i="6"/>
  <c r="D2523" i="6"/>
  <c r="E2522" i="6"/>
  <c r="D2522" i="6"/>
  <c r="E2521" i="6"/>
  <c r="D2521" i="6"/>
  <c r="E2520" i="6"/>
  <c r="D2520" i="6"/>
  <c r="E2519" i="6"/>
  <c r="D2519" i="6"/>
  <c r="E2518" i="6"/>
  <c r="D2518" i="6"/>
  <c r="E2517" i="6"/>
  <c r="D2517" i="6"/>
  <c r="E2516" i="6"/>
  <c r="D2516" i="6"/>
  <c r="E2515" i="6"/>
  <c r="D2515" i="6"/>
  <c r="E2514" i="6"/>
  <c r="D2514" i="6"/>
  <c r="E2513" i="6"/>
  <c r="D2513" i="6"/>
  <c r="E2512" i="6"/>
  <c r="D2512" i="6"/>
  <c r="E2511" i="6"/>
  <c r="D2511" i="6"/>
  <c r="E2510" i="6"/>
  <c r="D2510" i="6"/>
  <c r="E2509" i="6"/>
  <c r="D2509" i="6"/>
  <c r="E2508" i="6"/>
  <c r="D2508" i="6"/>
  <c r="E2507" i="6"/>
  <c r="D2507" i="6"/>
  <c r="E2506" i="6"/>
  <c r="D2506" i="6"/>
  <c r="E2505" i="6"/>
  <c r="D2505" i="6"/>
  <c r="E2504" i="6"/>
  <c r="D2504" i="6"/>
  <c r="E2503" i="6"/>
  <c r="D2503" i="6"/>
  <c r="E2502" i="6"/>
  <c r="D2502" i="6"/>
  <c r="E2501" i="6"/>
  <c r="D2501" i="6"/>
  <c r="E2500" i="6"/>
  <c r="D2500" i="6"/>
  <c r="E2499" i="6"/>
  <c r="D2499" i="6"/>
  <c r="E2498" i="6"/>
  <c r="D2498" i="6"/>
  <c r="E2497" i="6"/>
  <c r="D2497" i="6"/>
  <c r="E2496" i="6"/>
  <c r="D2496" i="6"/>
  <c r="E2495" i="6"/>
  <c r="D2495" i="6"/>
  <c r="E2494" i="6"/>
  <c r="D2494" i="6"/>
  <c r="E2493" i="6"/>
  <c r="D2493" i="6"/>
  <c r="E2492" i="6"/>
  <c r="D2492" i="6"/>
  <c r="E2491" i="6"/>
  <c r="D2491" i="6"/>
  <c r="E2490" i="6"/>
  <c r="D2490" i="6"/>
  <c r="E2489" i="6"/>
  <c r="D2489" i="6"/>
  <c r="E2488" i="6"/>
  <c r="D2488" i="6"/>
  <c r="E2487" i="6"/>
  <c r="D2487" i="6"/>
  <c r="E2486" i="6"/>
  <c r="D2486" i="6"/>
  <c r="E2485" i="6"/>
  <c r="D2485" i="6"/>
  <c r="E2484" i="6"/>
  <c r="D2484" i="6"/>
  <c r="E2483" i="6"/>
  <c r="D2483" i="6"/>
  <c r="E2482" i="6"/>
  <c r="D2482" i="6"/>
  <c r="E2481" i="6"/>
  <c r="D2481" i="6"/>
  <c r="E2480" i="6"/>
  <c r="D2480" i="6"/>
  <c r="E2479" i="6"/>
  <c r="D2479" i="6"/>
  <c r="E2478" i="6"/>
  <c r="D2478" i="6"/>
  <c r="E2477" i="6"/>
  <c r="D2477" i="6"/>
  <c r="E2476" i="6"/>
  <c r="D2476" i="6"/>
  <c r="E2475" i="6"/>
  <c r="D2475" i="6"/>
  <c r="E2474" i="6"/>
  <c r="D2474" i="6"/>
  <c r="E2473" i="6"/>
  <c r="D2473" i="6"/>
  <c r="E2472" i="6"/>
  <c r="D2472" i="6"/>
  <c r="E2471" i="6"/>
  <c r="D2471" i="6"/>
  <c r="E2470" i="6"/>
  <c r="D2470" i="6"/>
  <c r="E2469" i="6"/>
  <c r="D2469" i="6"/>
  <c r="E2468" i="6"/>
  <c r="D2468" i="6"/>
  <c r="E2467" i="6"/>
  <c r="D2467" i="6"/>
  <c r="E2466" i="6"/>
  <c r="D2466" i="6"/>
  <c r="E2465" i="6"/>
  <c r="D2465" i="6"/>
  <c r="E2464" i="6"/>
  <c r="D2464" i="6"/>
  <c r="E2463" i="6"/>
  <c r="D2463" i="6"/>
  <c r="E2462" i="6"/>
  <c r="D2462" i="6"/>
  <c r="E2461" i="6"/>
  <c r="D2461" i="6"/>
  <c r="E2460" i="6"/>
  <c r="D2460" i="6"/>
  <c r="E2459" i="6"/>
  <c r="D2459" i="6"/>
  <c r="E2458" i="6"/>
  <c r="D2458" i="6"/>
  <c r="E2457" i="6"/>
  <c r="D2457" i="6"/>
  <c r="E2456" i="6"/>
  <c r="D2456" i="6"/>
  <c r="E2455" i="6"/>
  <c r="D2455" i="6"/>
  <c r="E2454" i="6"/>
  <c r="D2454" i="6"/>
  <c r="E2453" i="6"/>
  <c r="D2453" i="6"/>
  <c r="E2452" i="6"/>
  <c r="D2452" i="6"/>
  <c r="E2451" i="6"/>
  <c r="D2451" i="6"/>
  <c r="E2450" i="6"/>
  <c r="D2450" i="6"/>
  <c r="E2449" i="6"/>
  <c r="D2449" i="6"/>
  <c r="E2448" i="6"/>
  <c r="D2448" i="6"/>
  <c r="E2447" i="6"/>
  <c r="D2447" i="6"/>
  <c r="E2446" i="6"/>
  <c r="D2446" i="6"/>
  <c r="E2445" i="6"/>
  <c r="D2445" i="6"/>
  <c r="E2444" i="6"/>
  <c r="D2444" i="6"/>
  <c r="E2443" i="6"/>
  <c r="D2443" i="6"/>
  <c r="E2442" i="6"/>
  <c r="D2442" i="6"/>
  <c r="E2441" i="6"/>
  <c r="D2441" i="6"/>
  <c r="E2440" i="6"/>
  <c r="D2440" i="6"/>
  <c r="E2439" i="6"/>
  <c r="D2439" i="6"/>
  <c r="E2438" i="6"/>
  <c r="D2438" i="6"/>
  <c r="E2437" i="6"/>
  <c r="D2437" i="6"/>
  <c r="E2436" i="6"/>
  <c r="D2436" i="6"/>
  <c r="E2435" i="6"/>
  <c r="D2435" i="6"/>
  <c r="E2434" i="6"/>
  <c r="D2434" i="6"/>
  <c r="E2433" i="6"/>
  <c r="D2433" i="6"/>
  <c r="E2432" i="6"/>
  <c r="D2432" i="6"/>
  <c r="E2431" i="6"/>
  <c r="D2431" i="6"/>
  <c r="E2430" i="6"/>
  <c r="D2430" i="6"/>
  <c r="E2429" i="6"/>
  <c r="D2429" i="6"/>
  <c r="E2428" i="6"/>
  <c r="D2428" i="6"/>
  <c r="E2427" i="6"/>
  <c r="D2427" i="6"/>
  <c r="E2426" i="6"/>
  <c r="D2426" i="6"/>
  <c r="E2425" i="6"/>
  <c r="D2425" i="6"/>
  <c r="E2424" i="6"/>
  <c r="D2424" i="6"/>
  <c r="E2423" i="6"/>
  <c r="D2423" i="6"/>
  <c r="E2422" i="6"/>
  <c r="D2422" i="6"/>
  <c r="E2421" i="6"/>
  <c r="D2421" i="6"/>
  <c r="E2420" i="6"/>
  <c r="D2420" i="6"/>
  <c r="E2419" i="6"/>
  <c r="D2419" i="6"/>
  <c r="E2418" i="6"/>
  <c r="D2418" i="6"/>
  <c r="E2417" i="6"/>
  <c r="D2417" i="6"/>
  <c r="E2416" i="6"/>
  <c r="D2416" i="6"/>
  <c r="E2415" i="6"/>
  <c r="D2415" i="6"/>
  <c r="E2414" i="6"/>
  <c r="D2414" i="6"/>
  <c r="E2413" i="6"/>
  <c r="D2413" i="6"/>
  <c r="E2412" i="6"/>
  <c r="D2412" i="6"/>
  <c r="E2411" i="6"/>
  <c r="D2411" i="6"/>
  <c r="E2410" i="6"/>
  <c r="D2410" i="6"/>
  <c r="E2409" i="6"/>
  <c r="D2409" i="6"/>
  <c r="E2408" i="6"/>
  <c r="D2408" i="6"/>
  <c r="E2407" i="6"/>
  <c r="D2407" i="6"/>
  <c r="E2406" i="6"/>
  <c r="D2406" i="6"/>
  <c r="E2405" i="6"/>
  <c r="D2405" i="6"/>
  <c r="E2404" i="6"/>
  <c r="D2404" i="6"/>
  <c r="E2403" i="6"/>
  <c r="D2403" i="6"/>
  <c r="E2402" i="6"/>
  <c r="D2402" i="6"/>
  <c r="E2401" i="6"/>
  <c r="D2401" i="6"/>
  <c r="E2400" i="6"/>
  <c r="D2400" i="6"/>
  <c r="E2399" i="6"/>
  <c r="D2399" i="6"/>
  <c r="E2398" i="6"/>
  <c r="D2398" i="6"/>
  <c r="E2397" i="6"/>
  <c r="D2397" i="6"/>
  <c r="E2396" i="6"/>
  <c r="D2396" i="6"/>
  <c r="E2395" i="6"/>
  <c r="D2395" i="6"/>
  <c r="E2394" i="6"/>
  <c r="D2394" i="6"/>
  <c r="E2393" i="6"/>
  <c r="D2393" i="6"/>
  <c r="E2392" i="6"/>
  <c r="D2392" i="6"/>
  <c r="E2391" i="6"/>
  <c r="D2391" i="6"/>
  <c r="E2390" i="6"/>
  <c r="D2390" i="6"/>
  <c r="E2389" i="6"/>
  <c r="D2389" i="6"/>
  <c r="E2388" i="6"/>
  <c r="D2388" i="6"/>
  <c r="E2387" i="6"/>
  <c r="D2387" i="6"/>
  <c r="E2386" i="6"/>
  <c r="D2386" i="6"/>
  <c r="E2385" i="6"/>
  <c r="D2385" i="6"/>
  <c r="E2384" i="6"/>
  <c r="D2384" i="6"/>
  <c r="E2383" i="6"/>
  <c r="D2383" i="6"/>
  <c r="E2382" i="6"/>
  <c r="D2382" i="6"/>
  <c r="E2381" i="6"/>
  <c r="D2381" i="6"/>
  <c r="E2380" i="6"/>
  <c r="D2380" i="6"/>
  <c r="E2379" i="6"/>
  <c r="D2379" i="6"/>
  <c r="E2378" i="6"/>
  <c r="D2378" i="6"/>
  <c r="E2377" i="6"/>
  <c r="D2377" i="6"/>
  <c r="E2376" i="6"/>
  <c r="D2376" i="6"/>
  <c r="E2375" i="6"/>
  <c r="D2375" i="6"/>
  <c r="E2374" i="6"/>
  <c r="D2374" i="6"/>
  <c r="E2373" i="6"/>
  <c r="D2373" i="6"/>
  <c r="E2372" i="6"/>
  <c r="D2372" i="6"/>
  <c r="E2371" i="6"/>
  <c r="D2371" i="6"/>
  <c r="E2370" i="6"/>
  <c r="D2370" i="6"/>
  <c r="E2369" i="6"/>
  <c r="D2369" i="6"/>
  <c r="E2368" i="6"/>
  <c r="D2368" i="6"/>
  <c r="E2367" i="6"/>
  <c r="D2367" i="6"/>
  <c r="E2366" i="6"/>
  <c r="D2366" i="6"/>
  <c r="E2365" i="6"/>
  <c r="D2365" i="6"/>
  <c r="E2364" i="6"/>
  <c r="D2364" i="6"/>
  <c r="E2363" i="6"/>
  <c r="D2363" i="6"/>
  <c r="E2362" i="6"/>
  <c r="D2362" i="6"/>
  <c r="E2361" i="6"/>
  <c r="D2361" i="6"/>
  <c r="E2360" i="6"/>
  <c r="D2360" i="6"/>
  <c r="E2359" i="6"/>
  <c r="D2359" i="6"/>
  <c r="E2358" i="6"/>
  <c r="D2358" i="6"/>
  <c r="E2357" i="6"/>
  <c r="D2357" i="6"/>
  <c r="E2356" i="6"/>
  <c r="D2356" i="6"/>
  <c r="E2355" i="6"/>
  <c r="D2355" i="6"/>
  <c r="E2354" i="6"/>
  <c r="D2354" i="6"/>
  <c r="E2353" i="6"/>
  <c r="D2353" i="6"/>
  <c r="E2352" i="6"/>
  <c r="D2352" i="6"/>
  <c r="E2351" i="6"/>
  <c r="D2351" i="6"/>
  <c r="E2350" i="6"/>
  <c r="D2350" i="6"/>
  <c r="E2349" i="6"/>
  <c r="D2349" i="6"/>
  <c r="E2348" i="6"/>
  <c r="D2348" i="6"/>
  <c r="E2347" i="6"/>
  <c r="D2347" i="6"/>
  <c r="E2346" i="6"/>
  <c r="D2346" i="6"/>
  <c r="E2345" i="6"/>
  <c r="D2345" i="6"/>
  <c r="E2344" i="6"/>
  <c r="D2344" i="6"/>
  <c r="E2343" i="6"/>
  <c r="D2343" i="6"/>
  <c r="E2342" i="6"/>
  <c r="D2342" i="6"/>
  <c r="E2341" i="6"/>
  <c r="D2341" i="6"/>
  <c r="E2340" i="6"/>
  <c r="D2340" i="6"/>
  <c r="E2339" i="6"/>
  <c r="D2339" i="6"/>
  <c r="E2338" i="6"/>
  <c r="D2338" i="6"/>
  <c r="E2337" i="6"/>
  <c r="D2337" i="6"/>
  <c r="E2336" i="6"/>
  <c r="D2336" i="6"/>
  <c r="E2335" i="6"/>
  <c r="D2335" i="6"/>
  <c r="E2334" i="6"/>
  <c r="D2334" i="6"/>
  <c r="E2333" i="6"/>
  <c r="D2333" i="6"/>
  <c r="E2332" i="6"/>
  <c r="D2332" i="6"/>
  <c r="E2331" i="6"/>
  <c r="D2331" i="6"/>
  <c r="E2330" i="6"/>
  <c r="D2330" i="6"/>
  <c r="E2329" i="6"/>
  <c r="D2329" i="6"/>
  <c r="E2328" i="6"/>
  <c r="D2328" i="6"/>
  <c r="E2327" i="6"/>
  <c r="D2327" i="6"/>
  <c r="E2326" i="6"/>
  <c r="D2326" i="6"/>
  <c r="E2325" i="6"/>
  <c r="D2325" i="6"/>
  <c r="E2324" i="6"/>
  <c r="D2324" i="6"/>
  <c r="E2323" i="6"/>
  <c r="D2323" i="6"/>
  <c r="E2322" i="6"/>
  <c r="D2322" i="6"/>
  <c r="E2321" i="6"/>
  <c r="D2321" i="6"/>
  <c r="E2320" i="6"/>
  <c r="D2320" i="6"/>
  <c r="E2319" i="6"/>
  <c r="D2319" i="6"/>
  <c r="E2318" i="6"/>
  <c r="D2318" i="6"/>
  <c r="E2317" i="6"/>
  <c r="D2317" i="6"/>
  <c r="E2316" i="6"/>
  <c r="D2316" i="6"/>
  <c r="E2315" i="6"/>
  <c r="D2315" i="6"/>
  <c r="E2314" i="6"/>
  <c r="D2314" i="6"/>
  <c r="E2313" i="6"/>
  <c r="D2313" i="6"/>
  <c r="E2312" i="6"/>
  <c r="D2312" i="6"/>
  <c r="E2311" i="6"/>
  <c r="D2311" i="6"/>
  <c r="E2310" i="6"/>
  <c r="D2310" i="6"/>
  <c r="E2309" i="6"/>
  <c r="D2309" i="6"/>
  <c r="E2308" i="6"/>
  <c r="D2308" i="6"/>
  <c r="E2307" i="6"/>
  <c r="D2307" i="6"/>
  <c r="E2306" i="6"/>
  <c r="D2306" i="6"/>
  <c r="E2305" i="6"/>
  <c r="D2305" i="6"/>
  <c r="E2304" i="6"/>
  <c r="D2304" i="6"/>
  <c r="E2303" i="6"/>
  <c r="D2303" i="6"/>
  <c r="E2302" i="6"/>
  <c r="D2302" i="6"/>
  <c r="E2301" i="6"/>
  <c r="D2301" i="6"/>
  <c r="E2300" i="6"/>
  <c r="D2300" i="6"/>
  <c r="E2299" i="6"/>
  <c r="D2299" i="6"/>
  <c r="E2298" i="6"/>
  <c r="D2298" i="6"/>
  <c r="E2297" i="6"/>
  <c r="D2297" i="6"/>
  <c r="E2296" i="6"/>
  <c r="D2296" i="6"/>
  <c r="E2295" i="6"/>
  <c r="D2295" i="6"/>
  <c r="E2294" i="6"/>
  <c r="D2294" i="6"/>
  <c r="E2293" i="6"/>
  <c r="D2293" i="6"/>
  <c r="E2292" i="6"/>
  <c r="D2292" i="6"/>
  <c r="E2291" i="6"/>
  <c r="D2291" i="6"/>
  <c r="E2290" i="6"/>
  <c r="D2290" i="6"/>
  <c r="E2289" i="6"/>
  <c r="D2289" i="6"/>
  <c r="E2288" i="6"/>
  <c r="D2288" i="6"/>
  <c r="E2287" i="6"/>
  <c r="D2287" i="6"/>
  <c r="E2286" i="6"/>
  <c r="D2286" i="6"/>
  <c r="E2285" i="6"/>
  <c r="D2285" i="6"/>
  <c r="E2284" i="6"/>
  <c r="D2284" i="6"/>
  <c r="E2283" i="6"/>
  <c r="D2283" i="6"/>
  <c r="E2282" i="6"/>
  <c r="D2282" i="6"/>
  <c r="E2281" i="6"/>
  <c r="D2281" i="6"/>
  <c r="E2280" i="6"/>
  <c r="D2280" i="6"/>
  <c r="E2279" i="6"/>
  <c r="D2279" i="6"/>
  <c r="E2278" i="6"/>
  <c r="D2278" i="6"/>
  <c r="E2277" i="6"/>
  <c r="D2277" i="6"/>
  <c r="E2276" i="6"/>
  <c r="D2276" i="6"/>
  <c r="E2275" i="6"/>
  <c r="D2275" i="6"/>
  <c r="E2274" i="6"/>
  <c r="D2274" i="6"/>
  <c r="E2273" i="6"/>
  <c r="D2273" i="6"/>
  <c r="E2272" i="6"/>
  <c r="D2272" i="6"/>
  <c r="E2271" i="6"/>
  <c r="D2271" i="6"/>
  <c r="E2270" i="6"/>
  <c r="D2270" i="6"/>
  <c r="E2269" i="6"/>
  <c r="D2269" i="6"/>
  <c r="E2268" i="6"/>
  <c r="D2268" i="6"/>
  <c r="E2267" i="6"/>
  <c r="D2267" i="6"/>
  <c r="E2266" i="6"/>
  <c r="D2266" i="6"/>
  <c r="E2265" i="6"/>
  <c r="D2265" i="6"/>
  <c r="E2264" i="6"/>
  <c r="D2264" i="6"/>
  <c r="E2263" i="6"/>
  <c r="D2263" i="6"/>
  <c r="E2262" i="6"/>
  <c r="D2262" i="6"/>
  <c r="E2261" i="6"/>
  <c r="D2261" i="6"/>
  <c r="E2260" i="6"/>
  <c r="D2260" i="6"/>
  <c r="E2259" i="6"/>
  <c r="D2259" i="6"/>
  <c r="E2258" i="6"/>
  <c r="D2258" i="6"/>
  <c r="E2257" i="6"/>
  <c r="D2257" i="6"/>
  <c r="E2256" i="6"/>
  <c r="D2256" i="6"/>
  <c r="E2255" i="6"/>
  <c r="D2255" i="6"/>
  <c r="E2254" i="6"/>
  <c r="D2254" i="6"/>
  <c r="E2253" i="6"/>
  <c r="D2253" i="6"/>
  <c r="E2252" i="6"/>
  <c r="D2252" i="6"/>
  <c r="E2251" i="6"/>
  <c r="D2251" i="6"/>
  <c r="E2250" i="6"/>
  <c r="D2250" i="6"/>
  <c r="E2249" i="6"/>
  <c r="D2249" i="6"/>
  <c r="E2248" i="6"/>
  <c r="D2248" i="6"/>
  <c r="E2247" i="6"/>
  <c r="D2247" i="6"/>
  <c r="E2246" i="6"/>
  <c r="D2246" i="6"/>
  <c r="E2245" i="6"/>
  <c r="D2245" i="6"/>
  <c r="E2244" i="6"/>
  <c r="D2244" i="6"/>
  <c r="E2243" i="6"/>
  <c r="D2243" i="6"/>
  <c r="E2242" i="6"/>
  <c r="D2242" i="6"/>
  <c r="E2241" i="6"/>
  <c r="D2241" i="6"/>
  <c r="E2240" i="6"/>
  <c r="D2240" i="6"/>
  <c r="E2239" i="6"/>
  <c r="D2239" i="6"/>
  <c r="E2238" i="6"/>
  <c r="D2238" i="6"/>
  <c r="E2237" i="6"/>
  <c r="D2237" i="6"/>
  <c r="E2236" i="6"/>
  <c r="D2236" i="6"/>
  <c r="E2235" i="6"/>
  <c r="D2235" i="6"/>
  <c r="E2234" i="6"/>
  <c r="D2234" i="6"/>
  <c r="E2233" i="6"/>
  <c r="D2233" i="6"/>
  <c r="E2232" i="6"/>
  <c r="D2232" i="6"/>
  <c r="E2231" i="6"/>
  <c r="D2231" i="6"/>
  <c r="E2230" i="6"/>
  <c r="D2230" i="6"/>
  <c r="E2229" i="6"/>
  <c r="D2229" i="6"/>
  <c r="E2228" i="6"/>
  <c r="D2228" i="6"/>
  <c r="E2227" i="6"/>
  <c r="D2227" i="6"/>
  <c r="E2226" i="6"/>
  <c r="D2226" i="6"/>
  <c r="E2225" i="6"/>
  <c r="D2225" i="6"/>
  <c r="E2224" i="6"/>
  <c r="D2224" i="6"/>
  <c r="E2223" i="6"/>
  <c r="D2223" i="6"/>
  <c r="E2222" i="6"/>
  <c r="D2222" i="6"/>
  <c r="E2221" i="6"/>
  <c r="D2221" i="6"/>
  <c r="E2220" i="6"/>
  <c r="D2220" i="6"/>
  <c r="E2219" i="6"/>
  <c r="D2219" i="6"/>
  <c r="E2218" i="6"/>
  <c r="D2218" i="6"/>
  <c r="E2217" i="6"/>
  <c r="D2217" i="6"/>
  <c r="E2216" i="6"/>
  <c r="D2216" i="6"/>
  <c r="E2215" i="6"/>
  <c r="D2215" i="6"/>
  <c r="E2214" i="6"/>
  <c r="D2214" i="6"/>
  <c r="E2213" i="6"/>
  <c r="D2213" i="6"/>
  <c r="E2212" i="6"/>
  <c r="D2212" i="6"/>
  <c r="E2211" i="6"/>
  <c r="D2211" i="6"/>
  <c r="E2210" i="6"/>
  <c r="D2210" i="6"/>
  <c r="E2209" i="6"/>
  <c r="D2209" i="6"/>
  <c r="E2208" i="6"/>
  <c r="D2208" i="6"/>
  <c r="E2207" i="6"/>
  <c r="D2207" i="6"/>
  <c r="E2206" i="6"/>
  <c r="D2206" i="6"/>
  <c r="E2205" i="6"/>
  <c r="D2205" i="6"/>
  <c r="E2204" i="6"/>
  <c r="D2204" i="6"/>
  <c r="E2203" i="6"/>
  <c r="D2203" i="6"/>
  <c r="E2202" i="6"/>
  <c r="D2202" i="6"/>
  <c r="E2201" i="6"/>
  <c r="D2201" i="6"/>
  <c r="E2200" i="6"/>
  <c r="D2200" i="6"/>
  <c r="E2199" i="6"/>
  <c r="D2199" i="6"/>
  <c r="E2198" i="6"/>
  <c r="D2198" i="6"/>
  <c r="E2197" i="6"/>
  <c r="D2197" i="6"/>
  <c r="E2196" i="6"/>
  <c r="D2196" i="6"/>
  <c r="E2195" i="6"/>
  <c r="D2195" i="6"/>
  <c r="E2194" i="6"/>
  <c r="D2194" i="6"/>
  <c r="E2193" i="6"/>
  <c r="D2193" i="6"/>
  <c r="E2192" i="6"/>
  <c r="D2192" i="6"/>
  <c r="E2191" i="6"/>
  <c r="D2191" i="6"/>
  <c r="E2190" i="6"/>
  <c r="D2190" i="6"/>
  <c r="E2189" i="6"/>
  <c r="D2189" i="6"/>
  <c r="E2188" i="6"/>
  <c r="D2188" i="6"/>
  <c r="E2187" i="6"/>
  <c r="D2187" i="6"/>
  <c r="E2186" i="6"/>
  <c r="D2186" i="6"/>
  <c r="E2185" i="6"/>
  <c r="D2185" i="6"/>
  <c r="E2184" i="6"/>
  <c r="D2184" i="6"/>
  <c r="E2183" i="6"/>
  <c r="D2183" i="6"/>
  <c r="E2182" i="6"/>
  <c r="D2182" i="6"/>
  <c r="E2181" i="6"/>
  <c r="D2181" i="6"/>
  <c r="E2180" i="6"/>
  <c r="D2180" i="6"/>
  <c r="E2179" i="6"/>
  <c r="D2179" i="6"/>
  <c r="E2178" i="6"/>
  <c r="D2178" i="6"/>
  <c r="E2177" i="6"/>
  <c r="D2177" i="6"/>
  <c r="E2176" i="6"/>
  <c r="D2176" i="6"/>
  <c r="E2175" i="6"/>
  <c r="D2175" i="6"/>
  <c r="E2174" i="6"/>
  <c r="D2174" i="6"/>
  <c r="E2173" i="6"/>
  <c r="D2173" i="6"/>
  <c r="E2172" i="6"/>
  <c r="D2172" i="6"/>
  <c r="E2171" i="6"/>
  <c r="D2171" i="6"/>
  <c r="E2170" i="6"/>
  <c r="D2170" i="6"/>
  <c r="E2169" i="6"/>
  <c r="D2169" i="6"/>
  <c r="E2168" i="6"/>
  <c r="D2168" i="6"/>
  <c r="E2167" i="6"/>
  <c r="D2167" i="6"/>
  <c r="E2166" i="6"/>
  <c r="D2166" i="6"/>
  <c r="E2165" i="6"/>
  <c r="D2165" i="6"/>
  <c r="E2164" i="6"/>
  <c r="D2164" i="6"/>
  <c r="E2163" i="6"/>
  <c r="D2163" i="6"/>
  <c r="E2162" i="6"/>
  <c r="D2162" i="6"/>
  <c r="E2161" i="6"/>
  <c r="D2161" i="6"/>
  <c r="E2160" i="6"/>
  <c r="D2160" i="6"/>
  <c r="E2159" i="6"/>
  <c r="D2159" i="6"/>
  <c r="E2158" i="6"/>
  <c r="D2158" i="6"/>
  <c r="E2157" i="6"/>
  <c r="D2157" i="6"/>
  <c r="E2156" i="6"/>
  <c r="D2156" i="6"/>
  <c r="E2155" i="6"/>
  <c r="D2155" i="6"/>
  <c r="E2154" i="6"/>
  <c r="D2154" i="6"/>
  <c r="E2153" i="6"/>
  <c r="D2153" i="6"/>
  <c r="E2152" i="6"/>
  <c r="D2152" i="6"/>
  <c r="E2151" i="6"/>
  <c r="D2151" i="6"/>
  <c r="E2150" i="6"/>
  <c r="D2150" i="6"/>
  <c r="E2149" i="6"/>
  <c r="D2149" i="6"/>
  <c r="E2148" i="6"/>
  <c r="D2148" i="6"/>
  <c r="E2147" i="6"/>
  <c r="D2147" i="6"/>
  <c r="E2146" i="6"/>
  <c r="D2146" i="6"/>
  <c r="E2145" i="6"/>
  <c r="D2145" i="6"/>
  <c r="E2144" i="6"/>
  <c r="D2144" i="6"/>
  <c r="E2143" i="6"/>
  <c r="D2143" i="6"/>
  <c r="E2142" i="6"/>
  <c r="D2142" i="6"/>
  <c r="E2141" i="6"/>
  <c r="D2141" i="6"/>
  <c r="E2140" i="6"/>
  <c r="D2140" i="6"/>
  <c r="E2139" i="6"/>
  <c r="D2139" i="6"/>
  <c r="E2138" i="6"/>
  <c r="D2138" i="6"/>
  <c r="E2137" i="6"/>
  <c r="D2137" i="6"/>
  <c r="E2136" i="6"/>
  <c r="D2136" i="6"/>
  <c r="E2135" i="6"/>
  <c r="D2135" i="6"/>
  <c r="E2134" i="6"/>
  <c r="D2134" i="6"/>
  <c r="E2133" i="6"/>
  <c r="D2133" i="6"/>
  <c r="E2132" i="6"/>
  <c r="D2132" i="6"/>
  <c r="E2131" i="6"/>
  <c r="D2131" i="6"/>
  <c r="E2130" i="6"/>
  <c r="D2130" i="6"/>
  <c r="E2129" i="6"/>
  <c r="D2129" i="6"/>
  <c r="E2128" i="6"/>
  <c r="D2128" i="6"/>
  <c r="E2127" i="6"/>
  <c r="D2127" i="6"/>
  <c r="E2126" i="6"/>
  <c r="D2126" i="6"/>
  <c r="E2125" i="6"/>
  <c r="D2125" i="6"/>
  <c r="E2124" i="6"/>
  <c r="D2124" i="6"/>
  <c r="E2123" i="6"/>
  <c r="D2123" i="6"/>
  <c r="E2122" i="6"/>
  <c r="D2122" i="6"/>
  <c r="E2121" i="6"/>
  <c r="D2121" i="6"/>
  <c r="E2120" i="6"/>
  <c r="D2120" i="6"/>
  <c r="E2119" i="6"/>
  <c r="D2119" i="6"/>
  <c r="E2118" i="6"/>
  <c r="D2118" i="6"/>
  <c r="E2117" i="6"/>
  <c r="D2117" i="6"/>
  <c r="E2116" i="6"/>
  <c r="D2116" i="6"/>
  <c r="E2115" i="6"/>
  <c r="D2115" i="6"/>
  <c r="E2114" i="6"/>
  <c r="D2114" i="6"/>
  <c r="E2113" i="6"/>
  <c r="D2113" i="6"/>
  <c r="E2112" i="6"/>
  <c r="D2112" i="6"/>
  <c r="E2111" i="6"/>
  <c r="D2111" i="6"/>
  <c r="E2110" i="6"/>
  <c r="D2110" i="6"/>
  <c r="E2109" i="6"/>
  <c r="D2109" i="6"/>
  <c r="E2108" i="6"/>
  <c r="D2108" i="6"/>
  <c r="E2107" i="6"/>
  <c r="D2107" i="6"/>
  <c r="E2106" i="6"/>
  <c r="D2106" i="6"/>
  <c r="E2105" i="6"/>
  <c r="D2105" i="6"/>
  <c r="E2104" i="6"/>
  <c r="D2104" i="6"/>
  <c r="E2103" i="6"/>
  <c r="D2103" i="6"/>
  <c r="E2102" i="6"/>
  <c r="D2102" i="6"/>
  <c r="E2101" i="6"/>
  <c r="D2101" i="6"/>
  <c r="E2100" i="6"/>
  <c r="D2100" i="6"/>
  <c r="E2099" i="6"/>
  <c r="D2099" i="6"/>
  <c r="E2098" i="6"/>
  <c r="D2098" i="6"/>
  <c r="E2097" i="6"/>
  <c r="D2097" i="6"/>
  <c r="E2096" i="6"/>
  <c r="D2096" i="6"/>
  <c r="E2095" i="6"/>
  <c r="D2095" i="6"/>
  <c r="E2094" i="6"/>
  <c r="D2094" i="6"/>
  <c r="E2093" i="6"/>
  <c r="D2093" i="6"/>
  <c r="E2092" i="6"/>
  <c r="D2092" i="6"/>
  <c r="E2091" i="6"/>
  <c r="D2091" i="6"/>
  <c r="E2090" i="6"/>
  <c r="D2090" i="6"/>
  <c r="E2089" i="6"/>
  <c r="D2089" i="6"/>
  <c r="E2088" i="6"/>
  <c r="D2088" i="6"/>
  <c r="E2087" i="6"/>
  <c r="D2087" i="6"/>
  <c r="E2086" i="6"/>
  <c r="D2086" i="6"/>
  <c r="E2085" i="6"/>
  <c r="D2085" i="6"/>
  <c r="E2084" i="6"/>
  <c r="D2084" i="6"/>
  <c r="E2083" i="6"/>
  <c r="D2083" i="6"/>
  <c r="E2082" i="6"/>
  <c r="D2082" i="6"/>
  <c r="E2081" i="6"/>
  <c r="D2081" i="6"/>
  <c r="E2080" i="6"/>
  <c r="D2080" i="6"/>
  <c r="E2079" i="6"/>
  <c r="D2079" i="6"/>
  <c r="E2078" i="6"/>
  <c r="D2078" i="6"/>
  <c r="E2077" i="6"/>
  <c r="D2077" i="6"/>
  <c r="E2076" i="6"/>
  <c r="D2076" i="6"/>
  <c r="E2075" i="6"/>
  <c r="D2075" i="6"/>
  <c r="E2074" i="6"/>
  <c r="D2074" i="6"/>
  <c r="E2073" i="6"/>
  <c r="D2073" i="6"/>
  <c r="E2072" i="6"/>
  <c r="D2072" i="6"/>
  <c r="E2071" i="6"/>
  <c r="D2071" i="6"/>
  <c r="E2070" i="6"/>
  <c r="D2070" i="6"/>
  <c r="E2069" i="6"/>
  <c r="D2069" i="6"/>
  <c r="E2068" i="6"/>
  <c r="D2068" i="6"/>
  <c r="E2067" i="6"/>
  <c r="D2067" i="6"/>
  <c r="E2066" i="6"/>
  <c r="D2066" i="6"/>
  <c r="E2065" i="6"/>
  <c r="D2065" i="6"/>
  <c r="E2064" i="6"/>
  <c r="D2064" i="6"/>
  <c r="E2063" i="6"/>
  <c r="D2063" i="6"/>
  <c r="E2062" i="6"/>
  <c r="D2062" i="6"/>
  <c r="E2061" i="6"/>
  <c r="D2061" i="6"/>
  <c r="E2060" i="6"/>
  <c r="D2060" i="6"/>
  <c r="E2059" i="6"/>
  <c r="D2059" i="6"/>
  <c r="E2058" i="6"/>
  <c r="D2058" i="6"/>
  <c r="E2057" i="6"/>
  <c r="D2057" i="6"/>
  <c r="E2056" i="6"/>
  <c r="D2056" i="6"/>
  <c r="E2055" i="6"/>
  <c r="D2055" i="6"/>
  <c r="E2054" i="6"/>
  <c r="D2054" i="6"/>
  <c r="E2053" i="6"/>
  <c r="D2053" i="6"/>
  <c r="E2052" i="6"/>
  <c r="D2052" i="6"/>
  <c r="E2051" i="6"/>
  <c r="D2051" i="6"/>
  <c r="E2050" i="6"/>
  <c r="D2050" i="6"/>
  <c r="E2049" i="6"/>
  <c r="D2049" i="6"/>
  <c r="E2048" i="6"/>
  <c r="D2048" i="6"/>
  <c r="E2047" i="6"/>
  <c r="D2047" i="6"/>
  <c r="E2046" i="6"/>
  <c r="D2046" i="6"/>
  <c r="E2045" i="6"/>
  <c r="D2045" i="6"/>
  <c r="E2044" i="6"/>
  <c r="D2044" i="6"/>
  <c r="E2043" i="6"/>
  <c r="D2043" i="6"/>
  <c r="E2042" i="6"/>
  <c r="D2042" i="6"/>
  <c r="E2041" i="6"/>
  <c r="D2041" i="6"/>
  <c r="E2040" i="6"/>
  <c r="D2040" i="6"/>
  <c r="E2039" i="6"/>
  <c r="D2039" i="6"/>
  <c r="E2038" i="6"/>
  <c r="D2038" i="6"/>
  <c r="E2037" i="6"/>
  <c r="D2037" i="6"/>
  <c r="E2036" i="6"/>
  <c r="D2036" i="6"/>
  <c r="E2035" i="6"/>
  <c r="D2035" i="6"/>
  <c r="E2034" i="6"/>
  <c r="D2034" i="6"/>
  <c r="E2033" i="6"/>
  <c r="D2033" i="6"/>
  <c r="E2032" i="6"/>
  <c r="D2032" i="6"/>
  <c r="E2031" i="6"/>
  <c r="D2031" i="6"/>
  <c r="E2030" i="6"/>
  <c r="D2030" i="6"/>
  <c r="E2029" i="6"/>
  <c r="D2029" i="6"/>
  <c r="E2028" i="6"/>
  <c r="D2028" i="6"/>
  <c r="E2027" i="6"/>
  <c r="D2027" i="6"/>
  <c r="E2026" i="6"/>
  <c r="D2026" i="6"/>
  <c r="E2025" i="6"/>
  <c r="D2025" i="6"/>
  <c r="E2024" i="6"/>
  <c r="D2024" i="6"/>
  <c r="E2023" i="6"/>
  <c r="D2023" i="6"/>
  <c r="E2022" i="6"/>
  <c r="D2022" i="6"/>
  <c r="E2021" i="6"/>
  <c r="D2021" i="6"/>
  <c r="E2020" i="6"/>
  <c r="D2020" i="6"/>
  <c r="E2019" i="6"/>
  <c r="D2019" i="6"/>
  <c r="E2018" i="6"/>
  <c r="D2018" i="6"/>
  <c r="E2017" i="6"/>
  <c r="D2017" i="6"/>
  <c r="E2016" i="6"/>
  <c r="D2016" i="6"/>
  <c r="E2015" i="6"/>
  <c r="D2015" i="6"/>
  <c r="E2014" i="6"/>
  <c r="D2014" i="6"/>
  <c r="E2013" i="6"/>
  <c r="D2013" i="6"/>
  <c r="E2012" i="6"/>
  <c r="D2012" i="6"/>
  <c r="E2011" i="6"/>
  <c r="D2011" i="6"/>
  <c r="E2010" i="6"/>
  <c r="D2010" i="6"/>
  <c r="E2009" i="6"/>
  <c r="D2009" i="6"/>
  <c r="E2008" i="6"/>
  <c r="D2008" i="6"/>
  <c r="E2007" i="6"/>
  <c r="D2007" i="6"/>
  <c r="E2006" i="6"/>
  <c r="D2006" i="6"/>
  <c r="E2005" i="6"/>
  <c r="D2005" i="6"/>
  <c r="E2004" i="6"/>
  <c r="D2004" i="6"/>
  <c r="E2003" i="6"/>
  <c r="D2003" i="6"/>
  <c r="E2002" i="6"/>
  <c r="D2002" i="6"/>
  <c r="E2001" i="6"/>
  <c r="D2001" i="6"/>
  <c r="E2000" i="6"/>
  <c r="D2000" i="6"/>
  <c r="E1999" i="6"/>
  <c r="D1999" i="6"/>
  <c r="E1998" i="6"/>
  <c r="D1998" i="6"/>
  <c r="E1997" i="6"/>
  <c r="D1997" i="6"/>
  <c r="E1996" i="6"/>
  <c r="D1996" i="6"/>
  <c r="E1995" i="6"/>
  <c r="D1995" i="6"/>
  <c r="E1994" i="6"/>
  <c r="D1994" i="6"/>
  <c r="E1993" i="6"/>
  <c r="D1993" i="6"/>
  <c r="E1992" i="6"/>
  <c r="D1992" i="6"/>
  <c r="E1991" i="6"/>
  <c r="D1991" i="6"/>
  <c r="E1990" i="6"/>
  <c r="D1990" i="6"/>
  <c r="E1989" i="6"/>
  <c r="D1989" i="6"/>
  <c r="E1988" i="6"/>
  <c r="D1988" i="6"/>
  <c r="E1987" i="6"/>
  <c r="D1987" i="6"/>
  <c r="E1986" i="6"/>
  <c r="D1986" i="6"/>
  <c r="E1985" i="6"/>
  <c r="D1985" i="6"/>
  <c r="E1984" i="6"/>
  <c r="D1984" i="6"/>
  <c r="E1983" i="6"/>
  <c r="D1983" i="6"/>
  <c r="E1982" i="6"/>
  <c r="D1982" i="6"/>
  <c r="E1981" i="6"/>
  <c r="D1981" i="6"/>
  <c r="E1980" i="6"/>
  <c r="D1980" i="6"/>
  <c r="E1979" i="6"/>
  <c r="D1979" i="6"/>
  <c r="E1978" i="6"/>
  <c r="D1978" i="6"/>
  <c r="E1977" i="6"/>
  <c r="D1977" i="6"/>
  <c r="E1976" i="6"/>
  <c r="D1976" i="6"/>
  <c r="E1975" i="6"/>
  <c r="D1975" i="6"/>
  <c r="E1974" i="6"/>
  <c r="D1974" i="6"/>
  <c r="E1973" i="6"/>
  <c r="D1973" i="6"/>
  <c r="E1972" i="6"/>
  <c r="D1972" i="6"/>
  <c r="E1971" i="6"/>
  <c r="D1971" i="6"/>
  <c r="E1970" i="6"/>
  <c r="D1970" i="6"/>
  <c r="E1969" i="6"/>
  <c r="D1969" i="6"/>
  <c r="E1968" i="6"/>
  <c r="D1968" i="6"/>
  <c r="E1967" i="6"/>
  <c r="D1967" i="6"/>
  <c r="E1966" i="6"/>
  <c r="D1966" i="6"/>
  <c r="E1965" i="6"/>
  <c r="D1965" i="6"/>
  <c r="E1964" i="6"/>
  <c r="D1964" i="6"/>
  <c r="E1963" i="6"/>
  <c r="D1963" i="6"/>
  <c r="E1962" i="6"/>
  <c r="D1962" i="6"/>
  <c r="E1961" i="6"/>
  <c r="D1961" i="6"/>
  <c r="E1960" i="6"/>
  <c r="D1960" i="6"/>
  <c r="E1959" i="6"/>
  <c r="D1959" i="6"/>
  <c r="E1958" i="6"/>
  <c r="D1958" i="6"/>
  <c r="E1957" i="6"/>
  <c r="D1957" i="6"/>
  <c r="E1956" i="6"/>
  <c r="D1956" i="6"/>
  <c r="E1955" i="6"/>
  <c r="D1955" i="6"/>
  <c r="E1954" i="6"/>
  <c r="D1954" i="6"/>
  <c r="E1953" i="6"/>
  <c r="D1953" i="6"/>
  <c r="E1952" i="6"/>
  <c r="D1952" i="6"/>
  <c r="E1951" i="6"/>
  <c r="D1951" i="6"/>
  <c r="E1950" i="6"/>
  <c r="D1950" i="6"/>
  <c r="E1949" i="6"/>
  <c r="D1949" i="6"/>
  <c r="E1948" i="6"/>
  <c r="D1948" i="6"/>
  <c r="E1947" i="6"/>
  <c r="D1947" i="6"/>
  <c r="E1946" i="6"/>
  <c r="D1946" i="6"/>
  <c r="E1945" i="6"/>
  <c r="D1945" i="6"/>
  <c r="E1944" i="6"/>
  <c r="D1944" i="6"/>
  <c r="E1943" i="6"/>
  <c r="D1943" i="6"/>
  <c r="E1942" i="6"/>
  <c r="D1942" i="6"/>
  <c r="E1941" i="6"/>
  <c r="D1941" i="6"/>
  <c r="E1940" i="6"/>
  <c r="D1940" i="6"/>
  <c r="E1939" i="6"/>
  <c r="D1939" i="6"/>
  <c r="E1938" i="6"/>
  <c r="D1938" i="6"/>
  <c r="E1937" i="6"/>
  <c r="D1937" i="6"/>
  <c r="E1936" i="6"/>
  <c r="D1936" i="6"/>
  <c r="E1935" i="6"/>
  <c r="D1935" i="6"/>
  <c r="E1934" i="6"/>
  <c r="D1934" i="6"/>
  <c r="E1933" i="6"/>
  <c r="D1933" i="6"/>
  <c r="E1932" i="6"/>
  <c r="D1932" i="6"/>
  <c r="E1931" i="6"/>
  <c r="D1931" i="6"/>
  <c r="E1930" i="6"/>
  <c r="D1930" i="6"/>
  <c r="E1929" i="6"/>
  <c r="D1929" i="6"/>
  <c r="E1928" i="6"/>
  <c r="D1928" i="6"/>
  <c r="E1927" i="6"/>
  <c r="D1927" i="6"/>
  <c r="E1926" i="6"/>
  <c r="D1926" i="6"/>
  <c r="E1925" i="6"/>
  <c r="D1925" i="6"/>
  <c r="E1924" i="6"/>
  <c r="D1924" i="6"/>
  <c r="E1923" i="6"/>
  <c r="D1923" i="6"/>
  <c r="E1922" i="6"/>
  <c r="D1922" i="6"/>
  <c r="E1921" i="6"/>
  <c r="D1921" i="6"/>
  <c r="E1920" i="6"/>
  <c r="D1920" i="6"/>
  <c r="E1919" i="6"/>
  <c r="D1919" i="6"/>
  <c r="E1918" i="6"/>
  <c r="D1918" i="6"/>
  <c r="E1917" i="6"/>
  <c r="D1917" i="6"/>
  <c r="E1916" i="6"/>
  <c r="D1916" i="6"/>
  <c r="E1915" i="6"/>
  <c r="D1915" i="6"/>
  <c r="E1914" i="6"/>
  <c r="D1914" i="6"/>
  <c r="E1913" i="6"/>
  <c r="D1913" i="6"/>
  <c r="E1912" i="6"/>
  <c r="D1912" i="6"/>
  <c r="E1911" i="6"/>
  <c r="D1911" i="6"/>
  <c r="E1910" i="6"/>
  <c r="D1910" i="6"/>
  <c r="E1909" i="6"/>
  <c r="D1909" i="6"/>
  <c r="E1908" i="6"/>
  <c r="D1908" i="6"/>
  <c r="E1907" i="6"/>
  <c r="D1907" i="6"/>
  <c r="E1906" i="6"/>
  <c r="D1906" i="6"/>
  <c r="E1905" i="6"/>
  <c r="D1905" i="6"/>
  <c r="E1904" i="6"/>
  <c r="D1904" i="6"/>
  <c r="E1903" i="6"/>
  <c r="D1903" i="6"/>
  <c r="E1902" i="6"/>
  <c r="D1902" i="6"/>
  <c r="E1901" i="6"/>
  <c r="D1901" i="6"/>
  <c r="E1900" i="6"/>
  <c r="D1900" i="6"/>
  <c r="E1899" i="6"/>
  <c r="D1899" i="6"/>
  <c r="E1898" i="6"/>
  <c r="D1898" i="6"/>
  <c r="E1897" i="6"/>
  <c r="D1897" i="6"/>
  <c r="E1896" i="6"/>
  <c r="D1896" i="6"/>
  <c r="E1895" i="6"/>
  <c r="D1895" i="6"/>
  <c r="E1894" i="6"/>
  <c r="D1894" i="6"/>
  <c r="E1893" i="6"/>
  <c r="D1893" i="6"/>
  <c r="E1892" i="6"/>
  <c r="D1892" i="6"/>
  <c r="E1891" i="6"/>
  <c r="D1891" i="6"/>
  <c r="E1890" i="6"/>
  <c r="D1890" i="6"/>
  <c r="E1889" i="6"/>
  <c r="D1889" i="6"/>
  <c r="E1888" i="6"/>
  <c r="D1888" i="6"/>
  <c r="E1887" i="6"/>
  <c r="D1887" i="6"/>
  <c r="E1886" i="6"/>
  <c r="D1886" i="6"/>
  <c r="E1885" i="6"/>
  <c r="D1885" i="6"/>
  <c r="E1884" i="6"/>
  <c r="D1884" i="6"/>
  <c r="E1883" i="6"/>
  <c r="D1883" i="6"/>
  <c r="E1882" i="6"/>
  <c r="D1882" i="6"/>
  <c r="E1881" i="6"/>
  <c r="D1881" i="6"/>
  <c r="E1880" i="6"/>
  <c r="D1880" i="6"/>
  <c r="E1879" i="6"/>
  <c r="D1879" i="6"/>
  <c r="E1878" i="6"/>
  <c r="D1878" i="6"/>
  <c r="E1877" i="6"/>
  <c r="D1877" i="6"/>
  <c r="E1876" i="6"/>
  <c r="D1876" i="6"/>
  <c r="E1875" i="6"/>
  <c r="D1875" i="6"/>
  <c r="E1874" i="6"/>
  <c r="D1874" i="6"/>
  <c r="E1873" i="6"/>
  <c r="D1873" i="6"/>
  <c r="E1872" i="6"/>
  <c r="D1872" i="6"/>
  <c r="E1871" i="6"/>
  <c r="D1871" i="6"/>
  <c r="E1870" i="6"/>
  <c r="D1870" i="6"/>
  <c r="E1869" i="6"/>
  <c r="D1869" i="6"/>
  <c r="E1868" i="6"/>
  <c r="D1868" i="6"/>
  <c r="E1867" i="6"/>
  <c r="D1867" i="6"/>
  <c r="E1866" i="6"/>
  <c r="D1866" i="6"/>
  <c r="E1865" i="6"/>
  <c r="D1865" i="6"/>
  <c r="E1864" i="6"/>
  <c r="D1864" i="6"/>
  <c r="E1863" i="6"/>
  <c r="D1863" i="6"/>
  <c r="E1862" i="6"/>
  <c r="D1862" i="6"/>
  <c r="E1861" i="6"/>
  <c r="D1861" i="6"/>
  <c r="E1860" i="6"/>
  <c r="D1860" i="6"/>
  <c r="E1859" i="6"/>
  <c r="D1859" i="6"/>
  <c r="E1858" i="6"/>
  <c r="D1858" i="6"/>
  <c r="E1857" i="6"/>
  <c r="D1857" i="6"/>
  <c r="E1856" i="6"/>
  <c r="D1856" i="6"/>
  <c r="E1855" i="6"/>
  <c r="D1855" i="6"/>
  <c r="E1854" i="6"/>
  <c r="D1854" i="6"/>
  <c r="E1853" i="6"/>
  <c r="D1853" i="6"/>
  <c r="E1852" i="6"/>
  <c r="D1852" i="6"/>
  <c r="E1851" i="6"/>
  <c r="D1851" i="6"/>
  <c r="E1850" i="6"/>
  <c r="D1850" i="6"/>
  <c r="E1849" i="6"/>
  <c r="D1849" i="6"/>
  <c r="E1848" i="6"/>
  <c r="D1848" i="6"/>
  <c r="E1847" i="6"/>
  <c r="D1847" i="6"/>
  <c r="E1846" i="6"/>
  <c r="D1846" i="6"/>
  <c r="E1845" i="6"/>
  <c r="D1845" i="6"/>
  <c r="E1844" i="6"/>
  <c r="D1844" i="6"/>
  <c r="E1843" i="6"/>
  <c r="D1843" i="6"/>
  <c r="E1842" i="6"/>
  <c r="D1842" i="6"/>
  <c r="E1841" i="6"/>
  <c r="D1841" i="6"/>
  <c r="E1840" i="6"/>
  <c r="D1840" i="6"/>
  <c r="E1839" i="6"/>
  <c r="D1839" i="6"/>
  <c r="E1838" i="6"/>
  <c r="D1838" i="6"/>
  <c r="E1837" i="6"/>
  <c r="D1837" i="6"/>
  <c r="E1836" i="6"/>
  <c r="D1836" i="6"/>
  <c r="E1835" i="6"/>
  <c r="D1835" i="6"/>
  <c r="E1834" i="6"/>
  <c r="D1834" i="6"/>
  <c r="E1833" i="6"/>
  <c r="D1833" i="6"/>
  <c r="E1832" i="6"/>
  <c r="D1832" i="6"/>
  <c r="E1831" i="6"/>
  <c r="D1831" i="6"/>
  <c r="E1830" i="6"/>
  <c r="D1830" i="6"/>
  <c r="E1829" i="6"/>
  <c r="D1829" i="6"/>
  <c r="E1828" i="6"/>
  <c r="D1828" i="6"/>
  <c r="E1827" i="6"/>
  <c r="D1827" i="6"/>
  <c r="E1826" i="6"/>
  <c r="D1826" i="6"/>
  <c r="E1825" i="6"/>
  <c r="D1825" i="6"/>
  <c r="E1824" i="6"/>
  <c r="D1824" i="6"/>
  <c r="E1823" i="6"/>
  <c r="D1823" i="6"/>
  <c r="E1822" i="6"/>
  <c r="D1822" i="6"/>
  <c r="E1821" i="6"/>
  <c r="D1821" i="6"/>
  <c r="E1820" i="6"/>
  <c r="D1820" i="6"/>
  <c r="E1819" i="6"/>
  <c r="D1819" i="6"/>
  <c r="E1818" i="6"/>
  <c r="D1818" i="6"/>
  <c r="E1817" i="6"/>
  <c r="D1817" i="6"/>
  <c r="E1816" i="6"/>
  <c r="D1816" i="6"/>
  <c r="E1815" i="6"/>
  <c r="D1815" i="6"/>
  <c r="E1814" i="6"/>
  <c r="D1814" i="6"/>
  <c r="E1813" i="6"/>
  <c r="D1813" i="6"/>
  <c r="E1812" i="6"/>
  <c r="D1812" i="6"/>
  <c r="E1811" i="6"/>
  <c r="D1811" i="6"/>
  <c r="E1810" i="6"/>
  <c r="D1810" i="6"/>
  <c r="E1809" i="6"/>
  <c r="D1809" i="6"/>
  <c r="E1808" i="6"/>
  <c r="D1808" i="6"/>
  <c r="E1807" i="6"/>
  <c r="D1807" i="6"/>
  <c r="E1806" i="6"/>
  <c r="D1806" i="6"/>
  <c r="E1805" i="6"/>
  <c r="D1805" i="6"/>
  <c r="E1804" i="6"/>
  <c r="D1804" i="6"/>
  <c r="E1803" i="6"/>
  <c r="D1803" i="6"/>
  <c r="E1802" i="6"/>
  <c r="D1802" i="6"/>
  <c r="E1801" i="6"/>
  <c r="D1801" i="6"/>
  <c r="E1800" i="6"/>
  <c r="D1800" i="6"/>
  <c r="E1799" i="6"/>
  <c r="D1799" i="6"/>
  <c r="E1798" i="6"/>
  <c r="D1798" i="6"/>
  <c r="E1797" i="6"/>
  <c r="D1797" i="6"/>
  <c r="E1796" i="6"/>
  <c r="D1796" i="6"/>
  <c r="E1795" i="6"/>
  <c r="D1795" i="6"/>
  <c r="E1794" i="6"/>
  <c r="D1794" i="6"/>
  <c r="E1793" i="6"/>
  <c r="D1793" i="6"/>
  <c r="E1792" i="6"/>
  <c r="D1792" i="6"/>
  <c r="E1791" i="6"/>
  <c r="D1791" i="6"/>
  <c r="E1790" i="6"/>
  <c r="D1790" i="6"/>
  <c r="E1789" i="6"/>
  <c r="D1789" i="6"/>
  <c r="E1788" i="6"/>
  <c r="D1788" i="6"/>
  <c r="E1787" i="6"/>
  <c r="D1787" i="6"/>
  <c r="E1786" i="6"/>
  <c r="D1786" i="6"/>
  <c r="E1785" i="6"/>
  <c r="D1785" i="6"/>
  <c r="E1784" i="6"/>
  <c r="D1784" i="6"/>
  <c r="E1783" i="6"/>
  <c r="D1783" i="6"/>
  <c r="E1782" i="6"/>
  <c r="D1782" i="6"/>
  <c r="E1781" i="6"/>
  <c r="D1781" i="6"/>
  <c r="E1780" i="6"/>
  <c r="D1780" i="6"/>
  <c r="E1779" i="6"/>
  <c r="D1779" i="6"/>
  <c r="E1778" i="6"/>
  <c r="D1778" i="6"/>
  <c r="E1777" i="6"/>
  <c r="D1777" i="6"/>
  <c r="E1776" i="6"/>
  <c r="D1776" i="6"/>
  <c r="E1775" i="6"/>
  <c r="D1775" i="6"/>
  <c r="E1774" i="6"/>
  <c r="D1774" i="6"/>
  <c r="E1773" i="6"/>
  <c r="D1773" i="6"/>
  <c r="E1772" i="6"/>
  <c r="D1772" i="6"/>
  <c r="E1771" i="6"/>
  <c r="D1771" i="6"/>
  <c r="E1770" i="6"/>
  <c r="D1770" i="6"/>
  <c r="E1769" i="6"/>
  <c r="D1769" i="6"/>
  <c r="E1768" i="6"/>
  <c r="D1768" i="6"/>
  <c r="E1767" i="6"/>
  <c r="D1767" i="6"/>
  <c r="E1766" i="6"/>
  <c r="D1766" i="6"/>
  <c r="E1765" i="6"/>
  <c r="D1765" i="6"/>
  <c r="E1764" i="6"/>
  <c r="D1764" i="6"/>
  <c r="E1763" i="6"/>
  <c r="D1763" i="6"/>
  <c r="E1762" i="6"/>
  <c r="D1762" i="6"/>
  <c r="E1761" i="6"/>
  <c r="D1761" i="6"/>
  <c r="E1760" i="6"/>
  <c r="D1760" i="6"/>
  <c r="E1759" i="6"/>
  <c r="D1759" i="6"/>
  <c r="E1758" i="6"/>
  <c r="D1758" i="6"/>
  <c r="E1757" i="6"/>
  <c r="D1757" i="6"/>
  <c r="E1756" i="6"/>
  <c r="D1756" i="6"/>
  <c r="E1755" i="6"/>
  <c r="D1755" i="6"/>
  <c r="E1754" i="6"/>
  <c r="D1754" i="6"/>
  <c r="E1753" i="6"/>
  <c r="D1753" i="6"/>
  <c r="E1752" i="6"/>
  <c r="D1752" i="6"/>
  <c r="E1751" i="6"/>
  <c r="D1751" i="6"/>
  <c r="E1750" i="6"/>
  <c r="D1750" i="6"/>
  <c r="E1749" i="6"/>
  <c r="D1749" i="6"/>
  <c r="E1748" i="6"/>
  <c r="D1748" i="6"/>
  <c r="E1747" i="6"/>
  <c r="D1747" i="6"/>
  <c r="E1746" i="6"/>
  <c r="D1746" i="6"/>
  <c r="E1745" i="6"/>
  <c r="D1745" i="6"/>
  <c r="E1744" i="6"/>
  <c r="D1744" i="6"/>
  <c r="E1743" i="6"/>
  <c r="D1743" i="6"/>
  <c r="E1742" i="6"/>
  <c r="D1742" i="6"/>
  <c r="E1741" i="6"/>
  <c r="D1741" i="6"/>
  <c r="E1740" i="6"/>
  <c r="D1740" i="6"/>
  <c r="E1739" i="6"/>
  <c r="D1739" i="6"/>
  <c r="E1738" i="6"/>
  <c r="D1738" i="6"/>
  <c r="E1737" i="6"/>
  <c r="D1737" i="6"/>
  <c r="E1736" i="6"/>
  <c r="D1736" i="6"/>
  <c r="E1735" i="6"/>
  <c r="D1735" i="6"/>
  <c r="E1734" i="6"/>
  <c r="D1734" i="6"/>
  <c r="E1733" i="6"/>
  <c r="D1733" i="6"/>
  <c r="E1732" i="6"/>
  <c r="D1732" i="6"/>
  <c r="E1731" i="6"/>
  <c r="D1731" i="6"/>
  <c r="E1730" i="6"/>
  <c r="D1730" i="6"/>
  <c r="E1729" i="6"/>
  <c r="D1729" i="6"/>
  <c r="E1728" i="6"/>
  <c r="D1728" i="6"/>
  <c r="E1727" i="6"/>
  <c r="D1727" i="6"/>
  <c r="E1726" i="6"/>
  <c r="D1726" i="6"/>
  <c r="E1725" i="6"/>
  <c r="D1725" i="6"/>
  <c r="E1724" i="6"/>
  <c r="D1724" i="6"/>
  <c r="E1723" i="6"/>
  <c r="D1723" i="6"/>
  <c r="E1722" i="6"/>
  <c r="D1722" i="6"/>
  <c r="E1721" i="6"/>
  <c r="D1721" i="6"/>
  <c r="E1720" i="6"/>
  <c r="D1720" i="6"/>
  <c r="E1719" i="6"/>
  <c r="D1719" i="6"/>
  <c r="E1718" i="6"/>
  <c r="D1718" i="6"/>
  <c r="E1717" i="6"/>
  <c r="D1717" i="6"/>
  <c r="E1716" i="6"/>
  <c r="D1716" i="6"/>
  <c r="E1715" i="6"/>
  <c r="D1715" i="6"/>
  <c r="E1714" i="6"/>
  <c r="D1714" i="6"/>
  <c r="E1713" i="6"/>
  <c r="D1713" i="6"/>
  <c r="E1712" i="6"/>
  <c r="D1712" i="6"/>
  <c r="E1711" i="6"/>
  <c r="D1711" i="6"/>
  <c r="E1710" i="6"/>
  <c r="D1710" i="6"/>
  <c r="E1709" i="6"/>
  <c r="D1709" i="6"/>
  <c r="E1708" i="6"/>
  <c r="D1708" i="6"/>
  <c r="E1707" i="6"/>
  <c r="D1707" i="6"/>
  <c r="E1706" i="6"/>
  <c r="D1706" i="6"/>
  <c r="E1705" i="6"/>
  <c r="D1705" i="6"/>
  <c r="E1704" i="6"/>
  <c r="D1704" i="6"/>
  <c r="E1703" i="6"/>
  <c r="D1703" i="6"/>
  <c r="E1702" i="6"/>
  <c r="D1702" i="6"/>
  <c r="E1701" i="6"/>
  <c r="D1701" i="6"/>
  <c r="E1700" i="6"/>
  <c r="D1700" i="6"/>
  <c r="E1699" i="6"/>
  <c r="D1699" i="6"/>
  <c r="E1698" i="6"/>
  <c r="D1698" i="6"/>
  <c r="E1697" i="6"/>
  <c r="D1697" i="6"/>
  <c r="E1696" i="6"/>
  <c r="D1696" i="6"/>
  <c r="E1695" i="6"/>
  <c r="D1695" i="6"/>
  <c r="E1694" i="6"/>
  <c r="D1694" i="6"/>
  <c r="E1693" i="6"/>
  <c r="D1693" i="6"/>
  <c r="E1692" i="6"/>
  <c r="D1692" i="6"/>
  <c r="E1691" i="6"/>
  <c r="D1691" i="6"/>
  <c r="E1690" i="6"/>
  <c r="D1690" i="6"/>
  <c r="E1689" i="6"/>
  <c r="D1689" i="6"/>
  <c r="E1688" i="6"/>
  <c r="D1688" i="6"/>
  <c r="E1687" i="6"/>
  <c r="D1687" i="6"/>
  <c r="E1686" i="6"/>
  <c r="D1686" i="6"/>
  <c r="E1685" i="6"/>
  <c r="D1685" i="6"/>
  <c r="E1684" i="6"/>
  <c r="D1684" i="6"/>
  <c r="E1683" i="6"/>
  <c r="D1683" i="6"/>
  <c r="E1682" i="6"/>
  <c r="D1682" i="6"/>
  <c r="E1681" i="6"/>
  <c r="D1681" i="6"/>
  <c r="E1680" i="6"/>
  <c r="D1680" i="6"/>
  <c r="E1679" i="6"/>
  <c r="D1679" i="6"/>
  <c r="E1678" i="6"/>
  <c r="D1678" i="6"/>
  <c r="E1677" i="6"/>
  <c r="D1677" i="6"/>
  <c r="E1676" i="6"/>
  <c r="D1676" i="6"/>
  <c r="E1675" i="6"/>
  <c r="D1675" i="6"/>
  <c r="E1674" i="6"/>
  <c r="D1674" i="6"/>
  <c r="E1673" i="6"/>
  <c r="D1673" i="6"/>
  <c r="E1672" i="6"/>
  <c r="D1672" i="6"/>
  <c r="E1671" i="6"/>
  <c r="D1671" i="6"/>
  <c r="E1670" i="6"/>
  <c r="D1670" i="6"/>
  <c r="E1669" i="6"/>
  <c r="D1669" i="6"/>
  <c r="E1668" i="6"/>
  <c r="D1668" i="6"/>
  <c r="E1667" i="6"/>
  <c r="D1667" i="6"/>
  <c r="E1666" i="6"/>
  <c r="D1666" i="6"/>
  <c r="E1665" i="6"/>
  <c r="D1665" i="6"/>
  <c r="E1664" i="6"/>
  <c r="D1664" i="6"/>
  <c r="E1663" i="6"/>
  <c r="D1663" i="6"/>
  <c r="E1662" i="6"/>
  <c r="D1662" i="6"/>
  <c r="E1661" i="6"/>
  <c r="D1661" i="6"/>
  <c r="E1660" i="6"/>
  <c r="D1660" i="6"/>
  <c r="E1659" i="6"/>
  <c r="D1659" i="6"/>
  <c r="E1658" i="6"/>
  <c r="D1658" i="6"/>
  <c r="E1657" i="6"/>
  <c r="D1657" i="6"/>
  <c r="E1656" i="6"/>
  <c r="D1656" i="6"/>
  <c r="E1655" i="6"/>
  <c r="D1655" i="6"/>
  <c r="E1654" i="6"/>
  <c r="D1654" i="6"/>
  <c r="E1653" i="6"/>
  <c r="D1653" i="6"/>
  <c r="E1652" i="6"/>
  <c r="D1652" i="6"/>
  <c r="E1651" i="6"/>
  <c r="D1651" i="6"/>
  <c r="E1650" i="6"/>
  <c r="D1650" i="6"/>
  <c r="E1649" i="6"/>
  <c r="D1649" i="6"/>
  <c r="E1648" i="6"/>
  <c r="D1648" i="6"/>
  <c r="E1647" i="6"/>
  <c r="D1647" i="6"/>
  <c r="E1646" i="6"/>
  <c r="D1646" i="6"/>
  <c r="E1645" i="6"/>
  <c r="D1645" i="6"/>
  <c r="E1644" i="6"/>
  <c r="D1644" i="6"/>
  <c r="E1643" i="6"/>
  <c r="D1643" i="6"/>
  <c r="E1642" i="6"/>
  <c r="D1642" i="6"/>
  <c r="E1641" i="6"/>
  <c r="D1641" i="6"/>
  <c r="E1640" i="6"/>
  <c r="D1640" i="6"/>
  <c r="E1639" i="6"/>
  <c r="D1639" i="6"/>
  <c r="E1638" i="6"/>
  <c r="D1638" i="6"/>
  <c r="E1637" i="6"/>
  <c r="D1637" i="6"/>
  <c r="E1636" i="6"/>
  <c r="D1636" i="6"/>
  <c r="E1635" i="6"/>
  <c r="D1635" i="6"/>
  <c r="E1634" i="6"/>
  <c r="D1634" i="6"/>
  <c r="E1633" i="6"/>
  <c r="D1633" i="6"/>
  <c r="E1632" i="6"/>
  <c r="D1632" i="6"/>
  <c r="E1631" i="6"/>
  <c r="D1631" i="6"/>
  <c r="E1630" i="6"/>
  <c r="D1630" i="6"/>
  <c r="E1629" i="6"/>
  <c r="D1629" i="6"/>
  <c r="E1628" i="6"/>
  <c r="D1628" i="6"/>
  <c r="E1627" i="6"/>
  <c r="D1627" i="6"/>
  <c r="E1626" i="6"/>
  <c r="D1626" i="6"/>
  <c r="E1625" i="6"/>
  <c r="D1625" i="6"/>
  <c r="E1624" i="6"/>
  <c r="D1624" i="6"/>
  <c r="E1623" i="6"/>
  <c r="D1623" i="6"/>
  <c r="E1622" i="6"/>
  <c r="D1622" i="6"/>
  <c r="E1621" i="6"/>
  <c r="D1621" i="6"/>
  <c r="E1620" i="6"/>
  <c r="D1620" i="6"/>
  <c r="E1619" i="6"/>
  <c r="D1619" i="6"/>
  <c r="E1618" i="6"/>
  <c r="D1618" i="6"/>
  <c r="E1617" i="6"/>
  <c r="D1617" i="6"/>
  <c r="E1616" i="6"/>
  <c r="D1616" i="6"/>
  <c r="E1615" i="6"/>
  <c r="D1615" i="6"/>
  <c r="E1614" i="6"/>
  <c r="D1614" i="6"/>
  <c r="E1613" i="6"/>
  <c r="D1613" i="6"/>
  <c r="E1612" i="6"/>
  <c r="D1612" i="6"/>
  <c r="E1611" i="6"/>
  <c r="D1611" i="6"/>
  <c r="E1610" i="6"/>
  <c r="D1610" i="6"/>
  <c r="E1609" i="6"/>
  <c r="D1609" i="6"/>
  <c r="E1608" i="6"/>
  <c r="D1608" i="6"/>
  <c r="E1607" i="6"/>
  <c r="D1607" i="6"/>
  <c r="E1606" i="6"/>
  <c r="D1606" i="6"/>
  <c r="E1605" i="6"/>
  <c r="D1605" i="6"/>
  <c r="E1604" i="6"/>
  <c r="D1604" i="6"/>
  <c r="E1603" i="6"/>
  <c r="D1603" i="6"/>
  <c r="E1602" i="6"/>
  <c r="D1602" i="6"/>
  <c r="E1601" i="6"/>
  <c r="D1601" i="6"/>
  <c r="E1600" i="6"/>
  <c r="D1600" i="6"/>
  <c r="E1599" i="6"/>
  <c r="D1599" i="6"/>
  <c r="E1598" i="6"/>
  <c r="D1598" i="6"/>
  <c r="E1597" i="6"/>
  <c r="D1597" i="6"/>
  <c r="E1596" i="6"/>
  <c r="D1596" i="6"/>
  <c r="E1595" i="6"/>
  <c r="D1595" i="6"/>
  <c r="E1594" i="6"/>
  <c r="D1594" i="6"/>
  <c r="E1593" i="6"/>
  <c r="D1593" i="6"/>
  <c r="E1592" i="6"/>
  <c r="D1592" i="6"/>
  <c r="E1591" i="6"/>
  <c r="D1591" i="6"/>
  <c r="E1590" i="6"/>
  <c r="D1590" i="6"/>
  <c r="E1589" i="6"/>
  <c r="D1589" i="6"/>
  <c r="E1588" i="6"/>
  <c r="D1588" i="6"/>
  <c r="E1587" i="6"/>
  <c r="D1587" i="6"/>
  <c r="E1586" i="6"/>
  <c r="D1586" i="6"/>
  <c r="E1585" i="6"/>
  <c r="D1585" i="6"/>
  <c r="E1584" i="6"/>
  <c r="D1584" i="6"/>
  <c r="E1583" i="6"/>
  <c r="D1583" i="6"/>
  <c r="E1582" i="6"/>
  <c r="D1582" i="6"/>
  <c r="E1581" i="6"/>
  <c r="D1581" i="6"/>
  <c r="E1580" i="6"/>
  <c r="D1580" i="6"/>
  <c r="E1579" i="6"/>
  <c r="D1579" i="6"/>
  <c r="E1578" i="6"/>
  <c r="D1578" i="6"/>
  <c r="E1577" i="6"/>
  <c r="D1577" i="6"/>
  <c r="E1576" i="6"/>
  <c r="D1576" i="6"/>
  <c r="E1575" i="6"/>
  <c r="D1575" i="6"/>
  <c r="E1574" i="6"/>
  <c r="D1574" i="6"/>
  <c r="E1573" i="6"/>
  <c r="D1573" i="6"/>
  <c r="E1572" i="6"/>
  <c r="D1572" i="6"/>
  <c r="E1571" i="6"/>
  <c r="D1571" i="6"/>
  <c r="E1570" i="6"/>
  <c r="D1570" i="6"/>
  <c r="E1569" i="6"/>
  <c r="D1569" i="6"/>
  <c r="E1568" i="6"/>
  <c r="D1568" i="6"/>
  <c r="E1567" i="6"/>
  <c r="D1567" i="6"/>
  <c r="E1566" i="6"/>
  <c r="D1566" i="6"/>
  <c r="E1565" i="6"/>
  <c r="D1565" i="6"/>
  <c r="E1564" i="6"/>
  <c r="D1564" i="6"/>
  <c r="E1563" i="6"/>
  <c r="D1563" i="6"/>
  <c r="E1562" i="6"/>
  <c r="D1562" i="6"/>
  <c r="E1561" i="6"/>
  <c r="D1561" i="6"/>
  <c r="E1560" i="6"/>
  <c r="D1560" i="6"/>
  <c r="E1559" i="6"/>
  <c r="D1559" i="6"/>
  <c r="E1558" i="6"/>
  <c r="D1558" i="6"/>
  <c r="E1557" i="6"/>
  <c r="D1557" i="6"/>
  <c r="E1556" i="6"/>
  <c r="D1556" i="6"/>
  <c r="E1555" i="6"/>
  <c r="D1555" i="6"/>
  <c r="E1554" i="6"/>
  <c r="D1554" i="6"/>
  <c r="E1553" i="6"/>
  <c r="D1553" i="6"/>
  <c r="E1552" i="6"/>
  <c r="D1552" i="6"/>
  <c r="E1551" i="6"/>
  <c r="D1551" i="6"/>
  <c r="E1550" i="6"/>
  <c r="D1550" i="6"/>
  <c r="E1549" i="6"/>
  <c r="D1549" i="6"/>
  <c r="E1548" i="6"/>
  <c r="D1548" i="6"/>
  <c r="E1547" i="6"/>
  <c r="D1547" i="6"/>
  <c r="E1546" i="6"/>
  <c r="D1546" i="6"/>
  <c r="E1545" i="6"/>
  <c r="D1545" i="6"/>
  <c r="E1544" i="6"/>
  <c r="D1544" i="6"/>
  <c r="E1543" i="6"/>
  <c r="D1543" i="6"/>
  <c r="E1542" i="6"/>
  <c r="D1542" i="6"/>
  <c r="E1541" i="6"/>
  <c r="D1541" i="6"/>
  <c r="E1540" i="6"/>
  <c r="D1540" i="6"/>
  <c r="E1539" i="6"/>
  <c r="D1539" i="6"/>
  <c r="E1538" i="6"/>
  <c r="D1538" i="6"/>
  <c r="E1537" i="6"/>
  <c r="D1537" i="6"/>
  <c r="E1536" i="6"/>
  <c r="D1536" i="6"/>
  <c r="E1535" i="6"/>
  <c r="D1535" i="6"/>
  <c r="E1534" i="6"/>
  <c r="D1534" i="6"/>
  <c r="E1533" i="6"/>
  <c r="D1533" i="6"/>
  <c r="E1532" i="6"/>
  <c r="D1532" i="6"/>
  <c r="E1531" i="6"/>
  <c r="D1531" i="6"/>
  <c r="E1530" i="6"/>
  <c r="D1530" i="6"/>
  <c r="E1529" i="6"/>
  <c r="D1529" i="6"/>
  <c r="E1528" i="6"/>
  <c r="D1528" i="6"/>
  <c r="E1527" i="6"/>
  <c r="D1527" i="6"/>
  <c r="E1526" i="6"/>
  <c r="D1526" i="6"/>
  <c r="E1525" i="6"/>
  <c r="D1525" i="6"/>
  <c r="E1524" i="6"/>
  <c r="D1524" i="6"/>
  <c r="E1523" i="6"/>
  <c r="D1523" i="6"/>
  <c r="E1522" i="6"/>
  <c r="D1522" i="6"/>
  <c r="E1521" i="6"/>
  <c r="D1521" i="6"/>
  <c r="E1520" i="6"/>
  <c r="D1520" i="6"/>
  <c r="E1519" i="6"/>
  <c r="D1519" i="6"/>
  <c r="E1518" i="6"/>
  <c r="D1518" i="6"/>
  <c r="E1517" i="6"/>
  <c r="D1517" i="6"/>
  <c r="E1516" i="6"/>
  <c r="D1516" i="6"/>
  <c r="E1515" i="6"/>
  <c r="D1515" i="6"/>
  <c r="E1514" i="6"/>
  <c r="D1514" i="6"/>
  <c r="E1513" i="6"/>
  <c r="D1513" i="6"/>
  <c r="E1512" i="6"/>
  <c r="D1512" i="6"/>
  <c r="E1511" i="6"/>
  <c r="D1511" i="6"/>
  <c r="E1510" i="6"/>
  <c r="D1510" i="6"/>
  <c r="E1509" i="6"/>
  <c r="D1509" i="6"/>
  <c r="E1508" i="6"/>
  <c r="D1508" i="6"/>
  <c r="E1507" i="6"/>
  <c r="D1507" i="6"/>
  <c r="E1506" i="6"/>
  <c r="D1506" i="6"/>
  <c r="E1505" i="6"/>
  <c r="D1505" i="6"/>
  <c r="E1504" i="6"/>
  <c r="D1504" i="6"/>
  <c r="E1503" i="6"/>
  <c r="D1503" i="6"/>
  <c r="E1502" i="6"/>
  <c r="D1502" i="6"/>
  <c r="E1501" i="6"/>
  <c r="D1501" i="6"/>
  <c r="E1500" i="6"/>
  <c r="D1500" i="6"/>
  <c r="E1499" i="6"/>
  <c r="D1499" i="6"/>
  <c r="E1498" i="6"/>
  <c r="D1498" i="6"/>
  <c r="E1497" i="6"/>
  <c r="D1497" i="6"/>
  <c r="E1496" i="6"/>
  <c r="D1496" i="6"/>
  <c r="E1495" i="6"/>
  <c r="D1495" i="6"/>
  <c r="E1494" i="6"/>
  <c r="D1494" i="6"/>
  <c r="E1493" i="6"/>
  <c r="D1493" i="6"/>
  <c r="E1492" i="6"/>
  <c r="D1492" i="6"/>
  <c r="E1491" i="6"/>
  <c r="D1491" i="6"/>
  <c r="E1490" i="6"/>
  <c r="D1490" i="6"/>
  <c r="E1489" i="6"/>
  <c r="D1489" i="6"/>
  <c r="E1488" i="6"/>
  <c r="D1488" i="6"/>
  <c r="E1487" i="6"/>
  <c r="D1487" i="6"/>
  <c r="E1486" i="6"/>
  <c r="D1486" i="6"/>
  <c r="E1485" i="6"/>
  <c r="D1485" i="6"/>
  <c r="E1484" i="6"/>
  <c r="D1484" i="6"/>
  <c r="E1483" i="6"/>
  <c r="D1483" i="6"/>
  <c r="E1482" i="6"/>
  <c r="D1482" i="6"/>
  <c r="E1481" i="6"/>
  <c r="D1481" i="6"/>
  <c r="E1480" i="6"/>
  <c r="D1480" i="6"/>
  <c r="E1479" i="6"/>
  <c r="D1479" i="6"/>
  <c r="E1478" i="6"/>
  <c r="D1478" i="6"/>
  <c r="E1477" i="6"/>
  <c r="D1477" i="6"/>
  <c r="E1476" i="6"/>
  <c r="D1476" i="6"/>
  <c r="E1475" i="6"/>
  <c r="D1475" i="6"/>
  <c r="E1474" i="6"/>
  <c r="D1474" i="6"/>
  <c r="E1473" i="6"/>
  <c r="D1473" i="6"/>
  <c r="E1472" i="6"/>
  <c r="D1472" i="6"/>
  <c r="E1471" i="6"/>
  <c r="D1471" i="6"/>
  <c r="E1470" i="6"/>
  <c r="D1470" i="6"/>
  <c r="E1469" i="6"/>
  <c r="D1469" i="6"/>
  <c r="E1468" i="6"/>
  <c r="D1468" i="6"/>
  <c r="E1467" i="6"/>
  <c r="D1467" i="6"/>
  <c r="E1466" i="6"/>
  <c r="D1466" i="6"/>
  <c r="E1465" i="6"/>
  <c r="D1465" i="6"/>
  <c r="E1464" i="6"/>
  <c r="D1464" i="6"/>
  <c r="E1463" i="6"/>
  <c r="D1463" i="6"/>
  <c r="E1462" i="6"/>
  <c r="D1462" i="6"/>
  <c r="E1461" i="6"/>
  <c r="D1461" i="6"/>
  <c r="E1460" i="6"/>
  <c r="D1460" i="6"/>
  <c r="E1459" i="6"/>
  <c r="D1459" i="6"/>
  <c r="E1458" i="6"/>
  <c r="D1458" i="6"/>
  <c r="E1457" i="6"/>
  <c r="D1457" i="6"/>
  <c r="E1456" i="6"/>
  <c r="D1456" i="6"/>
  <c r="E1455" i="6"/>
  <c r="D1455" i="6"/>
  <c r="E1454" i="6"/>
  <c r="D1454" i="6"/>
  <c r="E1453" i="6"/>
  <c r="D1453" i="6"/>
  <c r="E1452" i="6"/>
  <c r="D1452" i="6"/>
  <c r="E1451" i="6"/>
  <c r="D1451" i="6"/>
  <c r="E1450" i="6"/>
  <c r="D1450" i="6"/>
  <c r="E1449" i="6"/>
  <c r="D1449" i="6"/>
  <c r="E1448" i="6"/>
  <c r="D1448" i="6"/>
  <c r="E1447" i="6"/>
  <c r="D1447" i="6"/>
  <c r="E1446" i="6"/>
  <c r="D1446" i="6"/>
  <c r="E1445" i="6"/>
  <c r="D1445" i="6"/>
  <c r="E1444" i="6"/>
  <c r="D1444" i="6"/>
  <c r="E1443" i="6"/>
  <c r="D1443" i="6"/>
  <c r="E1442" i="6"/>
  <c r="D1442" i="6"/>
  <c r="E1441" i="6"/>
  <c r="D1441" i="6"/>
  <c r="E1440" i="6"/>
  <c r="D1440" i="6"/>
  <c r="E1439" i="6"/>
  <c r="D1439" i="6"/>
  <c r="E1438" i="6"/>
  <c r="D1438" i="6"/>
  <c r="E1437" i="6"/>
  <c r="D1437" i="6"/>
  <c r="E1436" i="6"/>
  <c r="D1436" i="6"/>
  <c r="E1435" i="6"/>
  <c r="D1435" i="6"/>
  <c r="E1434" i="6"/>
  <c r="D1434" i="6"/>
  <c r="E1433" i="6"/>
  <c r="D1433" i="6"/>
  <c r="E1432" i="6"/>
  <c r="D1432" i="6"/>
  <c r="E1431" i="6"/>
  <c r="D1431" i="6"/>
  <c r="E1430" i="6"/>
  <c r="D1430" i="6"/>
  <c r="E1429" i="6"/>
  <c r="D1429" i="6"/>
  <c r="E1428" i="6"/>
  <c r="D1428" i="6"/>
  <c r="E1427" i="6"/>
  <c r="D1427" i="6"/>
  <c r="E1426" i="6"/>
  <c r="D1426" i="6"/>
  <c r="E1425" i="6"/>
  <c r="D1425" i="6"/>
  <c r="E1424" i="6"/>
  <c r="D1424" i="6"/>
  <c r="E1423" i="6"/>
  <c r="D1423" i="6"/>
  <c r="E1422" i="6"/>
  <c r="D1422" i="6"/>
  <c r="E1421" i="6"/>
  <c r="D1421" i="6"/>
  <c r="E1420" i="6"/>
  <c r="D1420" i="6"/>
  <c r="E1419" i="6"/>
  <c r="D1419" i="6"/>
  <c r="E1418" i="6"/>
  <c r="D1418" i="6"/>
  <c r="E1417" i="6"/>
  <c r="D1417" i="6"/>
  <c r="E1416" i="6"/>
  <c r="D1416" i="6"/>
  <c r="E1415" i="6"/>
  <c r="D1415" i="6"/>
  <c r="E1414" i="6"/>
  <c r="D1414" i="6"/>
  <c r="E1413" i="6"/>
  <c r="D1413" i="6"/>
  <c r="E1412" i="6"/>
  <c r="D1412" i="6"/>
  <c r="E1411" i="6"/>
  <c r="D1411" i="6"/>
  <c r="E1410" i="6"/>
  <c r="D1410" i="6"/>
  <c r="E1409" i="6"/>
  <c r="D1409" i="6"/>
  <c r="E1408" i="6"/>
  <c r="D1408" i="6"/>
  <c r="E1407" i="6"/>
  <c r="D1407" i="6"/>
  <c r="E1406" i="6"/>
  <c r="D1406" i="6"/>
  <c r="E1405" i="6"/>
  <c r="D1405" i="6"/>
  <c r="E1404" i="6"/>
  <c r="D1404" i="6"/>
  <c r="E1403" i="6"/>
  <c r="D1403" i="6"/>
  <c r="E1402" i="6"/>
  <c r="D1402" i="6"/>
  <c r="E1401" i="6"/>
  <c r="D1401" i="6"/>
  <c r="E1400" i="6"/>
  <c r="D1400" i="6"/>
  <c r="E1399" i="6"/>
  <c r="D1399" i="6"/>
  <c r="E1398" i="6"/>
  <c r="D1398" i="6"/>
  <c r="E1397" i="6"/>
  <c r="D1397" i="6"/>
  <c r="E1396" i="6"/>
  <c r="D1396" i="6"/>
  <c r="E1395" i="6"/>
  <c r="D1395" i="6"/>
  <c r="E1394" i="6"/>
  <c r="D1394" i="6"/>
  <c r="E1393" i="6"/>
  <c r="D1393" i="6"/>
  <c r="E1392" i="6"/>
  <c r="D1392" i="6"/>
  <c r="E1391" i="6"/>
  <c r="D1391" i="6"/>
  <c r="E1390" i="6"/>
  <c r="D1390" i="6"/>
  <c r="E1389" i="6"/>
  <c r="D1389" i="6"/>
  <c r="E1388" i="6"/>
  <c r="D1388" i="6"/>
  <c r="E1387" i="6"/>
  <c r="D1387" i="6"/>
  <c r="E1386" i="6"/>
  <c r="D1386" i="6"/>
  <c r="E1385" i="6"/>
  <c r="D1385" i="6"/>
  <c r="E1384" i="6"/>
  <c r="D1384" i="6"/>
  <c r="E1383" i="6"/>
  <c r="D1383" i="6"/>
  <c r="E1382" i="6"/>
  <c r="D1382" i="6"/>
  <c r="E1381" i="6"/>
  <c r="D1381" i="6"/>
  <c r="E1380" i="6"/>
  <c r="D1380" i="6"/>
  <c r="E1379" i="6"/>
  <c r="D1379" i="6"/>
  <c r="E1378" i="6"/>
  <c r="D1378" i="6"/>
  <c r="E1377" i="6"/>
  <c r="D1377" i="6"/>
  <c r="E1376" i="6"/>
  <c r="D1376" i="6"/>
  <c r="E1375" i="6"/>
  <c r="D1375" i="6"/>
  <c r="E1374" i="6"/>
  <c r="D1374" i="6"/>
  <c r="E1373" i="6"/>
  <c r="D1373" i="6"/>
  <c r="E1372" i="6"/>
  <c r="D1372" i="6"/>
  <c r="E1371" i="6"/>
  <c r="D1371" i="6"/>
  <c r="E1370" i="6"/>
  <c r="D1370" i="6"/>
  <c r="E1369" i="6"/>
  <c r="D1369" i="6"/>
  <c r="E1368" i="6"/>
  <c r="D1368" i="6"/>
  <c r="E1367" i="6"/>
  <c r="D1367" i="6"/>
  <c r="E1366" i="6"/>
  <c r="D1366" i="6"/>
  <c r="E1365" i="6"/>
  <c r="D1365" i="6"/>
  <c r="E1364" i="6"/>
  <c r="D1364" i="6"/>
  <c r="E1363" i="6"/>
  <c r="D1363" i="6"/>
  <c r="E1362" i="6"/>
  <c r="D1362" i="6"/>
  <c r="E1361" i="6"/>
  <c r="D1361" i="6"/>
  <c r="E1360" i="6"/>
  <c r="D1360" i="6"/>
  <c r="E1359" i="6"/>
  <c r="D1359" i="6"/>
  <c r="E1358" i="6"/>
  <c r="D1358" i="6"/>
  <c r="E1357" i="6"/>
  <c r="D1357" i="6"/>
  <c r="E1356" i="6"/>
  <c r="D1356" i="6"/>
  <c r="E1355" i="6"/>
  <c r="D1355" i="6"/>
  <c r="E1354" i="6"/>
  <c r="D1354" i="6"/>
  <c r="E1353" i="6"/>
  <c r="D1353" i="6"/>
  <c r="E1352" i="6"/>
  <c r="D1352" i="6"/>
  <c r="E1351" i="6"/>
  <c r="D1351" i="6"/>
  <c r="E1350" i="6"/>
  <c r="D1350" i="6"/>
  <c r="E1349" i="6"/>
  <c r="D1349" i="6"/>
  <c r="E1348" i="6"/>
  <c r="D1348" i="6"/>
  <c r="E1347" i="6"/>
  <c r="D1347" i="6"/>
  <c r="E1346" i="6"/>
  <c r="D1346" i="6"/>
  <c r="E1345" i="6"/>
  <c r="D1345" i="6"/>
  <c r="E1344" i="6"/>
  <c r="D1344" i="6"/>
  <c r="E1343" i="6"/>
  <c r="D1343" i="6"/>
  <c r="E1342" i="6"/>
  <c r="D1342" i="6"/>
  <c r="E1341" i="6"/>
  <c r="D1341" i="6"/>
  <c r="E1340" i="6"/>
  <c r="D1340" i="6"/>
  <c r="E1339" i="6"/>
  <c r="D1339" i="6"/>
  <c r="E1338" i="6"/>
  <c r="D1338" i="6"/>
  <c r="E1337" i="6"/>
  <c r="D1337" i="6"/>
  <c r="E1336" i="6"/>
  <c r="D1336" i="6"/>
  <c r="E1335" i="6"/>
  <c r="D1335" i="6"/>
  <c r="E1334" i="6"/>
  <c r="D1334" i="6"/>
  <c r="E1333" i="6"/>
  <c r="D1333" i="6"/>
  <c r="E1332" i="6"/>
  <c r="D1332" i="6"/>
  <c r="E1331" i="6"/>
  <c r="D1331" i="6"/>
  <c r="E1330" i="6"/>
  <c r="D1330" i="6"/>
  <c r="E1329" i="6"/>
  <c r="D1329" i="6"/>
  <c r="E1328" i="6"/>
  <c r="D1328" i="6"/>
  <c r="E1327" i="6"/>
  <c r="D1327" i="6"/>
  <c r="E1326" i="6"/>
  <c r="D1326" i="6"/>
  <c r="E1325" i="6"/>
  <c r="D1325" i="6"/>
  <c r="E1324" i="6"/>
  <c r="D1324" i="6"/>
  <c r="E1323" i="6"/>
  <c r="D1323" i="6"/>
  <c r="E1322" i="6"/>
  <c r="D1322" i="6"/>
  <c r="E1321" i="6"/>
  <c r="D1321" i="6"/>
  <c r="E1320" i="6"/>
  <c r="D1320" i="6"/>
  <c r="E1319" i="6"/>
  <c r="D1319" i="6"/>
  <c r="E1318" i="6"/>
  <c r="D1318" i="6"/>
  <c r="E1317" i="6"/>
  <c r="D1317" i="6"/>
  <c r="E1316" i="6"/>
  <c r="D1316" i="6"/>
  <c r="E1315" i="6"/>
  <c r="D1315" i="6"/>
  <c r="E1314" i="6"/>
  <c r="D1314" i="6"/>
  <c r="E1313" i="6"/>
  <c r="D1313" i="6"/>
  <c r="E1312" i="6"/>
  <c r="D1312" i="6"/>
  <c r="E1311" i="6"/>
  <c r="D1311" i="6"/>
  <c r="E1310" i="6"/>
  <c r="D1310" i="6"/>
  <c r="E1309" i="6"/>
  <c r="D1309" i="6"/>
  <c r="E1308" i="6"/>
  <c r="D1308" i="6"/>
  <c r="E1307" i="6"/>
  <c r="D1307" i="6"/>
  <c r="E1306" i="6"/>
  <c r="D1306" i="6"/>
  <c r="E1305" i="6"/>
  <c r="D1305" i="6"/>
  <c r="E1304" i="6"/>
  <c r="D1304" i="6"/>
  <c r="E1303" i="6"/>
  <c r="D1303" i="6"/>
  <c r="E1302" i="6"/>
  <c r="D1302" i="6"/>
  <c r="E1301" i="6"/>
  <c r="D1301" i="6"/>
  <c r="E1300" i="6"/>
  <c r="D1300" i="6"/>
  <c r="E1299" i="6"/>
  <c r="D1299" i="6"/>
  <c r="E1298" i="6"/>
  <c r="D1298" i="6"/>
  <c r="E1297" i="6"/>
  <c r="D1297" i="6"/>
  <c r="E1296" i="6"/>
  <c r="D1296" i="6"/>
  <c r="E1295" i="6"/>
  <c r="D1295" i="6"/>
  <c r="E1294" i="6"/>
  <c r="D1294" i="6"/>
  <c r="E1293" i="6"/>
  <c r="D1293" i="6"/>
  <c r="E1292" i="6"/>
  <c r="D1292" i="6"/>
  <c r="E1291" i="6"/>
  <c r="D1291" i="6"/>
  <c r="E1290" i="6"/>
  <c r="D1290" i="6"/>
  <c r="E1289" i="6"/>
  <c r="D1289" i="6"/>
  <c r="E1288" i="6"/>
  <c r="D1288" i="6"/>
  <c r="E1287" i="6"/>
  <c r="D1287" i="6"/>
  <c r="E1286" i="6"/>
  <c r="D1286" i="6"/>
  <c r="E1285" i="6"/>
  <c r="D1285" i="6"/>
  <c r="E1284" i="6"/>
  <c r="D1284" i="6"/>
  <c r="E1283" i="6"/>
  <c r="D1283" i="6"/>
  <c r="E1282" i="6"/>
  <c r="D1282" i="6"/>
  <c r="E1281" i="6"/>
  <c r="D1281" i="6"/>
  <c r="E1280" i="6"/>
  <c r="D1280" i="6"/>
  <c r="E1279" i="6"/>
  <c r="D1279" i="6"/>
  <c r="E1278" i="6"/>
  <c r="D1278" i="6"/>
  <c r="E1277" i="6"/>
  <c r="D1277" i="6"/>
  <c r="E1276" i="6"/>
  <c r="D1276" i="6"/>
  <c r="E1275" i="6"/>
  <c r="D1275" i="6"/>
  <c r="E1274" i="6"/>
  <c r="D1274" i="6"/>
  <c r="E1273" i="6"/>
  <c r="D1273" i="6"/>
  <c r="E1272" i="6"/>
  <c r="D1272" i="6"/>
  <c r="E1271" i="6"/>
  <c r="D1271" i="6"/>
  <c r="E1270" i="6"/>
  <c r="D1270" i="6"/>
  <c r="E1269" i="6"/>
  <c r="D1269" i="6"/>
  <c r="E1268" i="6"/>
  <c r="D1268" i="6"/>
  <c r="E1267" i="6"/>
  <c r="D1267" i="6"/>
  <c r="E1266" i="6"/>
  <c r="D1266" i="6"/>
  <c r="E1265" i="6"/>
  <c r="D1265" i="6"/>
  <c r="E1264" i="6"/>
  <c r="D1264" i="6"/>
  <c r="E1263" i="6"/>
  <c r="D1263" i="6"/>
  <c r="E1262" i="6"/>
  <c r="D1262" i="6"/>
  <c r="E1261" i="6"/>
  <c r="D1261" i="6"/>
  <c r="E1260" i="6"/>
  <c r="D1260" i="6"/>
  <c r="E1259" i="6"/>
  <c r="D1259" i="6"/>
  <c r="E1258" i="6"/>
  <c r="D1258" i="6"/>
  <c r="E1257" i="6"/>
  <c r="D1257" i="6"/>
  <c r="E1256" i="6"/>
  <c r="D1256" i="6"/>
  <c r="E1255" i="6"/>
  <c r="D1255" i="6"/>
  <c r="E1254" i="6"/>
  <c r="D1254" i="6"/>
  <c r="E1253" i="6"/>
  <c r="D1253" i="6"/>
  <c r="E1252" i="6"/>
  <c r="D1252" i="6"/>
  <c r="E1251" i="6"/>
  <c r="D1251" i="6"/>
  <c r="E1250" i="6"/>
  <c r="D1250" i="6"/>
  <c r="E1249" i="6"/>
  <c r="D1249" i="6"/>
  <c r="E1248" i="6"/>
  <c r="D1248" i="6"/>
  <c r="E1247" i="6"/>
  <c r="D1247" i="6"/>
  <c r="E1246" i="6"/>
  <c r="D1246" i="6"/>
  <c r="E1245" i="6"/>
  <c r="D1245" i="6"/>
  <c r="E1244" i="6"/>
  <c r="D1244" i="6"/>
  <c r="E1243" i="6"/>
  <c r="D1243" i="6"/>
  <c r="E1242" i="6"/>
  <c r="D1242" i="6"/>
  <c r="E1241" i="6"/>
  <c r="D1241" i="6"/>
  <c r="E1240" i="6"/>
  <c r="D1240" i="6"/>
  <c r="E1239" i="6"/>
  <c r="D1239" i="6"/>
  <c r="E1238" i="6"/>
  <c r="D1238" i="6"/>
  <c r="E1237" i="6"/>
  <c r="D1237" i="6"/>
  <c r="E1236" i="6"/>
  <c r="D1236" i="6"/>
  <c r="E1235" i="6"/>
  <c r="D1235" i="6"/>
  <c r="E1234" i="6"/>
  <c r="D1234" i="6"/>
  <c r="E1233" i="6"/>
  <c r="D1233" i="6"/>
  <c r="E1232" i="6"/>
  <c r="D1232" i="6"/>
  <c r="E1231" i="6"/>
  <c r="D1231" i="6"/>
  <c r="E1230" i="6"/>
  <c r="D1230" i="6"/>
  <c r="E1229" i="6"/>
  <c r="D1229" i="6"/>
  <c r="E1228" i="6"/>
  <c r="D1228" i="6"/>
  <c r="E1227" i="6"/>
  <c r="D1227" i="6"/>
  <c r="E1226" i="6"/>
  <c r="D1226" i="6"/>
  <c r="E1225" i="6"/>
  <c r="D1225" i="6"/>
  <c r="E1224" i="6"/>
  <c r="D1224" i="6"/>
  <c r="E1223" i="6"/>
  <c r="D1223" i="6"/>
  <c r="E1222" i="6"/>
  <c r="D1222" i="6"/>
  <c r="E1221" i="6"/>
  <c r="D1221" i="6"/>
  <c r="E1220" i="6"/>
  <c r="D1220" i="6"/>
  <c r="E1219" i="6"/>
  <c r="D1219" i="6"/>
  <c r="E1218" i="6"/>
  <c r="D1218" i="6"/>
  <c r="E1217" i="6"/>
  <c r="D1217" i="6"/>
  <c r="E1216" i="6"/>
  <c r="D1216" i="6"/>
  <c r="E1215" i="6"/>
  <c r="D1215" i="6"/>
  <c r="E1214" i="6"/>
  <c r="D1214" i="6"/>
  <c r="E1213" i="6"/>
  <c r="D1213" i="6"/>
  <c r="E1212" i="6"/>
  <c r="D1212" i="6"/>
  <c r="E1211" i="6"/>
  <c r="D1211" i="6"/>
  <c r="E1210" i="6"/>
  <c r="D1210" i="6"/>
  <c r="E1209" i="6"/>
  <c r="D1209" i="6"/>
  <c r="E1208" i="6"/>
  <c r="D1208" i="6"/>
  <c r="E1207" i="6"/>
  <c r="D1207" i="6"/>
  <c r="E1206" i="6"/>
  <c r="D1206" i="6"/>
  <c r="E1205" i="6"/>
  <c r="D1205" i="6"/>
  <c r="E1204" i="6"/>
  <c r="D1204" i="6"/>
  <c r="E1203" i="6"/>
  <c r="D1203" i="6"/>
  <c r="E1202" i="6"/>
  <c r="D1202" i="6"/>
  <c r="E1201" i="6"/>
  <c r="D1201" i="6"/>
  <c r="E1200" i="6"/>
  <c r="D1200" i="6"/>
  <c r="E1199" i="6"/>
  <c r="D1199" i="6"/>
  <c r="E1198" i="6"/>
  <c r="D1198" i="6"/>
  <c r="E1197" i="6"/>
  <c r="D1197" i="6"/>
  <c r="E1196" i="6"/>
  <c r="D1196" i="6"/>
  <c r="E1195" i="6"/>
  <c r="D1195" i="6"/>
  <c r="E1194" i="6"/>
  <c r="D1194" i="6"/>
  <c r="E1193" i="6"/>
  <c r="D1193" i="6"/>
  <c r="E1192" i="6"/>
  <c r="D1192" i="6"/>
  <c r="E1191" i="6"/>
  <c r="D1191" i="6"/>
  <c r="E1190" i="6"/>
  <c r="D1190" i="6"/>
  <c r="E1189" i="6"/>
  <c r="D1189" i="6"/>
  <c r="E1188" i="6"/>
  <c r="D1188" i="6"/>
  <c r="E1187" i="6"/>
  <c r="D1187" i="6"/>
  <c r="E1186" i="6"/>
  <c r="D1186" i="6"/>
  <c r="E1185" i="6"/>
  <c r="D1185" i="6"/>
  <c r="E1184" i="6"/>
  <c r="D1184" i="6"/>
  <c r="E1183" i="6"/>
  <c r="D1183" i="6"/>
  <c r="E1182" i="6"/>
  <c r="D1182" i="6"/>
  <c r="E1181" i="6"/>
  <c r="D1181" i="6"/>
  <c r="E1180" i="6"/>
  <c r="D1180" i="6"/>
  <c r="E1179" i="6"/>
  <c r="D1179" i="6"/>
  <c r="E1178" i="6"/>
  <c r="D1178" i="6"/>
  <c r="E1177" i="6"/>
  <c r="D1177" i="6"/>
  <c r="E1176" i="6"/>
  <c r="D1176" i="6"/>
  <c r="E1175" i="6"/>
  <c r="D1175" i="6"/>
  <c r="E1174" i="6"/>
  <c r="D1174" i="6"/>
  <c r="E1173" i="6"/>
  <c r="D1173" i="6"/>
  <c r="E1172" i="6"/>
  <c r="D1172" i="6"/>
  <c r="E1171" i="6"/>
  <c r="D1171" i="6"/>
  <c r="E1170" i="6"/>
  <c r="D1170" i="6"/>
  <c r="E1169" i="6"/>
  <c r="D1169" i="6"/>
  <c r="E1168" i="6"/>
  <c r="D1168" i="6"/>
  <c r="E1167" i="6"/>
  <c r="D1167" i="6"/>
  <c r="E1166" i="6"/>
  <c r="D1166" i="6"/>
  <c r="E1165" i="6"/>
  <c r="D1165" i="6"/>
  <c r="E1164" i="6"/>
  <c r="D1164" i="6"/>
  <c r="E1163" i="6"/>
  <c r="D1163" i="6"/>
  <c r="E1162" i="6"/>
  <c r="D1162" i="6"/>
  <c r="E1161" i="6"/>
  <c r="D1161" i="6"/>
  <c r="E1160" i="6"/>
  <c r="D1160" i="6"/>
  <c r="E1159" i="6"/>
  <c r="D1159" i="6"/>
  <c r="E1158" i="6"/>
  <c r="D1158" i="6"/>
  <c r="E1157" i="6"/>
  <c r="D1157" i="6"/>
  <c r="E1156" i="6"/>
  <c r="D1156" i="6"/>
  <c r="E1155" i="6"/>
  <c r="D1155" i="6"/>
  <c r="E1154" i="6"/>
  <c r="D1154" i="6"/>
  <c r="E1153" i="6"/>
  <c r="D1153" i="6"/>
  <c r="E1152" i="6"/>
  <c r="D1152" i="6"/>
  <c r="E1151" i="6"/>
  <c r="D1151" i="6"/>
  <c r="E1150" i="6"/>
  <c r="D1150" i="6"/>
  <c r="E1149" i="6"/>
  <c r="D1149" i="6"/>
  <c r="E1148" i="6"/>
  <c r="D1148" i="6"/>
  <c r="E1147" i="6"/>
  <c r="D1147" i="6"/>
  <c r="E1146" i="6"/>
  <c r="D1146" i="6"/>
  <c r="E1145" i="6"/>
  <c r="D1145" i="6"/>
  <c r="E1144" i="6"/>
  <c r="D1144" i="6"/>
  <c r="E1143" i="6"/>
  <c r="D1143" i="6"/>
  <c r="E1142" i="6"/>
  <c r="D1142" i="6"/>
  <c r="E1141" i="6"/>
  <c r="D1141" i="6"/>
  <c r="E1140" i="6"/>
  <c r="D1140" i="6"/>
  <c r="E1139" i="6"/>
  <c r="D1139" i="6"/>
  <c r="E1138" i="6"/>
  <c r="D1138" i="6"/>
  <c r="E1137" i="6"/>
  <c r="D1137" i="6"/>
  <c r="E1136" i="6"/>
  <c r="D1136" i="6"/>
  <c r="E1135" i="6"/>
  <c r="D1135" i="6"/>
  <c r="E1134" i="6"/>
  <c r="D1134" i="6"/>
  <c r="E1133" i="6"/>
  <c r="D1133" i="6"/>
  <c r="E1132" i="6"/>
  <c r="D1132" i="6"/>
  <c r="E1131" i="6"/>
  <c r="D1131" i="6"/>
  <c r="E1130" i="6"/>
  <c r="D1130" i="6"/>
  <c r="E1129" i="6"/>
  <c r="D1129" i="6"/>
  <c r="E1128" i="6"/>
  <c r="D1128" i="6"/>
  <c r="E1127" i="6"/>
  <c r="D1127" i="6"/>
  <c r="E1126" i="6"/>
  <c r="D1126" i="6"/>
  <c r="E1125" i="6"/>
  <c r="D1125" i="6"/>
  <c r="E1124" i="6"/>
  <c r="D1124" i="6"/>
  <c r="E1123" i="6"/>
  <c r="D1123" i="6"/>
  <c r="E1122" i="6"/>
  <c r="D1122" i="6"/>
  <c r="E1121" i="6"/>
  <c r="D1121" i="6"/>
  <c r="E1120" i="6"/>
  <c r="D1120" i="6"/>
  <c r="E1119" i="6"/>
  <c r="D1119" i="6"/>
  <c r="E1118" i="6"/>
  <c r="D1118" i="6"/>
  <c r="E1117" i="6"/>
  <c r="D1117" i="6"/>
  <c r="E1116" i="6"/>
  <c r="D1116" i="6"/>
  <c r="E1115" i="6"/>
  <c r="D1115" i="6"/>
  <c r="E1114" i="6"/>
  <c r="D1114" i="6"/>
  <c r="E1113" i="6"/>
  <c r="D1113" i="6"/>
  <c r="E1112" i="6"/>
  <c r="D1112" i="6"/>
  <c r="E1111" i="6"/>
  <c r="D1111" i="6"/>
  <c r="E1110" i="6"/>
  <c r="D1110" i="6"/>
  <c r="E1109" i="6"/>
  <c r="D1109" i="6"/>
  <c r="E1108" i="6"/>
  <c r="D1108" i="6"/>
  <c r="E1107" i="6"/>
  <c r="D1107" i="6"/>
  <c r="E1106" i="6"/>
  <c r="D1106" i="6"/>
  <c r="E1105" i="6"/>
  <c r="D1105" i="6"/>
  <c r="E1104" i="6"/>
  <c r="D1104" i="6"/>
  <c r="E1103" i="6"/>
  <c r="D1103" i="6"/>
  <c r="E1102" i="6"/>
  <c r="D1102" i="6"/>
  <c r="E1101" i="6"/>
  <c r="D1101" i="6"/>
  <c r="E1100" i="6"/>
  <c r="D1100" i="6"/>
  <c r="E1099" i="6"/>
  <c r="D1099" i="6"/>
  <c r="E1098" i="6"/>
  <c r="D1098" i="6"/>
  <c r="E1097" i="6"/>
  <c r="D1097" i="6"/>
  <c r="E1096" i="6"/>
  <c r="D1096" i="6"/>
  <c r="E1095" i="6"/>
  <c r="D1095" i="6"/>
  <c r="E1094" i="6"/>
  <c r="D1094" i="6"/>
  <c r="E1093" i="6"/>
  <c r="D1093" i="6"/>
  <c r="E1092" i="6"/>
  <c r="D1092" i="6"/>
  <c r="E1091" i="6"/>
  <c r="D1091" i="6"/>
  <c r="E1090" i="6"/>
  <c r="D1090" i="6"/>
  <c r="E1089" i="6"/>
  <c r="D1089" i="6"/>
  <c r="E1088" i="6"/>
  <c r="D1088" i="6"/>
  <c r="E1087" i="6"/>
  <c r="D1087" i="6"/>
  <c r="E1086" i="6"/>
  <c r="D1086" i="6"/>
  <c r="E1085" i="6"/>
  <c r="D1085" i="6"/>
  <c r="E1084" i="6"/>
  <c r="D1084" i="6"/>
  <c r="E1083" i="6"/>
  <c r="D1083" i="6"/>
  <c r="E1082" i="6"/>
  <c r="D1082" i="6"/>
  <c r="E1081" i="6"/>
  <c r="D1081" i="6"/>
  <c r="E1080" i="6"/>
  <c r="D1080" i="6"/>
  <c r="E1079" i="6"/>
  <c r="D1079" i="6"/>
  <c r="E1078" i="6"/>
  <c r="D1078" i="6"/>
  <c r="E1077" i="6"/>
  <c r="D1077" i="6"/>
  <c r="E1076" i="6"/>
  <c r="D1076" i="6"/>
  <c r="E1075" i="6"/>
  <c r="D1075" i="6"/>
  <c r="E1074" i="6"/>
  <c r="D1074" i="6"/>
  <c r="E1073" i="6"/>
  <c r="D1073" i="6"/>
  <c r="E1072" i="6"/>
  <c r="D1072" i="6"/>
  <c r="E1071" i="6"/>
  <c r="D1071" i="6"/>
  <c r="E1070" i="6"/>
  <c r="D1070" i="6"/>
  <c r="E1069" i="6"/>
  <c r="D1069" i="6"/>
  <c r="E1068" i="6"/>
  <c r="D1068" i="6"/>
  <c r="E1067" i="6"/>
  <c r="D1067" i="6"/>
  <c r="E1066" i="6"/>
  <c r="D1066" i="6"/>
  <c r="E1065" i="6"/>
  <c r="D1065" i="6"/>
  <c r="E1064" i="6"/>
  <c r="D1064" i="6"/>
  <c r="E1063" i="6"/>
  <c r="D1063" i="6"/>
  <c r="E1062" i="6"/>
  <c r="D1062" i="6"/>
  <c r="E1061" i="6"/>
  <c r="D1061" i="6"/>
  <c r="E1060" i="6"/>
  <c r="D1060" i="6"/>
  <c r="E1059" i="6"/>
  <c r="D1059" i="6"/>
  <c r="E1058" i="6"/>
  <c r="D1058" i="6"/>
  <c r="E1057" i="6"/>
  <c r="D1057" i="6"/>
  <c r="E1056" i="6"/>
  <c r="D1056" i="6"/>
  <c r="E1055" i="6"/>
  <c r="D1055" i="6"/>
  <c r="E1054" i="6"/>
  <c r="D1054" i="6"/>
  <c r="E1053" i="6"/>
  <c r="D1053" i="6"/>
  <c r="E1052" i="6"/>
  <c r="D1052" i="6"/>
  <c r="E1051" i="6"/>
  <c r="D1051" i="6"/>
  <c r="E1050" i="6"/>
  <c r="D1050" i="6"/>
  <c r="E1049" i="6"/>
  <c r="D1049" i="6"/>
  <c r="E1048" i="6"/>
  <c r="D1048" i="6"/>
  <c r="E1047" i="6"/>
  <c r="D1047" i="6"/>
  <c r="E1046" i="6"/>
  <c r="D1046" i="6"/>
  <c r="E1045" i="6"/>
  <c r="D1045" i="6"/>
  <c r="E1044" i="6"/>
  <c r="D1044" i="6"/>
  <c r="E1043" i="6"/>
  <c r="D1043" i="6"/>
  <c r="E1042" i="6"/>
  <c r="D1042" i="6"/>
  <c r="E1041" i="6"/>
  <c r="D1041" i="6"/>
  <c r="E1040" i="6"/>
  <c r="D1040" i="6"/>
  <c r="E1039" i="6"/>
  <c r="D1039" i="6"/>
  <c r="E1038" i="6"/>
  <c r="D1038" i="6"/>
  <c r="E1037" i="6"/>
  <c r="D1037" i="6"/>
  <c r="E1036" i="6"/>
  <c r="D1036" i="6"/>
  <c r="E1035" i="6"/>
  <c r="D1035" i="6"/>
  <c r="E1034" i="6"/>
  <c r="D1034" i="6"/>
  <c r="E1033" i="6"/>
  <c r="D1033" i="6"/>
  <c r="E1032" i="6"/>
  <c r="D1032" i="6"/>
  <c r="E1031" i="6"/>
  <c r="D1031" i="6"/>
  <c r="E1030" i="6"/>
  <c r="D1030" i="6"/>
  <c r="E1029" i="6"/>
  <c r="D1029" i="6"/>
  <c r="E1028" i="6"/>
  <c r="D1028" i="6"/>
  <c r="E1027" i="6"/>
  <c r="D1027" i="6"/>
  <c r="E1026" i="6"/>
  <c r="D1026" i="6"/>
  <c r="E1025" i="6"/>
  <c r="D1025" i="6"/>
  <c r="E1024" i="6"/>
  <c r="D1024" i="6"/>
  <c r="E1023" i="6"/>
  <c r="D1023" i="6"/>
  <c r="E1022" i="6"/>
  <c r="D1022" i="6"/>
  <c r="E1021" i="6"/>
  <c r="D1021" i="6"/>
  <c r="E1020" i="6"/>
  <c r="D1020" i="6"/>
  <c r="E1019" i="6"/>
  <c r="D1019" i="6"/>
  <c r="E1018" i="6"/>
  <c r="D1018" i="6"/>
  <c r="E1017" i="6"/>
  <c r="D1017" i="6"/>
  <c r="E1016" i="6"/>
  <c r="D1016" i="6"/>
  <c r="E1015" i="6"/>
  <c r="D1015" i="6"/>
  <c r="E1014" i="6"/>
  <c r="D1014" i="6"/>
  <c r="E1013" i="6"/>
  <c r="D1013" i="6"/>
  <c r="E1012" i="6"/>
  <c r="D1012" i="6"/>
  <c r="E1011" i="6"/>
  <c r="D1011" i="6"/>
  <c r="E1010" i="6"/>
  <c r="D1010" i="6"/>
  <c r="E1009" i="6"/>
  <c r="D1009" i="6"/>
  <c r="E1008" i="6"/>
  <c r="D1008" i="6"/>
  <c r="E1007" i="6"/>
  <c r="D1007" i="6"/>
  <c r="E1006" i="6"/>
  <c r="D1006" i="6"/>
  <c r="E1005" i="6"/>
  <c r="D1005" i="6"/>
  <c r="E1004" i="6"/>
  <c r="D1004" i="6"/>
  <c r="E1003" i="6"/>
  <c r="D1003" i="6"/>
  <c r="E1002" i="6"/>
  <c r="D1002" i="6"/>
  <c r="E1001" i="6"/>
  <c r="D1001" i="6"/>
  <c r="E1000" i="6"/>
  <c r="D1000" i="6"/>
  <c r="E999" i="6"/>
  <c r="D999" i="6"/>
  <c r="E998" i="6"/>
  <c r="D998" i="6"/>
  <c r="E997" i="6"/>
  <c r="D997" i="6"/>
  <c r="E996" i="6"/>
  <c r="D996" i="6"/>
  <c r="E995" i="6"/>
  <c r="D995" i="6"/>
  <c r="E994" i="6"/>
  <c r="D994" i="6"/>
  <c r="E993" i="6"/>
  <c r="D993" i="6"/>
  <c r="E992" i="6"/>
  <c r="D992" i="6"/>
  <c r="E991" i="6"/>
  <c r="D991" i="6"/>
  <c r="E990" i="6"/>
  <c r="D990" i="6"/>
  <c r="E989" i="6"/>
  <c r="D989" i="6"/>
  <c r="E988" i="6"/>
  <c r="D988" i="6"/>
  <c r="E987" i="6"/>
  <c r="D987" i="6"/>
  <c r="E986" i="6"/>
  <c r="D986" i="6"/>
  <c r="E985" i="6"/>
  <c r="D985" i="6"/>
  <c r="E984" i="6"/>
  <c r="D984" i="6"/>
  <c r="E983" i="6"/>
  <c r="D983" i="6"/>
  <c r="E982" i="6"/>
  <c r="D982" i="6"/>
  <c r="E981" i="6"/>
  <c r="D981" i="6"/>
  <c r="E980" i="6"/>
  <c r="D980" i="6"/>
  <c r="E979" i="6"/>
  <c r="D979" i="6"/>
  <c r="E978" i="6"/>
  <c r="D978" i="6"/>
  <c r="E977" i="6"/>
  <c r="D977" i="6"/>
  <c r="E976" i="6"/>
  <c r="D976" i="6"/>
  <c r="E975" i="6"/>
  <c r="D975" i="6"/>
  <c r="E974" i="6"/>
  <c r="D974" i="6"/>
  <c r="E973" i="6"/>
  <c r="D973" i="6"/>
  <c r="E972" i="6"/>
  <c r="D972" i="6"/>
  <c r="E971" i="6"/>
  <c r="D971" i="6"/>
  <c r="E970" i="6"/>
  <c r="D970" i="6"/>
  <c r="E969" i="6"/>
  <c r="D969" i="6"/>
  <c r="E968" i="6"/>
  <c r="D968" i="6"/>
  <c r="E967" i="6"/>
  <c r="D967" i="6"/>
  <c r="E966" i="6"/>
  <c r="D966" i="6"/>
  <c r="E965" i="6"/>
  <c r="D965" i="6"/>
  <c r="E964" i="6"/>
  <c r="D964" i="6"/>
  <c r="E963" i="6"/>
  <c r="D963" i="6"/>
  <c r="E962" i="6"/>
  <c r="D962" i="6"/>
  <c r="E961" i="6"/>
  <c r="D961" i="6"/>
  <c r="E960" i="6"/>
  <c r="D960" i="6"/>
  <c r="E959" i="6"/>
  <c r="D959" i="6"/>
  <c r="E958" i="6"/>
  <c r="D958" i="6"/>
  <c r="E957" i="6"/>
  <c r="D957" i="6"/>
  <c r="E956" i="6"/>
  <c r="D956" i="6"/>
  <c r="E955" i="6"/>
  <c r="D955" i="6"/>
  <c r="E954" i="6"/>
  <c r="D954" i="6"/>
  <c r="E953" i="6"/>
  <c r="D953" i="6"/>
  <c r="E952" i="6"/>
  <c r="D952" i="6"/>
  <c r="E951" i="6"/>
  <c r="D951" i="6"/>
  <c r="E950" i="6"/>
  <c r="D950" i="6"/>
  <c r="E949" i="6"/>
  <c r="D949" i="6"/>
  <c r="E948" i="6"/>
  <c r="D948" i="6"/>
  <c r="E947" i="6"/>
  <c r="D947" i="6"/>
  <c r="E946" i="6"/>
  <c r="D946" i="6"/>
  <c r="E945" i="6"/>
  <c r="D945" i="6"/>
  <c r="E944" i="6"/>
  <c r="D944" i="6"/>
  <c r="E943" i="6"/>
  <c r="D943" i="6"/>
  <c r="E942" i="6"/>
  <c r="D942" i="6"/>
  <c r="E941" i="6"/>
  <c r="D941" i="6"/>
  <c r="E940" i="6"/>
  <c r="D940" i="6"/>
  <c r="E939" i="6"/>
  <c r="D939" i="6"/>
  <c r="E938" i="6"/>
  <c r="D938" i="6"/>
  <c r="E937" i="6"/>
  <c r="D937" i="6"/>
  <c r="E936" i="6"/>
  <c r="D936" i="6"/>
  <c r="E935" i="6"/>
  <c r="D935" i="6"/>
  <c r="E934" i="6"/>
  <c r="D934" i="6"/>
  <c r="E933" i="6"/>
  <c r="D933" i="6"/>
  <c r="E932" i="6"/>
  <c r="D932" i="6"/>
  <c r="E931" i="6"/>
  <c r="D931" i="6"/>
  <c r="E930" i="6"/>
  <c r="D930" i="6"/>
  <c r="E929" i="6"/>
  <c r="D929" i="6"/>
  <c r="E928" i="6"/>
  <c r="D928" i="6"/>
  <c r="E927" i="6"/>
  <c r="D927" i="6"/>
  <c r="E926" i="6"/>
  <c r="D926" i="6"/>
  <c r="E925" i="6"/>
  <c r="D925" i="6"/>
  <c r="E924" i="6"/>
  <c r="D924" i="6"/>
  <c r="E923" i="6"/>
  <c r="D923" i="6"/>
  <c r="E922" i="6"/>
  <c r="D922" i="6"/>
  <c r="E921" i="6"/>
  <c r="D921" i="6"/>
  <c r="E920" i="6"/>
  <c r="D920" i="6"/>
  <c r="E919" i="6"/>
  <c r="D919" i="6"/>
  <c r="E918" i="6"/>
  <c r="D918" i="6"/>
  <c r="E917" i="6"/>
  <c r="D917" i="6"/>
  <c r="E916" i="6"/>
  <c r="D916" i="6"/>
  <c r="E915" i="6"/>
  <c r="D915" i="6"/>
  <c r="E914" i="6"/>
  <c r="D914" i="6"/>
  <c r="E913" i="6"/>
  <c r="D913" i="6"/>
  <c r="E912" i="6"/>
  <c r="D912" i="6"/>
  <c r="E911" i="6"/>
  <c r="D911" i="6"/>
  <c r="E910" i="6"/>
  <c r="D910" i="6"/>
  <c r="E909" i="6"/>
  <c r="D909" i="6"/>
  <c r="E908" i="6"/>
  <c r="D908" i="6"/>
  <c r="E907" i="6"/>
  <c r="D907" i="6"/>
  <c r="E906" i="6"/>
  <c r="D906" i="6"/>
  <c r="E905" i="6"/>
  <c r="D905" i="6"/>
  <c r="E904" i="6"/>
  <c r="D904" i="6"/>
  <c r="E903" i="6"/>
  <c r="D903" i="6"/>
  <c r="E902" i="6"/>
  <c r="D902" i="6"/>
  <c r="E901" i="6"/>
  <c r="D901" i="6"/>
  <c r="E900" i="6"/>
  <c r="D900" i="6"/>
  <c r="E899" i="6"/>
  <c r="D899" i="6"/>
  <c r="E898" i="6"/>
  <c r="D898" i="6"/>
  <c r="E897" i="6"/>
  <c r="D897" i="6"/>
  <c r="E896" i="6"/>
  <c r="D896" i="6"/>
  <c r="E895" i="6"/>
  <c r="D895" i="6"/>
  <c r="E894" i="6"/>
  <c r="D894" i="6"/>
  <c r="E893" i="6"/>
  <c r="D893" i="6"/>
  <c r="E892" i="6"/>
  <c r="D892" i="6"/>
  <c r="E891" i="6"/>
  <c r="D891" i="6"/>
  <c r="E890" i="6"/>
  <c r="D890" i="6"/>
  <c r="E889" i="6"/>
  <c r="D889" i="6"/>
  <c r="E888" i="6"/>
  <c r="D888" i="6"/>
  <c r="E887" i="6"/>
  <c r="D887" i="6"/>
  <c r="E886" i="6"/>
  <c r="D886" i="6"/>
  <c r="E885" i="6"/>
  <c r="D885" i="6"/>
  <c r="E884" i="6"/>
  <c r="D884" i="6"/>
  <c r="E883" i="6"/>
  <c r="D883" i="6"/>
  <c r="E882" i="6"/>
  <c r="D882" i="6"/>
  <c r="E881" i="6"/>
  <c r="D881" i="6"/>
  <c r="E880" i="6"/>
  <c r="D880" i="6"/>
  <c r="E879" i="6"/>
  <c r="D879" i="6"/>
  <c r="E878" i="6"/>
  <c r="D878" i="6"/>
  <c r="E877" i="6"/>
  <c r="D877" i="6"/>
  <c r="E876" i="6"/>
  <c r="D876" i="6"/>
  <c r="E875" i="6"/>
  <c r="D875" i="6"/>
  <c r="E874" i="6"/>
  <c r="D874" i="6"/>
  <c r="E873" i="6"/>
  <c r="D873" i="6"/>
  <c r="E872" i="6"/>
  <c r="D872" i="6"/>
  <c r="E871" i="6"/>
  <c r="D871" i="6"/>
  <c r="E870" i="6"/>
  <c r="D870" i="6"/>
  <c r="E869" i="6"/>
  <c r="D869" i="6"/>
  <c r="E868" i="6"/>
  <c r="D868" i="6"/>
  <c r="E867" i="6"/>
  <c r="D867" i="6"/>
  <c r="E866" i="6"/>
  <c r="D866" i="6"/>
  <c r="E865" i="6"/>
  <c r="D865" i="6"/>
  <c r="E864" i="6"/>
  <c r="D864" i="6"/>
  <c r="E863" i="6"/>
  <c r="D863" i="6"/>
  <c r="E862" i="6"/>
  <c r="D862" i="6"/>
  <c r="E861" i="6"/>
  <c r="D861" i="6"/>
  <c r="E860" i="6"/>
  <c r="D860" i="6"/>
  <c r="E859" i="6"/>
  <c r="D859" i="6"/>
  <c r="E858" i="6"/>
  <c r="D858" i="6"/>
  <c r="E857" i="6"/>
  <c r="D857" i="6"/>
  <c r="E856" i="6"/>
  <c r="D856" i="6"/>
  <c r="E855" i="6"/>
  <c r="D855" i="6"/>
  <c r="E854" i="6"/>
  <c r="D854" i="6"/>
  <c r="E853" i="6"/>
  <c r="D853" i="6"/>
  <c r="E852" i="6"/>
  <c r="D852" i="6"/>
  <c r="E851" i="6"/>
  <c r="D851" i="6"/>
  <c r="E850" i="6"/>
  <c r="D850" i="6"/>
  <c r="E849" i="6"/>
  <c r="D849" i="6"/>
  <c r="E848" i="6"/>
  <c r="D848" i="6"/>
  <c r="E847" i="6"/>
  <c r="D847" i="6"/>
  <c r="E846" i="6"/>
  <c r="D846" i="6"/>
  <c r="E845" i="6"/>
  <c r="D845" i="6"/>
  <c r="E844" i="6"/>
  <c r="D844" i="6"/>
  <c r="E843" i="6"/>
  <c r="D843" i="6"/>
  <c r="E842" i="6"/>
  <c r="D842" i="6"/>
  <c r="E841" i="6"/>
  <c r="D841" i="6"/>
  <c r="E840" i="6"/>
  <c r="D840" i="6"/>
  <c r="E839" i="6"/>
  <c r="D839" i="6"/>
  <c r="E838" i="6"/>
  <c r="D838" i="6"/>
  <c r="E837" i="6"/>
  <c r="D837" i="6"/>
  <c r="E836" i="6"/>
  <c r="D836" i="6"/>
  <c r="E835" i="6"/>
  <c r="D835" i="6"/>
  <c r="E834" i="6"/>
  <c r="D834" i="6"/>
  <c r="E833" i="6"/>
  <c r="D833" i="6"/>
  <c r="E832" i="6"/>
  <c r="D832" i="6"/>
  <c r="E831" i="6"/>
  <c r="D831" i="6"/>
  <c r="E830" i="6"/>
  <c r="D830" i="6"/>
  <c r="E829" i="6"/>
  <c r="D829" i="6"/>
  <c r="E828" i="6"/>
  <c r="D828" i="6"/>
  <c r="E827" i="6"/>
  <c r="D827" i="6"/>
  <c r="E826" i="6"/>
  <c r="D826" i="6"/>
  <c r="E825" i="6"/>
  <c r="D825" i="6"/>
  <c r="E824" i="6"/>
  <c r="D824" i="6"/>
  <c r="E823" i="6"/>
  <c r="D823" i="6"/>
  <c r="E822" i="6"/>
  <c r="D822" i="6"/>
  <c r="E821" i="6"/>
  <c r="D821" i="6"/>
  <c r="E820" i="6"/>
  <c r="D820" i="6"/>
  <c r="E819" i="6"/>
  <c r="D819" i="6"/>
  <c r="E818" i="6"/>
  <c r="D818" i="6"/>
  <c r="E817" i="6"/>
  <c r="D817" i="6"/>
  <c r="E816" i="6"/>
  <c r="D816" i="6"/>
  <c r="E815" i="6"/>
  <c r="D815" i="6"/>
  <c r="E814" i="6"/>
  <c r="D814" i="6"/>
  <c r="E813" i="6"/>
  <c r="D813" i="6"/>
  <c r="E812" i="6"/>
  <c r="D812" i="6"/>
  <c r="E811" i="6"/>
  <c r="D811" i="6"/>
  <c r="E810" i="6"/>
  <c r="D810" i="6"/>
  <c r="E809" i="6"/>
  <c r="D809" i="6"/>
  <c r="E808" i="6"/>
  <c r="D808" i="6"/>
  <c r="E807" i="6"/>
  <c r="D807" i="6"/>
  <c r="E806" i="6"/>
  <c r="D806" i="6"/>
  <c r="E805" i="6"/>
  <c r="D805" i="6"/>
  <c r="E804" i="6"/>
  <c r="D804" i="6"/>
  <c r="E803" i="6"/>
  <c r="D803" i="6"/>
  <c r="E802" i="6"/>
  <c r="D802" i="6"/>
  <c r="E801" i="6"/>
  <c r="D801" i="6"/>
  <c r="E800" i="6"/>
  <c r="D800" i="6"/>
  <c r="E799" i="6"/>
  <c r="D799" i="6"/>
  <c r="E798" i="6"/>
  <c r="D798" i="6"/>
  <c r="E797" i="6"/>
  <c r="D797" i="6"/>
  <c r="E796" i="6"/>
  <c r="D796" i="6"/>
  <c r="E795" i="6"/>
  <c r="D795" i="6"/>
  <c r="E794" i="6"/>
  <c r="D794" i="6"/>
  <c r="E793" i="6"/>
  <c r="D793" i="6"/>
  <c r="E792" i="6"/>
  <c r="D792" i="6"/>
  <c r="E791" i="6"/>
  <c r="D791" i="6"/>
  <c r="E790" i="6"/>
  <c r="D790" i="6"/>
  <c r="E789" i="6"/>
  <c r="D789" i="6"/>
  <c r="E788" i="6"/>
  <c r="D788" i="6"/>
  <c r="E787" i="6"/>
  <c r="D787" i="6"/>
  <c r="E786" i="6"/>
  <c r="D786" i="6"/>
  <c r="E785" i="6"/>
  <c r="D785" i="6"/>
  <c r="E784" i="6"/>
  <c r="D784" i="6"/>
  <c r="E783" i="6"/>
  <c r="D783" i="6"/>
  <c r="E782" i="6"/>
  <c r="D782" i="6"/>
  <c r="E781" i="6"/>
  <c r="D781" i="6"/>
  <c r="E780" i="6"/>
  <c r="D780" i="6"/>
  <c r="E779" i="6"/>
  <c r="D779" i="6"/>
  <c r="E778" i="6"/>
  <c r="D778" i="6"/>
  <c r="E777" i="6"/>
  <c r="D777" i="6"/>
  <c r="E776" i="6"/>
  <c r="D776" i="6"/>
  <c r="E775" i="6"/>
  <c r="D775" i="6"/>
  <c r="E774" i="6"/>
  <c r="D774" i="6"/>
  <c r="E773" i="6"/>
  <c r="D773" i="6"/>
  <c r="E772" i="6"/>
  <c r="D772" i="6"/>
  <c r="E771" i="6"/>
  <c r="D771" i="6"/>
  <c r="E770" i="6"/>
  <c r="D770" i="6"/>
  <c r="E769" i="6"/>
  <c r="D769" i="6"/>
  <c r="E768" i="6"/>
  <c r="D768" i="6"/>
  <c r="E767" i="6"/>
  <c r="D767" i="6"/>
  <c r="E766" i="6"/>
  <c r="D766" i="6"/>
  <c r="E765" i="6"/>
  <c r="D765" i="6"/>
  <c r="E764" i="6"/>
  <c r="D764" i="6"/>
  <c r="E763" i="6"/>
  <c r="D763" i="6"/>
  <c r="E762" i="6"/>
  <c r="D762" i="6"/>
  <c r="E761" i="6"/>
  <c r="D761" i="6"/>
  <c r="E760" i="6"/>
  <c r="D760" i="6"/>
  <c r="E759" i="6"/>
  <c r="D759" i="6"/>
  <c r="E758" i="6"/>
  <c r="D758" i="6"/>
  <c r="E757" i="6"/>
  <c r="D757" i="6"/>
  <c r="E756" i="6"/>
  <c r="D756" i="6"/>
  <c r="E755" i="6"/>
  <c r="D755" i="6"/>
  <c r="E754" i="6"/>
  <c r="D754" i="6"/>
  <c r="E753" i="6"/>
  <c r="D753" i="6"/>
  <c r="E752" i="6"/>
  <c r="D752" i="6"/>
  <c r="E751" i="6"/>
  <c r="D751" i="6"/>
  <c r="E750" i="6"/>
  <c r="D750" i="6"/>
  <c r="E749" i="6"/>
  <c r="D749" i="6"/>
  <c r="E748" i="6"/>
  <c r="D748" i="6"/>
  <c r="E747" i="6"/>
  <c r="D747" i="6"/>
  <c r="E746" i="6"/>
  <c r="D746" i="6"/>
  <c r="E745" i="6"/>
  <c r="D745" i="6"/>
  <c r="E744" i="6"/>
  <c r="D744" i="6"/>
  <c r="E743" i="6"/>
  <c r="D743" i="6"/>
  <c r="E742" i="6"/>
  <c r="D742" i="6"/>
  <c r="E741" i="6"/>
  <c r="D741" i="6"/>
  <c r="E740" i="6"/>
  <c r="D740" i="6"/>
  <c r="E739" i="6"/>
  <c r="D739" i="6"/>
  <c r="E738" i="6"/>
  <c r="D738" i="6"/>
  <c r="E737" i="6"/>
  <c r="D737" i="6"/>
  <c r="E736" i="6"/>
  <c r="D736" i="6"/>
  <c r="E735" i="6"/>
  <c r="D735" i="6"/>
  <c r="E734" i="6"/>
  <c r="D734" i="6"/>
  <c r="E733" i="6"/>
  <c r="D733" i="6"/>
  <c r="E732" i="6"/>
  <c r="D732" i="6"/>
  <c r="E731" i="6"/>
  <c r="D731" i="6"/>
  <c r="E730" i="6"/>
  <c r="D730" i="6"/>
  <c r="E729" i="6"/>
  <c r="D729" i="6"/>
  <c r="E728" i="6"/>
  <c r="D728" i="6"/>
  <c r="E727" i="6"/>
  <c r="D727" i="6"/>
  <c r="E726" i="6"/>
  <c r="D726" i="6"/>
  <c r="E725" i="6"/>
  <c r="D725" i="6"/>
  <c r="E724" i="6"/>
  <c r="D724" i="6"/>
  <c r="E723" i="6"/>
  <c r="D723" i="6"/>
  <c r="E722" i="6"/>
  <c r="D722" i="6"/>
  <c r="E721" i="6"/>
  <c r="D721" i="6"/>
  <c r="E720" i="6"/>
  <c r="D720" i="6"/>
  <c r="E719" i="6"/>
  <c r="D719" i="6"/>
  <c r="E718" i="6"/>
  <c r="D718" i="6"/>
  <c r="E717" i="6"/>
  <c r="D717" i="6"/>
  <c r="E716" i="6"/>
  <c r="D716" i="6"/>
  <c r="E715" i="6"/>
  <c r="D715" i="6"/>
  <c r="E714" i="6"/>
  <c r="D714" i="6"/>
  <c r="E713" i="6"/>
  <c r="D713" i="6"/>
  <c r="E712" i="6"/>
  <c r="D712" i="6"/>
  <c r="E711" i="6"/>
  <c r="D711" i="6"/>
  <c r="E710" i="6"/>
  <c r="D710" i="6"/>
  <c r="E709" i="6"/>
  <c r="D709" i="6"/>
  <c r="E708" i="6"/>
  <c r="D708" i="6"/>
  <c r="E707" i="6"/>
  <c r="D707" i="6"/>
  <c r="E706" i="6"/>
  <c r="D706" i="6"/>
  <c r="E705" i="6"/>
  <c r="D705" i="6"/>
  <c r="E704" i="6"/>
  <c r="D704" i="6"/>
  <c r="E703" i="6"/>
  <c r="D703" i="6"/>
  <c r="E702" i="6"/>
  <c r="D702" i="6"/>
  <c r="E701" i="6"/>
  <c r="D701" i="6"/>
  <c r="E700" i="6"/>
  <c r="D700" i="6"/>
  <c r="E699" i="6"/>
  <c r="D699" i="6"/>
  <c r="E698" i="6"/>
  <c r="D698" i="6"/>
  <c r="E697" i="6"/>
  <c r="D697" i="6"/>
  <c r="E696" i="6"/>
  <c r="D696" i="6"/>
  <c r="E695" i="6"/>
  <c r="D695" i="6"/>
  <c r="E694" i="6"/>
  <c r="D694" i="6"/>
  <c r="E693" i="6"/>
  <c r="D693" i="6"/>
  <c r="E692" i="6"/>
  <c r="D692" i="6"/>
  <c r="E691" i="6"/>
  <c r="D691" i="6"/>
  <c r="E690" i="6"/>
  <c r="D690" i="6"/>
  <c r="E689" i="6"/>
  <c r="D689" i="6"/>
  <c r="E688" i="6"/>
  <c r="D688" i="6"/>
  <c r="E687" i="6"/>
  <c r="D687" i="6"/>
  <c r="E686" i="6"/>
  <c r="D686" i="6"/>
  <c r="E685" i="6"/>
  <c r="D685" i="6"/>
  <c r="E684" i="6"/>
  <c r="D684" i="6"/>
  <c r="E683" i="6"/>
  <c r="D683" i="6"/>
  <c r="E682" i="6"/>
  <c r="D682" i="6"/>
  <c r="E681" i="6"/>
  <c r="D681" i="6"/>
  <c r="E680" i="6"/>
  <c r="D680" i="6"/>
  <c r="E679" i="6"/>
  <c r="D679" i="6"/>
  <c r="E678" i="6"/>
  <c r="D678" i="6"/>
  <c r="E677" i="6"/>
  <c r="D677" i="6"/>
  <c r="E676" i="6"/>
  <c r="D676" i="6"/>
  <c r="E675" i="6"/>
  <c r="D675" i="6"/>
  <c r="E674" i="6"/>
  <c r="D674" i="6"/>
  <c r="E673" i="6"/>
  <c r="D673" i="6"/>
  <c r="E672" i="6"/>
  <c r="D672" i="6"/>
  <c r="E671" i="6"/>
  <c r="D671" i="6"/>
  <c r="E670" i="6"/>
  <c r="D670" i="6"/>
  <c r="E669" i="6"/>
  <c r="D669" i="6"/>
  <c r="E668" i="6"/>
  <c r="D668" i="6"/>
  <c r="E667" i="6"/>
  <c r="D667" i="6"/>
  <c r="E666" i="6"/>
  <c r="D666" i="6"/>
  <c r="E665" i="6"/>
  <c r="D665" i="6"/>
  <c r="E664" i="6"/>
  <c r="D664" i="6"/>
  <c r="E663" i="6"/>
  <c r="D663" i="6"/>
  <c r="E662" i="6"/>
  <c r="D662" i="6"/>
  <c r="E661" i="6"/>
  <c r="D661" i="6"/>
  <c r="E660" i="6"/>
  <c r="D660" i="6"/>
  <c r="E659" i="6"/>
  <c r="D659" i="6"/>
  <c r="E658" i="6"/>
  <c r="D658" i="6"/>
  <c r="E657" i="6"/>
  <c r="D657" i="6"/>
  <c r="E656" i="6"/>
  <c r="D656" i="6"/>
  <c r="E655" i="6"/>
  <c r="D655" i="6"/>
  <c r="E654" i="6"/>
  <c r="D654" i="6"/>
  <c r="E653" i="6"/>
  <c r="D653" i="6"/>
  <c r="E652" i="6"/>
  <c r="D652" i="6"/>
  <c r="E651" i="6"/>
  <c r="D651" i="6"/>
  <c r="E650" i="6"/>
  <c r="D650" i="6"/>
  <c r="E649" i="6"/>
  <c r="D649" i="6"/>
  <c r="E648" i="6"/>
  <c r="D648" i="6"/>
  <c r="E647" i="6"/>
  <c r="D647" i="6"/>
  <c r="E646" i="6"/>
  <c r="D646" i="6"/>
  <c r="E645" i="6"/>
  <c r="D645" i="6"/>
  <c r="E644" i="6"/>
  <c r="D644" i="6"/>
  <c r="E643" i="6"/>
  <c r="D643" i="6"/>
  <c r="E642" i="6"/>
  <c r="D642" i="6"/>
  <c r="E641" i="6"/>
  <c r="D641" i="6"/>
  <c r="E640" i="6"/>
  <c r="D640" i="6"/>
  <c r="E639" i="6"/>
  <c r="D639" i="6"/>
  <c r="E638" i="6"/>
  <c r="D638" i="6"/>
  <c r="E637" i="6"/>
  <c r="D637" i="6"/>
  <c r="E636" i="6"/>
  <c r="D636" i="6"/>
  <c r="E635" i="6"/>
  <c r="D635" i="6"/>
  <c r="E634" i="6"/>
  <c r="D634" i="6"/>
  <c r="E633" i="6"/>
  <c r="D633" i="6"/>
  <c r="E632" i="6"/>
  <c r="D632" i="6"/>
  <c r="E631" i="6"/>
  <c r="D631" i="6"/>
  <c r="E630" i="6"/>
  <c r="D630" i="6"/>
  <c r="E629" i="6"/>
  <c r="D629" i="6"/>
  <c r="E628" i="6"/>
  <c r="D628" i="6"/>
  <c r="E627" i="6"/>
  <c r="D627" i="6"/>
  <c r="E626" i="6"/>
  <c r="D626" i="6"/>
  <c r="E625" i="6"/>
  <c r="D625" i="6"/>
  <c r="E624" i="6"/>
  <c r="D624" i="6"/>
  <c r="E623" i="6"/>
  <c r="D623" i="6"/>
  <c r="E622" i="6"/>
  <c r="D622" i="6"/>
  <c r="E621" i="6"/>
  <c r="D621" i="6"/>
  <c r="E620" i="6"/>
  <c r="D620" i="6"/>
  <c r="E619" i="6"/>
  <c r="D619" i="6"/>
  <c r="E618" i="6"/>
  <c r="D618" i="6"/>
  <c r="E617" i="6"/>
  <c r="D617" i="6"/>
  <c r="E616" i="6"/>
  <c r="D616" i="6"/>
  <c r="E615" i="6"/>
  <c r="D615" i="6"/>
  <c r="E614" i="6"/>
  <c r="D614" i="6"/>
  <c r="E613" i="6"/>
  <c r="D613" i="6"/>
  <c r="E612" i="6"/>
  <c r="D612" i="6"/>
  <c r="E611" i="6"/>
  <c r="D611" i="6"/>
  <c r="E610" i="6"/>
  <c r="D610" i="6"/>
  <c r="E609" i="6"/>
  <c r="D609" i="6"/>
  <c r="E608" i="6"/>
  <c r="D608" i="6"/>
  <c r="E607" i="6"/>
  <c r="D607" i="6"/>
  <c r="E606" i="6"/>
  <c r="D606" i="6"/>
  <c r="E605" i="6"/>
  <c r="D605" i="6"/>
  <c r="E604" i="6"/>
  <c r="D604" i="6"/>
  <c r="E603" i="6"/>
  <c r="D603" i="6"/>
  <c r="E602" i="6"/>
  <c r="D602" i="6"/>
  <c r="E601" i="6"/>
  <c r="D601" i="6"/>
  <c r="E600" i="6"/>
  <c r="D600" i="6"/>
  <c r="E599" i="6"/>
  <c r="D599" i="6"/>
  <c r="E598" i="6"/>
  <c r="D598" i="6"/>
  <c r="E597" i="6"/>
  <c r="D597" i="6"/>
  <c r="E596" i="6"/>
  <c r="D596" i="6"/>
  <c r="E595" i="6"/>
  <c r="D595" i="6"/>
  <c r="E594" i="6"/>
  <c r="D594" i="6"/>
  <c r="E593" i="6"/>
  <c r="D593" i="6"/>
  <c r="E592" i="6"/>
  <c r="D592" i="6"/>
  <c r="E591" i="6"/>
  <c r="D591" i="6"/>
  <c r="E590" i="6"/>
  <c r="D590" i="6"/>
  <c r="E589" i="6"/>
  <c r="D589" i="6"/>
  <c r="E588" i="6"/>
  <c r="D588" i="6"/>
  <c r="E587" i="6"/>
  <c r="D587" i="6"/>
  <c r="E586" i="6"/>
  <c r="D586" i="6"/>
  <c r="E585" i="6"/>
  <c r="D585" i="6"/>
  <c r="E584" i="6"/>
  <c r="D584" i="6"/>
  <c r="E583" i="6"/>
  <c r="D583" i="6"/>
  <c r="E582" i="6"/>
  <c r="D582" i="6"/>
  <c r="E581" i="6"/>
  <c r="D581" i="6"/>
  <c r="E580" i="6"/>
  <c r="D580" i="6"/>
  <c r="E579" i="6"/>
  <c r="D579" i="6"/>
  <c r="E578" i="6"/>
  <c r="D578" i="6"/>
  <c r="E577" i="6"/>
  <c r="D577" i="6"/>
  <c r="E576" i="6"/>
  <c r="D576" i="6"/>
  <c r="E575" i="6"/>
  <c r="D575" i="6"/>
  <c r="E574" i="6"/>
  <c r="D574" i="6"/>
  <c r="E573" i="6"/>
  <c r="D573" i="6"/>
  <c r="E572" i="6"/>
  <c r="D572" i="6"/>
  <c r="E571" i="6"/>
  <c r="D571" i="6"/>
  <c r="E570" i="6"/>
  <c r="D570" i="6"/>
  <c r="E569" i="6"/>
  <c r="D569" i="6"/>
  <c r="E568" i="6"/>
  <c r="D568" i="6"/>
  <c r="E567" i="6"/>
  <c r="D567" i="6"/>
  <c r="E566" i="6"/>
  <c r="D566" i="6"/>
  <c r="E565" i="6"/>
  <c r="D565" i="6"/>
  <c r="E564" i="6"/>
  <c r="D564" i="6"/>
  <c r="E563" i="6"/>
  <c r="D563" i="6"/>
  <c r="E562" i="6"/>
  <c r="D562" i="6"/>
  <c r="E561" i="6"/>
  <c r="D561" i="6"/>
  <c r="E560" i="6"/>
  <c r="D560" i="6"/>
  <c r="E559" i="6"/>
  <c r="D559" i="6"/>
  <c r="E558" i="6"/>
  <c r="D558" i="6"/>
  <c r="E557" i="6"/>
  <c r="D557" i="6"/>
  <c r="E556" i="6"/>
  <c r="D556" i="6"/>
  <c r="E555" i="6"/>
  <c r="D555" i="6"/>
  <c r="E554" i="6"/>
  <c r="D554" i="6"/>
  <c r="E553" i="6"/>
  <c r="D553" i="6"/>
  <c r="E552" i="6"/>
  <c r="D552" i="6"/>
  <c r="E551" i="6"/>
  <c r="D551" i="6"/>
  <c r="E550" i="6"/>
  <c r="D550" i="6"/>
  <c r="E549" i="6"/>
  <c r="D549" i="6"/>
  <c r="E548" i="6"/>
  <c r="D548" i="6"/>
  <c r="E547" i="6"/>
  <c r="D547" i="6"/>
  <c r="E546" i="6"/>
  <c r="D546" i="6"/>
  <c r="E545" i="6"/>
  <c r="D545" i="6"/>
  <c r="E544" i="6"/>
  <c r="D544" i="6"/>
  <c r="E543" i="6"/>
  <c r="D543" i="6"/>
  <c r="E542" i="6"/>
  <c r="D542" i="6"/>
  <c r="E541" i="6"/>
  <c r="D541" i="6"/>
  <c r="E540" i="6"/>
  <c r="D540" i="6"/>
  <c r="E539" i="6"/>
  <c r="D539" i="6"/>
  <c r="E538" i="6"/>
  <c r="D538" i="6"/>
  <c r="E537" i="6"/>
  <c r="D537" i="6"/>
  <c r="E536" i="6"/>
  <c r="D536" i="6"/>
  <c r="E535" i="6"/>
  <c r="D535" i="6"/>
  <c r="E534" i="6"/>
  <c r="D534" i="6"/>
  <c r="E533" i="6"/>
  <c r="D533" i="6"/>
  <c r="E532" i="6"/>
  <c r="D532" i="6"/>
  <c r="E531" i="6"/>
  <c r="D531" i="6"/>
  <c r="E530" i="6"/>
  <c r="D530" i="6"/>
  <c r="E529" i="6"/>
  <c r="D529" i="6"/>
  <c r="E528" i="6"/>
  <c r="D528" i="6"/>
  <c r="E527" i="6"/>
  <c r="D527" i="6"/>
  <c r="E526" i="6"/>
  <c r="D526" i="6"/>
  <c r="E525" i="6"/>
  <c r="D525" i="6"/>
  <c r="E524" i="6"/>
  <c r="D524" i="6"/>
  <c r="E523" i="6"/>
  <c r="D523" i="6"/>
  <c r="E522" i="6"/>
  <c r="D522" i="6"/>
  <c r="E521" i="6"/>
  <c r="D521" i="6"/>
  <c r="E520" i="6"/>
  <c r="D520" i="6"/>
  <c r="E519" i="6"/>
  <c r="D519" i="6"/>
  <c r="E518" i="6"/>
  <c r="D518" i="6"/>
  <c r="E517" i="6"/>
  <c r="D517" i="6"/>
  <c r="E516" i="6"/>
  <c r="D516" i="6"/>
  <c r="E515" i="6"/>
  <c r="D515" i="6"/>
  <c r="E514" i="6"/>
  <c r="D514" i="6"/>
  <c r="E513" i="6"/>
  <c r="D513" i="6"/>
  <c r="E512" i="6"/>
  <c r="D512" i="6"/>
  <c r="E511" i="6"/>
  <c r="D511" i="6"/>
  <c r="E510" i="6"/>
  <c r="D510" i="6"/>
  <c r="E509" i="6"/>
  <c r="D509" i="6"/>
  <c r="E508" i="6"/>
  <c r="D508" i="6"/>
  <c r="E507" i="6"/>
  <c r="D507" i="6"/>
  <c r="E506" i="6"/>
  <c r="D506" i="6"/>
  <c r="E505" i="6"/>
  <c r="D505" i="6"/>
  <c r="E504" i="6"/>
  <c r="D504" i="6"/>
  <c r="E503" i="6"/>
  <c r="D503" i="6"/>
  <c r="E502" i="6"/>
  <c r="D502" i="6"/>
  <c r="E501" i="6"/>
  <c r="D501" i="6"/>
  <c r="E500" i="6"/>
  <c r="D500" i="6"/>
  <c r="E499" i="6"/>
  <c r="D499" i="6"/>
  <c r="E498" i="6"/>
  <c r="D498" i="6"/>
  <c r="E497" i="6"/>
  <c r="D497" i="6"/>
  <c r="E496" i="6"/>
  <c r="D496" i="6"/>
  <c r="E495" i="6"/>
  <c r="D495" i="6"/>
  <c r="E494" i="6"/>
  <c r="D494" i="6"/>
  <c r="E493" i="6"/>
  <c r="D493" i="6"/>
  <c r="E492" i="6"/>
  <c r="D492" i="6"/>
  <c r="E491" i="6"/>
  <c r="D491" i="6"/>
  <c r="E490" i="6"/>
  <c r="D490" i="6"/>
  <c r="E489" i="6"/>
  <c r="D489" i="6"/>
  <c r="E488" i="6"/>
  <c r="D488" i="6"/>
  <c r="E487" i="6"/>
  <c r="D487" i="6"/>
  <c r="E486" i="6"/>
  <c r="D486" i="6"/>
  <c r="E485" i="6"/>
  <c r="D485" i="6"/>
  <c r="E484" i="6"/>
  <c r="D484" i="6"/>
  <c r="E483" i="6"/>
  <c r="D483" i="6"/>
  <c r="E482" i="6"/>
  <c r="D482" i="6"/>
  <c r="E481" i="6"/>
  <c r="D481" i="6"/>
  <c r="E480" i="6"/>
  <c r="D480" i="6"/>
  <c r="E479" i="6"/>
  <c r="D479" i="6"/>
  <c r="E478" i="6"/>
  <c r="D478" i="6"/>
  <c r="E477" i="6"/>
  <c r="D477" i="6"/>
  <c r="E476" i="6"/>
  <c r="D476" i="6"/>
  <c r="E475" i="6"/>
  <c r="D475" i="6"/>
  <c r="E474" i="6"/>
  <c r="D474" i="6"/>
  <c r="E473" i="6"/>
  <c r="D473" i="6"/>
  <c r="E472" i="6"/>
  <c r="D472" i="6"/>
  <c r="E471" i="6"/>
  <c r="D471" i="6"/>
  <c r="E470" i="6"/>
  <c r="D470" i="6"/>
  <c r="E469" i="6"/>
  <c r="D469" i="6"/>
  <c r="E468" i="6"/>
  <c r="D468" i="6"/>
  <c r="E467" i="6"/>
  <c r="D467" i="6"/>
  <c r="E466" i="6"/>
  <c r="D466" i="6"/>
  <c r="E465" i="6"/>
  <c r="D465" i="6"/>
  <c r="E464" i="6"/>
  <c r="D464" i="6"/>
  <c r="E463" i="6"/>
  <c r="D463" i="6"/>
  <c r="E462" i="6"/>
  <c r="D462" i="6"/>
  <c r="E461" i="6"/>
  <c r="D461" i="6"/>
  <c r="E460" i="6"/>
  <c r="D460" i="6"/>
  <c r="E459" i="6"/>
  <c r="D459" i="6"/>
  <c r="E458" i="6"/>
  <c r="D458" i="6"/>
  <c r="E457" i="6"/>
  <c r="D457" i="6"/>
  <c r="E456" i="6"/>
  <c r="D456" i="6"/>
  <c r="E455" i="6"/>
  <c r="D455" i="6"/>
  <c r="E454" i="6"/>
  <c r="D454" i="6"/>
  <c r="E453" i="6"/>
  <c r="D453" i="6"/>
  <c r="E452" i="6"/>
  <c r="D452" i="6"/>
  <c r="E451" i="6"/>
  <c r="D451" i="6"/>
  <c r="E450" i="6"/>
  <c r="D450" i="6"/>
  <c r="E449" i="6"/>
  <c r="D449" i="6"/>
  <c r="E448" i="6"/>
  <c r="D448" i="6"/>
  <c r="E447" i="6"/>
  <c r="D447" i="6"/>
  <c r="E446" i="6"/>
  <c r="D446" i="6"/>
  <c r="E445" i="6"/>
  <c r="D445" i="6"/>
  <c r="E444" i="6"/>
  <c r="D444" i="6"/>
  <c r="E443" i="6"/>
  <c r="D443" i="6"/>
  <c r="E442" i="6"/>
  <c r="D442" i="6"/>
  <c r="E441" i="6"/>
  <c r="D441" i="6"/>
  <c r="E440" i="6"/>
  <c r="D440" i="6"/>
  <c r="E439" i="6"/>
  <c r="D439" i="6"/>
  <c r="E438" i="6"/>
  <c r="D438" i="6"/>
  <c r="E437" i="6"/>
  <c r="D437" i="6"/>
  <c r="E436" i="6"/>
  <c r="D436" i="6"/>
  <c r="E435" i="6"/>
  <c r="D435" i="6"/>
  <c r="E434" i="6"/>
  <c r="D434" i="6"/>
  <c r="E433" i="6"/>
  <c r="D433" i="6"/>
  <c r="E432" i="6"/>
  <c r="D432" i="6"/>
  <c r="E431" i="6"/>
  <c r="D431" i="6"/>
  <c r="E430" i="6"/>
  <c r="D430" i="6"/>
  <c r="E429" i="6"/>
  <c r="D429" i="6"/>
  <c r="E428" i="6"/>
  <c r="D428" i="6"/>
  <c r="E427" i="6"/>
  <c r="D427" i="6"/>
  <c r="E426" i="6"/>
  <c r="D426" i="6"/>
  <c r="E425" i="6"/>
  <c r="D425" i="6"/>
  <c r="E424" i="6"/>
  <c r="D424" i="6"/>
  <c r="E423" i="6"/>
  <c r="D423" i="6"/>
  <c r="E422" i="6"/>
  <c r="D422" i="6"/>
  <c r="E421" i="6"/>
  <c r="D421" i="6"/>
  <c r="E420" i="6"/>
  <c r="D420" i="6"/>
  <c r="E419" i="6"/>
  <c r="D419" i="6"/>
  <c r="E418" i="6"/>
  <c r="D418" i="6"/>
  <c r="E417" i="6"/>
  <c r="D417" i="6"/>
  <c r="E416" i="6"/>
  <c r="D416" i="6"/>
  <c r="E415" i="6"/>
  <c r="D415" i="6"/>
  <c r="E414" i="6"/>
  <c r="D414" i="6"/>
  <c r="E413" i="6"/>
  <c r="D413" i="6"/>
  <c r="E412" i="6"/>
  <c r="D412" i="6"/>
  <c r="E411" i="6"/>
  <c r="D411" i="6"/>
  <c r="E410" i="6"/>
  <c r="D410" i="6"/>
  <c r="E409" i="6"/>
  <c r="D409" i="6"/>
  <c r="E408" i="6"/>
  <c r="D408" i="6"/>
  <c r="E407" i="6"/>
  <c r="D407" i="6"/>
  <c r="E406" i="6"/>
  <c r="D406" i="6"/>
  <c r="E405" i="6"/>
  <c r="D405" i="6"/>
  <c r="E404" i="6"/>
  <c r="D404" i="6"/>
  <c r="E403" i="6"/>
  <c r="D403" i="6"/>
  <c r="E402" i="6"/>
  <c r="D402"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M8" i="6"/>
  <c r="E8" i="6"/>
  <c r="D8" i="6"/>
  <c r="M7" i="6"/>
  <c r="I7" i="6"/>
  <c r="E7" i="6"/>
  <c r="D7" i="6"/>
  <c r="M6" i="6"/>
  <c r="E6" i="6"/>
  <c r="D6" i="6"/>
  <c r="M5" i="6"/>
  <c r="E5" i="6"/>
  <c r="D5" i="6"/>
  <c r="M4" i="6"/>
  <c r="E4" i="6"/>
  <c r="D4" i="6"/>
  <c r="E25" i="4"/>
  <c r="D25" i="4"/>
  <c r="C25" i="4"/>
  <c r="B25" i="4"/>
  <c r="E24" i="4"/>
  <c r="D24" i="4"/>
  <c r="C24" i="4"/>
  <c r="B24" i="4"/>
  <c r="E23" i="4"/>
  <c r="D23" i="4"/>
  <c r="C23" i="4"/>
  <c r="B23" i="4"/>
  <c r="E22" i="4"/>
  <c r="D22" i="4"/>
  <c r="C22" i="4"/>
  <c r="B22" i="4"/>
  <c r="E21" i="4"/>
  <c r="D21" i="4"/>
  <c r="C21" i="4"/>
  <c r="B21" i="4"/>
  <c r="E20" i="4"/>
  <c r="D20" i="4"/>
  <c r="C20" i="4"/>
  <c r="B20" i="4"/>
  <c r="E19" i="4"/>
  <c r="D19" i="4"/>
  <c r="C19" i="4"/>
  <c r="B19" i="4"/>
  <c r="E18" i="4"/>
  <c r="D18" i="4"/>
  <c r="C18" i="4"/>
  <c r="B18" i="4"/>
  <c r="E17" i="4"/>
  <c r="D17" i="4"/>
  <c r="C17" i="4"/>
  <c r="B17" i="4"/>
  <c r="E16" i="4"/>
  <c r="D16" i="4"/>
  <c r="C16" i="4"/>
  <c r="B16" i="4"/>
  <c r="D15" i="4"/>
  <c r="G15" i="12"/>
  <c r="G16" i="12" s="1"/>
  <c r="F15" i="12"/>
  <c r="F16" i="12" s="1"/>
  <c r="G14" i="12"/>
  <c r="F14" i="12"/>
  <c r="E14" i="12"/>
  <c r="D14" i="12"/>
  <c r="C14" i="12"/>
  <c r="B14" i="12"/>
  <c r="G13" i="12"/>
  <c r="F13" i="12"/>
  <c r="E13" i="12"/>
  <c r="E15" i="12" s="1"/>
  <c r="E16" i="12" s="1"/>
  <c r="D13" i="12"/>
  <c r="D15" i="12" s="1"/>
  <c r="D16" i="12" s="1"/>
  <c r="C13" i="12"/>
  <c r="B13" i="12"/>
  <c r="B11" i="12"/>
  <c r="G9" i="12"/>
  <c r="G10" i="12" s="1"/>
  <c r="F9" i="12"/>
  <c r="F10" i="12" s="1"/>
  <c r="B9" i="12"/>
  <c r="B10" i="12" s="1"/>
  <c r="G8" i="12"/>
  <c r="F8" i="12"/>
  <c r="E8" i="12"/>
  <c r="D8" i="12"/>
  <c r="C8" i="12"/>
  <c r="B8" i="12"/>
  <c r="G7" i="12"/>
  <c r="F7" i="12"/>
  <c r="E7" i="12"/>
  <c r="E9" i="12" s="1"/>
  <c r="E10" i="12" s="1"/>
  <c r="D7" i="12"/>
  <c r="D9" i="12" s="1"/>
  <c r="D10" i="12" s="1"/>
  <c r="C7" i="12"/>
  <c r="C9" i="12" s="1"/>
  <c r="C10" i="12" s="1"/>
  <c r="B7" i="12"/>
  <c r="E5" i="12"/>
  <c r="D4" i="12"/>
  <c r="D5" i="12" s="1"/>
  <c r="C4" i="12"/>
  <c r="C5" i="12" s="1"/>
  <c r="C11" i="12" s="1"/>
  <c r="G3" i="12"/>
  <c r="F3" i="12"/>
  <c r="E3" i="12"/>
  <c r="D3" i="12"/>
  <c r="C3" i="12"/>
  <c r="B3" i="12"/>
  <c r="G2" i="12"/>
  <c r="G4" i="12" s="1"/>
  <c r="G5" i="12" s="1"/>
  <c r="G11" i="12" s="1"/>
  <c r="G17" i="12" s="1"/>
  <c r="E2" i="12"/>
  <c r="E4" i="12" s="1"/>
  <c r="D2" i="12"/>
  <c r="C2" i="12"/>
  <c r="B2" i="12"/>
  <c r="B4" i="12" s="1"/>
  <c r="B5" i="12" s="1"/>
  <c r="I6" i="10" l="1"/>
  <c r="I4" i="15" s="1"/>
  <c r="J8" i="9"/>
  <c r="J4" i="10" s="1"/>
  <c r="K8" i="9"/>
  <c r="E55" i="9"/>
  <c r="E9" i="9"/>
  <c r="E15" i="9"/>
  <c r="E24" i="9"/>
  <c r="E12" i="9"/>
  <c r="G9" i="9"/>
  <c r="F9" i="9"/>
  <c r="F44" i="9"/>
  <c r="I44" i="9" s="1"/>
  <c r="F35" i="9"/>
  <c r="I35" i="9" s="1"/>
  <c r="F15" i="9"/>
  <c r="G15" i="9"/>
  <c r="I15" i="9" s="1"/>
  <c r="G9" i="10"/>
  <c r="F2" i="12"/>
  <c r="F4" i="12" s="1"/>
  <c r="F5" i="12" s="1"/>
  <c r="F11" i="12" s="1"/>
  <c r="F17" i="12" s="1"/>
  <c r="F24" i="9"/>
  <c r="I24" i="9" s="1"/>
  <c r="D11" i="12"/>
  <c r="D17" i="12" s="1"/>
  <c r="E21" i="9"/>
  <c r="I21" i="9" s="1"/>
  <c r="F50" i="9"/>
  <c r="I50" i="9" s="1"/>
  <c r="M20" i="15"/>
  <c r="M46" i="10"/>
  <c r="L8" i="9"/>
  <c r="K6" i="10"/>
  <c r="K4" i="10"/>
  <c r="F5" i="7"/>
  <c r="C5" i="7" s="1"/>
  <c r="G38" i="9"/>
  <c r="C15" i="12"/>
  <c r="C16" i="12" s="1"/>
  <c r="C17" i="12" s="1"/>
  <c r="F47" i="9"/>
  <c r="I47" i="9" s="1"/>
  <c r="B7" i="16"/>
  <c r="B5" i="16"/>
  <c r="B16" i="16"/>
  <c r="B23" i="15"/>
  <c r="B10" i="15"/>
  <c r="B6" i="15"/>
  <c r="B11" i="15"/>
  <c r="B29" i="15"/>
  <c r="B19" i="10"/>
  <c r="B20" i="10" s="1"/>
  <c r="B22" i="10" s="1"/>
  <c r="B24" i="10" s="1"/>
  <c r="B28" i="10" s="1"/>
  <c r="B29" i="10" s="1"/>
  <c r="B10" i="10"/>
  <c r="B7" i="15"/>
  <c r="B28" i="15"/>
  <c r="B9" i="15"/>
  <c r="B27" i="15"/>
  <c r="F4" i="6"/>
  <c r="E11" i="12"/>
  <c r="E17" i="12" s="1"/>
  <c r="I6" i="11"/>
  <c r="B8" i="13"/>
  <c r="E47" i="9"/>
  <c r="C16" i="16"/>
  <c r="C10" i="15"/>
  <c r="C19" i="10"/>
  <c r="C20" i="10" s="1"/>
  <c r="C22" i="10" s="1"/>
  <c r="C24" i="10" s="1"/>
  <c r="C28" i="10" s="1"/>
  <c r="C29" i="10" s="1"/>
  <c r="C5" i="16"/>
  <c r="C6" i="15"/>
  <c r="C11" i="15"/>
  <c r="C55" i="9"/>
  <c r="J20" i="15"/>
  <c r="C27" i="15"/>
  <c r="I12" i="9"/>
  <c r="J12" i="9" s="1"/>
  <c r="K12" i="9" s="1"/>
  <c r="L12" i="9" s="1"/>
  <c r="M12" i="9" s="1"/>
  <c r="I18" i="9"/>
  <c r="J18" i="9" s="1"/>
  <c r="K18" i="9" s="1"/>
  <c r="L18" i="9" s="1"/>
  <c r="M18" i="9" s="1"/>
  <c r="H29" i="15"/>
  <c r="H28" i="15"/>
  <c r="H27" i="15"/>
  <c r="H23" i="15"/>
  <c r="H7" i="16"/>
  <c r="H5" i="16"/>
  <c r="H19" i="10"/>
  <c r="H20" i="10" s="1"/>
  <c r="H22" i="10" s="1"/>
  <c r="H24" i="10" s="1"/>
  <c r="H28" i="10" s="1"/>
  <c r="H29" i="10" s="1"/>
  <c r="H6" i="15"/>
  <c r="H16" i="16"/>
  <c r="H9" i="15"/>
  <c r="F7" i="14"/>
  <c r="H7" i="15"/>
  <c r="C9" i="15"/>
  <c r="D27" i="15"/>
  <c r="C7" i="16"/>
  <c r="I38" i="9"/>
  <c r="C58" i="9"/>
  <c r="J6" i="10"/>
  <c r="E50" i="9"/>
  <c r="C23" i="15"/>
  <c r="B27" i="9"/>
  <c r="B16" i="15" s="1"/>
  <c r="C10" i="10"/>
  <c r="H29" i="11"/>
  <c r="H31" i="11" s="1"/>
  <c r="C7" i="15"/>
  <c r="C28" i="15"/>
  <c r="B7" i="14"/>
  <c r="D19" i="10"/>
  <c r="D20" i="10" s="1"/>
  <c r="D22" i="10" s="1"/>
  <c r="D24" i="10" s="1"/>
  <c r="D10" i="15"/>
  <c r="B6" i="14"/>
  <c r="D7" i="16"/>
  <c r="D28" i="15"/>
  <c r="D11" i="15"/>
  <c r="D29" i="15"/>
  <c r="D9" i="15"/>
  <c r="D10" i="10"/>
  <c r="I41" i="9"/>
  <c r="D7" i="15"/>
  <c r="D5" i="16"/>
  <c r="B4" i="8"/>
  <c r="G29" i="11"/>
  <c r="G31" i="11" s="1"/>
  <c r="E19" i="10"/>
  <c r="E20" i="10" s="1"/>
  <c r="E22" i="10" s="1"/>
  <c r="E24" i="10" s="1"/>
  <c r="E7" i="16"/>
  <c r="E28" i="15"/>
  <c r="E29" i="15"/>
  <c r="E9" i="15"/>
  <c r="E10" i="10"/>
  <c r="E35" i="9"/>
  <c r="E44" i="9"/>
  <c r="H10" i="10"/>
  <c r="K20" i="15"/>
  <c r="B29" i="11"/>
  <c r="E7" i="15"/>
  <c r="E5" i="16"/>
  <c r="B15" i="12"/>
  <c r="B16" i="12" s="1"/>
  <c r="B17" i="12" s="1"/>
  <c r="F19" i="10"/>
  <c r="F20" i="10" s="1"/>
  <c r="F22" i="10" s="1"/>
  <c r="F24" i="10" s="1"/>
  <c r="F11" i="15"/>
  <c r="F10" i="15"/>
  <c r="F9" i="15"/>
  <c r="F7" i="15"/>
  <c r="F6" i="15"/>
  <c r="D6" i="14"/>
  <c r="F7" i="16"/>
  <c r="F28" i="15"/>
  <c r="F5" i="16"/>
  <c r="F29" i="15"/>
  <c r="F10" i="10"/>
  <c r="F16" i="16"/>
  <c r="F27" i="15"/>
  <c r="D7" i="14"/>
  <c r="C18" i="9"/>
  <c r="G21" i="11"/>
  <c r="G22" i="11" s="1"/>
  <c r="G55" i="9"/>
  <c r="G58" i="9"/>
  <c r="L20" i="15"/>
  <c r="L46" i="10"/>
  <c r="E11" i="15"/>
  <c r="C29" i="15"/>
  <c r="F55" i="9"/>
  <c r="H55" i="9" s="1"/>
  <c r="J55" i="9" s="1"/>
  <c r="J54" i="9" s="1"/>
  <c r="I4" i="10"/>
  <c r="C29" i="11"/>
  <c r="C31" i="11" s="1"/>
  <c r="D18" i="11"/>
  <c r="D29" i="11" s="1"/>
  <c r="D31" i="11" s="1"/>
  <c r="F18" i="11"/>
  <c r="F29" i="11" s="1"/>
  <c r="F31" i="11" s="1"/>
  <c r="I4" i="16" l="1"/>
  <c r="J44" i="9"/>
  <c r="I43" i="9"/>
  <c r="J47" i="9"/>
  <c r="I46" i="9"/>
  <c r="J24" i="9"/>
  <c r="I23" i="9"/>
  <c r="I18" i="10" s="1"/>
  <c r="J15" i="9"/>
  <c r="I14" i="9"/>
  <c r="I9" i="10" s="1"/>
  <c r="J35" i="9"/>
  <c r="I34" i="9"/>
  <c r="J50" i="9"/>
  <c r="I49" i="9"/>
  <c r="J21" i="11"/>
  <c r="J22" i="11" s="1"/>
  <c r="C10" i="13"/>
  <c r="J21" i="9"/>
  <c r="I20" i="9"/>
  <c r="I16" i="10" s="1"/>
  <c r="B11" i="16"/>
  <c r="J41" i="9"/>
  <c r="J4" i="15"/>
  <c r="J4" i="16"/>
  <c r="F8" i="14"/>
  <c r="H10" i="16"/>
  <c r="H8" i="16"/>
  <c r="H6" i="16"/>
  <c r="B30" i="13"/>
  <c r="H8" i="15"/>
  <c r="H14" i="15"/>
  <c r="H29" i="9"/>
  <c r="H15" i="15"/>
  <c r="H12" i="15"/>
  <c r="I17" i="9"/>
  <c r="I15" i="10" s="1"/>
  <c r="K11" i="9"/>
  <c r="H27" i="9"/>
  <c r="E27" i="9"/>
  <c r="E28" i="10"/>
  <c r="E29" i="10" s="1"/>
  <c r="B10" i="16"/>
  <c r="B8" i="16"/>
  <c r="B6" i="16"/>
  <c r="B12" i="15"/>
  <c r="B14" i="15"/>
  <c r="B8" i="15"/>
  <c r="B15" i="15"/>
  <c r="K4" i="15"/>
  <c r="K4" i="16"/>
  <c r="D27" i="9"/>
  <c r="D28" i="10"/>
  <c r="D29" i="10" s="1"/>
  <c r="M8" i="9"/>
  <c r="L4" i="10"/>
  <c r="L6" i="10"/>
  <c r="L17" i="9"/>
  <c r="L15" i="10" s="1"/>
  <c r="L54" i="9"/>
  <c r="L11" i="9"/>
  <c r="L7" i="10" s="1"/>
  <c r="I55" i="9"/>
  <c r="J38" i="9"/>
  <c r="F27" i="9"/>
  <c r="F28" i="10"/>
  <c r="F29" i="10" s="1"/>
  <c r="L55" i="9"/>
  <c r="C10" i="16"/>
  <c r="C29" i="9"/>
  <c r="C15" i="15"/>
  <c r="C8" i="16"/>
  <c r="C14" i="15"/>
  <c r="C12" i="15"/>
  <c r="C8" i="15"/>
  <c r="C6" i="16"/>
  <c r="I11" i="9"/>
  <c r="J11" i="9"/>
  <c r="G11" i="15"/>
  <c r="G10" i="15"/>
  <c r="G9" i="15"/>
  <c r="G7" i="15"/>
  <c r="G6" i="15"/>
  <c r="E6" i="14"/>
  <c r="G29" i="15"/>
  <c r="G28" i="15"/>
  <c r="G27" i="15"/>
  <c r="G23" i="15"/>
  <c r="G5" i="16"/>
  <c r="G19" i="10"/>
  <c r="G20" i="10" s="1"/>
  <c r="G22" i="10" s="1"/>
  <c r="G24" i="10" s="1"/>
  <c r="G16" i="16"/>
  <c r="E7" i="14"/>
  <c r="G10" i="10"/>
  <c r="G7" i="16"/>
  <c r="J17" i="9"/>
  <c r="J15" i="10" s="1"/>
  <c r="C27" i="9"/>
  <c r="I6" i="6"/>
  <c r="I8" i="6" s="1"/>
  <c r="C4" i="7"/>
  <c r="C6" i="7" s="1"/>
  <c r="K17" i="9"/>
  <c r="K15" i="10" s="1"/>
  <c r="E11" i="16" l="1"/>
  <c r="E16" i="15"/>
  <c r="I19" i="10"/>
  <c r="F16" i="15"/>
  <c r="F11" i="16"/>
  <c r="H34" i="15"/>
  <c r="H30" i="9"/>
  <c r="J40" i="9"/>
  <c r="K41" i="9"/>
  <c r="I71" i="10"/>
  <c r="I26" i="15" s="1"/>
  <c r="I11" i="11"/>
  <c r="G28" i="10"/>
  <c r="G29" i="10" s="1"/>
  <c r="G27" i="9"/>
  <c r="J7" i="10"/>
  <c r="J8" i="10" s="1"/>
  <c r="I37" i="9"/>
  <c r="I12" i="11"/>
  <c r="I74" i="10"/>
  <c r="C30" i="9"/>
  <c r="C35" i="15" s="1"/>
  <c r="C34" i="15"/>
  <c r="L4" i="15"/>
  <c r="L4" i="16"/>
  <c r="L8" i="10"/>
  <c r="I40" i="9"/>
  <c r="B5" i="8"/>
  <c r="B7" i="8" s="1"/>
  <c r="C14" i="7"/>
  <c r="N6" i="6"/>
  <c r="N8" i="6"/>
  <c r="N3" i="6"/>
  <c r="N7" i="6"/>
  <c r="N4" i="6"/>
  <c r="N5" i="6"/>
  <c r="K21" i="9"/>
  <c r="J20" i="9"/>
  <c r="J16" i="10" s="1"/>
  <c r="K47" i="9"/>
  <c r="J46" i="9"/>
  <c r="E10" i="13"/>
  <c r="L21" i="11"/>
  <c r="L22" i="11" s="1"/>
  <c r="H16" i="15"/>
  <c r="H11" i="16"/>
  <c r="K50" i="9"/>
  <c r="J49" i="9"/>
  <c r="D8" i="14"/>
  <c r="F15" i="15"/>
  <c r="F14" i="15"/>
  <c r="F12" i="15"/>
  <c r="F8" i="15"/>
  <c r="F8" i="16"/>
  <c r="F6" i="16"/>
  <c r="F29" i="9"/>
  <c r="F10" i="16"/>
  <c r="K15" i="9"/>
  <c r="J14" i="9"/>
  <c r="J9" i="10" s="1"/>
  <c r="K24" i="9"/>
  <c r="J23" i="9"/>
  <c r="J18" i="10" s="1"/>
  <c r="I25" i="11"/>
  <c r="I7" i="11"/>
  <c r="K55" i="9"/>
  <c r="I54" i="9"/>
  <c r="C11" i="16"/>
  <c r="C16" i="15"/>
  <c r="M4" i="10"/>
  <c r="M17" i="9"/>
  <c r="M15" i="10" s="1"/>
  <c r="M11" i="9"/>
  <c r="M7" i="10" s="1"/>
  <c r="M6" i="10"/>
  <c r="I51" i="10"/>
  <c r="I15" i="11"/>
  <c r="D11" i="16"/>
  <c r="D16" i="15"/>
  <c r="I13" i="11"/>
  <c r="I73" i="10"/>
  <c r="K7" i="10"/>
  <c r="K8" i="10" s="1"/>
  <c r="J34" i="9"/>
  <c r="K35" i="9"/>
  <c r="I7" i="10"/>
  <c r="I8" i="10" s="1"/>
  <c r="I26" i="9"/>
  <c r="I26" i="10" s="1"/>
  <c r="K38" i="9"/>
  <c r="D10" i="16"/>
  <c r="D8" i="15"/>
  <c r="D29" i="9"/>
  <c r="D8" i="16"/>
  <c r="D15" i="15"/>
  <c r="B8" i="14"/>
  <c r="D14" i="15"/>
  <c r="D12" i="15"/>
  <c r="D6" i="16"/>
  <c r="E8" i="15"/>
  <c r="E14" i="15"/>
  <c r="C8" i="14"/>
  <c r="E8" i="16"/>
  <c r="E15" i="15"/>
  <c r="E10" i="16"/>
  <c r="E29" i="9"/>
  <c r="E12" i="15"/>
  <c r="E6" i="16"/>
  <c r="K44" i="9"/>
  <c r="J43" i="9"/>
  <c r="E30" i="9" l="1"/>
  <c r="E35" i="15" s="1"/>
  <c r="E34" i="15"/>
  <c r="H35" i="15"/>
  <c r="J11" i="11"/>
  <c r="J71" i="10"/>
  <c r="J26" i="15" s="1"/>
  <c r="M55" i="9"/>
  <c r="M54" i="9" s="1"/>
  <c r="K54" i="9"/>
  <c r="J50" i="10"/>
  <c r="D30" i="9"/>
  <c r="D35" i="15" s="1"/>
  <c r="D34" i="15"/>
  <c r="L24" i="9"/>
  <c r="K23" i="9"/>
  <c r="K18" i="10" s="1"/>
  <c r="J73" i="10"/>
  <c r="J13" i="11"/>
  <c r="C23" i="14"/>
  <c r="D23" i="14" s="1"/>
  <c r="E23" i="14" s="1"/>
  <c r="F23" i="14" s="1"/>
  <c r="I7" i="16"/>
  <c r="I5" i="16"/>
  <c r="I16" i="16"/>
  <c r="I6" i="15"/>
  <c r="I11" i="15"/>
  <c r="I20" i="10"/>
  <c r="I22" i="10" s="1"/>
  <c r="I24" i="10" s="1"/>
  <c r="I10" i="10"/>
  <c r="C24" i="14"/>
  <c r="D24" i="14" s="1"/>
  <c r="E24" i="14" s="1"/>
  <c r="F24" i="14" s="1"/>
  <c r="I7" i="15"/>
  <c r="I23" i="15"/>
  <c r="I10" i="15"/>
  <c r="G7" i="14"/>
  <c r="I9" i="15"/>
  <c r="I5" i="15"/>
  <c r="G6" i="14"/>
  <c r="G5" i="14"/>
  <c r="J74" i="10"/>
  <c r="J12" i="11"/>
  <c r="I14" i="11"/>
  <c r="I50" i="10"/>
  <c r="J14" i="11" s="1"/>
  <c r="J51" i="10"/>
  <c r="J15" i="11"/>
  <c r="L5" i="15"/>
  <c r="L21" i="9"/>
  <c r="K20" i="9"/>
  <c r="K16" i="10" s="1"/>
  <c r="I70" i="10"/>
  <c r="I10" i="11"/>
  <c r="L47" i="9"/>
  <c r="K46" i="9"/>
  <c r="K40" i="9"/>
  <c r="L41" i="9"/>
  <c r="K5" i="15"/>
  <c r="I5" i="14"/>
  <c r="L50" i="9"/>
  <c r="K49" i="9"/>
  <c r="L15" i="9"/>
  <c r="K14" i="9"/>
  <c r="K37" i="9"/>
  <c r="L38" i="9"/>
  <c r="J37" i="9"/>
  <c r="F34" i="15"/>
  <c r="F30" i="9"/>
  <c r="F35" i="15" s="1"/>
  <c r="F13" i="13"/>
  <c r="F15" i="13" s="1"/>
  <c r="E13" i="13"/>
  <c r="E15" i="13" s="1"/>
  <c r="B13" i="13"/>
  <c r="B15" i="13" s="1"/>
  <c r="D13" i="13"/>
  <c r="D15" i="13" s="1"/>
  <c r="C13" i="13"/>
  <c r="C15" i="13" s="1"/>
  <c r="C18" i="7"/>
  <c r="C23" i="7" s="1"/>
  <c r="J10" i="15"/>
  <c r="J9" i="15"/>
  <c r="J6" i="15"/>
  <c r="J5" i="15"/>
  <c r="H6" i="14"/>
  <c r="J5" i="16"/>
  <c r="J10" i="10"/>
  <c r="H5" i="14"/>
  <c r="J7" i="16"/>
  <c r="E8" i="14"/>
  <c r="G15" i="15"/>
  <c r="G14" i="15"/>
  <c r="G12" i="15"/>
  <c r="G8" i="15"/>
  <c r="G29" i="9"/>
  <c r="G6" i="16"/>
  <c r="G8" i="16"/>
  <c r="G10" i="16"/>
  <c r="L35" i="9"/>
  <c r="K34" i="9"/>
  <c r="I21" i="11"/>
  <c r="I22" i="11" s="1"/>
  <c r="I60" i="9"/>
  <c r="B10" i="13"/>
  <c r="L44" i="9"/>
  <c r="K43" i="9"/>
  <c r="J25" i="11"/>
  <c r="J7" i="11"/>
  <c r="M4" i="16"/>
  <c r="M4" i="15"/>
  <c r="M8" i="10"/>
  <c r="I25" i="10"/>
  <c r="I17" i="11"/>
  <c r="G16" i="15"/>
  <c r="G11" i="16"/>
  <c r="M21" i="11" l="1"/>
  <c r="M22" i="11" s="1"/>
  <c r="F10" i="13"/>
  <c r="J10" i="11"/>
  <c r="J16" i="11" s="1"/>
  <c r="J70" i="10"/>
  <c r="M38" i="9"/>
  <c r="M41" i="9"/>
  <c r="G23" i="14"/>
  <c r="M21" i="9"/>
  <c r="M20" i="9" s="1"/>
  <c r="M16" i="10" s="1"/>
  <c r="L20" i="9"/>
  <c r="L16" i="10" s="1"/>
  <c r="K11" i="11"/>
  <c r="K71" i="10"/>
  <c r="K26" i="15" s="1"/>
  <c r="M35" i="9"/>
  <c r="M34" i="9" s="1"/>
  <c r="L34" i="9"/>
  <c r="I58" i="10"/>
  <c r="I57" i="10" s="1"/>
  <c r="I67" i="10" s="1"/>
  <c r="J59" i="9"/>
  <c r="G34" i="15"/>
  <c r="G30" i="9"/>
  <c r="K10" i="11"/>
  <c r="K70" i="10"/>
  <c r="M47" i="9"/>
  <c r="M46" i="9" s="1"/>
  <c r="L46" i="9"/>
  <c r="G24" i="14"/>
  <c r="K25" i="11"/>
  <c r="K7" i="11"/>
  <c r="J28" i="15"/>
  <c r="J53" i="10"/>
  <c r="M5" i="15"/>
  <c r="K14" i="11"/>
  <c r="K50" i="10"/>
  <c r="K74" i="10"/>
  <c r="K12" i="11"/>
  <c r="K73" i="10"/>
  <c r="K13" i="11"/>
  <c r="I16" i="11"/>
  <c r="M24" i="9"/>
  <c r="M23" i="9" s="1"/>
  <c r="M18" i="10" s="1"/>
  <c r="L23" i="9"/>
  <c r="L18" i="10" s="1"/>
  <c r="K21" i="11"/>
  <c r="K22" i="11" s="1"/>
  <c r="D10" i="13"/>
  <c r="I53" i="10"/>
  <c r="I28" i="15"/>
  <c r="K9" i="10"/>
  <c r="K15" i="11"/>
  <c r="K51" i="10"/>
  <c r="M15" i="9"/>
  <c r="M14" i="9" s="1"/>
  <c r="L14" i="9"/>
  <c r="L40" i="9" s="1"/>
  <c r="M44" i="9"/>
  <c r="M43" i="9" s="1"/>
  <c r="L43" i="9"/>
  <c r="M50" i="9"/>
  <c r="M49" i="9" s="1"/>
  <c r="L49" i="9"/>
  <c r="I27" i="15"/>
  <c r="I29" i="15"/>
  <c r="B6" i="13"/>
  <c r="I28" i="10"/>
  <c r="I29" i="10" s="1"/>
  <c r="B5" i="13"/>
  <c r="B7" i="13" s="1"/>
  <c r="I5" i="11"/>
  <c r="I8" i="11" s="1"/>
  <c r="I18" i="11" l="1"/>
  <c r="K16" i="11"/>
  <c r="M40" i="9"/>
  <c r="L37" i="9"/>
  <c r="L14" i="11"/>
  <c r="L50" i="10"/>
  <c r="M25" i="11"/>
  <c r="M7" i="11"/>
  <c r="L51" i="10"/>
  <c r="M15" i="11" s="1"/>
  <c r="L15" i="11"/>
  <c r="M12" i="11"/>
  <c r="M74" i="10"/>
  <c r="J57" i="9"/>
  <c r="J60" i="9"/>
  <c r="M37" i="9"/>
  <c r="L12" i="11"/>
  <c r="L74" i="10"/>
  <c r="K28" i="15"/>
  <c r="K53" i="10"/>
  <c r="K29" i="15"/>
  <c r="K27" i="15"/>
  <c r="G35" i="15"/>
  <c r="I30" i="9"/>
  <c r="L9" i="10"/>
  <c r="M9" i="10"/>
  <c r="L71" i="10"/>
  <c r="L26" i="15" s="1"/>
  <c r="L11" i="11"/>
  <c r="J27" i="15"/>
  <c r="J29" i="15"/>
  <c r="I6" i="14"/>
  <c r="K9" i="15"/>
  <c r="K5" i="16"/>
  <c r="K10" i="15"/>
  <c r="K7" i="16"/>
  <c r="K10" i="10"/>
  <c r="K6" i="15"/>
  <c r="L25" i="11"/>
  <c r="L7" i="11"/>
  <c r="L73" i="10"/>
  <c r="L13" i="11"/>
  <c r="M73" i="10"/>
  <c r="M13" i="11"/>
  <c r="L10" i="11"/>
  <c r="L70" i="10"/>
  <c r="M71" i="10"/>
  <c r="M26" i="15" s="1"/>
  <c r="M11" i="11"/>
  <c r="M50" i="10"/>
  <c r="M14" i="11"/>
  <c r="I8" i="16"/>
  <c r="I6" i="16"/>
  <c r="G8" i="14"/>
  <c r="I12" i="15"/>
  <c r="I30" i="10"/>
  <c r="I8" i="15"/>
  <c r="M51" i="10"/>
  <c r="L16" i="11" l="1"/>
  <c r="J58" i="10"/>
  <c r="J57" i="10" s="1"/>
  <c r="J67" i="10" s="1"/>
  <c r="K59" i="9"/>
  <c r="J17" i="10"/>
  <c r="J26" i="9"/>
  <c r="J26" i="10" s="1"/>
  <c r="L29" i="15"/>
  <c r="L27" i="15"/>
  <c r="M6" i="15"/>
  <c r="M10" i="10"/>
  <c r="M10" i="15"/>
  <c r="M5" i="16"/>
  <c r="M9" i="15"/>
  <c r="M7" i="16"/>
  <c r="M28" i="15"/>
  <c r="M53" i="10"/>
  <c r="M70" i="10"/>
  <c r="M10" i="11"/>
  <c r="M16" i="11" s="1"/>
  <c r="I35" i="15"/>
  <c r="J30" i="9"/>
  <c r="I29" i="9"/>
  <c r="I12" i="16"/>
  <c r="I36" i="15"/>
  <c r="I20" i="16"/>
  <c r="I13" i="16"/>
  <c r="I17" i="15"/>
  <c r="I31" i="10"/>
  <c r="I18" i="15"/>
  <c r="G9" i="14"/>
  <c r="C22" i="14"/>
  <c r="F22" i="14" s="1"/>
  <c r="I32" i="15"/>
  <c r="L28" i="15"/>
  <c r="L53" i="10"/>
  <c r="L6" i="15"/>
  <c r="L10" i="15"/>
  <c r="L7" i="16"/>
  <c r="L10" i="10"/>
  <c r="L5" i="16"/>
  <c r="L9" i="15"/>
  <c r="J25" i="10" l="1"/>
  <c r="J17" i="11"/>
  <c r="J29" i="9"/>
  <c r="J35" i="15"/>
  <c r="K30" i="9"/>
  <c r="J6" i="11"/>
  <c r="C8" i="13"/>
  <c r="H7" i="14"/>
  <c r="J16" i="16"/>
  <c r="J23" i="15"/>
  <c r="J7" i="15"/>
  <c r="J11" i="15"/>
  <c r="J19" i="10"/>
  <c r="J20" i="10" s="1"/>
  <c r="J22" i="10" s="1"/>
  <c r="J24" i="10" s="1"/>
  <c r="M29" i="15"/>
  <c r="M27" i="15"/>
  <c r="K57" i="9"/>
  <c r="K60" i="9"/>
  <c r="I26" i="11"/>
  <c r="I27" i="11" s="1"/>
  <c r="I29" i="11" s="1"/>
  <c r="I31" i="11" s="1"/>
  <c r="I34" i="15"/>
  <c r="I40" i="10"/>
  <c r="G22" i="14"/>
  <c r="I41" i="10" l="1"/>
  <c r="J28" i="10"/>
  <c r="J29" i="10" s="1"/>
  <c r="J40" i="10" s="1"/>
  <c r="C6" i="13"/>
  <c r="C5" i="13"/>
  <c r="C7" i="13" s="1"/>
  <c r="J5" i="11"/>
  <c r="J8" i="11" s="1"/>
  <c r="J18" i="11" s="1"/>
  <c r="J34" i="15"/>
  <c r="J26" i="11"/>
  <c r="J27" i="11" s="1"/>
  <c r="L59" i="9"/>
  <c r="K58" i="10"/>
  <c r="K57" i="10" s="1"/>
  <c r="K67" i="10" s="1"/>
  <c r="K17" i="10"/>
  <c r="K26" i="9"/>
  <c r="K26" i="10" s="1"/>
  <c r="K29" i="9"/>
  <c r="K35" i="15"/>
  <c r="L30" i="9"/>
  <c r="J41" i="10" l="1"/>
  <c r="J14" i="15" s="1"/>
  <c r="L57" i="9"/>
  <c r="L60" i="9"/>
  <c r="K6" i="11"/>
  <c r="D8" i="13"/>
  <c r="K23" i="15"/>
  <c r="K11" i="15"/>
  <c r="K19" i="10"/>
  <c r="K20" i="10" s="1"/>
  <c r="K22" i="10" s="1"/>
  <c r="K24" i="10" s="1"/>
  <c r="I7" i="14"/>
  <c r="K16" i="16"/>
  <c r="K7" i="15"/>
  <c r="J29" i="11"/>
  <c r="K34" i="15"/>
  <c r="K26" i="11"/>
  <c r="K27" i="11" s="1"/>
  <c r="L35" i="15"/>
  <c r="M30" i="9"/>
  <c r="J12" i="15"/>
  <c r="J8" i="15"/>
  <c r="H8" i="14"/>
  <c r="J6" i="16"/>
  <c r="J30" i="10"/>
  <c r="J8" i="16"/>
  <c r="J10" i="16"/>
  <c r="K25" i="10"/>
  <c r="K17" i="11"/>
  <c r="I32" i="10"/>
  <c r="I54" i="10"/>
  <c r="I72" i="10" s="1"/>
  <c r="I15" i="16"/>
  <c r="I22" i="15"/>
  <c r="I16" i="15"/>
  <c r="I11" i="16"/>
  <c r="I10" i="16"/>
  <c r="I14" i="15"/>
  <c r="I37" i="15" l="1"/>
  <c r="I21" i="16"/>
  <c r="I19" i="16"/>
  <c r="I33" i="15"/>
  <c r="C25" i="14"/>
  <c r="F25" i="14" s="1"/>
  <c r="G10" i="14"/>
  <c r="J30" i="11"/>
  <c r="J31" i="11" s="1"/>
  <c r="J32" i="11" s="1"/>
  <c r="I21" i="15"/>
  <c r="I75" i="10"/>
  <c r="I32" i="11"/>
  <c r="M59" i="9"/>
  <c r="L58" i="10"/>
  <c r="L57" i="10" s="1"/>
  <c r="L67" i="10" s="1"/>
  <c r="L17" i="10"/>
  <c r="L26" i="9"/>
  <c r="K28" i="10"/>
  <c r="K29" i="10" s="1"/>
  <c r="D5" i="13"/>
  <c r="K5" i="11"/>
  <c r="K8" i="11" s="1"/>
  <c r="K18" i="11" s="1"/>
  <c r="K29" i="11" s="1"/>
  <c r="D6" i="13"/>
  <c r="J17" i="15"/>
  <c r="H9" i="14"/>
  <c r="J20" i="16"/>
  <c r="J13" i="16"/>
  <c r="J36" i="15"/>
  <c r="J31" i="10"/>
  <c r="J32" i="15"/>
  <c r="J18" i="15"/>
  <c r="J12" i="16"/>
  <c r="J32" i="10"/>
  <c r="J54" i="10"/>
  <c r="J72" i="10" s="1"/>
  <c r="J22" i="15"/>
  <c r="J15" i="16"/>
  <c r="J11" i="16"/>
  <c r="J16" i="15"/>
  <c r="M35" i="15"/>
  <c r="M57" i="9" l="1"/>
  <c r="G25" i="14"/>
  <c r="F26" i="14"/>
  <c r="J21" i="16"/>
  <c r="J19" i="16"/>
  <c r="H10" i="14"/>
  <c r="J33" i="15"/>
  <c r="J37" i="15"/>
  <c r="D7" i="13"/>
  <c r="K12" i="15"/>
  <c r="K8" i="15"/>
  <c r="K8" i="16"/>
  <c r="K30" i="10"/>
  <c r="I8" i="14"/>
  <c r="K6" i="16"/>
  <c r="K40" i="10"/>
  <c r="I17" i="16"/>
  <c r="I24" i="15"/>
  <c r="I77" i="10"/>
  <c r="B9" i="13" s="1"/>
  <c r="B11" i="13" s="1"/>
  <c r="B16" i="13" s="1"/>
  <c r="I76" i="10"/>
  <c r="K30" i="11"/>
  <c r="K31" i="11" s="1"/>
  <c r="J21" i="15"/>
  <c r="J75" i="10"/>
  <c r="L26" i="10"/>
  <c r="L29" i="9"/>
  <c r="L6" i="11"/>
  <c r="E8" i="13"/>
  <c r="L23" i="15"/>
  <c r="L19" i="10"/>
  <c r="L20" i="10" s="1"/>
  <c r="L22" i="10" s="1"/>
  <c r="L24" i="10" s="1"/>
  <c r="L7" i="15"/>
  <c r="L16" i="16"/>
  <c r="L11" i="15"/>
  <c r="K41" i="10" l="1"/>
  <c r="J17" i="16"/>
  <c r="J24" i="15"/>
  <c r="J77" i="10"/>
  <c r="C9" i="13" s="1"/>
  <c r="C11" i="13" s="1"/>
  <c r="C16" i="13" s="1"/>
  <c r="J76" i="10"/>
  <c r="G26" i="14"/>
  <c r="I78" i="10"/>
  <c r="I30" i="15"/>
  <c r="I15" i="15"/>
  <c r="M17" i="10"/>
  <c r="M26" i="9"/>
  <c r="M26" i="10" s="1"/>
  <c r="M29" i="9"/>
  <c r="L34" i="15"/>
  <c r="L26" i="11"/>
  <c r="L27" i="11" s="1"/>
  <c r="L17" i="11"/>
  <c r="L25" i="10"/>
  <c r="L28" i="10" s="1"/>
  <c r="L29" i="10" s="1"/>
  <c r="K17" i="15"/>
  <c r="I9" i="14"/>
  <c r="K32" i="15"/>
  <c r="K18" i="15"/>
  <c r="K36" i="15"/>
  <c r="K31" i="10"/>
  <c r="K20" i="16"/>
  <c r="K13" i="16"/>
  <c r="K12" i="16"/>
  <c r="E6" i="13"/>
  <c r="E5" i="13"/>
  <c r="E7" i="13" s="1"/>
  <c r="L5" i="11"/>
  <c r="L8" i="11" s="1"/>
  <c r="L18" i="11" s="1"/>
  <c r="L29" i="11" s="1"/>
  <c r="M60" i="9"/>
  <c r="M58" i="10" s="1"/>
  <c r="M57" i="10" s="1"/>
  <c r="M67" i="10" s="1"/>
  <c r="L12" i="15" l="1"/>
  <c r="L8" i="15"/>
  <c r="L8" i="16"/>
  <c r="L6" i="16"/>
  <c r="L30" i="10"/>
  <c r="L40" i="10"/>
  <c r="J78" i="10"/>
  <c r="J30" i="15"/>
  <c r="J15" i="15"/>
  <c r="M34" i="15"/>
  <c r="M26" i="11"/>
  <c r="M27" i="11" s="1"/>
  <c r="M17" i="11"/>
  <c r="M25" i="10"/>
  <c r="F8" i="13"/>
  <c r="M6" i="11"/>
  <c r="M7" i="15"/>
  <c r="M11" i="15"/>
  <c r="M23" i="15"/>
  <c r="M19" i="10"/>
  <c r="M20" i="10" s="1"/>
  <c r="M22" i="10" s="1"/>
  <c r="M24" i="10" s="1"/>
  <c r="M16" i="16"/>
  <c r="K54" i="10"/>
  <c r="K72" i="10" s="1"/>
  <c r="K15" i="16"/>
  <c r="K32" i="10"/>
  <c r="K22" i="15"/>
  <c r="K11" i="16"/>
  <c r="K16" i="15"/>
  <c r="K14" i="15"/>
  <c r="K10" i="16"/>
  <c r="M28" i="10" l="1"/>
  <c r="M29" i="10" s="1"/>
  <c r="F6" i="13"/>
  <c r="M5" i="11"/>
  <c r="M8" i="11" s="1"/>
  <c r="M18" i="11" s="1"/>
  <c r="M29" i="11" s="1"/>
  <c r="F5" i="13"/>
  <c r="F7" i="13" s="1"/>
  <c r="M40" i="10"/>
  <c r="M41" i="10" s="1"/>
  <c r="L41" i="10"/>
  <c r="L17" i="15"/>
  <c r="L32" i="15"/>
  <c r="L18" i="15"/>
  <c r="L12" i="16"/>
  <c r="L36" i="15"/>
  <c r="L20" i="16"/>
  <c r="L13" i="16"/>
  <c r="L31" i="10"/>
  <c r="L30" i="11"/>
  <c r="L31" i="11" s="1"/>
  <c r="K21" i="15"/>
  <c r="K75" i="10"/>
  <c r="K32" i="11"/>
  <c r="K33" i="15"/>
  <c r="I10" i="14"/>
  <c r="K21" i="16"/>
  <c r="K37" i="15"/>
  <c r="K19" i="16"/>
  <c r="L54" i="10" l="1"/>
  <c r="L72" i="10" s="1"/>
  <c r="L32" i="11" s="1"/>
  <c r="L15" i="16"/>
  <c r="L32" i="10"/>
  <c r="L22" i="15"/>
  <c r="L16" i="15"/>
  <c r="L11" i="16"/>
  <c r="L14" i="15"/>
  <c r="L10" i="16"/>
  <c r="M54" i="10"/>
  <c r="M72" i="10" s="1"/>
  <c r="M32" i="10"/>
  <c r="M15" i="16"/>
  <c r="M22" i="15"/>
  <c r="M16" i="15"/>
  <c r="M11" i="16"/>
  <c r="K24" i="15"/>
  <c r="K17" i="16"/>
  <c r="K77" i="10"/>
  <c r="D9" i="13" s="1"/>
  <c r="D11" i="13" s="1"/>
  <c r="D16" i="13" s="1"/>
  <c r="K76" i="10"/>
  <c r="M10" i="16"/>
  <c r="M8" i="16"/>
  <c r="M6" i="16"/>
  <c r="M12" i="15"/>
  <c r="M14" i="15"/>
  <c r="M8" i="15"/>
  <c r="M30" i="10"/>
  <c r="M33" i="15" l="1"/>
  <c r="M37" i="15"/>
  <c r="M21" i="16"/>
  <c r="M19" i="16"/>
  <c r="K78" i="10"/>
  <c r="K30" i="15"/>
  <c r="K15" i="15"/>
  <c r="M32" i="15"/>
  <c r="M18" i="15"/>
  <c r="M12" i="16"/>
  <c r="M36" i="15"/>
  <c r="M20" i="16"/>
  <c r="M13" i="16"/>
  <c r="M31" i="10"/>
  <c r="M17" i="15"/>
  <c r="L33" i="15"/>
  <c r="L37" i="15"/>
  <c r="L21" i="16"/>
  <c r="L19" i="16"/>
  <c r="M21" i="15"/>
  <c r="M75" i="10"/>
  <c r="M30" i="11"/>
  <c r="M31" i="11" s="1"/>
  <c r="M32" i="11" s="1"/>
  <c r="L21" i="15"/>
  <c r="L75" i="10"/>
  <c r="M24" i="15" l="1"/>
  <c r="M17" i="16"/>
  <c r="M77" i="10"/>
  <c r="M76" i="10"/>
  <c r="L24" i="15"/>
  <c r="L17" i="16"/>
  <c r="L77" i="10"/>
  <c r="E9" i="13" s="1"/>
  <c r="E11" i="13" s="1"/>
  <c r="E16" i="13" s="1"/>
  <c r="L76" i="10"/>
  <c r="F9" i="13" l="1"/>
  <c r="F11" i="13" s="1"/>
  <c r="L78" i="10"/>
  <c r="L30" i="15"/>
  <c r="L15" i="15"/>
  <c r="M78" i="10"/>
  <c r="M30" i="15"/>
  <c r="M15" i="15"/>
  <c r="F16" i="13" l="1"/>
  <c r="B23" i="13" s="1"/>
  <c r="B19" i="13"/>
  <c r="B20" i="13" s="1"/>
  <c r="B21" i="13" s="1"/>
  <c r="B24" i="13" s="1"/>
  <c r="B25" i="13" l="1"/>
  <c r="B29" i="13" s="1"/>
  <c r="B31" i="13" s="1"/>
</calcChain>
</file>

<file path=xl/sharedStrings.xml><?xml version="1.0" encoding="utf-8"?>
<sst xmlns="http://schemas.openxmlformats.org/spreadsheetml/2006/main" count="721" uniqueCount="577">
  <si>
    <t>Discounted Cash Flow &amp; Relative Valuation | Base Case | FY2026–FY2030 Forecast</t>
  </si>
  <si>
    <t>Sr.</t>
  </si>
  <si>
    <t>Section</t>
  </si>
  <si>
    <t>Sheet Name</t>
  </si>
  <si>
    <t>Description</t>
  </si>
  <si>
    <t>Type</t>
  </si>
  <si>
    <t>Background</t>
  </si>
  <si>
    <t>SOURCES</t>
  </si>
  <si>
    <t>Data sources and bases of all assumptions used</t>
  </si>
  <si>
    <t>Supporting</t>
  </si>
  <si>
    <t>ABOUT THE COMPANY</t>
  </si>
  <si>
    <t>Company overview, business segments, key financials</t>
  </si>
  <si>
    <t>Macro Analysis</t>
  </si>
  <si>
    <t>ECONOMY ANALYSIS</t>
  </si>
  <si>
    <t>Analysis</t>
  </si>
  <si>
    <t>Sector Analysis</t>
  </si>
  <si>
    <t>INDUSTRY ANALYSIS</t>
  </si>
  <si>
    <t>Gold demand, jewellery sector data and market dynamics</t>
  </si>
  <si>
    <t>Model Input</t>
  </si>
  <si>
    <t>BETA</t>
  </si>
  <si>
    <t>Historical beta using SENSEX &amp; Titan price data (2011–2025)</t>
  </si>
  <si>
    <t>Input</t>
  </si>
  <si>
    <t>WACC &amp; EVA</t>
  </si>
  <si>
    <t>WACC = 10.51% | Ke = 13.38% | Kd = 9.27% | EVA computed</t>
  </si>
  <si>
    <t>Valuation</t>
  </si>
  <si>
    <t>DDM</t>
  </si>
  <si>
    <t>Assumptions</t>
  </si>
  <si>
    <t>Financial Model</t>
  </si>
  <si>
    <t>FS</t>
  </si>
  <si>
    <t>Model</t>
  </si>
  <si>
    <t>CFS</t>
  </si>
  <si>
    <t>OPERATING CYCLE</t>
  </si>
  <si>
    <t>DCF Valuation</t>
  </si>
  <si>
    <t>Relative Valuation</t>
  </si>
  <si>
    <t>Ratio Analysis</t>
  </si>
  <si>
    <t>5-section ratio analysis covering all 12 years</t>
  </si>
  <si>
    <t>Summary</t>
  </si>
  <si>
    <t>Key Ratio Forecast</t>
  </si>
  <si>
    <t>Key ratios dashboard with trend chart</t>
  </si>
  <si>
    <t>VALUATION SUMMARY AT A GLANCE</t>
  </si>
  <si>
    <t>Company</t>
  </si>
  <si>
    <t>Sector</t>
  </si>
  <si>
    <t>Valuation Base</t>
  </si>
  <si>
    <t>FY2025 Actuals | 5-Year Explicit Forecast FY2026–FY2030</t>
  </si>
  <si>
    <t>WACC</t>
  </si>
  <si>
    <t>10.51%  |  Terminal Growth Rate: 5.0%</t>
  </si>
  <si>
    <t>DCF Fair Value</t>
  </si>
  <si>
    <t>DDM Value</t>
  </si>
  <si>
    <t>CMP (Approx.)</t>
  </si>
  <si>
    <t>Nature</t>
  </si>
  <si>
    <t>S. no.</t>
  </si>
  <si>
    <t>Details of assumptions</t>
  </si>
  <si>
    <t>Assumed Figure</t>
  </si>
  <si>
    <t>Remarks</t>
  </si>
  <si>
    <t>URL</t>
  </si>
  <si>
    <t>Actual Financial Statement data for last 5 years</t>
  </si>
  <si>
    <t>-</t>
  </si>
  <si>
    <t>Financial statements has been taken for the last five years from capitaline database</t>
  </si>
  <si>
    <t>https://awsone.capitaline.com/index.html#/Company/Condensed/condensed?</t>
  </si>
  <si>
    <t>GDP Growth</t>
  </si>
  <si>
    <t>GDP Growth percent has been taken for the last 10 years</t>
  </si>
  <si>
    <t>https://data.worldbank.org/indicator/NY.GDP.MKTP.KD.ZG?locations=IN</t>
  </si>
  <si>
    <t>CPI Inflation</t>
  </si>
  <si>
    <t>CPI Inflation has been taken for the last 10 years</t>
  </si>
  <si>
    <t>https://tradingeconomics.com/india/inflation-cpi</t>
  </si>
  <si>
    <t>Gold Prices</t>
  </si>
  <si>
    <t>Gold Prices has been taken for the last 10 years</t>
  </si>
  <si>
    <t>https://www.gold.org/goldhub/data/gold-prices</t>
  </si>
  <si>
    <t>Repo Rate</t>
  </si>
  <si>
    <t>Repo Rate percent has been taken for the last 10 years</t>
  </si>
  <si>
    <t>https://rbi.org.in/Scripts/AnnualPublications.aspx?head=Handbook%20of%20Statistics%20on%20Indian%20Economy</t>
  </si>
  <si>
    <t>Gold Demand</t>
  </si>
  <si>
    <t>Gold Demand has been taken for the last 10 years</t>
  </si>
  <si>
    <t>Jewellery Demand</t>
  </si>
  <si>
    <t>Jewellery demand has been taken for the last 10 years</t>
  </si>
  <si>
    <t>https://www.gjepc.org</t>
  </si>
  <si>
    <t>Organised Share</t>
  </si>
  <si>
    <t>Organised Sector Share has been taken for the last 10 years</t>
  </si>
  <si>
    <t>https://www.ibef.org</t>
  </si>
  <si>
    <t>Sensex rates</t>
  </si>
  <si>
    <t>Data frame : 2011-2025</t>
  </si>
  <si>
    <t>https://www.bseindia.com/markets/equity/EQReports/StockPrcHistori.aspx?expandable=7&amp;scripcode=500114&amp;flag=sp&amp;Submit=G</t>
  </si>
  <si>
    <t>Titan Rates</t>
  </si>
  <si>
    <t>Risk Free Rate</t>
  </si>
  <si>
    <t>Shows India 10-year G-Sec yield (current and historical)</t>
  </si>
  <si>
    <t>https://tradingeconomics.com/india/government-bond-yield</t>
  </si>
  <si>
    <t>Tax</t>
  </si>
  <si>
    <t>Revenue Growth</t>
  </si>
  <si>
    <t>India's Gems &amp; Jewellery market is projected to grow from US$ 85 billion (2025) to US$ 130 billion by 2030, implying a CAGR of approximately 8.87% per year</t>
  </si>
  <si>
    <t>https://www.ibef.org/industry/gems-jewellery-india</t>
  </si>
  <si>
    <t>Market return</t>
  </si>
  <si>
    <t>Annualised Return value</t>
  </si>
  <si>
    <t xml:space="preserve">  </t>
  </si>
  <si>
    <t>Business Segments of Titan Company Ltd</t>
  </si>
  <si>
    <t>Company Name</t>
  </si>
  <si>
    <t>Titan Company Ltd</t>
  </si>
  <si>
    <t>Segment</t>
  </si>
  <si>
    <t>Key Brands / Activities</t>
  </si>
  <si>
    <t xml:space="preserve">Business Description </t>
  </si>
  <si>
    <t>Listing</t>
  </si>
  <si>
    <t>NSE / BSE</t>
  </si>
  <si>
    <t>Jewellery Division</t>
  </si>
  <si>
    <t>Tanishq, Mia, Zoya, CaratLane</t>
  </si>
  <si>
    <t>Largest revenue and profit contributor. Engaged in design, manufacture, and retail of gold, studded, and premium jewellery through a pan-India retail network and digital channels.</t>
  </si>
  <si>
    <t>Consumer Discretionary</t>
  </si>
  <si>
    <t>Watches &amp; Wearables Division</t>
  </si>
  <si>
    <t>Titan, Fastrack, Sonata, Smart Wearables</t>
  </si>
  <si>
    <t>Includes analog watches, smart wearables, and accessories. Positioned as a lifestyle and fashion category driven by innovation and brand strength.</t>
  </si>
  <si>
    <t>Industry</t>
  </si>
  <si>
    <t>Jewellery &amp; Lifestyle Retail</t>
  </si>
  <si>
    <t>Eyewear Division</t>
  </si>
  <si>
    <t>Titan Eye+</t>
  </si>
  <si>
    <t>Organized eyewear retail business offering prescription glasses, sunglasses, lenses, and optical services through exclusive retail stores.</t>
  </si>
  <si>
    <t>Founded</t>
  </si>
  <si>
    <t>Emerging Businesses / Others</t>
  </si>
  <si>
    <t>Taneira (Ethnic Wear), Fragrances, Fashion Accessories</t>
  </si>
  <si>
    <t>Comprises new growth verticals aimed at diversifying Titan’s lifestyle portfolio. Currently smaller in scale but strategically important for long-term growth.</t>
  </si>
  <si>
    <t>Headquarters</t>
  </si>
  <si>
    <t>Bengaluru, India</t>
  </si>
  <si>
    <t>Promoter / Parent</t>
  </si>
  <si>
    <t>Tata Group</t>
  </si>
  <si>
    <t>Growth Drivers – Titan Company Ltd</t>
  </si>
  <si>
    <t>Market Cap</t>
  </si>
  <si>
    <t>Rs. 3.8 Trillion</t>
  </si>
  <si>
    <t>Growth Driver</t>
  </si>
  <si>
    <t>Explanation</t>
  </si>
  <si>
    <t>Valuation Significance</t>
  </si>
  <si>
    <t>Expansion of Organized Jewellery Market</t>
  </si>
  <si>
    <t>Increasing consumer preference for trusted and transparent brands over unorganized players. Regulatory formalization accelerates market share shift.</t>
  </si>
  <si>
    <t>Supports long-term revenue growth assumptions and market share gains.</t>
  </si>
  <si>
    <t>Titan Company Ltd represents a structurally strong play on India’s organized jewellery market growth. Strong brand equity, store expansion, and premiumization trends support long-term earnings visibility. However, profitability remains sensitive to gold price cycles and discretionary demand shifts.</t>
  </si>
  <si>
    <t>Retail Store Network Expansion</t>
  </si>
  <si>
    <t>Continuous addition of stores enhances geographic reach, customer acquisition, and sales scalability.</t>
  </si>
  <si>
    <t>Drives structural growth and operating leverage.</t>
  </si>
  <si>
    <t>Rising Studded Jewellery Mix</t>
  </si>
  <si>
    <t>Higher contribution from studded and premium jewellery categories.</t>
  </si>
  <si>
    <t>Margin-accretive growth; improves profitability forecasts.</t>
  </si>
  <si>
    <t>Premiumization &amp; Lifestyle Positioning</t>
  </si>
  <si>
    <t>Consumers shifting toward branded, design-led, and premium products.</t>
  </si>
  <si>
    <t>Supports pricing power and margin stability.</t>
  </si>
  <si>
    <t>Digital / Omni-Channel Growth</t>
  </si>
  <si>
    <t>Growth via CaratLane and online channels targeting younger demographics.</t>
  </si>
  <si>
    <t>Expands addressable market and improves sales efficiency.</t>
  </si>
  <si>
    <t>Wedding &amp; Festive Demand Resilience</t>
  </si>
  <si>
    <t>Jewellery demand driven by cultural and demographic factors.</t>
  </si>
  <si>
    <t>Provides demand stability and cyclicality buffer.</t>
  </si>
  <si>
    <t>Category Diversification</t>
  </si>
  <si>
    <t>Growth in eyewear, wearables, ethnic wear (Taneira), and accessories.</t>
  </si>
  <si>
    <t>Reduces business concentration risk and adds optionality.</t>
  </si>
  <si>
    <t>Brand Strength &amp; Customer Loyalty</t>
  </si>
  <si>
    <t>Strong recall and trust create repeat purchases and cross-selling opportunities.</t>
  </si>
  <si>
    <t>Enhances revenue visibility and competitive durability.</t>
  </si>
  <si>
    <t>Economic Moat - Titan Company Ltd</t>
  </si>
  <si>
    <t>Titan Company Ltd possesses a strong economic moat driven primarily by brand trust, retail scale, and leadership in India’s organized jewellery market. The company’s flagship brand Tanishq enjoys significant consumer confidence, a decisive advantage in a category where authenticity and transparency influence purchase decisions. Titan’s extensive retail network creates meaningful entry barriers while enabling operating leverage. Pricing power derived from brand equity supports margin resilience despite gold price volatility. Additionally, Tata Group backing strengthens governance credibility and strategic positioning. Investments in digital channels and omni-channel integration further reinforce Titan’s competitive advantages and long-term growth potential.</t>
  </si>
  <si>
    <t>Year</t>
  </si>
  <si>
    <t>Real GDP Growth (%)</t>
  </si>
  <si>
    <t>CPI Inflation (%)</t>
  </si>
  <si>
    <t>USD/INR (Avg)</t>
  </si>
  <si>
    <t>Repo Rate (%)</t>
  </si>
  <si>
    <t>Gold Price Growth</t>
  </si>
  <si>
    <t>Real Income Proxy</t>
  </si>
  <si>
    <t>USD/INR Change</t>
  </si>
  <si>
    <t>Year-on-year gold price growth shows noticeable variability, with certain years experiencing sharp increases. Periods of high growth reflect heightened price volatility rather than steady appreciation. Such phases may temporarily alter consumer purchase timing due to changing affordability conditions. From an industry perspective, higher growth rates may coincide with short-term demand adjustments, while stable growth periods are typically associated with more predictable purchasing patterns. The data highlights that volatility, rather than price direction alone, can affect demand behaviour.</t>
  </si>
  <si>
    <t>Across the study period, gold price levels and gold price growth exhibit the most pronounced movement among macro variables, directly influencing jewellery pricing and transaction values. GDP growth and real income indicators primarily affect demand momentum and affordability conditions. Exchange rate and interest rate movements further interact with gold pricing and consumption patterns. Collectively, the data suggests that jewellery industry performance is strongly linked to gold price dynamics and consumer income conditions.</t>
  </si>
  <si>
    <t>GDP growth data reflects fluctuations in economic expansion, including periods of moderation and recovery. Growth rates remained strong in several years, temporarily weakened during economic disruptions, and subsequently normalized. Jewellery demand, being income-sensitive, generally aligns with broader economic conditions. Higher GDP growth supports discretionary consumption capacity, whereas slower growth phases may moderate demand expansion. The data indicates that economic growth primarily influences industry demand momentum rather than pricing dynamics.</t>
  </si>
  <si>
    <t>The Real Income Proxy captures changes in purchasing power by adjusting growth for inflation. Periods where GDP growth exceeded inflation indicate relatively stronger consumer affordability conditions. Conversely, narrowing spreads suggest pressure on real income. Jewellery purchases, which involve significant expenditure commitments, are sensitive to these affordability shifts. The data implies that real income conditions play a meaningful role in determining demand strength, particularly in discretionary and premium categories.</t>
  </si>
  <si>
    <t>Total Gold Demand (Tonnes)</t>
  </si>
  <si>
    <t>Jewellery Demand (Tonnes)</t>
  </si>
  <si>
    <t>Investment Demand (Tonnes)</t>
  </si>
  <si>
    <t>Gold Imports (Tonnes)</t>
  </si>
  <si>
    <t>Avg Gold Price Trend</t>
  </si>
  <si>
    <t>Organized Share (%)</t>
  </si>
  <si>
    <t>Stable</t>
  </si>
  <si>
    <t>Rising</t>
  </si>
  <si>
    <t>Sharp Rise</t>
  </si>
  <si>
    <t>Moderation</t>
  </si>
  <si>
    <t>Elevated</t>
  </si>
  <si>
    <t>Across the study period, jewellery demand displays cyclical variability with repeated normalization following contraction phases. Demand levels post-recovery broadly align with historical ranges, indicating resilience in underlying consumption patterns. Total gold demand remains predominantly driven by jewellery consumption, while investment demand contributes greater volatility.
Gold import data confirms persistent external supply dependence, with import volumes adjusting proportionally to domestic demand cycles. Simultaneously, organized market share shows steady expansion from roughly one-third of the market to nearly one-half, highlighting structural formalization within the industry.
Collectively, the data suggests that short-term fluctuations are primarily cyclical, while long-term industry characteristics - consumption resilience and organized sector penetration - remain stable and supportive.</t>
  </si>
  <si>
    <t>The jewellery demand series shows clear cyclical movement rather than a persistent directional decline. Demand measured approximately 612 tonnes in 2015, moderated to around 458 tonnes in 2016, and subsequently recovered above 560–600 tonnes in later years. A sharp contraction is visible in 2020 (315 tonnes), followed by a strong normalization in 2021 (611 tonnes). Post-recovery demand levels remain broadly within historical ranges. The observed behaviour indicates temporary demand disruptions with subsequent normalization. Demand volatility appears event-driven rather than structurally weakening.</t>
  </si>
  <si>
    <t>Total gold demand consistently exceeds investment demand across all periods. For example, in 2015 total demand (~848 tonnes) materially exceeded investment demand (~236 tonnes). Even during contraction phases, jewellery demand remains the dominant component. Investment demand shows greater variability, declining sharply during certain periods while rebounding during uncertainty phases. Jewellery consumption represents the structural base of gold demand, while investment demand behaves more cyclically and sentiment-sensitive.</t>
  </si>
  <si>
    <t>Gold import volumes broadly track domestic demand patterns. Imports declined during disruption periods, notably in 2020 (~580 tonnes), compared with higher levels in preceding years. Subsequent recovery phases saw imports revert toward historical ranges, reflecting restoration of domestic consumption. No structural reduction in import reliance is observable.
Industry supply dynamics remain externally dependent, with imports adjusting to consumption cycles rather than indicating permanent shifts.</t>
  </si>
  <si>
    <t>Organized market share exhibits a gradual but persistent expansion across the observation period. The share increased from approximately 30% in 2015 to levels approaching 48–50% by 2024–2025. The progression is visible across varying demand and price environments, with no meaningful reversals.
Industry structure reflects a sustained reallocation toward organized retail channels, suggesting structural rather than cyclical change.</t>
  </si>
  <si>
    <t>HISTORICL BETA</t>
  </si>
  <si>
    <t>FUNDAMENTAL BETA</t>
  </si>
  <si>
    <t>Date</t>
  </si>
  <si>
    <t xml:space="preserve">SENSEX </t>
  </si>
  <si>
    <t>TITAN COMPANY</t>
  </si>
  <si>
    <t>MARKET RETURN</t>
  </si>
  <si>
    <t>FIRM RETURN</t>
  </si>
  <si>
    <t>SLOPE</t>
  </si>
  <si>
    <t>INPUT</t>
  </si>
  <si>
    <t>VALUE</t>
  </si>
  <si>
    <t>S.No.</t>
  </si>
  <si>
    <t>Debt to Cap</t>
  </si>
  <si>
    <t>D/E</t>
  </si>
  <si>
    <t>Levered Beta</t>
  </si>
  <si>
    <t>DEBT</t>
  </si>
  <si>
    <t>EQUITY</t>
  </si>
  <si>
    <t>TAX RATE</t>
  </si>
  <si>
    <t>Bl</t>
  </si>
  <si>
    <t>Bul</t>
  </si>
  <si>
    <t>Risk Free Premium</t>
  </si>
  <si>
    <t>Rf</t>
  </si>
  <si>
    <t>Beta</t>
  </si>
  <si>
    <t>B</t>
  </si>
  <si>
    <t>Market Return</t>
  </si>
  <si>
    <t>MR</t>
  </si>
  <si>
    <t>Average Market Return</t>
  </si>
  <si>
    <t>Cost of Equity</t>
  </si>
  <si>
    <t>Ke</t>
  </si>
  <si>
    <t>Interest Expense</t>
  </si>
  <si>
    <t>Total Debt</t>
  </si>
  <si>
    <t>Cost of Debt</t>
  </si>
  <si>
    <t>Kd</t>
  </si>
  <si>
    <t>Tax Rate</t>
  </si>
  <si>
    <t>t</t>
  </si>
  <si>
    <t>Total Equity</t>
  </si>
  <si>
    <t>Weight of Equity</t>
  </si>
  <si>
    <t>Weight of Debt</t>
  </si>
  <si>
    <t>EVA</t>
  </si>
  <si>
    <t>TOTAL CAPITAL EMPLOYED</t>
  </si>
  <si>
    <t>EBIT</t>
  </si>
  <si>
    <t>TAX</t>
  </si>
  <si>
    <t>NOPAT</t>
  </si>
  <si>
    <t>YEAR</t>
  </si>
  <si>
    <t>DPS</t>
  </si>
  <si>
    <t>DIVIDEND GROWTH</t>
  </si>
  <si>
    <t>AVERAGE GROWTH</t>
  </si>
  <si>
    <t>Next Year Dividend</t>
  </si>
  <si>
    <t>Value Per Share</t>
  </si>
  <si>
    <t>Historical dividend growth exhibits significant variability, reflecting earnings cycles and payout policy adjustments. The raw average growth rate is not representative of long-term sustainable growth required for DDM. Accordingly, a normalized perpetual growth assumption of 9% is applied, consistent with mature consumer sector dynamics. Based on a cost of equity of 12.25%, the implied intrinsic value under the stable growth DDM framework is approximately ₹369 per share.</t>
  </si>
  <si>
    <t>ASSUMPTIONS: TITAN COMPANY LIMITED</t>
  </si>
  <si>
    <t>Scenarios:</t>
  </si>
  <si>
    <t>Y-o-Y Growth</t>
  </si>
  <si>
    <t>Selected Case</t>
  </si>
  <si>
    <t>Case 2</t>
  </si>
  <si>
    <t>Case 1</t>
  </si>
  <si>
    <t>Optimistic case</t>
  </si>
  <si>
    <t>Base case</t>
  </si>
  <si>
    <t>Case 3</t>
  </si>
  <si>
    <t>Worst case</t>
  </si>
  <si>
    <t>P&amp;L ASSUMPTIONS</t>
  </si>
  <si>
    <t>Particulars</t>
  </si>
  <si>
    <t>2019
Actual</t>
  </si>
  <si>
    <t>2020
Actual</t>
  </si>
  <si>
    <t>2021
Actual</t>
  </si>
  <si>
    <t>2022
Actual</t>
  </si>
  <si>
    <t>2023
Actual</t>
  </si>
  <si>
    <t>2024
Actual</t>
  </si>
  <si>
    <t>2025
Actual</t>
  </si>
  <si>
    <t>2026
Forecast</t>
  </si>
  <si>
    <t>2027
Forecast</t>
  </si>
  <si>
    <t>2028
Forecast</t>
  </si>
  <si>
    <t>2029
Forecast</t>
  </si>
  <si>
    <t>2030
Forecast</t>
  </si>
  <si>
    <t>Revenue from Operations</t>
  </si>
  <si>
    <t>y-o-y growth %</t>
  </si>
  <si>
    <t>Other Income</t>
  </si>
  <si>
    <t xml:space="preserve">  % of Revenue</t>
  </si>
  <si>
    <t>Cost of Goods Sold</t>
  </si>
  <si>
    <t>Employee Benefit Expenses</t>
  </si>
  <si>
    <t>Finance Cost</t>
  </si>
  <si>
    <t>Other Expenses</t>
  </si>
  <si>
    <t>Current Tax</t>
  </si>
  <si>
    <t xml:space="preserve">  Effective Tax Rate (% of EBT)</t>
  </si>
  <si>
    <t>Dividend</t>
  </si>
  <si>
    <t xml:space="preserve">  Dividend Payout Ratio</t>
  </si>
  <si>
    <t>BALANCE SHEET ASSUMPTIONS</t>
  </si>
  <si>
    <t>2025
Forecast</t>
  </si>
  <si>
    <t>Trade Receivables</t>
  </si>
  <si>
    <t xml:space="preserve">  Debtor Days (Days Receivable)</t>
  </si>
  <si>
    <t>Inventory</t>
  </si>
  <si>
    <t xml:space="preserve">  Inventory Days (Days Inventory)</t>
  </si>
  <si>
    <t>Trade Payables</t>
  </si>
  <si>
    <t xml:space="preserve">  Creditor Days (Days Payable)</t>
  </si>
  <si>
    <t>Other Current Liabilities</t>
  </si>
  <si>
    <t>Other Current Assets</t>
  </si>
  <si>
    <t>Short-Term Loans &amp; Advances</t>
  </si>
  <si>
    <t>PPE SCHEDULE ASSUMPTIONS</t>
  </si>
  <si>
    <t>Capital Expenditure (Capex)</t>
  </si>
  <si>
    <t>Capex as % of Revenue</t>
  </si>
  <si>
    <t>Depreciation</t>
  </si>
  <si>
    <t>Depreciation Rate</t>
  </si>
  <si>
    <t>Opening PP&amp;E (Tangible Assets)</t>
  </si>
  <si>
    <t>Closing PP&amp;E (Tangible Assets)</t>
  </si>
  <si>
    <t>Income Statement</t>
  </si>
  <si>
    <t>FORECASTED</t>
  </si>
  <si>
    <t>REVENUE</t>
  </si>
  <si>
    <t xml:space="preserve"> Revenue From Operations(Gross) </t>
  </si>
  <si>
    <t>Less: Excise Duty</t>
  </si>
  <si>
    <t>Revenue From Operations(Net)</t>
  </si>
  <si>
    <t xml:space="preserve"> Other Income </t>
  </si>
  <si>
    <t>Total Revenue</t>
  </si>
  <si>
    <t>COGS</t>
  </si>
  <si>
    <t>GROSS MARGINS</t>
  </si>
  <si>
    <t>EXPENSES</t>
  </si>
  <si>
    <t xml:space="preserve"> Cost of Materials Consumed </t>
  </si>
  <si>
    <t>Purchases of Stock-in-Trade</t>
  </si>
  <si>
    <t xml:space="preserve"> Changes in Inventories of Finished Goods, Work-in-Progress and Stock-in-Trade </t>
  </si>
  <si>
    <t xml:space="preserve"> Employee Benefits Expenses </t>
  </si>
  <si>
    <t xml:space="preserve"> Finance Costs </t>
  </si>
  <si>
    <t xml:space="preserve"> Depreciation and Amortization Expenses </t>
  </si>
  <si>
    <t xml:space="preserve"> Other Expenses </t>
  </si>
  <si>
    <t>Total Expenses</t>
  </si>
  <si>
    <t>Profit before Exceptional and Extraordinary Items and Tax</t>
  </si>
  <si>
    <t xml:space="preserve"> Exceptional Items </t>
  </si>
  <si>
    <t>Profit before Extraordinary Items and Tax</t>
  </si>
  <si>
    <t xml:space="preserve"> Extraordinary Items </t>
  </si>
  <si>
    <t>Profit before Tax</t>
  </si>
  <si>
    <t>Tax Expenses</t>
  </si>
  <si>
    <t>Deferred Tax</t>
  </si>
  <si>
    <t>Profit/(Loss) for the period from Continuing Operations</t>
  </si>
  <si>
    <t>Profit/(Loss) for the period</t>
  </si>
  <si>
    <t>Basic EPS</t>
  </si>
  <si>
    <t>Diluted EPS</t>
  </si>
  <si>
    <t>Book Value</t>
  </si>
  <si>
    <t xml:space="preserve"> Contingent Liabilities &amp; Commitments </t>
  </si>
  <si>
    <t>Balance Sheet</t>
  </si>
  <si>
    <t>Shareholder's Funds</t>
  </si>
  <si>
    <t>Share Capital</t>
  </si>
  <si>
    <t xml:space="preserve">Ordinary Capital </t>
  </si>
  <si>
    <t xml:space="preserve"> Reserves and Surplus </t>
  </si>
  <si>
    <t>Total Shareholder's Fund</t>
  </si>
  <si>
    <t>Non-Current Liabilities</t>
  </si>
  <si>
    <t xml:space="preserve"> Long-Term Borrowings </t>
  </si>
  <si>
    <t>Lease Liabilities</t>
  </si>
  <si>
    <t xml:space="preserve"> Long-Term Provisions </t>
  </si>
  <si>
    <t>Total Non Current Liabilities</t>
  </si>
  <si>
    <t>Current Liabilities</t>
  </si>
  <si>
    <t xml:space="preserve"> Short-Term Borrowings </t>
  </si>
  <si>
    <t xml:space="preserve"> Trade Payables </t>
  </si>
  <si>
    <t xml:space="preserve"> Other Current Liabilities </t>
  </si>
  <si>
    <t xml:space="preserve"> Short-Term Provisions </t>
  </si>
  <si>
    <t>Total Current Liabilities</t>
  </si>
  <si>
    <t>TOTAL EQUITY AND LIABILITIES</t>
  </si>
  <si>
    <t>ASSETS</t>
  </si>
  <si>
    <t>Non-Current Assets</t>
  </si>
  <si>
    <t>Fixed Assets</t>
  </si>
  <si>
    <t xml:space="preserve">Tangible Assets </t>
  </si>
  <si>
    <t xml:space="preserve">Intangible Assets </t>
  </si>
  <si>
    <t xml:space="preserve">Capital Work-in-Progress </t>
  </si>
  <si>
    <t>Intangible assets under development</t>
  </si>
  <si>
    <t>Right-of-Use Assets</t>
  </si>
  <si>
    <t xml:space="preserve"> Non-Current Investments </t>
  </si>
  <si>
    <t>Deferred Tax Assets (net)</t>
  </si>
  <si>
    <t xml:space="preserve"> Long-Term Loans and Advances </t>
  </si>
  <si>
    <t xml:space="preserve"> Other Non-Current Assets </t>
  </si>
  <si>
    <t>Total Non Current Assets</t>
  </si>
  <si>
    <t>Current Assets</t>
  </si>
  <si>
    <t xml:space="preserve">Current Investments </t>
  </si>
  <si>
    <t xml:space="preserve">Inventories </t>
  </si>
  <si>
    <t xml:space="preserve"> Trade Receivables </t>
  </si>
  <si>
    <t xml:space="preserve">Cash and Cash Equivalents </t>
  </si>
  <si>
    <t xml:space="preserve"> Short-Term Loans and Advances </t>
  </si>
  <si>
    <t xml:space="preserve"> Other Current Assets </t>
  </si>
  <si>
    <t>Total Current Assets</t>
  </si>
  <si>
    <t>TOTAL ASSETS</t>
  </si>
  <si>
    <t>WORKING CAPITAL</t>
  </si>
  <si>
    <t>BS CHECK (Assets - E&amp;L)</t>
  </si>
  <si>
    <t>CASH FLOW STATEMENT - TITAN COMPANY LIMITED</t>
  </si>
  <si>
    <t>(INR in Cr.)</t>
  </si>
  <si>
    <t>A. CASH FLOW FROM OPERATING ACTIVITIES</t>
  </si>
  <si>
    <t>Add: Depreciation &amp; Amortisation</t>
  </si>
  <si>
    <t>Add: Finance Cost</t>
  </si>
  <si>
    <t>Cash Flow before Working Capital Changes</t>
  </si>
  <si>
    <t>Changes in Working Capital:</t>
  </si>
  <si>
    <t xml:space="preserve">  (Increase)/Decrease in Inventories</t>
  </si>
  <si>
    <t xml:space="preserve">  (Increase)/Decrease in Trade Receivables</t>
  </si>
  <si>
    <t xml:space="preserve">  (Increase)/Decrease in Other Current Assets</t>
  </si>
  <si>
    <t xml:space="preserve">  (Increase)/Decrease in ST Loans &amp; Advances</t>
  </si>
  <si>
    <t xml:space="preserve">  Increase/(Decrease) in Trade Payables</t>
  </si>
  <si>
    <t xml:space="preserve">  Increase/(Decrease) in Other Current Liabilities</t>
  </si>
  <si>
    <t>Net Changes in Working Capital</t>
  </si>
  <si>
    <t>Less: Tax Paid</t>
  </si>
  <si>
    <t>Net Cash Flow from Operating Activities (A)</t>
  </si>
  <si>
    <t>B. CASH FLOW FROM INVESTING ACTIVITIES</t>
  </si>
  <si>
    <t>Purchase of Fixed Assets (Capex)</t>
  </si>
  <si>
    <t>Net Cash Flow from Investing Activities (B)</t>
  </si>
  <si>
    <t>C. CASH FLOW FROM FINANCING ACTIVITIES</t>
  </si>
  <si>
    <t>Finance Cost Paid</t>
  </si>
  <si>
    <t>Dividends Paid</t>
  </si>
  <si>
    <t>Net Cash Flow from Financing Activities (C)</t>
  </si>
  <si>
    <t>Net Change in Cash (A+B+C)</t>
  </si>
  <si>
    <t>Add: Opening Cash Balance</t>
  </si>
  <si>
    <t>Closing Cash Balance</t>
  </si>
  <si>
    <t>CFS Check (CFS Cash - BS Cash)</t>
  </si>
  <si>
    <t>PARTICULARS</t>
  </si>
  <si>
    <t>AVERAGE INVENTORY</t>
  </si>
  <si>
    <t>ITO</t>
  </si>
  <si>
    <t>INVENTORY CONVERSION DAYS</t>
  </si>
  <si>
    <t>NET SALES</t>
  </si>
  <si>
    <t>AVERAGE DEBTORS</t>
  </si>
  <si>
    <t>DEBTORS TURNOVER RATIO</t>
  </si>
  <si>
    <t>DEBTORS CONVERSION DAYS</t>
  </si>
  <si>
    <t>GROSS OPERATING CYCLE</t>
  </si>
  <si>
    <t>PURCHASES</t>
  </si>
  <si>
    <t>AVERAGE CREDITORS</t>
  </si>
  <si>
    <t>CREDITOR TURNOVER RATIO</t>
  </si>
  <si>
    <t>CREDITOR CONVERSION DAYS</t>
  </si>
  <si>
    <t>NET OPERATING CYCLE</t>
  </si>
  <si>
    <t>DISCOUNTED CASH FLOW VALUATION</t>
  </si>
  <si>
    <t>(INR in Cr. | WACC = 10.51% | Terminal Growth = 5%)</t>
  </si>
  <si>
    <t>A. FREE CASH FLOW TO FIRM (FCFF)</t>
  </si>
  <si>
    <t>2026F</t>
  </si>
  <si>
    <t>2027F</t>
  </si>
  <si>
    <t>2028F</t>
  </si>
  <si>
    <t>2029F</t>
  </si>
  <si>
    <t>2030F</t>
  </si>
  <si>
    <t>Notes</t>
  </si>
  <si>
    <t>EBIT = PBT + Finance Cost</t>
  </si>
  <si>
    <t>Less: Tax on EBIT</t>
  </si>
  <si>
    <t>EBIT * Tax Rate (25.168%)</t>
  </si>
  <si>
    <t>EBIT * (1 – Tax Rate)</t>
  </si>
  <si>
    <t>Non-cash add-back</t>
  </si>
  <si>
    <t>Less: Increase in Working Capital</t>
  </si>
  <si>
    <t>–(Closing WC – Opening WC)</t>
  </si>
  <si>
    <t>Less: Capital Expenditure</t>
  </si>
  <si>
    <t>From PPE Schedule</t>
  </si>
  <si>
    <t>FREE CASH FLOW TO FIRM (FCFF)</t>
  </si>
  <si>
    <t>NOPAT + D&amp;A + Changes in WC – Capex</t>
  </si>
  <si>
    <t>B. DISCOUNTING &amp; PRESENT VALUE</t>
  </si>
  <si>
    <t>WACC (Discount Rate)</t>
  </si>
  <si>
    <t>From WACC sheet</t>
  </si>
  <si>
    <t>Year Number (t)</t>
  </si>
  <si>
    <t xml:space="preserve">Discount Factor </t>
  </si>
  <si>
    <t>[1/(1+WACC)^t]</t>
  </si>
  <si>
    <t>Present Value of FCFF</t>
  </si>
  <si>
    <t>FCFF * Discount Factor</t>
  </si>
  <si>
    <t>C. TERMINAL VALUE  (Gordon Growth Model)</t>
  </si>
  <si>
    <t>Terminal Growth Rate (g)</t>
  </si>
  <si>
    <t>Change this assumption</t>
  </si>
  <si>
    <t>FCFF in Terminal Year (Year 5 * (1+g))</t>
  </si>
  <si>
    <t>FCFF2030 * (1 + g)</t>
  </si>
  <si>
    <t>Terminal Value</t>
  </si>
  <si>
    <t>Next-year FCFF/(WACC – g)</t>
  </si>
  <si>
    <t>PV of Terminal Value</t>
  </si>
  <si>
    <t>TV * DF5</t>
  </si>
  <si>
    <t>D. ENTERPRISE VALUE &amp; EQUITY VALUE</t>
  </si>
  <si>
    <t>Sum of PV of FCFFs (Explicit Period)</t>
  </si>
  <si>
    <t>Sum of PV(FCFF) 2026–2030</t>
  </si>
  <si>
    <t>ENTERPRISE VALUE (EV)</t>
  </si>
  <si>
    <t>EV = PV(FCFFs) + PV(TV)</t>
  </si>
  <si>
    <t>Less: Total Debt (LT + ST Borrowings + NC Lease)</t>
  </si>
  <si>
    <t>LT Borrow + ST Borrow + NC Lease (FY25)</t>
  </si>
  <si>
    <t>Add: Cash &amp; Cash Equivalents</t>
  </si>
  <si>
    <t>FY2025 closing cash</t>
  </si>
  <si>
    <t>Net Debt  (Total Debt – Cash)</t>
  </si>
  <si>
    <t>Total Debt – Cash</t>
  </si>
  <si>
    <t>EQUITY VALUE</t>
  </si>
  <si>
    <t>EV – Net Debt</t>
  </si>
  <si>
    <t>Shares Outstanding (Cr)</t>
  </si>
  <si>
    <t>PAT/ EPS (FY25)</t>
  </si>
  <si>
    <t>INTRINSIC VALUE PER SHARE (DCF)</t>
  </si>
  <si>
    <t>Equity Value/Shares</t>
  </si>
  <si>
    <t>E. SENSITIVITY ANALYSIS  - Implied Price (Rs.) vs WACC &amp; Terminal Growth Rate</t>
  </si>
  <si>
    <t>Note: Sensitivity uses pre-computed FCFF values. Green = above Rs.150, Red = below Rs.150, Yellow = base case row.</t>
  </si>
  <si>
    <t>RELATIVE VALUATION</t>
  </si>
  <si>
    <t>(INR in Cr. | Peer multiples applied to Titan FY2026 forecasts)</t>
  </si>
  <si>
    <t>A. TITAN - KEY FINANCIAL METRICS</t>
  </si>
  <si>
    <t>FY2021A</t>
  </si>
  <si>
    <t>FY2022A</t>
  </si>
  <si>
    <t>FY2023A</t>
  </si>
  <si>
    <t>FY2024A</t>
  </si>
  <si>
    <t>FY2025A</t>
  </si>
  <si>
    <t>FY2026F</t>
  </si>
  <si>
    <t>FY2027F</t>
  </si>
  <si>
    <t>FY2028F</t>
  </si>
  <si>
    <t>Revenue (Cr)</t>
  </si>
  <si>
    <t>EBITDA (Cr)</t>
  </si>
  <si>
    <t>EBIT (Cr)</t>
  </si>
  <si>
    <t>PAT / Net Profit (Cr)</t>
  </si>
  <si>
    <t>EPS (Rs.)</t>
  </si>
  <si>
    <t>Book Value per Share (Rs.)</t>
  </si>
  <si>
    <t>B. PEER COMPARABLE MULTIPLES  (FY2025 Actuals)</t>
  </si>
  <si>
    <t>P/E (x)</t>
  </si>
  <si>
    <t>EV/EBITDA (x)</t>
  </si>
  <si>
    <t>EV/Sales (x)</t>
  </si>
  <si>
    <t>P/BV (x)</t>
  </si>
  <si>
    <t>PAT (Cr)</t>
  </si>
  <si>
    <t>Mkt Cap (Cr)</t>
  </si>
  <si>
    <t>Kalyan Jewellers</t>
  </si>
  <si>
    <t>Senco Gold</t>
  </si>
  <si>
    <t>PC Jeweller</t>
  </si>
  <si>
    <t>TBZ</t>
  </si>
  <si>
    <t>Peer Average</t>
  </si>
  <si>
    <t>Titan FY2025A (traded multiples @ ~Rs.3,300)</t>
  </si>
  <si>
    <t>Titan FY2026F (forward multiples @ ~Rs.3,300)</t>
  </si>
  <si>
    <t>Method</t>
  </si>
  <si>
    <t>Peer Multiple Used</t>
  </si>
  <si>
    <t>Titan FY2026F Metric</t>
  </si>
  <si>
    <t>EV / Equity (Cr)</t>
  </si>
  <si>
    <t>Shares (Cr)</t>
  </si>
  <si>
    <t>Implied Price (Rs.)</t>
  </si>
  <si>
    <t>vs CMP Rs.3,300</t>
  </si>
  <si>
    <t>Weight</t>
  </si>
  <si>
    <t>P/E Method</t>
  </si>
  <si>
    <t>EV / EBITDA Method</t>
  </si>
  <si>
    <t>EV / Sales Method</t>
  </si>
  <si>
    <t>P / Book Value Method</t>
  </si>
  <si>
    <t>Weighted Average Implied Price</t>
  </si>
  <si>
    <t>Note: Weights - P/E 35% + EV/EBITDA 35% + EV/Sales 20% + P/BV 10% = 100%</t>
  </si>
  <si>
    <t>RATIO ANALYSIS</t>
  </si>
  <si>
    <t>2019A</t>
  </si>
  <si>
    <t>2020A</t>
  </si>
  <si>
    <t>2021A</t>
  </si>
  <si>
    <t>2022A</t>
  </si>
  <si>
    <t>2023A</t>
  </si>
  <si>
    <t>2024A</t>
  </si>
  <si>
    <t>2025A</t>
  </si>
  <si>
    <t>1.  PROFITABILITY RATIOS</t>
  </si>
  <si>
    <t>Revenue from Operations (Cr)</t>
  </si>
  <si>
    <t>Total Revenue incl Other Income (Cr)</t>
  </si>
  <si>
    <t>Gross Margin %</t>
  </si>
  <si>
    <t>EBITDA Margin %</t>
  </si>
  <si>
    <t>EBIT Margin %</t>
  </si>
  <si>
    <t>PAT Margin %</t>
  </si>
  <si>
    <t>2.  RETURN RATIOS</t>
  </si>
  <si>
    <t>Return on Equity (ROE) %</t>
  </si>
  <si>
    <t>Return on Assets (ROA) %</t>
  </si>
  <si>
    <t>ROCE %  [NOPAT / Capital Employed]</t>
  </si>
  <si>
    <t>EPS Growth YoY %</t>
  </si>
  <si>
    <t>3.  LEVERAGE &amp; LIQUIDITY</t>
  </si>
  <si>
    <t>Total Debt  (LT + ST Borrowings) (Cr)</t>
  </si>
  <si>
    <t>Net Debt  (Total Debt – Cash) (Cr)</t>
  </si>
  <si>
    <t>Debt / Equity (x)</t>
  </si>
  <si>
    <t>Interest Coverage  (EBIT / Finance Cost) (x)</t>
  </si>
  <si>
    <t>Current Ratio (x)</t>
  </si>
  <si>
    <t>4.  EFFICIENCY / WORKING CAPITAL</t>
  </si>
  <si>
    <t>Debtor Days (DSO)</t>
  </si>
  <si>
    <t>Inventory Days</t>
  </si>
  <si>
    <t>Creditor Days (DPO)</t>
  </si>
  <si>
    <t>Cash Conversion Cycle (days)</t>
  </si>
  <si>
    <t>Asset Turnover (x)</t>
  </si>
  <si>
    <t>5.  PER SHARE &amp; MARKET METRICS  (@ ~Rs. 3,300 CMP)</t>
  </si>
  <si>
    <t>Basic EPS (Rs.)</t>
  </si>
  <si>
    <t>Dividend per Share (Rs.)</t>
  </si>
  <si>
    <t>Dividend Payout Ratio %</t>
  </si>
  <si>
    <t>P/E (x) @ Rs.3,300</t>
  </si>
  <si>
    <t>P/BV (x) @ Rs.3,300</t>
  </si>
  <si>
    <t>Key Metric</t>
  </si>
  <si>
    <t>Trend</t>
  </si>
  <si>
    <t xml:space="preserve">  PROFITABILITY</t>
  </si>
  <si>
    <t xml:space="preserve">  RETURN &amp; EFFICIENCY</t>
  </si>
  <si>
    <t>ROCE % [NOPAT / Cap. Employed]</t>
  </si>
  <si>
    <t xml:space="preserve">  LEVERAGE &amp; LIQUIDITY</t>
  </si>
  <si>
    <t>Interest Coverage (x)</t>
  </si>
  <si>
    <t xml:space="preserve">  PER SHARE METRICS</t>
  </si>
  <si>
    <t>TITAN COMPANY LIMITED - EQUITY VALUATION REPORT</t>
  </si>
  <si>
    <t>GDP growth, CPI inflation, USD/INR - macro context for Titan</t>
  </si>
  <si>
    <t>All P&amp;L, Balance Sheet, PPE assumptions - 3 scenarios</t>
  </si>
  <si>
    <t>Forecasted P&amp;L and Balance Sheet - FY2019A to FY2030F</t>
  </si>
  <si>
    <t>Indirect Cash Flow Statement - FY2019A to FY2030F</t>
  </si>
  <si>
    <t>Inventory, Debtor, Creditor days - Gross &amp; Net cycle</t>
  </si>
  <si>
    <t>Titan Company Limited - NSE / BSE Listed</t>
  </si>
  <si>
    <t>Consumer Discretionary - Organised Jewellery &amp; Accessories</t>
  </si>
  <si>
    <t>Premium growth stock - CMP prices in long-term growth optionality</t>
  </si>
  <si>
    <t>KEY RATIO FORECAST</t>
  </si>
  <si>
    <t>Dividend Discount Model - Gordon Growth, Rs. 273.6/share</t>
  </si>
  <si>
    <t>2-Stage FCFF DCF | Intrinsic Value Rs. 181/share | Sensitivity</t>
  </si>
  <si>
    <t>Peer multiples P/E, EV/EBITDA, EV/Sales, P/BV - Rs. 1,493 wtd</t>
  </si>
  <si>
    <t>Rs. 181 per share  (2-Stage FCFF)</t>
  </si>
  <si>
    <t>Rs. 274 per share  (Gordon Growth Model)</t>
  </si>
  <si>
    <t>Rs. 3,300 per share</t>
  </si>
  <si>
    <t>Gold Price (Rs.  / 10g Avg)</t>
  </si>
  <si>
    <t>The gold price series indicates a significant long-term increase over the study period. Average prices rose from approximately Rs. 26,000 per 10 grams in the mid-2010s to levels exceeding Rs. 60,000–Rs. 70,000 in recent years. This represents a substantial rise in the underlying pricing base of jewellery products. Higher gold prices mechanically increase the value of jewellery transactions, thereby supporting industry revenue realization. However, elevated price levels may influence purchase volumes and product preferences, particularly in price-sensitive segments. The data suggests that gold price levels primarily affect ticket sizes, while volume sensitivity varies across demand cycles.</t>
  </si>
  <si>
    <t>EPS (Rs. )</t>
  </si>
  <si>
    <t>Book Value per Share (Rs. )</t>
  </si>
  <si>
    <t>P/E (x) @ Rs. 3,300</t>
  </si>
  <si>
    <t>P/BV (x) @ Rs. 3,300</t>
  </si>
  <si>
    <t>C. IMPLIED SHARE PRICE  (Peer Multiples * Titan FY2026F Metrics)</t>
  </si>
  <si>
    <t>WACC \ Terminal Growth --</t>
  </si>
  <si>
    <t>Peer Company Multiples</t>
  </si>
  <si>
    <t>Multiples are approximations as of March 2025 and used for relative valuation comparison only.</t>
  </si>
  <si>
    <t>screener.in , bseindia.com</t>
  </si>
  <si>
    <t>NSE/BSE market data - approximate price used for valuation comparison purposes only.</t>
  </si>
  <si>
    <t>Current Market price</t>
  </si>
  <si>
    <t>Rs. 3300 (approx)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</si>
</sst>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 &quot;₹&quot;\ * #,##0.00_ ;_ &quot;₹&quot;\ * \-#,##0.00_ ;_ &quot;₹&quot;\ * &quot;-&quot;??_ ;_ @_ "/>
    <numFmt numFmtId="164" formatCode="d\-mmm\-yy"/>
    <numFmt numFmtId="165" formatCode="0.000000"/>
    <numFmt numFmtId="166" formatCode="0.0%;\(0.0%\);\-"/>
    <numFmt numFmtId="167" formatCode="#,##0;\(#,##0\);\-"/>
    <numFmt numFmtId="168" formatCode="#,##0.00;\(#,##0.00\);\-"/>
    <numFmt numFmtId="169" formatCode="0.0000%"/>
    <numFmt numFmtId="170" formatCode="0.00%;\(0.00%\);\-"/>
    <numFmt numFmtId="171" formatCode="&quot;₹ &quot;#,##0.00"/>
    <numFmt numFmtId="172" formatCode="\₹#,##0.00"/>
    <numFmt numFmtId="173" formatCode="0.0\x"/>
    <numFmt numFmtId="174" formatCode="0.0%;\(0.0%\)"/>
    <numFmt numFmtId="175" formatCode="0.0"/>
    <numFmt numFmtId="176" formatCode="0.0%"/>
    <numFmt numFmtId="177" formatCode="0.00\x"/>
    <numFmt numFmtId="178" formatCode="&quot;₹&quot;\ #,##0.00"/>
  </numFmts>
  <fonts count="55" x14ac:knownFonts="1">
    <font>
      <sz val="11"/>
      <color theme="1"/>
      <name val="Aptos Narrow"/>
      <family val="2"/>
      <charset val="1"/>
    </font>
    <font>
      <sz val="10"/>
      <name val="Arial"/>
      <family val="2"/>
    </font>
    <font>
      <b/>
      <sz val="12"/>
      <name val="Times New Roman"/>
      <family val="1"/>
    </font>
    <font>
      <sz val="12"/>
      <name val="Times New Roman"/>
      <family val="1"/>
    </font>
    <font>
      <b/>
      <sz val="12"/>
      <color theme="1"/>
      <name val="Times New Roman"/>
      <family val="1"/>
      <charset val="1"/>
    </font>
    <font>
      <sz val="12"/>
      <color theme="1"/>
      <name val="Calibri"/>
      <family val="2"/>
      <charset val="1"/>
    </font>
    <font>
      <b/>
      <sz val="12"/>
      <color theme="1"/>
      <name val="Calibri"/>
      <family val="2"/>
      <charset val="1"/>
    </font>
    <font>
      <u/>
      <sz val="12"/>
      <color theme="10"/>
      <name val="Calibri"/>
      <family val="2"/>
      <charset val="1"/>
    </font>
    <font>
      <u/>
      <sz val="11"/>
      <color theme="10"/>
      <name val="Aptos Narrow"/>
      <family val="2"/>
      <charset val="1"/>
    </font>
    <font>
      <b/>
      <u/>
      <sz val="11"/>
      <color theme="1"/>
      <name val="Times New Roman"/>
      <family val="1"/>
      <charset val="1"/>
    </font>
    <font>
      <b/>
      <u/>
      <sz val="12"/>
      <color theme="1"/>
      <name val="Times New Roman"/>
      <family val="1"/>
      <charset val="1"/>
    </font>
    <font>
      <b/>
      <sz val="11"/>
      <color theme="1"/>
      <name val="Calibri"/>
      <family val="2"/>
      <charset val="1"/>
    </font>
    <font>
      <b/>
      <sz val="11"/>
      <color theme="1"/>
      <name val="Times New Roman"/>
      <family val="1"/>
      <charset val="1"/>
    </font>
    <font>
      <sz val="11"/>
      <color theme="1"/>
      <name val="Times New Roman"/>
      <family val="1"/>
      <charset val="1"/>
    </font>
    <font>
      <sz val="15"/>
      <color theme="1"/>
      <name val="Times New Roman"/>
      <family val="1"/>
      <charset val="1"/>
    </font>
    <font>
      <sz val="12"/>
      <color theme="1"/>
      <name val="Times New Roman"/>
      <family val="1"/>
      <charset val="1"/>
    </font>
    <font>
      <b/>
      <sz val="11"/>
      <color theme="1"/>
      <name val="Aptos Narrow"/>
      <family val="2"/>
      <charset val="1"/>
    </font>
    <font>
      <sz val="11"/>
      <color theme="1"/>
      <name val="Calibri"/>
      <family val="2"/>
      <charset val="1"/>
    </font>
    <font>
      <b/>
      <sz val="14"/>
      <color rgb="FFFFFFFF"/>
      <name val="Arial"/>
      <family val="2"/>
      <charset val="1"/>
    </font>
    <font>
      <b/>
      <sz val="10"/>
      <color rgb="FF000000"/>
      <name val="Arial"/>
      <family val="2"/>
      <charset val="1"/>
    </font>
    <font>
      <sz val="10"/>
      <color rgb="FF0000FF"/>
      <name val="Arial"/>
      <family val="2"/>
      <charset val="1"/>
    </font>
    <font>
      <sz val="10"/>
      <color rgb="FF000000"/>
      <name val="Arial"/>
      <family val="2"/>
      <charset val="1"/>
    </font>
    <font>
      <b/>
      <sz val="10"/>
      <color theme="9" tint="-0.249977111117893"/>
      <name val="Arial"/>
      <family val="2"/>
      <charset val="1"/>
    </font>
    <font>
      <b/>
      <sz val="10"/>
      <color theme="1"/>
      <name val="Arial"/>
      <family val="2"/>
      <charset val="1"/>
    </font>
    <font>
      <b/>
      <sz val="10"/>
      <color rgb="FFC00000"/>
      <name val="Arial"/>
      <family val="2"/>
      <charset val="1"/>
    </font>
    <font>
      <b/>
      <sz val="11"/>
      <color rgb="FFFFFFFF"/>
      <name val="Arial"/>
      <family val="2"/>
      <charset val="1"/>
    </font>
    <font>
      <b/>
      <sz val="10"/>
      <color rgb="FFFFFFFF"/>
      <name val="Arial"/>
      <family val="2"/>
      <charset val="1"/>
    </font>
    <font>
      <sz val="10"/>
      <color rgb="FF008000"/>
      <name val="Arial"/>
      <family val="2"/>
      <charset val="1"/>
    </font>
    <font>
      <b/>
      <sz val="11"/>
      <color rgb="FF000000"/>
      <name val="Times New Roman"/>
      <family val="1"/>
      <charset val="1"/>
    </font>
    <font>
      <b/>
      <sz val="11"/>
      <name val="Times New Roman"/>
      <family val="1"/>
      <charset val="1"/>
    </font>
    <font>
      <sz val="11"/>
      <color rgb="FF000000"/>
      <name val="Times New Roman"/>
      <family val="1"/>
      <charset val="1"/>
    </font>
    <font>
      <sz val="11"/>
      <color rgb="FFFF0000"/>
      <name val="Times New Roman"/>
      <family val="1"/>
      <charset val="1"/>
    </font>
    <font>
      <b/>
      <sz val="11"/>
      <color rgb="FFFF0000"/>
      <name val="Times New Roman"/>
      <family val="1"/>
      <charset val="1"/>
    </font>
    <font>
      <b/>
      <sz val="12"/>
      <name val="Cambria"/>
      <family val="1"/>
      <charset val="1"/>
    </font>
    <font>
      <b/>
      <sz val="11"/>
      <name val="Cambria"/>
      <family val="1"/>
      <charset val="1"/>
    </font>
    <font>
      <i/>
      <sz val="9"/>
      <name val="Cambria"/>
      <family val="1"/>
      <charset val="1"/>
    </font>
    <font>
      <sz val="11"/>
      <name val="Cambria"/>
      <family val="1"/>
      <charset val="1"/>
    </font>
    <font>
      <b/>
      <sz val="11"/>
      <color rgb="FFFF0000"/>
      <name val="Cambria"/>
      <family val="1"/>
      <charset val="1"/>
    </font>
    <font>
      <b/>
      <sz val="12"/>
      <name val="Times New Roman"/>
      <family val="1"/>
      <charset val="1"/>
    </font>
    <font>
      <b/>
      <sz val="9"/>
      <name val="Times New Roman"/>
      <family val="1"/>
      <charset val="1"/>
    </font>
    <font>
      <b/>
      <sz val="10"/>
      <color theme="1"/>
      <name val="Times New Roman"/>
      <family val="1"/>
      <charset val="1"/>
    </font>
    <font>
      <sz val="10"/>
      <name val="Times New Roman"/>
      <family val="1"/>
      <charset val="1"/>
    </font>
    <font>
      <b/>
      <sz val="10"/>
      <name val="Times New Roman"/>
      <family val="1"/>
      <charset val="1"/>
    </font>
    <font>
      <sz val="11"/>
      <name val="Times New Roman"/>
      <family val="1"/>
      <charset val="1"/>
    </font>
    <font>
      <b/>
      <sz val="10"/>
      <color theme="0"/>
      <name val="Times New Roman"/>
      <family val="1"/>
      <charset val="1"/>
    </font>
    <font>
      <b/>
      <sz val="8"/>
      <name val="Times New Roman"/>
      <family val="1"/>
      <charset val="1"/>
    </font>
    <font>
      <b/>
      <sz val="9"/>
      <color theme="1"/>
      <name val="Times New Roman"/>
      <family val="1"/>
      <charset val="1"/>
    </font>
    <font>
      <sz val="10"/>
      <color theme="1"/>
      <name val="Times New Roman"/>
      <family val="1"/>
      <charset val="1"/>
    </font>
    <font>
      <sz val="9"/>
      <color theme="1"/>
      <name val="Times New Roman"/>
      <family val="1"/>
      <charset val="1"/>
    </font>
    <font>
      <sz val="11"/>
      <name val="Aptos Narrow"/>
      <family val="2"/>
      <charset val="1"/>
    </font>
    <font>
      <b/>
      <sz val="11"/>
      <name val="Times New Roman"/>
      <family val="1"/>
    </font>
    <font>
      <b/>
      <u/>
      <sz val="11"/>
      <name val="Times New Roman"/>
      <family val="1"/>
    </font>
    <font>
      <sz val="11"/>
      <name val="Times New Roman"/>
      <family val="1"/>
    </font>
    <font>
      <b/>
      <sz val="10"/>
      <name val="Arial"/>
      <family val="2"/>
    </font>
    <font>
      <b/>
      <sz val="12"/>
      <color theme="1"/>
      <name val="Calibri"/>
      <family val="2"/>
    </font>
  </fonts>
  <fills count="26">
    <fill>
      <patternFill patternType="none"/>
    </fill>
    <fill>
      <patternFill patternType="gray125"/>
    </fill>
    <fill>
      <patternFill patternType="solid">
        <fgColor theme="5" tint="0.39997558519241921"/>
        <bgColor rgb="FFF6C6AD"/>
      </patternFill>
    </fill>
    <fill>
      <patternFill patternType="solid">
        <fgColor theme="8" tint="0.59999389629810485"/>
        <bgColor rgb="FFF2AA84"/>
      </patternFill>
    </fill>
    <fill>
      <patternFill patternType="solid">
        <fgColor rgb="FFF2F2F2"/>
        <bgColor rgb="FFEBF5FB"/>
      </patternFill>
    </fill>
    <fill>
      <patternFill patternType="solid">
        <fgColor rgb="FFE2EFDA"/>
        <bgColor rgb="FFF2F2F2"/>
      </patternFill>
    </fill>
    <fill>
      <patternFill patternType="solid">
        <fgColor rgb="FFDAE3F3"/>
        <bgColor rgb="FFD9E1F2"/>
      </patternFill>
    </fill>
    <fill>
      <patternFill patternType="solid">
        <fgColor rgb="FFFFD966"/>
        <bgColor rgb="FFFFE699"/>
      </patternFill>
    </fill>
    <fill>
      <patternFill patternType="solid">
        <fgColor rgb="FFFFE699"/>
        <bgColor rgb="FFFFD966"/>
      </patternFill>
    </fill>
    <fill>
      <patternFill patternType="solid">
        <fgColor theme="9" tint="0.59999389629810485"/>
        <bgColor rgb="FF8ED973"/>
      </patternFill>
    </fill>
    <fill>
      <patternFill patternType="solid">
        <fgColor rgb="FFFFFFFF"/>
        <bgColor rgb="FFF2F2F2"/>
      </patternFill>
    </fill>
    <fill>
      <patternFill patternType="solid">
        <fgColor theme="5" tint="0.59968871120334488"/>
        <bgColor rgb="FFF2AA84"/>
      </patternFill>
    </fill>
    <fill>
      <patternFill patternType="solid">
        <fgColor theme="7" tint="0.59968871120334488"/>
        <bgColor rgb="FF83CBEB"/>
      </patternFill>
    </fill>
    <fill>
      <patternFill patternType="solid">
        <fgColor theme="7" tint="0.39967040009765925"/>
        <bgColor rgb="FF83CBEB"/>
      </patternFill>
    </fill>
    <fill>
      <patternFill patternType="solid">
        <fgColor rgb="FF1F4E79"/>
        <bgColor rgb="FF156082"/>
      </patternFill>
    </fill>
    <fill>
      <patternFill patternType="solid">
        <fgColor rgb="FFEBF5FB"/>
        <bgColor rgb="FFF2F2F2"/>
      </patternFill>
    </fill>
    <fill>
      <patternFill patternType="solid">
        <fgColor rgb="FFFFFF00"/>
        <bgColor rgb="FFFFD966"/>
      </patternFill>
    </fill>
    <fill>
      <patternFill patternType="solid">
        <fgColor theme="8" tint="0.39979247413556324"/>
        <bgColor rgb="FFE59EDD"/>
      </patternFill>
    </fill>
    <fill>
      <patternFill patternType="solid">
        <fgColor theme="4" tint="0.59959715567491678"/>
        <bgColor rgb="FF96DCF8"/>
      </patternFill>
    </fill>
    <fill>
      <patternFill patternType="solid">
        <fgColor theme="9" tint="0.39988402966399123"/>
        <bgColor rgb="FFB4E5A2"/>
      </patternFill>
    </fill>
    <fill>
      <patternFill patternType="solid">
        <fgColor rgb="FF2E5F99"/>
        <bgColor rgb="FF156082"/>
      </patternFill>
    </fill>
    <fill>
      <patternFill patternType="solid">
        <fgColor theme="9" tint="0.39997558519241921"/>
        <bgColor rgb="FFDAE3F3"/>
      </patternFill>
    </fill>
    <fill>
      <patternFill patternType="solid">
        <fgColor theme="9" tint="0.39997558519241921"/>
        <bgColor rgb="FFD9D9D9"/>
      </patternFill>
    </fill>
    <fill>
      <patternFill patternType="solid">
        <fgColor theme="9" tint="0.39997558519241921"/>
        <bgColor rgb="FFF2F2F2"/>
      </patternFill>
    </fill>
    <fill>
      <patternFill patternType="solid">
        <fgColor rgb="FFFFFF00"/>
        <bgColor rgb="FFF2AA84"/>
      </patternFill>
    </fill>
    <fill>
      <patternFill patternType="solid">
        <fgColor theme="7" tint="0.59999389629810485"/>
        <bgColor indexed="64"/>
      </patternFill>
    </fill>
  </fills>
  <borders count="3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DD7EE"/>
      </left>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s>
  <cellStyleXfs count="3">
    <xf numFmtId="0" fontId="0" fillId="0" borderId="0"/>
    <xf numFmtId="44" fontId="1" fillId="0" borderId="0" applyBorder="0" applyAlignment="0" applyProtection="0"/>
    <xf numFmtId="0" fontId="8" fillId="0" borderId="0" applyNumberFormat="0" applyFill="0" applyBorder="0" applyAlignment="0" applyProtection="0"/>
  </cellStyleXfs>
  <cellXfs count="405">
    <xf numFmtId="0" fontId="0" fillId="0" borderId="0" xfId="0"/>
    <xf numFmtId="0" fontId="4" fillId="11" borderId="1" xfId="0" applyFont="1" applyFill="1" applyBorder="1"/>
    <xf numFmtId="0" fontId="4" fillId="11" borderId="2" xfId="0" applyFont="1" applyFill="1" applyBorder="1"/>
    <xf numFmtId="0" fontId="4" fillId="11" borderId="3" xfId="0" applyFont="1" applyFill="1" applyBorder="1"/>
    <xf numFmtId="0" fontId="5" fillId="0" borderId="4" xfId="0" applyFont="1" applyBorder="1"/>
    <xf numFmtId="0" fontId="6" fillId="12" borderId="5" xfId="0" applyFont="1" applyFill="1" applyBorder="1" applyAlignment="1">
      <alignment vertical="center" wrapText="1"/>
    </xf>
    <xf numFmtId="0" fontId="5" fillId="0" borderId="5" xfId="0" applyFont="1" applyBorder="1"/>
    <xf numFmtId="0" fontId="6" fillId="12" borderId="5" xfId="0" applyFont="1" applyFill="1" applyBorder="1" applyAlignment="1">
      <alignment vertical="top" wrapText="1"/>
    </xf>
    <xf numFmtId="0" fontId="7" fillId="0" borderId="6" xfId="0" applyFont="1" applyBorder="1" applyAlignment="1">
      <alignment vertical="top" wrapText="1"/>
    </xf>
    <xf numFmtId="0" fontId="6" fillId="12" borderId="5" xfId="0" applyFont="1" applyFill="1" applyBorder="1"/>
    <xf numFmtId="0" fontId="7" fillId="0" borderId="6" xfId="0" applyFont="1" applyBorder="1"/>
    <xf numFmtId="9" fontId="5" fillId="0" borderId="5" xfId="0" applyNumberFormat="1" applyFont="1" applyBorder="1"/>
    <xf numFmtId="10" fontId="5" fillId="0" borderId="5" xfId="0" applyNumberFormat="1" applyFont="1" applyBorder="1"/>
    <xf numFmtId="0" fontId="5" fillId="0" borderId="6" xfId="0" applyFont="1" applyBorder="1"/>
    <xf numFmtId="0" fontId="5" fillId="0" borderId="7" xfId="0" applyFont="1" applyBorder="1"/>
    <xf numFmtId="0" fontId="6" fillId="12" borderId="8" xfId="0" applyFont="1" applyFill="1" applyBorder="1"/>
    <xf numFmtId="10" fontId="5" fillId="0" borderId="8" xfId="0" applyNumberFormat="1" applyFont="1" applyBorder="1"/>
    <xf numFmtId="0" fontId="6" fillId="12" borderId="0" xfId="0" applyFont="1" applyFill="1" applyAlignment="1">
      <alignment wrapText="1"/>
    </xf>
    <xf numFmtId="0" fontId="8" fillId="0" borderId="9" xfId="0" applyFont="1" applyBorder="1"/>
    <xf numFmtId="0" fontId="5" fillId="0" borderId="10" xfId="0" applyFont="1" applyBorder="1"/>
    <xf numFmtId="0" fontId="6" fillId="12" borderId="11" xfId="0" applyFont="1" applyFill="1" applyBorder="1"/>
    <xf numFmtId="9" fontId="5" fillId="0" borderId="11" xfId="0" applyNumberFormat="1" applyFont="1" applyBorder="1"/>
    <xf numFmtId="0" fontId="5" fillId="0" borderId="12" xfId="0" applyFont="1" applyBorder="1"/>
    <xf numFmtId="0" fontId="4" fillId="11" borderId="4" xfId="0" applyFont="1" applyFill="1" applyBorder="1" applyAlignment="1">
      <alignment horizontal="left" vertical="center" wrapText="1"/>
    </xf>
    <xf numFmtId="0" fontId="11" fillId="12" borderId="6"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12" fillId="12" borderId="4" xfId="0" applyFont="1" applyFill="1" applyBorder="1" applyAlignment="1">
      <alignment vertical="center" wrapText="1"/>
    </xf>
    <xf numFmtId="0" fontId="13" fillId="12" borderId="5" xfId="0" applyFont="1" applyFill="1" applyBorder="1" applyAlignment="1">
      <alignment vertical="center" wrapText="1"/>
    </xf>
    <xf numFmtId="0" fontId="13" fillId="12" borderId="6" xfId="0" applyFont="1" applyFill="1" applyBorder="1" applyAlignment="1">
      <alignment vertical="center" wrapText="1"/>
    </xf>
    <xf numFmtId="0" fontId="12" fillId="12" borderId="10" xfId="0" applyFont="1" applyFill="1" applyBorder="1" applyAlignment="1">
      <alignment vertical="center" wrapText="1"/>
    </xf>
    <xf numFmtId="0" fontId="13" fillId="12" borderId="11" xfId="0" applyFont="1" applyFill="1" applyBorder="1" applyAlignment="1">
      <alignment vertical="center" wrapText="1"/>
    </xf>
    <xf numFmtId="0" fontId="13" fillId="12" borderId="12" xfId="0" applyFont="1" applyFill="1" applyBorder="1" applyAlignment="1">
      <alignment vertical="center" wrapText="1"/>
    </xf>
    <xf numFmtId="0" fontId="4" fillId="11" borderId="10" xfId="0" applyFont="1" applyFill="1" applyBorder="1" applyAlignment="1">
      <alignment horizontal="left" vertical="center" wrapText="1"/>
    </xf>
    <xf numFmtId="0" fontId="11" fillId="12" borderId="12" xfId="0" applyFont="1" applyFill="1" applyBorder="1" applyAlignment="1">
      <alignment horizontal="center" vertical="center" wrapText="1"/>
    </xf>
    <xf numFmtId="0" fontId="16" fillId="0" borderId="0" xfId="0" applyFont="1" applyAlignment="1">
      <alignment vertical="center" wrapText="1"/>
    </xf>
    <xf numFmtId="0" fontId="0" fillId="0" borderId="0" xfId="0" applyAlignment="1">
      <alignment vertical="center" wrapText="1"/>
    </xf>
    <xf numFmtId="0" fontId="12" fillId="11" borderId="1" xfId="0" applyFont="1" applyFill="1" applyBorder="1" applyAlignment="1">
      <alignment horizontal="center" vertical="center" wrapText="1"/>
    </xf>
    <xf numFmtId="0" fontId="12" fillId="11" borderId="2"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7" fillId="0" borderId="4" xfId="0" applyFont="1" applyBorder="1" applyAlignment="1">
      <alignment vertical="center" wrapText="1"/>
    </xf>
    <xf numFmtId="0" fontId="17" fillId="0" borderId="5" xfId="0" applyFont="1" applyBorder="1" applyAlignment="1">
      <alignment vertical="center" wrapText="1"/>
    </xf>
    <xf numFmtId="3" fontId="17" fillId="0" borderId="5" xfId="0" applyNumberFormat="1" applyFont="1" applyBorder="1" applyAlignment="1">
      <alignment vertical="center" wrapText="1"/>
    </xf>
    <xf numFmtId="0" fontId="17" fillId="0" borderId="6" xfId="0" applyFont="1" applyBorder="1" applyAlignment="1">
      <alignment vertical="center" wrapText="1"/>
    </xf>
    <xf numFmtId="0" fontId="17" fillId="0" borderId="10" xfId="0" applyFont="1" applyBorder="1" applyAlignment="1">
      <alignment vertical="center" wrapText="1"/>
    </xf>
    <xf numFmtId="0" fontId="17" fillId="0" borderId="11" xfId="0" applyFont="1" applyBorder="1" applyAlignment="1">
      <alignment vertical="center" wrapText="1"/>
    </xf>
    <xf numFmtId="3" fontId="17" fillId="0" borderId="11" xfId="0" applyNumberFormat="1" applyFont="1" applyBorder="1" applyAlignment="1">
      <alignment vertical="center" wrapText="1"/>
    </xf>
    <xf numFmtId="0" fontId="17" fillId="0" borderId="12" xfId="0" applyFont="1" applyBorder="1" applyAlignment="1">
      <alignment vertical="center" wrapText="1"/>
    </xf>
    <xf numFmtId="9" fontId="0" fillId="0" borderId="5" xfId="0" applyNumberFormat="1" applyBorder="1"/>
    <xf numFmtId="0" fontId="0" fillId="0" borderId="5" xfId="0" applyBorder="1"/>
    <xf numFmtId="9" fontId="17" fillId="0" borderId="6" xfId="0" applyNumberFormat="1" applyFont="1" applyBorder="1" applyAlignment="1">
      <alignment vertical="center" wrapText="1"/>
    </xf>
    <xf numFmtId="9" fontId="0" fillId="0" borderId="6" xfId="0" applyNumberFormat="1" applyBorder="1"/>
    <xf numFmtId="9" fontId="0" fillId="0" borderId="11" xfId="0" applyNumberFormat="1" applyBorder="1"/>
    <xf numFmtId="0" fontId="0" fillId="0" borderId="11" xfId="0" applyBorder="1"/>
    <xf numFmtId="9" fontId="0" fillId="0" borderId="12" xfId="0" applyNumberFormat="1" applyBorder="1"/>
    <xf numFmtId="0" fontId="0" fillId="0" borderId="0" xfId="0" applyAlignment="1">
      <alignment vertical="top" wrapText="1"/>
    </xf>
    <xf numFmtId="0" fontId="11" fillId="0" borderId="0" xfId="0" applyFont="1" applyAlignment="1">
      <alignment vertical="top" wrapText="1"/>
    </xf>
    <xf numFmtId="0" fontId="17" fillId="0" borderId="0" xfId="0" applyFont="1" applyAlignment="1">
      <alignment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9" fontId="17" fillId="0" borderId="6" xfId="0" applyNumberFormat="1" applyFont="1" applyBorder="1" applyAlignment="1">
      <alignment horizontal="center" vertical="center" wrapText="1"/>
    </xf>
    <xf numFmtId="3" fontId="17" fillId="0" borderId="5" xfId="0" applyNumberFormat="1"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9" fontId="17" fillId="0" borderId="12" xfId="0" applyNumberFormat="1" applyFont="1" applyBorder="1" applyAlignment="1">
      <alignment horizontal="center" vertical="center" wrapText="1"/>
    </xf>
    <xf numFmtId="0" fontId="6" fillId="0" borderId="0" xfId="0" applyFont="1" applyAlignment="1">
      <alignment vertical="top" wrapText="1"/>
    </xf>
    <xf numFmtId="0" fontId="17" fillId="0" borderId="0" xfId="0" applyFont="1" applyAlignment="1">
      <alignment vertical="top"/>
    </xf>
    <xf numFmtId="0" fontId="4" fillId="11" borderId="1" xfId="0" applyFont="1" applyFill="1" applyBorder="1" applyAlignment="1">
      <alignment horizontal="left" vertical="center"/>
    </xf>
    <xf numFmtId="0" fontId="4" fillId="11" borderId="2" xfId="0" applyFont="1" applyFill="1" applyBorder="1" applyAlignment="1">
      <alignment horizontal="left" vertical="center"/>
    </xf>
    <xf numFmtId="0" fontId="4" fillId="11" borderId="3" xfId="0" applyFont="1" applyFill="1" applyBorder="1" applyAlignment="1">
      <alignment horizontal="left" vertical="center"/>
    </xf>
    <xf numFmtId="0" fontId="12" fillId="11" borderId="2" xfId="0" applyFont="1" applyFill="1" applyBorder="1"/>
    <xf numFmtId="0" fontId="12" fillId="11" borderId="3" xfId="0" applyFont="1" applyFill="1" applyBorder="1"/>
    <xf numFmtId="164" fontId="17" fillId="0" borderId="4" xfId="0" applyNumberFormat="1"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0" fillId="0" borderId="4" xfId="0" applyBorder="1"/>
    <xf numFmtId="0" fontId="0" fillId="0" borderId="6" xfId="0" applyBorder="1"/>
    <xf numFmtId="165" fontId="0" fillId="0" borderId="6" xfId="0" applyNumberFormat="1" applyBorder="1"/>
    <xf numFmtId="10" fontId="0" fillId="0" borderId="5" xfId="0" applyNumberFormat="1" applyBorder="1"/>
    <xf numFmtId="0" fontId="0" fillId="0" borderId="10" xfId="0" applyBorder="1"/>
    <xf numFmtId="0" fontId="0" fillId="0" borderId="12" xfId="0" applyBorder="1"/>
    <xf numFmtId="165" fontId="0" fillId="0" borderId="12" xfId="0" applyNumberFormat="1" applyBorder="1"/>
    <xf numFmtId="164" fontId="17" fillId="0" borderId="10" xfId="0" applyNumberFormat="1"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2" fillId="11" borderId="4" xfId="0" applyFont="1" applyFill="1" applyBorder="1"/>
    <xf numFmtId="0" fontId="12" fillId="11" borderId="5" xfId="0" applyFont="1" applyFill="1" applyBorder="1"/>
    <xf numFmtId="0" fontId="12" fillId="11" borderId="6" xfId="0" applyFont="1" applyFill="1" applyBorder="1"/>
    <xf numFmtId="0" fontId="17" fillId="0" borderId="4" xfId="0" applyFont="1" applyBorder="1"/>
    <xf numFmtId="0" fontId="17" fillId="0" borderId="5" xfId="0" applyFont="1" applyBorder="1"/>
    <xf numFmtId="0" fontId="17" fillId="0" borderId="6" xfId="0" applyFont="1" applyBorder="1"/>
    <xf numFmtId="2" fontId="0" fillId="0" borderId="0" xfId="0" applyNumberFormat="1"/>
    <xf numFmtId="0" fontId="12" fillId="13" borderId="16" xfId="0" applyFont="1" applyFill="1" applyBorder="1"/>
    <xf numFmtId="0" fontId="12" fillId="13" borderId="17" xfId="0" applyFont="1" applyFill="1" applyBorder="1"/>
    <xf numFmtId="0" fontId="11" fillId="0" borderId="10" xfId="0" applyFont="1" applyBorder="1"/>
    <xf numFmtId="0" fontId="17" fillId="0" borderId="11" xfId="0" applyFont="1" applyBorder="1"/>
    <xf numFmtId="0" fontId="11" fillId="0" borderId="12" xfId="0" applyFont="1" applyBorder="1"/>
    <xf numFmtId="0" fontId="11" fillId="0" borderId="0" xfId="0" applyFont="1"/>
    <xf numFmtId="0" fontId="17" fillId="0" borderId="0" xfId="0" applyFont="1"/>
    <xf numFmtId="0" fontId="16" fillId="0" borderId="11" xfId="0" applyFont="1" applyBorder="1"/>
    <xf numFmtId="0" fontId="16" fillId="0" borderId="12" xfId="0" applyFont="1" applyBorder="1"/>
    <xf numFmtId="0" fontId="12" fillId="11" borderId="1" xfId="0" applyFont="1" applyFill="1" applyBorder="1"/>
    <xf numFmtId="0" fontId="0" fillId="12" borderId="4" xfId="0" applyFill="1" applyBorder="1"/>
    <xf numFmtId="2" fontId="0" fillId="0" borderId="5" xfId="0" applyNumberFormat="1" applyBorder="1"/>
    <xf numFmtId="0" fontId="16" fillId="12" borderId="10" xfId="0" applyFont="1" applyFill="1" applyBorder="1"/>
    <xf numFmtId="2" fontId="16" fillId="0" borderId="11" xfId="0" applyNumberFormat="1" applyFont="1" applyBorder="1"/>
    <xf numFmtId="0" fontId="19" fillId="0" borderId="1" xfId="0" applyFont="1" applyBorder="1" applyAlignment="1">
      <alignment horizontal="left" vertical="center"/>
    </xf>
    <xf numFmtId="0" fontId="0" fillId="0" borderId="2" xfId="0" applyBorder="1"/>
    <xf numFmtId="0" fontId="19" fillId="0" borderId="3" xfId="0" applyFont="1" applyBorder="1" applyAlignment="1">
      <alignment horizontal="center" vertical="center" wrapText="1"/>
    </xf>
    <xf numFmtId="0" fontId="19" fillId="0" borderId="19" xfId="0" applyFont="1" applyBorder="1" applyAlignment="1">
      <alignment horizontal="left" vertical="center"/>
    </xf>
    <xf numFmtId="49" fontId="20" fillId="0" borderId="19" xfId="0" applyNumberFormat="1" applyFont="1" applyBorder="1" applyAlignment="1">
      <alignment horizontal="right" vertical="center"/>
    </xf>
    <xf numFmtId="0" fontId="21" fillId="0" borderId="4" xfId="0" applyFont="1" applyBorder="1" applyAlignment="1">
      <alignment horizontal="center" vertical="center" wrapText="1"/>
    </xf>
    <xf numFmtId="0" fontId="22" fillId="0" borderId="5" xfId="0" applyFont="1" applyBorder="1" applyAlignment="1">
      <alignment horizontal="left" vertical="center"/>
    </xf>
    <xf numFmtId="166" fontId="22" fillId="0" borderId="6" xfId="0" applyNumberFormat="1" applyFont="1" applyBorder="1" applyAlignment="1">
      <alignment horizontal="right" vertical="center"/>
    </xf>
    <xf numFmtId="0" fontId="19" fillId="0" borderId="5" xfId="0" applyFont="1" applyBorder="1" applyAlignment="1">
      <alignment horizontal="left" vertical="center"/>
    </xf>
    <xf numFmtId="166" fontId="23" fillId="0" borderId="6" xfId="0" applyNumberFormat="1" applyFont="1" applyBorder="1" applyAlignment="1">
      <alignment horizontal="right" vertical="center"/>
    </xf>
    <xf numFmtId="0" fontId="21" fillId="0" borderId="10" xfId="0" applyFont="1" applyBorder="1" applyAlignment="1">
      <alignment horizontal="center" vertical="center" wrapText="1"/>
    </xf>
    <xf numFmtId="0" fontId="24" fillId="0" borderId="11" xfId="0" applyFont="1" applyBorder="1" applyAlignment="1">
      <alignment horizontal="left" vertical="center"/>
    </xf>
    <xf numFmtId="166" fontId="24" fillId="0" borderId="12" xfId="0" applyNumberFormat="1" applyFont="1" applyBorder="1" applyAlignment="1">
      <alignment horizontal="right" vertical="center"/>
    </xf>
    <xf numFmtId="0" fontId="26" fillId="14" borderId="19" xfId="0" applyFont="1" applyFill="1" applyBorder="1" applyAlignment="1">
      <alignment horizontal="center" vertical="center" wrapText="1"/>
    </xf>
    <xf numFmtId="0" fontId="21" fillId="0" borderId="19" xfId="0" applyFont="1" applyBorder="1" applyAlignment="1">
      <alignment horizontal="left" vertical="center"/>
    </xf>
    <xf numFmtId="167" fontId="27" fillId="0" borderId="19" xfId="0" applyNumberFormat="1" applyFont="1" applyBorder="1" applyAlignment="1">
      <alignment horizontal="right" vertical="center"/>
    </xf>
    <xf numFmtId="167" fontId="21" fillId="0" borderId="19" xfId="0" applyNumberFormat="1" applyFont="1" applyBorder="1" applyAlignment="1">
      <alignment horizontal="right" vertical="center"/>
    </xf>
    <xf numFmtId="0" fontId="21" fillId="15" borderId="19" xfId="0" applyFont="1" applyFill="1" applyBorder="1" applyAlignment="1">
      <alignment horizontal="left" vertical="center"/>
    </xf>
    <xf numFmtId="0" fontId="21" fillId="15" borderId="19" xfId="0" applyFont="1" applyFill="1" applyBorder="1" applyAlignment="1">
      <alignment horizontal="right" vertical="center"/>
    </xf>
    <xf numFmtId="166" fontId="21" fillId="15" borderId="19" xfId="0" applyNumberFormat="1" applyFont="1" applyFill="1" applyBorder="1" applyAlignment="1">
      <alignment horizontal="right" vertical="center"/>
    </xf>
    <xf numFmtId="167" fontId="27" fillId="15" borderId="19" xfId="0" applyNumberFormat="1" applyFont="1" applyFill="1" applyBorder="1" applyAlignment="1">
      <alignment horizontal="right" vertical="center"/>
    </xf>
    <xf numFmtId="167" fontId="21" fillId="15" borderId="19" xfId="0" applyNumberFormat="1" applyFont="1" applyFill="1" applyBorder="1" applyAlignment="1">
      <alignment horizontal="right" vertical="center"/>
    </xf>
    <xf numFmtId="166" fontId="21" fillId="0" borderId="19" xfId="0" applyNumberFormat="1" applyFont="1" applyBorder="1" applyAlignment="1">
      <alignment horizontal="right" vertical="center"/>
    </xf>
    <xf numFmtId="0" fontId="0" fillId="15" borderId="0" xfId="0" applyFill="1"/>
    <xf numFmtId="166" fontId="20" fillId="15" borderId="19" xfId="0" applyNumberFormat="1" applyFont="1" applyFill="1" applyBorder="1" applyAlignment="1">
      <alignment horizontal="right" vertical="center"/>
    </xf>
    <xf numFmtId="0" fontId="21" fillId="0" borderId="19" xfId="0" applyFont="1" applyBorder="1" applyAlignment="1">
      <alignment horizontal="right" vertical="center"/>
    </xf>
    <xf numFmtId="168" fontId="21" fillId="15" borderId="19" xfId="0" applyNumberFormat="1" applyFont="1" applyFill="1" applyBorder="1" applyAlignment="1">
      <alignment horizontal="right" vertical="center"/>
    </xf>
    <xf numFmtId="168" fontId="21" fillId="0" borderId="19" xfId="0" applyNumberFormat="1" applyFont="1" applyBorder="1" applyAlignment="1">
      <alignment horizontal="right" vertical="center"/>
    </xf>
    <xf numFmtId="169" fontId="21" fillId="15" borderId="19" xfId="0" applyNumberFormat="1" applyFont="1" applyFill="1" applyBorder="1" applyAlignment="1">
      <alignment horizontal="right" vertical="center"/>
    </xf>
    <xf numFmtId="168" fontId="27" fillId="0" borderId="19" xfId="0" applyNumberFormat="1" applyFont="1" applyBorder="1" applyAlignment="1">
      <alignment horizontal="right" vertical="center"/>
    </xf>
    <xf numFmtId="0" fontId="13" fillId="0" borderId="0" xfId="0" applyFont="1" applyAlignment="1">
      <alignment horizontal="left"/>
    </xf>
    <xf numFmtId="0" fontId="13" fillId="0" borderId="0" xfId="0" applyFont="1"/>
    <xf numFmtId="0" fontId="12" fillId="3" borderId="16" xfId="0" applyFont="1" applyFill="1" applyBorder="1" applyAlignment="1">
      <alignment horizontal="left" vertical="center" wrapText="1"/>
    </xf>
    <xf numFmtId="0" fontId="12" fillId="3" borderId="20"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20" xfId="0" applyFont="1" applyFill="1" applyBorder="1" applyAlignment="1">
      <alignment horizontal="center" vertical="center" wrapText="1"/>
    </xf>
    <xf numFmtId="0" fontId="29" fillId="3" borderId="17" xfId="0" applyFont="1" applyFill="1" applyBorder="1" applyAlignment="1">
      <alignment horizontal="center" vertical="center" wrapText="1"/>
    </xf>
    <xf numFmtId="0" fontId="13" fillId="0" borderId="22" xfId="0" applyFont="1" applyBorder="1" applyAlignment="1">
      <alignment horizontal="left" wrapText="1"/>
    </xf>
    <xf numFmtId="0" fontId="13" fillId="0" borderId="23" xfId="0" applyFont="1" applyBorder="1" applyAlignment="1">
      <alignment wrapText="1"/>
    </xf>
    <xf numFmtId="0" fontId="13" fillId="0" borderId="24" xfId="0" applyFont="1" applyBorder="1" applyAlignment="1">
      <alignment wrapText="1"/>
    </xf>
    <xf numFmtId="4" fontId="12" fillId="0" borderId="22" xfId="0" applyNumberFormat="1" applyFont="1" applyBorder="1"/>
    <xf numFmtId="4" fontId="12" fillId="0" borderId="23" xfId="0" applyNumberFormat="1" applyFont="1" applyBorder="1"/>
    <xf numFmtId="0" fontId="13" fillId="0" borderId="23" xfId="0" applyFont="1" applyBorder="1"/>
    <xf numFmtId="0" fontId="13" fillId="0" borderId="25" xfId="0" applyFont="1" applyBorder="1"/>
    <xf numFmtId="0" fontId="13" fillId="0" borderId="4" xfId="0" applyFont="1" applyBorder="1" applyAlignment="1">
      <alignment horizontal="left" wrapText="1"/>
    </xf>
    <xf numFmtId="4" fontId="13" fillId="0" borderId="5" xfId="0" applyNumberFormat="1" applyFont="1" applyBorder="1" applyAlignment="1">
      <alignment wrapText="1"/>
    </xf>
    <xf numFmtId="4" fontId="13" fillId="0" borderId="26" xfId="0" applyNumberFormat="1" applyFont="1" applyBorder="1" applyAlignment="1">
      <alignment wrapText="1"/>
    </xf>
    <xf numFmtId="168" fontId="13" fillId="0" borderId="4" xfId="0" applyNumberFormat="1" applyFont="1" applyBorder="1" applyAlignment="1">
      <alignment horizontal="right"/>
    </xf>
    <xf numFmtId="168" fontId="13" fillId="0" borderId="5" xfId="0" applyNumberFormat="1" applyFont="1" applyBorder="1" applyAlignment="1">
      <alignment horizontal="right"/>
    </xf>
    <xf numFmtId="168" fontId="13" fillId="0" borderId="6" xfId="0" applyNumberFormat="1" applyFont="1" applyBorder="1" applyAlignment="1">
      <alignment horizontal="right"/>
    </xf>
    <xf numFmtId="0" fontId="13" fillId="0" borderId="5" xfId="0" applyFont="1" applyBorder="1" applyAlignment="1">
      <alignment wrapText="1"/>
    </xf>
    <xf numFmtId="0" fontId="13" fillId="0" borderId="26" xfId="0" applyFont="1" applyBorder="1" applyAlignment="1">
      <alignment wrapText="1"/>
    </xf>
    <xf numFmtId="167" fontId="13" fillId="0" borderId="5" xfId="0" applyNumberFormat="1" applyFont="1" applyBorder="1" applyAlignment="1">
      <alignment wrapText="1"/>
    </xf>
    <xf numFmtId="167" fontId="13" fillId="0" borderId="26" xfId="0" applyNumberFormat="1" applyFont="1" applyBorder="1" applyAlignment="1">
      <alignment wrapText="1"/>
    </xf>
    <xf numFmtId="168" fontId="12" fillId="0" borderId="5" xfId="0" applyNumberFormat="1" applyFont="1" applyBorder="1" applyAlignment="1">
      <alignment horizontal="right"/>
    </xf>
    <xf numFmtId="168" fontId="12" fillId="0" borderId="26" xfId="0" applyNumberFormat="1" applyFont="1" applyBorder="1" applyAlignment="1">
      <alignment horizontal="right"/>
    </xf>
    <xf numFmtId="168" fontId="12" fillId="0" borderId="4" xfId="0" applyNumberFormat="1" applyFont="1" applyBorder="1" applyAlignment="1">
      <alignment horizontal="right"/>
    </xf>
    <xf numFmtId="168" fontId="12" fillId="0" borderId="6" xfId="0" applyNumberFormat="1" applyFont="1" applyBorder="1" applyAlignment="1">
      <alignment horizontal="right"/>
    </xf>
    <xf numFmtId="0" fontId="12" fillId="0" borderId="4" xfId="0" applyFont="1" applyBorder="1"/>
    <xf numFmtId="0" fontId="12" fillId="0" borderId="5" xfId="0" applyFont="1" applyBorder="1"/>
    <xf numFmtId="0" fontId="12" fillId="0" borderId="6" xfId="0" applyFont="1" applyBorder="1"/>
    <xf numFmtId="0" fontId="13" fillId="0" borderId="4" xfId="0" applyFont="1" applyBorder="1"/>
    <xf numFmtId="0" fontId="13" fillId="0" borderId="5" xfId="0" applyFont="1" applyBorder="1"/>
    <xf numFmtId="0" fontId="13" fillId="0" borderId="6" xfId="0" applyFont="1" applyBorder="1"/>
    <xf numFmtId="168" fontId="13" fillId="0" borderId="6" xfId="0" applyNumberFormat="1" applyFont="1" applyBorder="1" applyAlignment="1">
      <alignment wrapText="1"/>
    </xf>
    <xf numFmtId="168" fontId="13" fillId="0" borderId="26" xfId="0" applyNumberFormat="1" applyFont="1" applyBorder="1" applyAlignment="1">
      <alignment wrapText="1"/>
    </xf>
    <xf numFmtId="0" fontId="13" fillId="0" borderId="10" xfId="0" applyFont="1" applyBorder="1" applyAlignment="1">
      <alignment horizontal="left" wrapText="1"/>
    </xf>
    <xf numFmtId="0" fontId="13" fillId="0" borderId="11" xfId="0" applyFont="1" applyBorder="1" applyAlignment="1">
      <alignment wrapText="1"/>
    </xf>
    <xf numFmtId="4" fontId="13" fillId="0" borderId="11" xfId="0" applyNumberFormat="1" applyFont="1" applyBorder="1" applyAlignment="1">
      <alignment wrapText="1"/>
    </xf>
    <xf numFmtId="0" fontId="13" fillId="0" borderId="27" xfId="0" applyFont="1" applyBorder="1" applyAlignment="1">
      <alignment wrapText="1"/>
    </xf>
    <xf numFmtId="0" fontId="13" fillId="0" borderId="10" xfId="0" applyFont="1" applyBorder="1"/>
    <xf numFmtId="0" fontId="13" fillId="0" borderId="11" xfId="0" applyFont="1" applyBorder="1"/>
    <xf numFmtId="0" fontId="13" fillId="0" borderId="12" xfId="0" applyFont="1" applyBorder="1"/>
    <xf numFmtId="0" fontId="30" fillId="0" borderId="0" xfId="0" applyFont="1" applyAlignment="1">
      <alignment horizontal="left" wrapText="1"/>
    </xf>
    <xf numFmtId="0" fontId="30" fillId="0" borderId="0" xfId="0" applyFont="1" applyAlignment="1">
      <alignment wrapText="1"/>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3" fillId="0" borderId="22" xfId="0" applyFont="1" applyBorder="1"/>
    <xf numFmtId="0" fontId="30" fillId="10" borderId="4" xfId="0" applyFont="1" applyFill="1" applyBorder="1" applyAlignment="1">
      <alignment horizontal="right" vertical="top" wrapText="1"/>
    </xf>
    <xf numFmtId="0" fontId="30" fillId="10" borderId="5" xfId="0" applyFont="1" applyFill="1" applyBorder="1" applyAlignment="1">
      <alignment horizontal="right" vertical="top" wrapText="1"/>
    </xf>
    <xf numFmtId="0" fontId="30" fillId="10" borderId="6" xfId="0" applyFont="1" applyFill="1" applyBorder="1" applyAlignment="1">
      <alignment horizontal="right" vertical="top" wrapText="1"/>
    </xf>
    <xf numFmtId="0" fontId="30" fillId="10" borderId="0" xfId="0" applyFont="1" applyFill="1" applyAlignment="1">
      <alignment horizontal="right" vertical="top" wrapText="1"/>
    </xf>
    <xf numFmtId="0" fontId="13" fillId="3" borderId="4" xfId="0" applyFont="1" applyFill="1" applyBorder="1" applyAlignment="1">
      <alignment horizontal="left" wrapText="1"/>
    </xf>
    <xf numFmtId="4" fontId="12" fillId="3" borderId="5" xfId="0" applyNumberFormat="1" applyFont="1" applyFill="1" applyBorder="1" applyAlignment="1">
      <alignment wrapText="1"/>
    </xf>
    <xf numFmtId="4" fontId="12" fillId="3" borderId="26" xfId="0" applyNumberFormat="1" applyFont="1" applyFill="1" applyBorder="1" applyAlignment="1">
      <alignment wrapText="1"/>
    </xf>
    <xf numFmtId="168" fontId="12" fillId="3" borderId="4" xfId="0" applyNumberFormat="1" applyFont="1" applyFill="1" applyBorder="1" applyAlignment="1">
      <alignment horizontal="right"/>
    </xf>
    <xf numFmtId="168" fontId="12" fillId="3" borderId="5" xfId="0" applyNumberFormat="1" applyFont="1" applyFill="1" applyBorder="1" applyAlignment="1">
      <alignment horizontal="right"/>
    </xf>
    <xf numFmtId="168" fontId="12" fillId="3" borderId="6" xfId="0" applyNumberFormat="1" applyFont="1" applyFill="1" applyBorder="1" applyAlignment="1">
      <alignment horizontal="right"/>
    </xf>
    <xf numFmtId="0" fontId="13" fillId="16" borderId="4" xfId="0" applyFont="1" applyFill="1" applyBorder="1" applyAlignment="1">
      <alignment horizontal="left"/>
    </xf>
    <xf numFmtId="4" fontId="12" fillId="16" borderId="5" xfId="0" applyNumberFormat="1" applyFont="1" applyFill="1" applyBorder="1"/>
    <xf numFmtId="4" fontId="12" fillId="16" borderId="26" xfId="0" applyNumberFormat="1" applyFont="1" applyFill="1" applyBorder="1"/>
    <xf numFmtId="168" fontId="12" fillId="16" borderId="4" xfId="0" applyNumberFormat="1" applyFont="1" applyFill="1" applyBorder="1" applyAlignment="1">
      <alignment horizontal="right"/>
    </xf>
    <xf numFmtId="168" fontId="12" fillId="16" borderId="5" xfId="0" applyNumberFormat="1" applyFont="1" applyFill="1" applyBorder="1" applyAlignment="1">
      <alignment horizontal="right"/>
    </xf>
    <xf numFmtId="168" fontId="12" fillId="16" borderId="6" xfId="0" applyNumberFormat="1" applyFont="1" applyFill="1" applyBorder="1" applyAlignment="1">
      <alignment horizontal="right"/>
    </xf>
    <xf numFmtId="0" fontId="31" fillId="0" borderId="10" xfId="0" applyFont="1" applyBorder="1"/>
    <xf numFmtId="168" fontId="32" fillId="0" borderId="11" xfId="0" applyNumberFormat="1" applyFont="1" applyBorder="1"/>
    <xf numFmtId="168" fontId="32" fillId="0" borderId="27" xfId="0" applyNumberFormat="1" applyFont="1" applyBorder="1"/>
    <xf numFmtId="168" fontId="32" fillId="0" borderId="10" xfId="0" applyNumberFormat="1" applyFont="1" applyBorder="1" applyAlignment="1">
      <alignment horizontal="right"/>
    </xf>
    <xf numFmtId="168" fontId="32" fillId="0" borderId="11" xfId="0" applyNumberFormat="1" applyFont="1" applyBorder="1" applyAlignment="1">
      <alignment horizontal="right"/>
    </xf>
    <xf numFmtId="168" fontId="32" fillId="0" borderId="12" xfId="0" applyNumberFormat="1" applyFont="1" applyBorder="1" applyAlignment="1">
      <alignment horizontal="right"/>
    </xf>
    <xf numFmtId="0" fontId="34" fillId="17" borderId="16" xfId="0" applyFont="1" applyFill="1" applyBorder="1"/>
    <xf numFmtId="0" fontId="34" fillId="17" borderId="20" xfId="0" applyFont="1" applyFill="1" applyBorder="1" applyAlignment="1">
      <alignment horizontal="center" wrapText="1"/>
    </xf>
    <xf numFmtId="0" fontId="34" fillId="17" borderId="17" xfId="0" applyFont="1" applyFill="1" applyBorder="1" applyAlignment="1">
      <alignment horizontal="center" wrapText="1"/>
    </xf>
    <xf numFmtId="0" fontId="34" fillId="17" borderId="29" xfId="0" applyFont="1" applyFill="1" applyBorder="1" applyAlignment="1">
      <alignment horizontal="center" wrapText="1"/>
    </xf>
    <xf numFmtId="0" fontId="35" fillId="0" borderId="22" xfId="0" applyFont="1" applyBorder="1"/>
    <xf numFmtId="0" fontId="0" fillId="0" borderId="23" xfId="0" applyBorder="1"/>
    <xf numFmtId="0" fontId="0" fillId="0" borderId="25" xfId="0" applyBorder="1"/>
    <xf numFmtId="0" fontId="0" fillId="0" borderId="30" xfId="0" applyBorder="1"/>
    <xf numFmtId="0" fontId="34" fillId="0" borderId="4" xfId="0" applyFont="1" applyBorder="1"/>
    <xf numFmtId="0" fontId="0" fillId="0" borderId="31" xfId="0" applyBorder="1"/>
    <xf numFmtId="0" fontId="36" fillId="0" borderId="4" xfId="0" applyFont="1" applyBorder="1" applyAlignment="1">
      <alignment indent="1"/>
    </xf>
    <xf numFmtId="168" fontId="0" fillId="0" borderId="5" xfId="0" applyNumberFormat="1" applyBorder="1" applyAlignment="1">
      <alignment horizontal="right"/>
    </xf>
    <xf numFmtId="168" fontId="0" fillId="0" borderId="6" xfId="0" applyNumberFormat="1" applyBorder="1" applyAlignment="1">
      <alignment horizontal="right"/>
    </xf>
    <xf numFmtId="168" fontId="0" fillId="0" borderId="31" xfId="0" applyNumberFormat="1" applyBorder="1" applyAlignment="1">
      <alignment horizontal="right"/>
    </xf>
    <xf numFmtId="168" fontId="34" fillId="0" borderId="5" xfId="0" applyNumberFormat="1" applyFont="1" applyBorder="1" applyAlignment="1">
      <alignment horizontal="right"/>
    </xf>
    <xf numFmtId="168" fontId="34" fillId="0" borderId="6" xfId="0" applyNumberFormat="1" applyFont="1" applyBorder="1" applyAlignment="1">
      <alignment horizontal="right"/>
    </xf>
    <xf numFmtId="168" fontId="34" fillId="0" borderId="31" xfId="0" applyNumberFormat="1" applyFont="1" applyBorder="1" applyAlignment="1">
      <alignment horizontal="right"/>
    </xf>
    <xf numFmtId="0" fontId="36" fillId="0" borderId="4" xfId="0" applyFont="1" applyBorder="1" applyAlignment="1">
      <alignment indent="2"/>
    </xf>
    <xf numFmtId="0" fontId="34" fillId="0" borderId="10" xfId="0" applyFont="1" applyBorder="1"/>
    <xf numFmtId="168" fontId="37" fillId="0" borderId="32" xfId="0" applyNumberFormat="1" applyFont="1" applyBorder="1" applyAlignment="1">
      <alignment horizontal="right"/>
    </xf>
    <xf numFmtId="168" fontId="37" fillId="0" borderId="11" xfId="0" applyNumberFormat="1" applyFont="1" applyBorder="1" applyAlignment="1">
      <alignment horizontal="right"/>
    </xf>
    <xf numFmtId="168" fontId="37" fillId="0" borderId="12" xfId="0" applyNumberFormat="1" applyFont="1" applyBorder="1" applyAlignment="1">
      <alignment horizontal="right"/>
    </xf>
    <xf numFmtId="0" fontId="6" fillId="11" borderId="1" xfId="0" applyFont="1" applyFill="1" applyBorder="1"/>
    <xf numFmtId="0" fontId="6" fillId="11" borderId="2" xfId="0" applyFont="1" applyFill="1" applyBorder="1"/>
    <xf numFmtId="0" fontId="6" fillId="11" borderId="3" xfId="0" applyFont="1" applyFill="1" applyBorder="1"/>
    <xf numFmtId="3" fontId="5" fillId="0" borderId="5" xfId="0" applyNumberFormat="1" applyFont="1" applyBorder="1"/>
    <xf numFmtId="3" fontId="5" fillId="0" borderId="6" xfId="0" applyNumberFormat="1" applyFont="1" applyBorder="1"/>
    <xf numFmtId="0" fontId="6" fillId="16" borderId="4" xfId="0" applyFont="1" applyFill="1" applyBorder="1"/>
    <xf numFmtId="3" fontId="6" fillId="16" borderId="5" xfId="0" applyNumberFormat="1" applyFont="1" applyFill="1" applyBorder="1"/>
    <xf numFmtId="3" fontId="6" fillId="16" borderId="6" xfId="0" applyNumberFormat="1" applyFont="1" applyFill="1" applyBorder="1"/>
    <xf numFmtId="0" fontId="6" fillId="18" borderId="10" xfId="0" applyFont="1" applyFill="1" applyBorder="1"/>
    <xf numFmtId="3" fontId="6" fillId="18" borderId="11" xfId="0" applyNumberFormat="1" applyFont="1" applyFill="1" applyBorder="1"/>
    <xf numFmtId="3" fontId="6" fillId="18" borderId="12" xfId="0" applyNumberFormat="1" applyFont="1" applyFill="1" applyBorder="1"/>
    <xf numFmtId="0" fontId="16" fillId="0" borderId="0" xfId="0" applyFont="1"/>
    <xf numFmtId="0" fontId="40" fillId="3" borderId="4" xfId="0" applyFont="1" applyFill="1" applyBorder="1" applyAlignment="1">
      <alignment horizontal="left" vertical="center"/>
    </xf>
    <xf numFmtId="0" fontId="40" fillId="0" borderId="5" xfId="0" applyFont="1" applyBorder="1" applyAlignment="1">
      <alignment horizontal="center" vertical="center"/>
    </xf>
    <xf numFmtId="0" fontId="40" fillId="0" borderId="6" xfId="0" applyFont="1" applyBorder="1" applyAlignment="1">
      <alignment horizontal="center" vertical="center"/>
    </xf>
    <xf numFmtId="0" fontId="40" fillId="3" borderId="5" xfId="0" applyFont="1" applyFill="1" applyBorder="1" applyAlignment="1">
      <alignment horizontal="center" vertical="center"/>
    </xf>
    <xf numFmtId="0" fontId="40" fillId="3" borderId="6" xfId="0" applyFont="1" applyFill="1" applyBorder="1" applyAlignment="1">
      <alignment horizontal="center" vertical="center"/>
    </xf>
    <xf numFmtId="0" fontId="41" fillId="0" borderId="4" xfId="0" applyFont="1" applyBorder="1" applyAlignment="1">
      <alignment horizontal="left" vertical="center" indent="1"/>
    </xf>
    <xf numFmtId="168" fontId="41" fillId="0" borderId="5" xfId="0" applyNumberFormat="1" applyFont="1" applyBorder="1" applyAlignment="1">
      <alignment horizontal="right" vertical="center"/>
    </xf>
    <xf numFmtId="0" fontId="42" fillId="0" borderId="6" xfId="0" applyFont="1" applyBorder="1" applyAlignment="1">
      <alignment horizontal="left" vertical="center"/>
    </xf>
    <xf numFmtId="168" fontId="41" fillId="0" borderId="5" xfId="0" applyNumberFormat="1" applyFont="1" applyBorder="1" applyAlignment="1">
      <alignment horizontal="right"/>
    </xf>
    <xf numFmtId="0" fontId="42" fillId="19" borderId="4" xfId="0" applyFont="1" applyFill="1" applyBorder="1" applyAlignment="1">
      <alignment horizontal="left" vertical="center" indent="1"/>
    </xf>
    <xf numFmtId="0" fontId="42" fillId="19" borderId="4" xfId="0" applyFont="1" applyFill="1" applyBorder="1" applyAlignment="1">
      <alignment horizontal="left" vertical="center"/>
    </xf>
    <xf numFmtId="170" fontId="41" fillId="4" borderId="5" xfId="0" applyNumberFormat="1" applyFont="1" applyFill="1" applyBorder="1" applyAlignment="1">
      <alignment horizontal="right" vertical="center"/>
    </xf>
    <xf numFmtId="1" fontId="41" fillId="0" borderId="5" xfId="0" applyNumberFormat="1" applyFont="1" applyBorder="1" applyAlignment="1">
      <alignment horizontal="right" vertical="center"/>
    </xf>
    <xf numFmtId="0" fontId="29" fillId="0" borderId="6" xfId="0" applyFont="1" applyBorder="1"/>
    <xf numFmtId="165" fontId="41" fillId="0" borderId="5" xfId="0" applyNumberFormat="1" applyFont="1" applyBorder="1" applyAlignment="1">
      <alignment horizontal="right" vertical="center"/>
    </xf>
    <xf numFmtId="170" fontId="41" fillId="0" borderId="5" xfId="0" applyNumberFormat="1" applyFont="1" applyBorder="1" applyAlignment="1">
      <alignment horizontal="right" vertical="center"/>
    </xf>
    <xf numFmtId="0" fontId="43" fillId="0" borderId="5" xfId="0" applyFont="1" applyBorder="1"/>
    <xf numFmtId="168" fontId="41" fillId="4" borderId="5" xfId="0" applyNumberFormat="1" applyFont="1" applyFill="1" applyBorder="1" applyAlignment="1">
      <alignment horizontal="right" vertical="center"/>
    </xf>
    <xf numFmtId="0" fontId="40" fillId="12" borderId="4" xfId="0" applyFont="1" applyFill="1" applyBorder="1" applyAlignment="1">
      <alignment horizontal="left" vertical="center"/>
    </xf>
    <xf numFmtId="171" fontId="40" fillId="12" borderId="5" xfId="0" applyNumberFormat="1" applyFont="1" applyFill="1" applyBorder="1" applyAlignment="1">
      <alignment horizontal="right" vertical="center"/>
    </xf>
    <xf numFmtId="0" fontId="40" fillId="12" borderId="5" xfId="0" applyFont="1" applyFill="1" applyBorder="1" applyAlignment="1">
      <alignment horizontal="center" vertical="center"/>
    </xf>
    <xf numFmtId="0" fontId="40" fillId="12" borderId="6" xfId="0" applyFont="1" applyFill="1" applyBorder="1" applyAlignment="1">
      <alignment horizontal="left" vertical="center"/>
    </xf>
    <xf numFmtId="0" fontId="40" fillId="12" borderId="6" xfId="0" applyFont="1" applyFill="1" applyBorder="1" applyAlignment="1">
      <alignment horizontal="center" vertical="center"/>
    </xf>
    <xf numFmtId="0" fontId="42" fillId="0" borderId="4" xfId="0" applyFont="1" applyBorder="1" applyAlignment="1">
      <alignment horizontal="left" vertical="center"/>
    </xf>
    <xf numFmtId="9" fontId="44" fillId="20" borderId="5" xfId="0" applyNumberFormat="1" applyFont="1" applyFill="1" applyBorder="1" applyAlignment="1">
      <alignment horizontal="center" vertical="center"/>
    </xf>
    <xf numFmtId="10" fontId="41" fillId="0" borderId="4" xfId="0" applyNumberFormat="1" applyFont="1" applyBorder="1" applyAlignment="1">
      <alignment horizontal="left" vertical="center"/>
    </xf>
    <xf numFmtId="171" fontId="41" fillId="19" borderId="5" xfId="0" applyNumberFormat="1" applyFont="1" applyFill="1" applyBorder="1" applyAlignment="1">
      <alignment horizontal="right" vertical="center"/>
    </xf>
    <xf numFmtId="171" fontId="41" fillId="2" borderId="5" xfId="0" applyNumberFormat="1" applyFont="1" applyFill="1" applyBorder="1" applyAlignment="1">
      <alignment horizontal="right" vertical="center"/>
    </xf>
    <xf numFmtId="10" fontId="42" fillId="16" borderId="4" xfId="0" applyNumberFormat="1" applyFont="1" applyFill="1" applyBorder="1" applyAlignment="1">
      <alignment horizontal="left" vertical="center"/>
    </xf>
    <xf numFmtId="171" fontId="41" fillId="16" borderId="5" xfId="0" applyNumberFormat="1" applyFont="1" applyFill="1" applyBorder="1" applyAlignment="1">
      <alignment horizontal="right" vertical="center"/>
    </xf>
    <xf numFmtId="0" fontId="45" fillId="0" borderId="10" xfId="0" applyFont="1" applyBorder="1" applyAlignment="1">
      <alignment horizontal="left" vertical="center"/>
    </xf>
    <xf numFmtId="0" fontId="43" fillId="0" borderId="11" xfId="0" applyFont="1" applyBorder="1"/>
    <xf numFmtId="0" fontId="29" fillId="0" borderId="12" xfId="0" applyFont="1" applyBorder="1"/>
    <xf numFmtId="0" fontId="40" fillId="10" borderId="5" xfId="0" applyFont="1" applyFill="1" applyBorder="1" applyAlignment="1">
      <alignment horizontal="center" vertical="center"/>
    </xf>
    <xf numFmtId="0" fontId="40" fillId="10" borderId="6" xfId="0" applyFont="1" applyFill="1" applyBorder="1" applyAlignment="1">
      <alignment horizontal="center" vertical="center"/>
    </xf>
    <xf numFmtId="0" fontId="47" fillId="10" borderId="4" xfId="0" applyFont="1" applyFill="1" applyBorder="1" applyAlignment="1">
      <alignment horizontal="left" vertical="center" indent="1"/>
    </xf>
    <xf numFmtId="167" fontId="47" fillId="10" borderId="5" xfId="0" applyNumberFormat="1" applyFont="1" applyFill="1" applyBorder="1" applyAlignment="1">
      <alignment horizontal="right" vertical="center"/>
    </xf>
    <xf numFmtId="167" fontId="47" fillId="10" borderId="6" xfId="0" applyNumberFormat="1" applyFont="1" applyFill="1" applyBorder="1" applyAlignment="1">
      <alignment horizontal="right" vertical="center"/>
    </xf>
    <xf numFmtId="172" fontId="47" fillId="10" borderId="5" xfId="0" applyNumberFormat="1" applyFont="1" applyFill="1" applyBorder="1" applyAlignment="1">
      <alignment horizontal="right" vertical="center"/>
    </xf>
    <xf numFmtId="172" fontId="47" fillId="10" borderId="6" xfId="0" applyNumberFormat="1" applyFont="1" applyFill="1" applyBorder="1" applyAlignment="1">
      <alignment horizontal="right" vertical="center"/>
    </xf>
    <xf numFmtId="0" fontId="40" fillId="3" borderId="5" xfId="0" applyFont="1" applyFill="1" applyBorder="1" applyAlignment="1">
      <alignment horizontal="center" vertical="center" wrapText="1"/>
    </xf>
    <xf numFmtId="0" fontId="40" fillId="3" borderId="6" xfId="0" applyFont="1" applyFill="1" applyBorder="1" applyAlignment="1">
      <alignment horizontal="center" vertical="center" wrapText="1"/>
    </xf>
    <xf numFmtId="0" fontId="47" fillId="10" borderId="4" xfId="0" applyFont="1" applyFill="1" applyBorder="1" applyAlignment="1">
      <alignment horizontal="left" vertical="center"/>
    </xf>
    <xf numFmtId="173" fontId="47" fillId="10" borderId="5" xfId="0" applyNumberFormat="1" applyFont="1" applyFill="1" applyBorder="1" applyAlignment="1">
      <alignment horizontal="right" vertical="center"/>
    </xf>
    <xf numFmtId="0" fontId="40" fillId="9" borderId="4" xfId="0" applyFont="1" applyFill="1" applyBorder="1" applyAlignment="1">
      <alignment horizontal="left" vertical="center"/>
    </xf>
    <xf numFmtId="173" fontId="40" fillId="9" borderId="5" xfId="0" applyNumberFormat="1" applyFont="1" applyFill="1" applyBorder="1" applyAlignment="1">
      <alignment horizontal="right" vertical="center"/>
    </xf>
    <xf numFmtId="0" fontId="13" fillId="10" borderId="5" xfId="0" applyFont="1" applyFill="1" applyBorder="1"/>
    <xf numFmtId="0" fontId="13" fillId="10" borderId="6" xfId="0" applyFont="1" applyFill="1" applyBorder="1"/>
    <xf numFmtId="0" fontId="40" fillId="3" borderId="4" xfId="0" applyFont="1" applyFill="1" applyBorder="1" applyAlignment="1">
      <alignment horizontal="left" vertical="center" wrapText="1"/>
    </xf>
    <xf numFmtId="0" fontId="47" fillId="10" borderId="5" xfId="0" applyFont="1" applyFill="1" applyBorder="1" applyAlignment="1">
      <alignment horizontal="center" vertical="center"/>
    </xf>
    <xf numFmtId="174" fontId="47" fillId="10" borderId="5" xfId="0" applyNumberFormat="1" applyFont="1" applyFill="1" applyBorder="1" applyAlignment="1">
      <alignment horizontal="right" vertical="center"/>
    </xf>
    <xf numFmtId="9" fontId="47" fillId="10" borderId="5" xfId="0" applyNumberFormat="1" applyFont="1" applyFill="1" applyBorder="1" applyAlignment="1">
      <alignment horizontal="right" vertical="center"/>
    </xf>
    <xf numFmtId="0" fontId="13" fillId="9" borderId="5" xfId="0" applyFont="1" applyFill="1" applyBorder="1"/>
    <xf numFmtId="174" fontId="40" fillId="9" borderId="5" xfId="0" applyNumberFormat="1" applyFont="1" applyFill="1" applyBorder="1" applyAlignment="1">
      <alignment horizontal="right" vertical="center"/>
    </xf>
    <xf numFmtId="0" fontId="48" fillId="10" borderId="10" xfId="0" applyFont="1" applyFill="1" applyBorder="1" applyAlignment="1">
      <alignment horizontal="left" vertical="center"/>
    </xf>
    <xf numFmtId="0" fontId="13" fillId="10" borderId="11" xfId="0" applyFont="1" applyFill="1" applyBorder="1"/>
    <xf numFmtId="0" fontId="13" fillId="10" borderId="12" xfId="0" applyFont="1" applyFill="1" applyBorder="1"/>
    <xf numFmtId="0" fontId="4" fillId="3" borderId="4" xfId="0" applyFont="1" applyFill="1" applyBorder="1" applyAlignment="1">
      <alignment horizontal="left"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9" borderId="4" xfId="0" applyFont="1" applyFill="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5" fillId="0" borderId="4" xfId="0" applyFont="1" applyBorder="1" applyAlignment="1">
      <alignment horizontal="left" vertical="center" indent="1"/>
    </xf>
    <xf numFmtId="167" fontId="15" fillId="0" borderId="5" xfId="0" applyNumberFormat="1" applyFont="1" applyBorder="1" applyAlignment="1">
      <alignment horizontal="right" vertical="center"/>
    </xf>
    <xf numFmtId="167" fontId="15" fillId="0" borderId="6" xfId="0" applyNumberFormat="1" applyFont="1" applyBorder="1" applyAlignment="1">
      <alignment horizontal="right" vertical="center"/>
    </xf>
    <xf numFmtId="166" fontId="15" fillId="0" borderId="5" xfId="0" applyNumberFormat="1" applyFont="1" applyBorder="1" applyAlignment="1">
      <alignment horizontal="right" vertical="center"/>
    </xf>
    <xf numFmtId="166" fontId="15" fillId="0" borderId="6" xfId="0" applyNumberFormat="1" applyFont="1" applyBorder="1" applyAlignment="1">
      <alignment horizontal="right" vertical="center"/>
    </xf>
    <xf numFmtId="172" fontId="15" fillId="0" borderId="5" xfId="0" applyNumberFormat="1" applyFont="1" applyBorder="1" applyAlignment="1">
      <alignment horizontal="right" vertical="center"/>
    </xf>
    <xf numFmtId="172" fontId="15" fillId="0" borderId="6" xfId="0" applyNumberFormat="1" applyFont="1" applyBorder="1" applyAlignment="1">
      <alignment horizontal="right" vertical="center"/>
    </xf>
    <xf numFmtId="0" fontId="15" fillId="0" borderId="5" xfId="0" applyFont="1" applyBorder="1"/>
    <xf numFmtId="173" fontId="15" fillId="0" borderId="5" xfId="0" applyNumberFormat="1" applyFont="1" applyBorder="1" applyAlignment="1">
      <alignment horizontal="right" vertical="center"/>
    </xf>
    <xf numFmtId="173" fontId="15" fillId="0" borderId="6" xfId="0" applyNumberFormat="1" applyFont="1" applyBorder="1" applyAlignment="1">
      <alignment horizontal="right" vertical="center"/>
    </xf>
    <xf numFmtId="175" fontId="15" fillId="0" borderId="5" xfId="0" applyNumberFormat="1" applyFont="1" applyBorder="1" applyAlignment="1">
      <alignment horizontal="right" vertical="center"/>
    </xf>
    <xf numFmtId="175" fontId="15" fillId="0" borderId="6" xfId="0" applyNumberFormat="1" applyFont="1" applyBorder="1" applyAlignment="1">
      <alignment horizontal="right" vertical="center"/>
    </xf>
    <xf numFmtId="0" fontId="15" fillId="0" borderId="10" xfId="0" applyFont="1" applyBorder="1" applyAlignment="1">
      <alignment horizontal="left" vertical="center" indent="1"/>
    </xf>
    <xf numFmtId="173" fontId="15" fillId="0" borderId="11" xfId="0" applyNumberFormat="1" applyFont="1" applyBorder="1" applyAlignment="1">
      <alignment horizontal="right" vertical="center"/>
    </xf>
    <xf numFmtId="173" fontId="15" fillId="0" borderId="12" xfId="0" applyNumberFormat="1" applyFont="1" applyBorder="1" applyAlignment="1">
      <alignment horizontal="right" vertical="center"/>
    </xf>
    <xf numFmtId="0" fontId="2" fillId="3" borderId="5" xfId="0" applyFont="1" applyFill="1" applyBorder="1" applyAlignment="1">
      <alignment horizontal="center" vertical="center"/>
    </xf>
    <xf numFmtId="0" fontId="50" fillId="3" borderId="5" xfId="0" applyFont="1" applyFill="1" applyBorder="1" applyAlignment="1">
      <alignment horizontal="center" vertical="center"/>
    </xf>
    <xf numFmtId="0" fontId="50" fillId="4" borderId="5" xfId="0" applyFont="1" applyFill="1" applyBorder="1" applyAlignment="1">
      <alignment horizontal="center" vertical="center"/>
    </xf>
    <xf numFmtId="0" fontId="50" fillId="4" borderId="5" xfId="0" applyFont="1" applyFill="1" applyBorder="1" applyAlignment="1">
      <alignment horizontal="left" vertical="center"/>
    </xf>
    <xf numFmtId="0" fontId="51" fillId="4" borderId="5" xfId="0" applyFont="1" applyFill="1" applyBorder="1" applyAlignment="1">
      <alignment horizontal="left" vertical="center"/>
    </xf>
    <xf numFmtId="0" fontId="50" fillId="5" borderId="5" xfId="0" applyFont="1" applyFill="1" applyBorder="1" applyAlignment="1">
      <alignment horizontal="center" vertical="center"/>
    </xf>
    <xf numFmtId="0" fontId="50" fillId="5" borderId="5" xfId="0" applyFont="1" applyFill="1" applyBorder="1" applyAlignment="1">
      <alignment horizontal="left" vertical="center"/>
    </xf>
    <xf numFmtId="0" fontId="51" fillId="5" borderId="5" xfId="0" applyFont="1" applyFill="1" applyBorder="1" applyAlignment="1">
      <alignment horizontal="left" vertical="center"/>
    </xf>
    <xf numFmtId="0" fontId="50" fillId="6" borderId="5" xfId="0" applyFont="1" applyFill="1" applyBorder="1" applyAlignment="1">
      <alignment horizontal="center" vertical="center"/>
    </xf>
    <xf numFmtId="0" fontId="50" fillId="6" borderId="5" xfId="0" applyFont="1" applyFill="1" applyBorder="1" applyAlignment="1">
      <alignment horizontal="left" vertical="center"/>
    </xf>
    <xf numFmtId="0" fontId="51" fillId="6" borderId="5" xfId="0" applyFont="1" applyFill="1" applyBorder="1" applyAlignment="1">
      <alignment horizontal="left" vertical="center"/>
    </xf>
    <xf numFmtId="0" fontId="50" fillId="7" borderId="5" xfId="0" applyFont="1" applyFill="1" applyBorder="1" applyAlignment="1">
      <alignment horizontal="center" vertical="center"/>
    </xf>
    <xf numFmtId="0" fontId="50" fillId="7" borderId="5" xfId="0" applyFont="1" applyFill="1" applyBorder="1" applyAlignment="1">
      <alignment horizontal="left" vertical="center"/>
    </xf>
    <xf numFmtId="0" fontId="51" fillId="7" borderId="5" xfId="0" applyFont="1" applyFill="1" applyBorder="1" applyAlignment="1">
      <alignment horizontal="left" vertical="center"/>
    </xf>
    <xf numFmtId="0" fontId="50" fillId="8" borderId="5" xfId="0" applyFont="1" applyFill="1" applyBorder="1" applyAlignment="1">
      <alignment horizontal="center" vertical="center"/>
    </xf>
    <xf numFmtId="0" fontId="50" fillId="8" borderId="5" xfId="0" applyFont="1" applyFill="1" applyBorder="1" applyAlignment="1">
      <alignment horizontal="left" vertical="center"/>
    </xf>
    <xf numFmtId="0" fontId="51" fillId="8" borderId="5" xfId="0" applyFont="1" applyFill="1" applyBorder="1" applyAlignment="1">
      <alignment horizontal="left" vertical="center"/>
    </xf>
    <xf numFmtId="0" fontId="52" fillId="4" borderId="5" xfId="0" applyFont="1" applyFill="1" applyBorder="1" applyAlignment="1">
      <alignment horizontal="left" vertical="center"/>
    </xf>
    <xf numFmtId="0" fontId="52" fillId="10" borderId="5" xfId="0" applyFont="1" applyFill="1" applyBorder="1" applyAlignment="1">
      <alignment horizontal="left" vertical="center"/>
    </xf>
    <xf numFmtId="0" fontId="50" fillId="10" borderId="5" xfId="0" applyFont="1" applyFill="1" applyBorder="1" applyAlignment="1">
      <alignment horizontal="left" vertical="center"/>
    </xf>
    <xf numFmtId="168" fontId="42" fillId="21" borderId="5" xfId="0" applyNumberFormat="1" applyFont="1" applyFill="1" applyBorder="1" applyAlignment="1">
      <alignment horizontal="right" vertical="center"/>
    </xf>
    <xf numFmtId="168" fontId="42" fillId="22" borderId="5" xfId="0" applyNumberFormat="1" applyFont="1" applyFill="1" applyBorder="1" applyAlignment="1">
      <alignment horizontal="right" vertical="center"/>
    </xf>
    <xf numFmtId="168" fontId="42" fillId="23" borderId="5" xfId="0" applyNumberFormat="1" applyFont="1" applyFill="1" applyBorder="1" applyAlignment="1">
      <alignment horizontal="right" vertical="center"/>
    </xf>
    <xf numFmtId="178" fontId="40" fillId="10" borderId="5" xfId="0" applyNumberFormat="1" applyFont="1" applyFill="1" applyBorder="1" applyAlignment="1">
      <alignment horizontal="right" vertical="center"/>
    </xf>
    <xf numFmtId="178" fontId="53" fillId="0" borderId="5" xfId="1" applyNumberFormat="1" applyFont="1" applyBorder="1" applyAlignment="1">
      <alignment horizontal="right" vertical="center"/>
    </xf>
    <xf numFmtId="178" fontId="40" fillId="9" borderId="5" xfId="0" applyNumberFormat="1" applyFont="1" applyFill="1" applyBorder="1" applyAlignment="1">
      <alignment horizontal="right" vertical="center"/>
    </xf>
    <xf numFmtId="0" fontId="49" fillId="0" borderId="0" xfId="0" applyFont="1"/>
    <xf numFmtId="167" fontId="3" fillId="0" borderId="5" xfId="0" applyNumberFormat="1" applyFont="1" applyBorder="1" applyAlignment="1">
      <alignment horizontal="right" vertical="center"/>
    </xf>
    <xf numFmtId="167" fontId="3" fillId="16" borderId="5" xfId="0" applyNumberFormat="1" applyFont="1" applyFill="1" applyBorder="1" applyAlignment="1">
      <alignment horizontal="right" vertical="center"/>
    </xf>
    <xf numFmtId="176" fontId="3" fillId="0" borderId="5" xfId="0" applyNumberFormat="1" applyFont="1" applyBorder="1" applyAlignment="1">
      <alignment horizontal="right" vertical="center"/>
    </xf>
    <xf numFmtId="176" fontId="3" fillId="16" borderId="5" xfId="0" applyNumberFormat="1" applyFont="1" applyFill="1" applyBorder="1" applyAlignment="1">
      <alignment horizontal="right" vertical="center"/>
    </xf>
    <xf numFmtId="172" fontId="3" fillId="0" borderId="5" xfId="0" applyNumberFormat="1" applyFont="1" applyBorder="1" applyAlignment="1">
      <alignment horizontal="right" vertical="center"/>
    </xf>
    <xf numFmtId="172" fontId="3" fillId="16" borderId="5" xfId="0" applyNumberFormat="1" applyFont="1" applyFill="1" applyBorder="1" applyAlignment="1">
      <alignment horizontal="right" vertical="center"/>
    </xf>
    <xf numFmtId="177" fontId="3" fillId="0" borderId="5" xfId="0" applyNumberFormat="1" applyFont="1" applyBorder="1" applyAlignment="1">
      <alignment horizontal="right" vertical="center"/>
    </xf>
    <xf numFmtId="177" fontId="3" fillId="16" borderId="5" xfId="0" applyNumberFormat="1" applyFont="1" applyFill="1" applyBorder="1" applyAlignment="1">
      <alignment horizontal="right" vertical="center"/>
    </xf>
    <xf numFmtId="173" fontId="3" fillId="0" borderId="5" xfId="0" applyNumberFormat="1" applyFont="1" applyBorder="1" applyAlignment="1">
      <alignment horizontal="right" vertical="center"/>
    </xf>
    <xf numFmtId="173" fontId="3" fillId="16" borderId="5" xfId="0" applyNumberFormat="1" applyFont="1" applyFill="1" applyBorder="1" applyAlignment="1">
      <alignment horizontal="right"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3" fillId="0" borderId="4" xfId="0" applyFont="1" applyBorder="1" applyAlignment="1">
      <alignment horizontal="left" vertical="center" indent="1"/>
    </xf>
    <xf numFmtId="0" fontId="49" fillId="0" borderId="6" xfId="0" applyFont="1" applyBorder="1"/>
    <xf numFmtId="0" fontId="3" fillId="0" borderId="10" xfId="0" applyFont="1" applyBorder="1" applyAlignment="1">
      <alignment horizontal="left" vertical="center" indent="1"/>
    </xf>
    <xf numFmtId="173" fontId="3" fillId="0" borderId="11" xfId="0" applyNumberFormat="1" applyFont="1" applyBorder="1" applyAlignment="1">
      <alignment horizontal="right" vertical="center"/>
    </xf>
    <xf numFmtId="173" fontId="3" fillId="16" borderId="11" xfId="0" applyNumberFormat="1" applyFont="1" applyFill="1" applyBorder="1" applyAlignment="1">
      <alignment horizontal="right" vertical="center"/>
    </xf>
    <xf numFmtId="0" fontId="49" fillId="0" borderId="12" xfId="0" applyFont="1" applyBorder="1"/>
    <xf numFmtId="0" fontId="2" fillId="24" borderId="5" xfId="0" applyFont="1" applyFill="1" applyBorder="1" applyAlignment="1">
      <alignment horizontal="center" vertical="center"/>
    </xf>
    <xf numFmtId="0" fontId="4" fillId="11" borderId="16" xfId="0" applyFont="1" applyFill="1" applyBorder="1" applyAlignment="1">
      <alignment horizontal="center"/>
    </xf>
    <xf numFmtId="0" fontId="46" fillId="10" borderId="22" xfId="0" applyFont="1" applyFill="1" applyBorder="1" applyAlignment="1">
      <alignment horizontal="center"/>
    </xf>
    <xf numFmtId="0" fontId="50" fillId="2" borderId="5" xfId="0" applyFont="1" applyFill="1" applyBorder="1" applyAlignment="1">
      <alignment horizontal="center" vertical="center"/>
    </xf>
    <xf numFmtId="0" fontId="50" fillId="0" borderId="5" xfId="0" applyFont="1" applyBorder="1" applyAlignment="1">
      <alignment horizontal="center" vertical="center"/>
    </xf>
    <xf numFmtId="0" fontId="50" fillId="9" borderId="5" xfId="0" applyFont="1" applyFill="1" applyBorder="1" applyAlignment="1">
      <alignment horizontal="left" vertical="center" indent="1"/>
    </xf>
    <xf numFmtId="0" fontId="52" fillId="4" borderId="5" xfId="0" applyFont="1" applyFill="1" applyBorder="1"/>
    <xf numFmtId="0" fontId="52" fillId="10" borderId="5" xfId="0" applyFont="1" applyFill="1" applyBorder="1"/>
    <xf numFmtId="0" fontId="15" fillId="12" borderId="15" xfId="0" applyFont="1" applyFill="1" applyBorder="1" applyAlignment="1">
      <alignment horizontal="left" vertical="top" wrapText="1"/>
    </xf>
    <xf numFmtId="0" fontId="9" fillId="0" borderId="13" xfId="0" applyFont="1" applyBorder="1" applyAlignment="1">
      <alignment horizontal="center" vertical="center" wrapText="1"/>
    </xf>
    <xf numFmtId="0" fontId="10" fillId="0" borderId="14" xfId="0" applyFont="1" applyBorder="1" applyAlignment="1">
      <alignment horizontal="center"/>
    </xf>
    <xf numFmtId="0" fontId="14" fillId="12" borderId="15" xfId="0" applyFont="1" applyFill="1" applyBorder="1" applyAlignment="1">
      <alignment horizontal="left" vertical="top" wrapText="1"/>
    </xf>
    <xf numFmtId="0" fontId="10" fillId="11" borderId="14" xfId="0" applyFont="1" applyFill="1" applyBorder="1" applyAlignment="1">
      <alignment horizontal="center"/>
    </xf>
    <xf numFmtId="0" fontId="17" fillId="0" borderId="15" xfId="0" applyFont="1" applyBorder="1" applyAlignment="1">
      <alignment horizontal="left" vertical="top" wrapText="1"/>
    </xf>
    <xf numFmtId="0" fontId="11" fillId="0" borderId="15" xfId="0" applyFont="1" applyBorder="1" applyAlignment="1">
      <alignment horizontal="left" vertical="top" wrapText="1"/>
    </xf>
    <xf numFmtId="0" fontId="6" fillId="0" borderId="0" xfId="0" applyFont="1" applyAlignment="1">
      <alignment horizontal="left" vertical="top" wrapText="1"/>
    </xf>
    <xf numFmtId="0" fontId="4" fillId="0" borderId="15" xfId="0" applyFont="1" applyBorder="1" applyAlignment="1">
      <alignment horizontal="center" vertical="center" wrapText="1"/>
    </xf>
    <xf numFmtId="0" fontId="4" fillId="0" borderId="15" xfId="0" applyFont="1" applyBorder="1" applyAlignment="1">
      <alignment horizontal="center" vertical="center"/>
    </xf>
    <xf numFmtId="0" fontId="12" fillId="0" borderId="13" xfId="0" applyFont="1" applyBorder="1" applyAlignment="1">
      <alignment horizontal="center" wrapText="1"/>
    </xf>
    <xf numFmtId="0" fontId="4" fillId="0" borderId="13" xfId="0" applyFont="1" applyBorder="1" applyAlignment="1">
      <alignment horizontal="center" vertical="center" wrapText="1"/>
    </xf>
    <xf numFmtId="0" fontId="18" fillId="14" borderId="18" xfId="0" applyFont="1" applyFill="1" applyBorder="1" applyAlignment="1">
      <alignment horizontal="center" vertical="center" wrapText="1"/>
    </xf>
    <xf numFmtId="0" fontId="25" fillId="14" borderId="18" xfId="0" applyFont="1" applyFill="1" applyBorder="1" applyAlignment="1">
      <alignment horizontal="left" vertical="center"/>
    </xf>
    <xf numFmtId="0" fontId="12" fillId="11" borderId="15" xfId="0" applyFont="1" applyFill="1" applyBorder="1" applyAlignment="1">
      <alignment horizontal="center" vertical="center" wrapText="1"/>
    </xf>
    <xf numFmtId="0" fontId="28" fillId="11" borderId="16" xfId="0" applyFont="1" applyFill="1" applyBorder="1" applyAlignment="1">
      <alignment horizontal="center" vertical="center" wrapText="1"/>
    </xf>
    <xf numFmtId="0" fontId="12" fillId="11" borderId="16" xfId="0" applyFont="1" applyFill="1" applyBorder="1" applyAlignment="1">
      <alignment horizontal="center" vertical="center" wrapText="1"/>
    </xf>
    <xf numFmtId="0" fontId="12" fillId="11" borderId="16" xfId="0" applyFont="1" applyFill="1" applyBorder="1" applyAlignment="1">
      <alignment horizontal="center"/>
    </xf>
    <xf numFmtId="0" fontId="33" fillId="2" borderId="15" xfId="0" applyFont="1" applyFill="1" applyBorder="1" applyAlignment="1">
      <alignment horizontal="center"/>
    </xf>
    <xf numFmtId="0" fontId="16" fillId="2" borderId="28" xfId="0" applyFont="1" applyFill="1" applyBorder="1" applyAlignment="1">
      <alignment horizontal="center"/>
    </xf>
    <xf numFmtId="0" fontId="38" fillId="11" borderId="1" xfId="0" applyFont="1" applyFill="1" applyBorder="1" applyAlignment="1">
      <alignment horizontal="center"/>
    </xf>
    <xf numFmtId="0" fontId="39" fillId="0" borderId="4" xfId="0" applyFont="1" applyBorder="1" applyAlignment="1">
      <alignment horizontal="center"/>
    </xf>
    <xf numFmtId="0" fontId="4" fillId="2" borderId="1" xfId="0" applyFont="1" applyFill="1" applyBorder="1" applyAlignment="1">
      <alignment horizontal="center" vertical="center"/>
    </xf>
    <xf numFmtId="0" fontId="2" fillId="9" borderId="4" xfId="0" applyFont="1" applyFill="1" applyBorder="1" applyAlignment="1">
      <alignment horizontal="left" vertical="center" indent="1"/>
    </xf>
    <xf numFmtId="0" fontId="2" fillId="9" borderId="5" xfId="0" applyFont="1" applyFill="1" applyBorder="1" applyAlignment="1">
      <alignment horizontal="left" vertical="center" indent="1"/>
    </xf>
    <xf numFmtId="0" fontId="2" fillId="9" borderId="6" xfId="0" applyFont="1" applyFill="1" applyBorder="1" applyAlignment="1">
      <alignment horizontal="left" vertical="center" inden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4" fillId="25" borderId="5" xfId="0" applyFont="1" applyFill="1" applyBorder="1"/>
    <xf numFmtId="0" fontId="8" fillId="0" borderId="9" xfId="2" applyBorder="1"/>
    <xf numFmtId="0" fontId="54" fillId="25" borderId="0" xfId="0" applyFont="1" applyFill="1"/>
  </cellXfs>
  <cellStyles count="3">
    <cellStyle name="Currency" xfId="1" builtinId="4"/>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3B7D23"/>
      <rgbColor rgb="FF800080"/>
      <rgbColor rgb="FF156082"/>
      <rgbColor rgb="FFB3B3B3"/>
      <rgbColor rgb="FFD9D9D9"/>
      <rgbColor rgb="FF83CBEB"/>
      <rgbColor rgb="FF993366"/>
      <rgbColor rgb="FFF2F2F2"/>
      <rgbColor rgb="FFEBF5FB"/>
      <rgbColor rgb="FF660066"/>
      <rgbColor rgb="FFF2AA84"/>
      <rgbColor rgb="FF0563C1"/>
      <rgbColor rgb="FFBDD7EE"/>
      <rgbColor rgb="FF000080"/>
      <rgbColor rgb="FFFF00FF"/>
      <rgbColor rgb="FFB4E5A2"/>
      <rgbColor rgb="FF00FFFF"/>
      <rgbColor rgb="FF800080"/>
      <rgbColor rgb="FF800000"/>
      <rgbColor rgb="FF008080"/>
      <rgbColor rgb="FF0000FF"/>
      <rgbColor rgb="FFD9E1F2"/>
      <rgbColor rgb="FFDAE3F3"/>
      <rgbColor rgb="FFE2EFDA"/>
      <rgbColor rgb="FFFFE699"/>
      <rgbColor rgb="FF96DCF8"/>
      <rgbColor rgb="FFE59EDD"/>
      <rgbColor rgb="FFD86ECC"/>
      <rgbColor rgb="FFF6C6AD"/>
      <rgbColor rgb="FF2E5F99"/>
      <rgbColor rgb="FF61CBF4"/>
      <rgbColor rgb="FF8ED973"/>
      <rgbColor rgb="FFFFD966"/>
      <rgbColor rgb="FFFCE4D6"/>
      <rgbColor rgb="FFE97132"/>
      <rgbColor rgb="FF666666"/>
      <rgbColor rgb="FF70AD47"/>
      <rgbColor rgb="FF1F3864"/>
      <rgbColor rgb="FF467886"/>
      <rgbColor rgb="FF003300"/>
      <rgbColor rgb="FF333300"/>
      <rgbColor rgb="FF993300"/>
      <rgbColor rgb="FF993366"/>
      <rgbColor rgb="FF1F4E7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400" b="1" strike="noStrike" spc="-1">
                <a:solidFill>
                  <a:srgbClr val="595959"/>
                </a:solidFill>
                <a:latin typeface="Aptos Narrow"/>
              </a:defRPr>
            </a:pPr>
            <a:r>
              <a:rPr lang="en-IN" sz="1400" b="1" strike="noStrike" spc="-1">
                <a:solidFill>
                  <a:srgbClr val="595959"/>
                </a:solidFill>
                <a:latin typeface="Aptos Narrow"/>
              </a:rPr>
              <a:t>Gold Price Trend</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26343</c:v>
                </c:pt>
                <c:pt idx="1">
                  <c:v>28623</c:v>
                </c:pt>
                <c:pt idx="2">
                  <c:v>29667</c:v>
                </c:pt>
                <c:pt idx="3">
                  <c:v>31438</c:v>
                </c:pt>
                <c:pt idx="4">
                  <c:v>35220</c:v>
                </c:pt>
                <c:pt idx="5">
                  <c:v>48651</c:v>
                </c:pt>
                <c:pt idx="6">
                  <c:v>48720</c:v>
                </c:pt>
                <c:pt idx="7">
                  <c:v>52670</c:v>
                </c:pt>
                <c:pt idx="8">
                  <c:v>65330</c:v>
                </c:pt>
                <c:pt idx="9">
                  <c:v>64070</c:v>
                </c:pt>
                <c:pt idx="10">
                  <c:v>72000</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7DAD-40EA-ACE8-5DF18F28DAA4}"/>
            </c:ext>
          </c:extLst>
        </c:ser>
        <c:dLbls>
          <c:showLegendKey val="0"/>
          <c:showVal val="0"/>
          <c:showCatName val="0"/>
          <c:showSerName val="0"/>
          <c:showPercent val="0"/>
          <c:showBubbleSize val="0"/>
        </c:dLbls>
        <c:hiLowLines>
          <c:spPr>
            <a:ln w="0">
              <a:noFill/>
            </a:ln>
          </c:spPr>
        </c:hiLowLines>
        <c:smooth val="0"/>
        <c:axId val="40018252"/>
        <c:axId val="1840146"/>
      </c:lineChart>
      <c:catAx>
        <c:axId val="4001825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1840146"/>
        <c:crosses val="autoZero"/>
        <c:auto val="1"/>
        <c:lblAlgn val="ctr"/>
        <c:lblOffset val="100"/>
        <c:noMultiLvlLbl val="0"/>
      </c:catAx>
      <c:valAx>
        <c:axId val="184014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400182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Aptos Narrow"/>
              </a:defRPr>
            </a:pPr>
            <a:r>
              <a:rPr lang="en-IN" sz="1800" b="1" strike="noStrike" spc="-1">
                <a:solidFill>
                  <a:srgbClr val="000000"/>
                </a:solidFill>
                <a:latin typeface="Aptos Narrow"/>
              </a:rPr>
              <a:t>None</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0</c:v>
                </c:pt>
                <c:pt idx="1">
                  <c:v>8.6550506775993505E-2</c:v>
                </c:pt>
                <c:pt idx="2">
                  <c:v>3.6474164133738503E-2</c:v>
                </c:pt>
                <c:pt idx="3">
                  <c:v>5.9695958472376603E-2</c:v>
                </c:pt>
                <c:pt idx="4">
                  <c:v>0.120300273554297</c:v>
                </c:pt>
                <c:pt idx="5">
                  <c:v>0.381345826235094</c:v>
                </c:pt>
                <c:pt idx="6">
                  <c:v>1.4182647838687501E-3</c:v>
                </c:pt>
                <c:pt idx="7">
                  <c:v>8.1075533661740598E-2</c:v>
                </c:pt>
                <c:pt idx="8">
                  <c:v>0.24036453389026</c:v>
                </c:pt>
                <c:pt idx="9">
                  <c:v>-1.92866983009338E-2</c:v>
                </c:pt>
                <c:pt idx="10">
                  <c:v>0.123770875604807</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7AC3-4FBD-BA2B-B2478F382517}"/>
            </c:ext>
          </c:extLst>
        </c:ser>
        <c:dLbls>
          <c:showLegendKey val="0"/>
          <c:showVal val="0"/>
          <c:showCatName val="0"/>
          <c:showSerName val="0"/>
          <c:showPercent val="0"/>
          <c:showBubbleSize val="0"/>
        </c:dLbls>
        <c:hiLowLines>
          <c:spPr>
            <a:ln w="0">
              <a:noFill/>
            </a:ln>
          </c:spPr>
        </c:hiLowLines>
        <c:smooth val="0"/>
        <c:axId val="14614014"/>
        <c:axId val="4757528"/>
      </c:lineChart>
      <c:catAx>
        <c:axId val="1461401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4757528"/>
        <c:crosses val="autoZero"/>
        <c:auto val="1"/>
        <c:lblAlgn val="ctr"/>
        <c:lblOffset val="100"/>
        <c:noMultiLvlLbl val="0"/>
      </c:catAx>
      <c:valAx>
        <c:axId val="4757528"/>
        <c:scaling>
          <c:orientation val="minMax"/>
          <c:max val="0.4"/>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146140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GDP Growth Trend</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8</c:v>
                </c:pt>
                <c:pt idx="1">
                  <c:v>8.3000000000000007</c:v>
                </c:pt>
                <c:pt idx="2">
                  <c:v>6.8</c:v>
                </c:pt>
                <c:pt idx="3">
                  <c:v>6.5</c:v>
                </c:pt>
                <c:pt idx="4">
                  <c:v>4</c:v>
                </c:pt>
                <c:pt idx="5">
                  <c:v>-5.8</c:v>
                </c:pt>
                <c:pt idx="6">
                  <c:v>9.1</c:v>
                </c:pt>
                <c:pt idx="7">
                  <c:v>7</c:v>
                </c:pt>
                <c:pt idx="8">
                  <c:v>7.6</c:v>
                </c:pt>
                <c:pt idx="9">
                  <c:v>6.5</c:v>
                </c:pt>
                <c:pt idx="10">
                  <c:v>6.5</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A0C0-45FD-B35C-6955FE5F0B92}"/>
            </c:ext>
          </c:extLst>
        </c:ser>
        <c:dLbls>
          <c:showLegendKey val="0"/>
          <c:showVal val="0"/>
          <c:showCatName val="0"/>
          <c:showSerName val="0"/>
          <c:showPercent val="0"/>
          <c:showBubbleSize val="0"/>
        </c:dLbls>
        <c:hiLowLines>
          <c:spPr>
            <a:ln w="0">
              <a:noFill/>
            </a:ln>
          </c:spPr>
        </c:hiLowLines>
        <c:smooth val="0"/>
        <c:axId val="15944752"/>
        <c:axId val="46098764"/>
      </c:lineChart>
      <c:catAx>
        <c:axId val="1594475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46098764"/>
        <c:crosses val="autoZero"/>
        <c:auto val="1"/>
        <c:lblAlgn val="ctr"/>
        <c:lblOffset val="100"/>
        <c:noMultiLvlLbl val="0"/>
      </c:catAx>
      <c:valAx>
        <c:axId val="46098764"/>
        <c:scaling>
          <c:orientation val="minMax"/>
          <c:min val="-6"/>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159447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sz="1800" b="1" strike="noStrike" spc="-1">
                <a:solidFill>
                  <a:srgbClr val="000000"/>
                </a:solidFill>
                <a:latin typeface="Aptos Narrow"/>
              </a:rPr>
              <a:t>None</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3.1</c:v>
                </c:pt>
                <c:pt idx="1">
                  <c:v>3.4</c:v>
                </c:pt>
                <c:pt idx="2">
                  <c:v>3.5</c:v>
                </c:pt>
                <c:pt idx="3">
                  <c:v>2.6</c:v>
                </c:pt>
                <c:pt idx="4">
                  <c:v>-0.8</c:v>
                </c:pt>
                <c:pt idx="5">
                  <c:v>-12.4</c:v>
                </c:pt>
                <c:pt idx="6">
                  <c:v>4</c:v>
                </c:pt>
                <c:pt idx="7">
                  <c:v>0.3</c:v>
                </c:pt>
                <c:pt idx="8">
                  <c:v>2</c:v>
                </c:pt>
                <c:pt idx="9">
                  <c:v>1.5</c:v>
                </c:pt>
                <c:pt idx="10">
                  <c:v>1.7</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83E3-483F-BD9F-59FE690E14B6}"/>
            </c:ext>
          </c:extLst>
        </c:ser>
        <c:dLbls>
          <c:showLegendKey val="0"/>
          <c:showVal val="0"/>
          <c:showCatName val="0"/>
          <c:showSerName val="0"/>
          <c:showPercent val="0"/>
          <c:showBubbleSize val="0"/>
        </c:dLbls>
        <c:hiLowLines>
          <c:spPr>
            <a:ln w="0">
              <a:noFill/>
            </a:ln>
          </c:spPr>
        </c:hiLowLines>
        <c:smooth val="0"/>
        <c:axId val="26239535"/>
        <c:axId val="62672533"/>
      </c:lineChart>
      <c:catAx>
        <c:axId val="2623953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62672533"/>
        <c:crosses val="autoZero"/>
        <c:auto val="1"/>
        <c:lblAlgn val="ctr"/>
        <c:lblOffset val="100"/>
        <c:noMultiLvlLbl val="0"/>
      </c:catAx>
      <c:valAx>
        <c:axId val="6267253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2623953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Aptos Narrow"/>
              </a:defRPr>
            </a:pPr>
            <a:r>
              <a:rPr lang="en-IN" sz="1800" b="1" strike="noStrike" spc="-1">
                <a:solidFill>
                  <a:srgbClr val="000000"/>
                </a:solidFill>
                <a:latin typeface="Aptos Narrow"/>
              </a:rPr>
              <a:t>None</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612</c:v>
                </c:pt>
                <c:pt idx="1">
                  <c:v>458</c:v>
                </c:pt>
                <c:pt idx="2">
                  <c:v>562</c:v>
                </c:pt>
                <c:pt idx="3">
                  <c:v>598</c:v>
                </c:pt>
                <c:pt idx="4">
                  <c:v>544</c:v>
                </c:pt>
                <c:pt idx="5">
                  <c:v>315</c:v>
                </c:pt>
                <c:pt idx="6">
                  <c:v>611</c:v>
                </c:pt>
                <c:pt idx="7">
                  <c:v>600</c:v>
                </c:pt>
                <c:pt idx="8">
                  <c:v>575</c:v>
                </c:pt>
                <c:pt idx="9">
                  <c:v>600</c:v>
                </c:pt>
                <c:pt idx="10">
                  <c:v>620</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B6C4-4249-B50D-49C40BA31888}"/>
            </c:ext>
          </c:extLst>
        </c:ser>
        <c:dLbls>
          <c:showLegendKey val="0"/>
          <c:showVal val="0"/>
          <c:showCatName val="0"/>
          <c:showSerName val="0"/>
          <c:showPercent val="0"/>
          <c:showBubbleSize val="0"/>
        </c:dLbls>
        <c:hiLowLines>
          <c:spPr>
            <a:ln w="0">
              <a:noFill/>
            </a:ln>
          </c:spPr>
        </c:hiLowLines>
        <c:smooth val="0"/>
        <c:axId val="95255094"/>
        <c:axId val="72821203"/>
      </c:lineChart>
      <c:catAx>
        <c:axId val="952550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72821203"/>
        <c:crosses val="autoZero"/>
        <c:auto val="1"/>
        <c:lblAlgn val="ctr"/>
        <c:lblOffset val="100"/>
        <c:noMultiLvlLbl val="0"/>
      </c:catAx>
      <c:valAx>
        <c:axId val="7282120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9525509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400" b="1" strike="noStrike" spc="-1">
                <a:solidFill>
                  <a:srgbClr val="595959"/>
                </a:solidFill>
                <a:latin typeface="Aptos Narrow"/>
              </a:defRPr>
            </a:pPr>
            <a:r>
              <a:rPr lang="en-IN" sz="1400" b="1" strike="noStrike" spc="-1">
                <a:solidFill>
                  <a:srgbClr val="595959"/>
                </a:solidFill>
                <a:latin typeface="Aptos Narrow"/>
              </a:rPr>
              <a:t>INVESTMENT v/s GOLD DEMAND</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848</c:v>
                </c:pt>
                <c:pt idx="1">
                  <c:v>666</c:v>
                </c:pt>
                <c:pt idx="2">
                  <c:v>727</c:v>
                </c:pt>
                <c:pt idx="3">
                  <c:v>760</c:v>
                </c:pt>
                <c:pt idx="4">
                  <c:v>690</c:v>
                </c:pt>
                <c:pt idx="5">
                  <c:v>446</c:v>
                </c:pt>
                <c:pt idx="6">
                  <c:v>797</c:v>
                </c:pt>
                <c:pt idx="7">
                  <c:v>774</c:v>
                </c:pt>
                <c:pt idx="8">
                  <c:v>747</c:v>
                </c:pt>
                <c:pt idx="9">
                  <c:v>780</c:v>
                </c:pt>
                <c:pt idx="10">
                  <c:v>800</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4AFB-4EB5-8A1A-C282BBB1E515}"/>
            </c:ext>
          </c:extLst>
        </c:ser>
        <c:ser>
          <c:idx val="1"/>
          <c:order val="1"/>
          <c:spPr>
            <a:ln w="2844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11"/>
                <c:pt idx="0">
                  <c:v>236</c:v>
                </c:pt>
                <c:pt idx="1">
                  <c:v>208</c:v>
                </c:pt>
                <c:pt idx="2">
                  <c:v>165</c:v>
                </c:pt>
                <c:pt idx="3">
                  <c:v>162</c:v>
                </c:pt>
                <c:pt idx="4">
                  <c:v>146</c:v>
                </c:pt>
                <c:pt idx="5">
                  <c:v>131</c:v>
                </c:pt>
                <c:pt idx="6">
                  <c:v>186</c:v>
                </c:pt>
                <c:pt idx="7">
                  <c:v>174</c:v>
                </c:pt>
                <c:pt idx="8">
                  <c:v>172</c:v>
                </c:pt>
                <c:pt idx="9">
                  <c:v>180</c:v>
                </c:pt>
                <c:pt idx="10">
                  <c:v>180</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1-4AFB-4EB5-8A1A-C282BBB1E515}"/>
            </c:ext>
          </c:extLst>
        </c:ser>
        <c:dLbls>
          <c:showLegendKey val="0"/>
          <c:showVal val="0"/>
          <c:showCatName val="0"/>
          <c:showSerName val="0"/>
          <c:showPercent val="0"/>
          <c:showBubbleSize val="0"/>
        </c:dLbls>
        <c:hiLowLines>
          <c:spPr>
            <a:ln w="0">
              <a:noFill/>
            </a:ln>
          </c:spPr>
        </c:hiLowLines>
        <c:smooth val="0"/>
        <c:axId val="50177127"/>
        <c:axId val="86583942"/>
      </c:lineChart>
      <c:catAx>
        <c:axId val="5017712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86583942"/>
        <c:crosses val="autoZero"/>
        <c:auto val="1"/>
        <c:lblAlgn val="ctr"/>
        <c:lblOffset val="100"/>
        <c:noMultiLvlLbl val="0"/>
      </c:catAx>
      <c:valAx>
        <c:axId val="8658394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5017712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sz="1800" b="1" strike="noStrike" spc="-1">
                <a:solidFill>
                  <a:srgbClr val="000000"/>
                </a:solidFill>
                <a:latin typeface="Aptos Narrow"/>
              </a:rPr>
              <a:t>None</a:t>
            </a:r>
          </a:p>
        </c:rich>
      </c:tx>
      <c:overlay val="0"/>
      <c:spPr>
        <a:noFill/>
        <a:ln w="0">
          <a:noFill/>
        </a:ln>
      </c:spPr>
    </c:title>
    <c:autoTitleDeleted val="0"/>
    <c:plotArea>
      <c:layout/>
      <c:lineChart>
        <c:grouping val="standard"/>
        <c:varyColors val="0"/>
        <c:ser>
          <c:idx val="0"/>
          <c:order val="0"/>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900</c:v>
                </c:pt>
                <c:pt idx="1">
                  <c:v>780</c:v>
                </c:pt>
                <c:pt idx="2">
                  <c:v>880</c:v>
                </c:pt>
                <c:pt idx="3">
                  <c:v>950</c:v>
                </c:pt>
                <c:pt idx="4">
                  <c:v>840</c:v>
                </c:pt>
                <c:pt idx="5">
                  <c:v>580</c:v>
                </c:pt>
                <c:pt idx="6">
                  <c:v>1050</c:v>
                </c:pt>
                <c:pt idx="7">
                  <c:v>990</c:v>
                </c:pt>
                <c:pt idx="8">
                  <c:v>920</c:v>
                </c:pt>
                <c:pt idx="9">
                  <c:v>950</c:v>
                </c:pt>
                <c:pt idx="10">
                  <c:v>970</c:v>
                </c:pt>
              </c:numCache>
            </c:numRef>
          </c:val>
          <c:smooth val="0"/>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D85D-4370-A2DD-3B4606B05241}"/>
            </c:ext>
          </c:extLst>
        </c:ser>
        <c:dLbls>
          <c:showLegendKey val="0"/>
          <c:showVal val="0"/>
          <c:showCatName val="0"/>
          <c:showSerName val="0"/>
          <c:showPercent val="0"/>
          <c:showBubbleSize val="0"/>
        </c:dLbls>
        <c:hiLowLines>
          <c:spPr>
            <a:ln w="0">
              <a:noFill/>
            </a:ln>
          </c:spPr>
        </c:hiLowLines>
        <c:smooth val="0"/>
        <c:axId val="78041433"/>
        <c:axId val="34064743"/>
      </c:lineChart>
      <c:catAx>
        <c:axId val="7804143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34064743"/>
        <c:crosses val="autoZero"/>
        <c:auto val="1"/>
        <c:lblAlgn val="ctr"/>
        <c:lblOffset val="100"/>
        <c:noMultiLvlLbl val="0"/>
      </c:catAx>
      <c:valAx>
        <c:axId val="3406474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780414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400" b="1" strike="noStrike" spc="-1">
                <a:solidFill>
                  <a:srgbClr val="595959"/>
                </a:solidFill>
                <a:latin typeface="Aptos Narrow"/>
              </a:defRPr>
            </a:pPr>
            <a:r>
              <a:rPr lang="en-IN" sz="1400" b="1" strike="noStrike" spc="-1">
                <a:solidFill>
                  <a:srgbClr val="595959"/>
                </a:solidFill>
                <a:latin typeface="Aptos Narrow"/>
              </a:rPr>
              <a:t>Organized Share (%)</a:t>
            </a:r>
          </a:p>
        </c:rich>
      </c:tx>
      <c:overlay val="0"/>
      <c:spPr>
        <a:noFill/>
        <a:ln w="0">
          <a:noFill/>
        </a:ln>
      </c:spPr>
    </c:title>
    <c:autoTitleDeleted val="0"/>
    <c:plotArea>
      <c:layout/>
      <c:barChart>
        <c:barDir val="col"/>
        <c:grouping val="clustered"/>
        <c:varyColors val="0"/>
        <c:ser>
          <c:idx val="0"/>
          <c:order val="0"/>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11"/>
                <c:pt idx="0">
                  <c:v>0.3</c:v>
                </c:pt>
                <c:pt idx="1">
                  <c:v>0.32</c:v>
                </c:pt>
                <c:pt idx="2">
                  <c:v>0.34</c:v>
                </c:pt>
                <c:pt idx="3">
                  <c:v>0.36</c:v>
                </c:pt>
                <c:pt idx="4">
                  <c:v>0.38</c:v>
                </c:pt>
                <c:pt idx="5">
                  <c:v>0.4</c:v>
                </c:pt>
                <c:pt idx="6">
                  <c:v>0.42</c:v>
                </c:pt>
                <c:pt idx="7">
                  <c:v>0.44</c:v>
                </c:pt>
                <c:pt idx="8">
                  <c:v>0.46</c:v>
                </c:pt>
                <c:pt idx="9">
                  <c:v>0.48</c:v>
                </c:pt>
                <c:pt idx="10">
                  <c:v>0.5</c:v>
                </c:pt>
              </c:numCache>
            </c:numRef>
          </c:val>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11"/>
                      <c:pt idx="0">
                        <c:v>1</c:v>
                      </c:pt>
                      <c:pt idx="1">
                        <c:v>2</c:v>
                      </c:pt>
                      <c:pt idx="2">
                        <c:v>3</c:v>
                      </c:pt>
                      <c:pt idx="3">
                        <c:v>4</c:v>
                      </c:pt>
                      <c:pt idx="4">
                        <c:v>5</c:v>
                      </c:pt>
                      <c:pt idx="5">
                        <c:v>6</c:v>
                      </c:pt>
                      <c:pt idx="6">
                        <c:v>7</c:v>
                      </c:pt>
                      <c:pt idx="7">
                        <c:v>8</c:v>
                      </c:pt>
                      <c:pt idx="8">
                        <c:v>9</c:v>
                      </c:pt>
                      <c:pt idx="9">
                        <c:v>10</c:v>
                      </c:pt>
                      <c:pt idx="10">
                        <c:v>11</c:v>
                      </c:pt>
                    </c:strCache>
                  </c:strRef>
                </c15:cat>
              </c15:filteredCategoryTitle>
            </c:ext>
            <c:ext xmlns:c16="http://schemas.microsoft.com/office/drawing/2014/chart" uri="{C3380CC4-5D6E-409C-BE32-E72D297353CC}">
              <c16:uniqueId val="{00000000-CA5C-4930-9677-C2F014868206}"/>
            </c:ext>
          </c:extLst>
        </c:ser>
        <c:dLbls>
          <c:showLegendKey val="0"/>
          <c:showVal val="0"/>
          <c:showCatName val="0"/>
          <c:showSerName val="0"/>
          <c:showPercent val="0"/>
          <c:showBubbleSize val="0"/>
        </c:dLbls>
        <c:gapWidth val="219"/>
        <c:overlap val="-27"/>
        <c:axId val="7532882"/>
        <c:axId val="38313469"/>
      </c:barChart>
      <c:catAx>
        <c:axId val="753288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1" strike="noStrike" spc="-1">
                <a:solidFill>
                  <a:srgbClr val="595959"/>
                </a:solidFill>
                <a:latin typeface="Aptos Narrow"/>
              </a:defRPr>
            </a:pPr>
            <a:endParaRPr lang="en-US"/>
          </a:p>
        </c:txPr>
        <c:crossAx val="38313469"/>
        <c:crosses val="autoZero"/>
        <c:auto val="1"/>
        <c:lblAlgn val="ctr"/>
        <c:lblOffset val="100"/>
        <c:noMultiLvlLbl val="0"/>
      </c:catAx>
      <c:valAx>
        <c:axId val="38313469"/>
        <c:scaling>
          <c:orientation val="minMax"/>
          <c:max val="0.5"/>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sz="900" b="1" strike="noStrike" spc="-1">
                <a:solidFill>
                  <a:srgbClr val="595959"/>
                </a:solidFill>
                <a:latin typeface="Aptos Narrow"/>
              </a:defRPr>
            </a:pPr>
            <a:endParaRPr lang="en-US"/>
          </a:p>
        </c:txPr>
        <c:crossAx val="753288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15120</xdr:colOff>
      <xdr:row>1</xdr:row>
      <xdr:rowOff>11520</xdr:rowOff>
    </xdr:from>
    <xdr:to>
      <xdr:col>15</xdr:col>
      <xdr:colOff>317880</xdr:colOff>
      <xdr:row>15</xdr:row>
      <xdr:rowOff>161640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7560</xdr:colOff>
      <xdr:row>1</xdr:row>
      <xdr:rowOff>3960</xdr:rowOff>
    </xdr:from>
    <xdr:to>
      <xdr:col>23</xdr:col>
      <xdr:colOff>310320</xdr:colOff>
      <xdr:row>15</xdr:row>
      <xdr:rowOff>154080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27</xdr:row>
      <xdr:rowOff>178920</xdr:rowOff>
    </xdr:from>
    <xdr:to>
      <xdr:col>15</xdr:col>
      <xdr:colOff>302760</xdr:colOff>
      <xdr:row>42</xdr:row>
      <xdr:rowOff>176760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15120</xdr:colOff>
      <xdr:row>28</xdr:row>
      <xdr:rowOff>19080</xdr:rowOff>
    </xdr:from>
    <xdr:to>
      <xdr:col>23</xdr:col>
      <xdr:colOff>317880</xdr:colOff>
      <xdr:row>43</xdr:row>
      <xdr:rowOff>16920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15120</xdr:colOff>
      <xdr:row>0</xdr:row>
      <xdr:rowOff>514440</xdr:rowOff>
    </xdr:from>
    <xdr:to>
      <xdr:col>15</xdr:col>
      <xdr:colOff>317880</xdr:colOff>
      <xdr:row>15</xdr:row>
      <xdr:rowOff>161640</xdr:rowOff>
    </xdr:to>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7560</xdr:colOff>
      <xdr:row>0</xdr:row>
      <xdr:rowOff>522000</xdr:rowOff>
    </xdr:from>
    <xdr:to>
      <xdr:col>24</xdr:col>
      <xdr:colOff>310320</xdr:colOff>
      <xdr:row>15</xdr:row>
      <xdr:rowOff>169200</xdr:rowOff>
    </xdr:to>
    <xdr:graphicFrame macro="">
      <xdr:nvGraphicFramePr>
        <xdr:cNvPr id="5" name="Chart 2">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571680</xdr:colOff>
      <xdr:row>27</xdr:row>
      <xdr:rowOff>171360</xdr:rowOff>
    </xdr:from>
    <xdr:to>
      <xdr:col>15</xdr:col>
      <xdr:colOff>264600</xdr:colOff>
      <xdr:row>42</xdr:row>
      <xdr:rowOff>169200</xdr:rowOff>
    </xdr:to>
    <xdr:graphicFrame macro="">
      <xdr:nvGraphicFramePr>
        <xdr:cNvPr id="6" name="Chart 3">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38160</xdr:colOff>
      <xdr:row>27</xdr:row>
      <xdr:rowOff>178920</xdr:rowOff>
    </xdr:from>
    <xdr:to>
      <xdr:col>24</xdr:col>
      <xdr:colOff>340920</xdr:colOff>
      <xdr:row>42</xdr:row>
      <xdr:rowOff>176760</xdr:rowOff>
    </xdr:to>
    <xdr:graphicFrame macro="">
      <xdr:nvGraphicFramePr>
        <xdr:cNvPr id="7" name="Chart 4">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Titan_Final_spark.xlsx" TargetMode="External"/><Relationship Id="rId13" Type="http://schemas.openxmlformats.org/officeDocument/2006/relationships/hyperlink" Target="Titan_Final_spark.xlsx" TargetMode="External"/><Relationship Id="rId3" Type="http://schemas.openxmlformats.org/officeDocument/2006/relationships/hyperlink" Target="Titan_Final_spark.xlsx" TargetMode="External"/><Relationship Id="rId7" Type="http://schemas.openxmlformats.org/officeDocument/2006/relationships/hyperlink" Target="Titan_Final_spark.xlsx" TargetMode="External"/><Relationship Id="rId12" Type="http://schemas.openxmlformats.org/officeDocument/2006/relationships/hyperlink" Target="Titan_Final_spark.xlsx" TargetMode="External"/><Relationship Id="rId2" Type="http://schemas.openxmlformats.org/officeDocument/2006/relationships/hyperlink" Target="Titan_Final_spark.xlsx" TargetMode="External"/><Relationship Id="rId1" Type="http://schemas.openxmlformats.org/officeDocument/2006/relationships/hyperlink" Target="Titan_Final_spark.xlsx" TargetMode="External"/><Relationship Id="rId6" Type="http://schemas.openxmlformats.org/officeDocument/2006/relationships/hyperlink" Target="Titan_Final_spark.xlsx" TargetMode="External"/><Relationship Id="rId11" Type="http://schemas.openxmlformats.org/officeDocument/2006/relationships/hyperlink" Target="Titan_Final_spark.xlsx" TargetMode="External"/><Relationship Id="rId5" Type="http://schemas.openxmlformats.org/officeDocument/2006/relationships/hyperlink" Target="Titan_Final_spark.xlsx" TargetMode="External"/><Relationship Id="rId15" Type="http://schemas.openxmlformats.org/officeDocument/2006/relationships/hyperlink" Target="Titan_Final_spark.xlsx" TargetMode="External"/><Relationship Id="rId10" Type="http://schemas.openxmlformats.org/officeDocument/2006/relationships/hyperlink" Target="Titan_Final_spark.xlsx" TargetMode="External"/><Relationship Id="rId4" Type="http://schemas.openxmlformats.org/officeDocument/2006/relationships/hyperlink" Target="Titan_Final_spark.xlsx" TargetMode="External"/><Relationship Id="rId9" Type="http://schemas.openxmlformats.org/officeDocument/2006/relationships/hyperlink" Target="Titan_Final_spark.xlsx" TargetMode="External"/><Relationship Id="rId14" Type="http://schemas.openxmlformats.org/officeDocument/2006/relationships/hyperlink" Target="Titan_Final_spark.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bef.org/" TargetMode="External"/><Relationship Id="rId13" Type="http://schemas.openxmlformats.org/officeDocument/2006/relationships/hyperlink" Target="screener.in%20,%20bseindia.com" TargetMode="External"/><Relationship Id="rId3" Type="http://schemas.openxmlformats.org/officeDocument/2006/relationships/hyperlink" Target="https://tradingeconomics.com/india/inflation-cpi" TargetMode="External"/><Relationship Id="rId7" Type="http://schemas.openxmlformats.org/officeDocument/2006/relationships/hyperlink" Target="https://www.gjepc.org/" TargetMode="External"/><Relationship Id="rId12" Type="http://schemas.openxmlformats.org/officeDocument/2006/relationships/hyperlink" Target="https://www.ibef.org/industry/gems-jewellery-india" TargetMode="External"/><Relationship Id="rId2" Type="http://schemas.openxmlformats.org/officeDocument/2006/relationships/hyperlink" Target="https://data.worldbank.org/indicator/NY.GDP.MKTP.KD.ZG?locations=IN" TargetMode="External"/><Relationship Id="rId1" Type="http://schemas.openxmlformats.org/officeDocument/2006/relationships/hyperlink" Target="https://awsone.capitaline.com/index.html" TargetMode="External"/><Relationship Id="rId6" Type="http://schemas.openxmlformats.org/officeDocument/2006/relationships/hyperlink" Target="https://www.gold.org/goldhub/data/gold-prices" TargetMode="External"/><Relationship Id="rId11" Type="http://schemas.openxmlformats.org/officeDocument/2006/relationships/hyperlink" Target="https://tradingeconomics.com/india/government-bond-yield" TargetMode="External"/><Relationship Id="rId5" Type="http://schemas.openxmlformats.org/officeDocument/2006/relationships/hyperlink" Target="https://rbi.org.in/Scripts/AnnualPublications.aspx?head=Handbook%20of%20Statistics%20on%20Indian%20Economy" TargetMode="External"/><Relationship Id="rId10" Type="http://schemas.openxmlformats.org/officeDocument/2006/relationships/hyperlink" Target="https://www.bseindia.com/markets/equity/EQReports/StockPrcHistori.aspx?expandable=7&amp;scripcode=500114&amp;flag=sp&amp;Submit=G" TargetMode="External"/><Relationship Id="rId4" Type="http://schemas.openxmlformats.org/officeDocument/2006/relationships/hyperlink" Target="https://www.gold.org/goldhub/data/gold-prices" TargetMode="External"/><Relationship Id="rId9" Type="http://schemas.openxmlformats.org/officeDocument/2006/relationships/hyperlink" Target="https://www.bseindia.com/markets/equity/EQReports/StockPrcHistori.aspx?expandable=7&amp;scripcode=500114&amp;flag=sp&amp;Submit=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showGridLines="0" zoomScaleNormal="100" workbookViewId="0">
      <selection activeCell="C25" sqref="C25:E25"/>
    </sheetView>
  </sheetViews>
  <sheetFormatPr defaultColWidth="8.5546875" defaultRowHeight="14.4" x14ac:dyDescent="0.3"/>
  <cols>
    <col min="1" max="1" width="3.6640625" bestFit="1" customWidth="1"/>
    <col min="2" max="2" width="15.88671875" bestFit="1" customWidth="1"/>
    <col min="3" max="3" width="26.109375" bestFit="1" customWidth="1"/>
    <col min="4" max="4" width="62.77734375" bestFit="1" customWidth="1"/>
    <col min="5" max="5" width="11.109375" bestFit="1" customWidth="1"/>
  </cols>
  <sheetData>
    <row r="1" spans="1:5" x14ac:dyDescent="0.3">
      <c r="A1" s="368" t="s">
        <v>547</v>
      </c>
      <c r="B1" s="368"/>
      <c r="C1" s="368"/>
      <c r="D1" s="368"/>
      <c r="E1" s="368"/>
    </row>
    <row r="2" spans="1:5" x14ac:dyDescent="0.3">
      <c r="A2" s="369" t="s">
        <v>0</v>
      </c>
      <c r="B2" s="369"/>
      <c r="C2" s="369"/>
      <c r="D2" s="369"/>
      <c r="E2" s="369"/>
    </row>
    <row r="3" spans="1:5" x14ac:dyDescent="0.3">
      <c r="A3" s="321" t="s">
        <v>1</v>
      </c>
      <c r="B3" s="321" t="s">
        <v>2</v>
      </c>
      <c r="C3" s="321" t="s">
        <v>3</v>
      </c>
      <c r="D3" s="321" t="s">
        <v>4</v>
      </c>
      <c r="E3" s="321" t="s">
        <v>5</v>
      </c>
    </row>
    <row r="4" spans="1:5" x14ac:dyDescent="0.3">
      <c r="A4" s="322">
        <v>1</v>
      </c>
      <c r="B4" s="323" t="s">
        <v>6</v>
      </c>
      <c r="C4" s="324" t="s">
        <v>7</v>
      </c>
      <c r="D4" s="323" t="s">
        <v>8</v>
      </c>
      <c r="E4" s="322" t="s">
        <v>9</v>
      </c>
    </row>
    <row r="5" spans="1:5" x14ac:dyDescent="0.3">
      <c r="A5" s="322">
        <v>2</v>
      </c>
      <c r="B5" s="323" t="s">
        <v>6</v>
      </c>
      <c r="C5" s="324" t="s">
        <v>10</v>
      </c>
      <c r="D5" s="323" t="s">
        <v>11</v>
      </c>
      <c r="E5" s="322" t="s">
        <v>9</v>
      </c>
    </row>
    <row r="6" spans="1:5" x14ac:dyDescent="0.3">
      <c r="A6" s="325">
        <v>3</v>
      </c>
      <c r="B6" s="326" t="s">
        <v>12</v>
      </c>
      <c r="C6" s="327" t="s">
        <v>13</v>
      </c>
      <c r="D6" s="326" t="s">
        <v>548</v>
      </c>
      <c r="E6" s="325" t="s">
        <v>14</v>
      </c>
    </row>
    <row r="7" spans="1:5" x14ac:dyDescent="0.3">
      <c r="A7" s="325">
        <v>4</v>
      </c>
      <c r="B7" s="326" t="s">
        <v>15</v>
      </c>
      <c r="C7" s="327" t="s">
        <v>16</v>
      </c>
      <c r="D7" s="326" t="s">
        <v>17</v>
      </c>
      <c r="E7" s="325" t="s">
        <v>14</v>
      </c>
    </row>
    <row r="8" spans="1:5" x14ac:dyDescent="0.3">
      <c r="A8" s="328">
        <v>5</v>
      </c>
      <c r="B8" s="329" t="s">
        <v>18</v>
      </c>
      <c r="C8" s="330" t="s">
        <v>19</v>
      </c>
      <c r="D8" s="329" t="s">
        <v>20</v>
      </c>
      <c r="E8" s="328" t="s">
        <v>21</v>
      </c>
    </row>
    <row r="9" spans="1:5" x14ac:dyDescent="0.3">
      <c r="A9" s="328">
        <v>6</v>
      </c>
      <c r="B9" s="329" t="s">
        <v>18</v>
      </c>
      <c r="C9" s="330" t="s">
        <v>22</v>
      </c>
      <c r="D9" s="329" t="s">
        <v>23</v>
      </c>
      <c r="E9" s="328" t="s">
        <v>21</v>
      </c>
    </row>
    <row r="10" spans="1:5" x14ac:dyDescent="0.3">
      <c r="A10" s="331">
        <v>7</v>
      </c>
      <c r="B10" s="332" t="s">
        <v>24</v>
      </c>
      <c r="C10" s="333" t="s">
        <v>25</v>
      </c>
      <c r="D10" s="332" t="s">
        <v>557</v>
      </c>
      <c r="E10" s="331" t="s">
        <v>24</v>
      </c>
    </row>
    <row r="11" spans="1:5" x14ac:dyDescent="0.3">
      <c r="A11" s="328">
        <v>8</v>
      </c>
      <c r="B11" s="329" t="s">
        <v>18</v>
      </c>
      <c r="C11" s="330" t="s">
        <v>26</v>
      </c>
      <c r="D11" s="329" t="s">
        <v>549</v>
      </c>
      <c r="E11" s="328" t="s">
        <v>21</v>
      </c>
    </row>
    <row r="12" spans="1:5" x14ac:dyDescent="0.3">
      <c r="A12" s="328">
        <v>9</v>
      </c>
      <c r="B12" s="329" t="s">
        <v>27</v>
      </c>
      <c r="C12" s="330" t="s">
        <v>28</v>
      </c>
      <c r="D12" s="329" t="s">
        <v>550</v>
      </c>
      <c r="E12" s="328" t="s">
        <v>29</v>
      </c>
    </row>
    <row r="13" spans="1:5" x14ac:dyDescent="0.3">
      <c r="A13" s="328">
        <v>10</v>
      </c>
      <c r="B13" s="329" t="s">
        <v>27</v>
      </c>
      <c r="C13" s="330" t="s">
        <v>30</v>
      </c>
      <c r="D13" s="329" t="s">
        <v>551</v>
      </c>
      <c r="E13" s="328" t="s">
        <v>29</v>
      </c>
    </row>
    <row r="14" spans="1:5" x14ac:dyDescent="0.3">
      <c r="A14" s="325">
        <v>11</v>
      </c>
      <c r="B14" s="326" t="s">
        <v>14</v>
      </c>
      <c r="C14" s="327" t="s">
        <v>31</v>
      </c>
      <c r="D14" s="326" t="s">
        <v>552</v>
      </c>
      <c r="E14" s="325" t="s">
        <v>14</v>
      </c>
    </row>
    <row r="15" spans="1:5" x14ac:dyDescent="0.3">
      <c r="A15" s="331">
        <v>12</v>
      </c>
      <c r="B15" s="332" t="s">
        <v>24</v>
      </c>
      <c r="C15" s="333" t="s">
        <v>32</v>
      </c>
      <c r="D15" s="332" t="s">
        <v>558</v>
      </c>
      <c r="E15" s="331" t="s">
        <v>24</v>
      </c>
    </row>
    <row r="16" spans="1:5" x14ac:dyDescent="0.3">
      <c r="A16" s="331">
        <v>13</v>
      </c>
      <c r="B16" s="332" t="s">
        <v>24</v>
      </c>
      <c r="C16" s="333" t="s">
        <v>33</v>
      </c>
      <c r="D16" s="332" t="s">
        <v>559</v>
      </c>
      <c r="E16" s="331" t="s">
        <v>24</v>
      </c>
    </row>
    <row r="17" spans="1:5" x14ac:dyDescent="0.3">
      <c r="A17" s="325">
        <v>14</v>
      </c>
      <c r="B17" s="326" t="s">
        <v>14</v>
      </c>
      <c r="C17" s="327" t="s">
        <v>34</v>
      </c>
      <c r="D17" s="326" t="s">
        <v>35</v>
      </c>
      <c r="E17" s="325" t="s">
        <v>14</v>
      </c>
    </row>
    <row r="18" spans="1:5" x14ac:dyDescent="0.3">
      <c r="A18" s="334">
        <v>15</v>
      </c>
      <c r="B18" s="335" t="s">
        <v>36</v>
      </c>
      <c r="C18" s="336" t="s">
        <v>37</v>
      </c>
      <c r="D18" s="335" t="s">
        <v>38</v>
      </c>
      <c r="E18" s="334" t="s">
        <v>36</v>
      </c>
    </row>
    <row r="20" spans="1:5" x14ac:dyDescent="0.3">
      <c r="A20" s="370" t="s">
        <v>39</v>
      </c>
      <c r="B20" s="370"/>
      <c r="C20" s="370"/>
      <c r="D20" s="370"/>
      <c r="E20" s="370"/>
    </row>
    <row r="21" spans="1:5" x14ac:dyDescent="0.3">
      <c r="A21" s="337"/>
      <c r="B21" s="323" t="s">
        <v>40</v>
      </c>
      <c r="C21" s="371" t="s">
        <v>553</v>
      </c>
      <c r="D21" s="371"/>
      <c r="E21" s="371"/>
    </row>
    <row r="22" spans="1:5" x14ac:dyDescent="0.3">
      <c r="A22" s="338"/>
      <c r="B22" s="339" t="s">
        <v>41</v>
      </c>
      <c r="C22" s="372" t="s">
        <v>554</v>
      </c>
      <c r="D22" s="372"/>
      <c r="E22" s="372"/>
    </row>
    <row r="23" spans="1:5" x14ac:dyDescent="0.3">
      <c r="A23" s="337"/>
      <c r="B23" s="323" t="s">
        <v>42</v>
      </c>
      <c r="C23" s="371" t="s">
        <v>43</v>
      </c>
      <c r="D23" s="371"/>
      <c r="E23" s="371"/>
    </row>
    <row r="24" spans="1:5" x14ac:dyDescent="0.3">
      <c r="A24" s="338"/>
      <c r="B24" s="339" t="s">
        <v>44</v>
      </c>
      <c r="C24" s="372" t="s">
        <v>45</v>
      </c>
      <c r="D24" s="372"/>
      <c r="E24" s="372"/>
    </row>
    <row r="25" spans="1:5" x14ac:dyDescent="0.3">
      <c r="A25" s="337"/>
      <c r="B25" s="323" t="s">
        <v>46</v>
      </c>
      <c r="C25" s="371" t="s">
        <v>560</v>
      </c>
      <c r="D25" s="371"/>
      <c r="E25" s="371"/>
    </row>
    <row r="26" spans="1:5" x14ac:dyDescent="0.3">
      <c r="A26" s="338"/>
      <c r="B26" s="339" t="s">
        <v>47</v>
      </c>
      <c r="C26" s="372" t="s">
        <v>561</v>
      </c>
      <c r="D26" s="372"/>
      <c r="E26" s="372"/>
    </row>
    <row r="27" spans="1:5" x14ac:dyDescent="0.3">
      <c r="A27" s="337"/>
      <c r="B27" s="323" t="s">
        <v>48</v>
      </c>
      <c r="C27" s="371" t="s">
        <v>562</v>
      </c>
      <c r="D27" s="371"/>
      <c r="E27" s="371"/>
    </row>
    <row r="28" spans="1:5" x14ac:dyDescent="0.3">
      <c r="A28" s="338"/>
      <c r="B28" s="339" t="s">
        <v>49</v>
      </c>
      <c r="C28" s="372" t="s">
        <v>555</v>
      </c>
      <c r="D28" s="372"/>
      <c r="E28" s="372"/>
    </row>
  </sheetData>
  <mergeCells count="11">
    <mergeCell ref="C28:E28"/>
    <mergeCell ref="C23:E23"/>
    <mergeCell ref="C24:E24"/>
    <mergeCell ref="C25:E25"/>
    <mergeCell ref="C26:E26"/>
    <mergeCell ref="C27:E27"/>
    <mergeCell ref="A1:E1"/>
    <mergeCell ref="A2:E2"/>
    <mergeCell ref="A20:E20"/>
    <mergeCell ref="C21:E21"/>
    <mergeCell ref="C22:E22"/>
  </mergeCells>
  <hyperlinks>
    <hyperlink ref="C4" r:id="rId1" location="SOURCES!A1" xr:uid="{00000000-0004-0000-0000-000000000000}"/>
    <hyperlink ref="C5" r:id="rId2" location="ABOUT%20THE%20COMPANY!A1" xr:uid="{00000000-0004-0000-0000-000001000000}"/>
    <hyperlink ref="C6" r:id="rId3" location="ECONOMY%20ANALYSIS!A1" xr:uid="{00000000-0004-0000-0000-000002000000}"/>
    <hyperlink ref="C7" r:id="rId4" location="INDUSTRY%20ANALYSIS!A1" xr:uid="{00000000-0004-0000-0000-000003000000}"/>
    <hyperlink ref="C8" r:id="rId5" location="BETA!A1" xr:uid="{00000000-0004-0000-0000-000004000000}"/>
    <hyperlink ref="C9" r:id="rId6" location="WACC%20&amp;%20EVA!A1" xr:uid="{00000000-0004-0000-0000-000005000000}"/>
    <hyperlink ref="C10" r:id="rId7" location="DDM!A1" xr:uid="{00000000-0004-0000-0000-000006000000}"/>
    <hyperlink ref="C11" r:id="rId8" location="Assumptions!A1" xr:uid="{00000000-0004-0000-0000-000007000000}"/>
    <hyperlink ref="C12" r:id="rId9" location="FS!A1" xr:uid="{00000000-0004-0000-0000-000008000000}"/>
    <hyperlink ref="C13" r:id="rId10" location="CFS!A1" xr:uid="{00000000-0004-0000-0000-000009000000}"/>
    <hyperlink ref="C14" r:id="rId11" location="OPERATING%20CYCLE!A1" xr:uid="{00000000-0004-0000-0000-00000A000000}"/>
    <hyperlink ref="C15" r:id="rId12" location="DCF%20Valuation!A1" xr:uid="{00000000-0004-0000-0000-00000B000000}"/>
    <hyperlink ref="C16" r:id="rId13" location="Relative%20Valuation!A1" xr:uid="{00000000-0004-0000-0000-00000C000000}"/>
    <hyperlink ref="C17" r:id="rId14" location="Ratio%20Analysis!A1" xr:uid="{00000000-0004-0000-0000-00000D000000}"/>
    <hyperlink ref="C18" r:id="rId15" location="Key%20Ratio%20Forecast!A1" xr:uid="{00000000-0004-0000-0000-00000E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tabSelected="1" zoomScaleNormal="100" workbookViewId="0">
      <selection activeCell="D18" sqref="D18"/>
    </sheetView>
  </sheetViews>
  <sheetFormatPr defaultColWidth="8.5546875" defaultRowHeight="14.4" x14ac:dyDescent="0.3"/>
  <cols>
    <col min="1" max="1" width="6.109375" customWidth="1"/>
    <col min="2" max="2" width="26.33203125" customWidth="1"/>
    <col min="3" max="3" width="17.33203125" bestFit="1" customWidth="1"/>
    <col min="4" max="4" width="111.21875" customWidth="1"/>
    <col min="5" max="5" width="125.109375" customWidth="1"/>
  </cols>
  <sheetData>
    <row r="1" spans="1:5" ht="15" customHeight="1" x14ac:dyDescent="0.3">
      <c r="A1" s="1" t="s">
        <v>50</v>
      </c>
      <c r="B1" s="2" t="s">
        <v>51</v>
      </c>
      <c r="C1" s="2" t="s">
        <v>52</v>
      </c>
      <c r="D1" s="2" t="s">
        <v>53</v>
      </c>
      <c r="E1" s="3" t="s">
        <v>54</v>
      </c>
    </row>
    <row r="2" spans="1:5" ht="30.75" customHeight="1" x14ac:dyDescent="0.3">
      <c r="A2" s="4">
        <v>1</v>
      </c>
      <c r="B2" s="5" t="s">
        <v>55</v>
      </c>
      <c r="C2" s="6" t="s">
        <v>56</v>
      </c>
      <c r="D2" s="7" t="s">
        <v>57</v>
      </c>
      <c r="E2" s="8" t="s">
        <v>58</v>
      </c>
    </row>
    <row r="3" spans="1:5" ht="15" customHeight="1" x14ac:dyDescent="0.3">
      <c r="A3" s="4">
        <v>2</v>
      </c>
      <c r="B3" s="9" t="s">
        <v>59</v>
      </c>
      <c r="C3" s="6" t="s">
        <v>56</v>
      </c>
      <c r="D3" s="9" t="s">
        <v>60</v>
      </c>
      <c r="E3" s="10" t="s">
        <v>61</v>
      </c>
    </row>
    <row r="4" spans="1:5" ht="15" customHeight="1" x14ac:dyDescent="0.3">
      <c r="A4" s="4">
        <v>3</v>
      </c>
      <c r="B4" s="9" t="s">
        <v>62</v>
      </c>
      <c r="C4" s="6" t="s">
        <v>56</v>
      </c>
      <c r="D4" s="9" t="s">
        <v>63</v>
      </c>
      <c r="E4" s="10" t="s">
        <v>64</v>
      </c>
    </row>
    <row r="5" spans="1:5" ht="15" customHeight="1" x14ac:dyDescent="0.3">
      <c r="A5" s="4">
        <v>4</v>
      </c>
      <c r="B5" s="9" t="s">
        <v>65</v>
      </c>
      <c r="C5" s="6" t="s">
        <v>56</v>
      </c>
      <c r="D5" s="9" t="s">
        <v>66</v>
      </c>
      <c r="E5" s="10" t="s">
        <v>67</v>
      </c>
    </row>
    <row r="6" spans="1:5" ht="15" customHeight="1" x14ac:dyDescent="0.3">
      <c r="A6" s="4">
        <v>5</v>
      </c>
      <c r="B6" s="9" t="s">
        <v>68</v>
      </c>
      <c r="C6" s="6" t="s">
        <v>56</v>
      </c>
      <c r="D6" s="9" t="s">
        <v>69</v>
      </c>
      <c r="E6" s="10" t="s">
        <v>70</v>
      </c>
    </row>
    <row r="7" spans="1:5" ht="15" customHeight="1" x14ac:dyDescent="0.3">
      <c r="A7" s="4">
        <v>6</v>
      </c>
      <c r="B7" s="9" t="s">
        <v>71</v>
      </c>
      <c r="C7" s="6" t="s">
        <v>56</v>
      </c>
      <c r="D7" s="9" t="s">
        <v>72</v>
      </c>
      <c r="E7" s="10" t="s">
        <v>67</v>
      </c>
    </row>
    <row r="8" spans="1:5" ht="15" customHeight="1" x14ac:dyDescent="0.3">
      <c r="A8" s="4">
        <v>7</v>
      </c>
      <c r="B8" s="9" t="s">
        <v>73</v>
      </c>
      <c r="C8" s="6" t="s">
        <v>56</v>
      </c>
      <c r="D8" s="9" t="s">
        <v>74</v>
      </c>
      <c r="E8" s="10" t="s">
        <v>75</v>
      </c>
    </row>
    <row r="9" spans="1:5" ht="15" customHeight="1" x14ac:dyDescent="0.3">
      <c r="A9" s="4">
        <v>8</v>
      </c>
      <c r="B9" s="9" t="s">
        <v>76</v>
      </c>
      <c r="C9" s="6" t="s">
        <v>56</v>
      </c>
      <c r="D9" s="9" t="s">
        <v>77</v>
      </c>
      <c r="E9" s="10" t="s">
        <v>78</v>
      </c>
    </row>
    <row r="10" spans="1:5" ht="15" customHeight="1" x14ac:dyDescent="0.3">
      <c r="A10" s="4">
        <v>9</v>
      </c>
      <c r="B10" s="9" t="s">
        <v>79</v>
      </c>
      <c r="C10" s="6" t="s">
        <v>56</v>
      </c>
      <c r="D10" s="9" t="s">
        <v>80</v>
      </c>
      <c r="E10" s="10" t="s">
        <v>81</v>
      </c>
    </row>
    <row r="11" spans="1:5" ht="15" customHeight="1" x14ac:dyDescent="0.3">
      <c r="A11" s="4">
        <v>10</v>
      </c>
      <c r="B11" s="9" t="s">
        <v>82</v>
      </c>
      <c r="C11" s="6" t="s">
        <v>56</v>
      </c>
      <c r="D11" s="9" t="s">
        <v>80</v>
      </c>
      <c r="E11" s="10" t="s">
        <v>81</v>
      </c>
    </row>
    <row r="12" spans="1:5" ht="15" customHeight="1" x14ac:dyDescent="0.3">
      <c r="A12" s="4">
        <v>11</v>
      </c>
      <c r="B12" s="9" t="s">
        <v>83</v>
      </c>
      <c r="C12" s="11">
        <v>6.6799999999999998E-2</v>
      </c>
      <c r="D12" s="9" t="s">
        <v>84</v>
      </c>
      <c r="E12" s="10" t="s">
        <v>85</v>
      </c>
    </row>
    <row r="13" spans="1:5" ht="15" customHeight="1" x14ac:dyDescent="0.3">
      <c r="A13" s="4">
        <v>12</v>
      </c>
      <c r="B13" s="9" t="s">
        <v>86</v>
      </c>
      <c r="C13" s="12">
        <v>0.25169999999999998</v>
      </c>
      <c r="D13" s="9"/>
      <c r="E13" s="13"/>
    </row>
    <row r="14" spans="1:5" ht="30.75" customHeight="1" x14ac:dyDescent="0.3">
      <c r="A14" s="14">
        <v>13</v>
      </c>
      <c r="B14" s="15" t="s">
        <v>87</v>
      </c>
      <c r="C14" s="16">
        <v>8.8700000000000001E-2</v>
      </c>
      <c r="D14" s="17" t="s">
        <v>88</v>
      </c>
      <c r="E14" s="18" t="s">
        <v>89</v>
      </c>
    </row>
    <row r="15" spans="1:5" ht="30.75" customHeight="1" x14ac:dyDescent="0.3">
      <c r="A15" s="14">
        <v>14</v>
      </c>
      <c r="B15" s="15" t="s">
        <v>571</v>
      </c>
      <c r="C15" s="16" t="s">
        <v>56</v>
      </c>
      <c r="D15" s="402" t="s">
        <v>572</v>
      </c>
      <c r="E15" s="403" t="s">
        <v>573</v>
      </c>
    </row>
    <row r="16" spans="1:5" ht="30.75" customHeight="1" x14ac:dyDescent="0.3">
      <c r="A16" s="14">
        <v>15</v>
      </c>
      <c r="B16" s="15" t="s">
        <v>575</v>
      </c>
      <c r="C16" s="16" t="s">
        <v>576</v>
      </c>
      <c r="D16" s="404" t="s">
        <v>574</v>
      </c>
      <c r="E16" s="18"/>
    </row>
    <row r="17" spans="1:5" ht="15.75" customHeight="1" thickBot="1" x14ac:dyDescent="0.35">
      <c r="A17" s="19">
        <v>16</v>
      </c>
      <c r="B17" s="20" t="s">
        <v>90</v>
      </c>
      <c r="C17" s="21">
        <v>0.15</v>
      </c>
      <c r="D17" s="20" t="s">
        <v>91</v>
      </c>
      <c r="E17" s="22"/>
    </row>
    <row r="26" spans="1:5" ht="14.25" customHeight="1" x14ac:dyDescent="0.3">
      <c r="C26" t="s">
        <v>92</v>
      </c>
    </row>
  </sheetData>
  <hyperlinks>
    <hyperlink ref="E2" r:id="rId1" location="/Company/Condensed/condensed?section=BalanceSheet"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4" r:id="rId12" xr:uid="{00000000-0004-0000-0100-00000B000000}"/>
    <hyperlink ref="E15" r:id="rId13" xr:uid="{D074CAD3-0AC6-4ADE-94BE-EED393298A2F}"/>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26"/>
  <sheetViews>
    <sheetView showGridLines="0" zoomScaleNormal="100" workbookViewId="0"/>
  </sheetViews>
  <sheetFormatPr defaultColWidth="8.5546875" defaultRowHeight="14.4" x14ac:dyDescent="0.3"/>
  <cols>
    <col min="2" max="2" width="18.33203125" customWidth="1"/>
    <col min="3" max="3" width="31.109375" customWidth="1"/>
    <col min="5" max="5" width="25" customWidth="1"/>
    <col min="6" max="6" width="46.77734375" customWidth="1"/>
    <col min="7" max="7" width="74.77734375" customWidth="1"/>
  </cols>
  <sheetData>
    <row r="1" spans="2:7" ht="15" customHeight="1" x14ac:dyDescent="0.3"/>
    <row r="2" spans="2:7" ht="15" customHeight="1" x14ac:dyDescent="0.3">
      <c r="B2" s="374" t="s">
        <v>10</v>
      </c>
      <c r="C2" s="374"/>
      <c r="E2" s="375" t="s">
        <v>93</v>
      </c>
      <c r="F2" s="375"/>
      <c r="G2" s="375"/>
    </row>
    <row r="3" spans="2:7" ht="15" customHeight="1" x14ac:dyDescent="0.3">
      <c r="B3" s="23" t="s">
        <v>94</v>
      </c>
      <c r="C3" s="24" t="s">
        <v>95</v>
      </c>
      <c r="E3" s="25" t="s">
        <v>96</v>
      </c>
      <c r="F3" s="26" t="s">
        <v>97</v>
      </c>
      <c r="G3" s="27" t="s">
        <v>98</v>
      </c>
    </row>
    <row r="4" spans="2:7" ht="41.25" customHeight="1" x14ac:dyDescent="0.3">
      <c r="B4" s="23" t="s">
        <v>99</v>
      </c>
      <c r="C4" s="24" t="s">
        <v>100</v>
      </c>
      <c r="E4" s="28" t="s">
        <v>101</v>
      </c>
      <c r="F4" s="29" t="s">
        <v>102</v>
      </c>
      <c r="G4" s="30" t="s">
        <v>103</v>
      </c>
    </row>
    <row r="5" spans="2:7" ht="27" customHeight="1" x14ac:dyDescent="0.3">
      <c r="B5" s="23" t="s">
        <v>41</v>
      </c>
      <c r="C5" s="24" t="s">
        <v>104</v>
      </c>
      <c r="E5" s="28" t="s">
        <v>105</v>
      </c>
      <c r="F5" s="29" t="s">
        <v>106</v>
      </c>
      <c r="G5" s="30" t="s">
        <v>107</v>
      </c>
    </row>
    <row r="6" spans="2:7" ht="27" customHeight="1" x14ac:dyDescent="0.3">
      <c r="B6" s="23" t="s">
        <v>108</v>
      </c>
      <c r="C6" s="24" t="s">
        <v>109</v>
      </c>
      <c r="E6" s="28" t="s">
        <v>110</v>
      </c>
      <c r="F6" s="29" t="s">
        <v>111</v>
      </c>
      <c r="G6" s="30" t="s">
        <v>112</v>
      </c>
    </row>
    <row r="7" spans="2:7" ht="27.75" customHeight="1" x14ac:dyDescent="0.3">
      <c r="B7" s="23" t="s">
        <v>113</v>
      </c>
      <c r="C7" s="24">
        <v>1984</v>
      </c>
      <c r="E7" s="31" t="s">
        <v>114</v>
      </c>
      <c r="F7" s="32" t="s">
        <v>115</v>
      </c>
      <c r="G7" s="33" t="s">
        <v>116</v>
      </c>
    </row>
    <row r="8" spans="2:7" ht="15.75" customHeight="1" x14ac:dyDescent="0.3">
      <c r="B8" s="23" t="s">
        <v>117</v>
      </c>
      <c r="C8" s="24" t="s">
        <v>118</v>
      </c>
    </row>
    <row r="9" spans="2:7" ht="15" customHeight="1" x14ac:dyDescent="0.3">
      <c r="B9" s="23" t="s">
        <v>119</v>
      </c>
      <c r="C9" s="24" t="s">
        <v>120</v>
      </c>
      <c r="E9" s="375" t="s">
        <v>121</v>
      </c>
      <c r="F9" s="375"/>
      <c r="G9" s="375"/>
    </row>
    <row r="10" spans="2:7" ht="15.75" customHeight="1" x14ac:dyDescent="0.3">
      <c r="B10" s="34" t="s">
        <v>122</v>
      </c>
      <c r="C10" s="35" t="s">
        <v>123</v>
      </c>
      <c r="E10" s="25" t="s">
        <v>124</v>
      </c>
      <c r="F10" s="26" t="s">
        <v>125</v>
      </c>
      <c r="G10" s="27" t="s">
        <v>126</v>
      </c>
    </row>
    <row r="11" spans="2:7" ht="42" customHeight="1" x14ac:dyDescent="0.3">
      <c r="E11" s="28" t="s">
        <v>127</v>
      </c>
      <c r="F11" s="29" t="s">
        <v>128</v>
      </c>
      <c r="G11" s="30" t="s">
        <v>129</v>
      </c>
    </row>
    <row r="12" spans="2:7" ht="27" customHeight="1" x14ac:dyDescent="0.3">
      <c r="B12" s="376" t="s">
        <v>130</v>
      </c>
      <c r="C12" s="376"/>
      <c r="E12" s="28" t="s">
        <v>131</v>
      </c>
      <c r="F12" s="29" t="s">
        <v>132</v>
      </c>
      <c r="G12" s="30" t="s">
        <v>133</v>
      </c>
    </row>
    <row r="13" spans="2:7" ht="27" customHeight="1" x14ac:dyDescent="0.3">
      <c r="B13" s="376"/>
      <c r="C13" s="376"/>
      <c r="E13" s="28" t="s">
        <v>134</v>
      </c>
      <c r="F13" s="29" t="s">
        <v>135</v>
      </c>
      <c r="G13" s="30" t="s">
        <v>136</v>
      </c>
    </row>
    <row r="14" spans="2:7" ht="27" customHeight="1" x14ac:dyDescent="0.3">
      <c r="B14" s="376"/>
      <c r="C14" s="376"/>
      <c r="E14" s="28" t="s">
        <v>137</v>
      </c>
      <c r="F14" s="29" t="s">
        <v>138</v>
      </c>
      <c r="G14" s="30" t="s">
        <v>139</v>
      </c>
    </row>
    <row r="15" spans="2:7" ht="27" customHeight="1" x14ac:dyDescent="0.3">
      <c r="B15" s="376"/>
      <c r="C15" s="376"/>
      <c r="E15" s="28" t="s">
        <v>140</v>
      </c>
      <c r="F15" s="29" t="s">
        <v>141</v>
      </c>
      <c r="G15" s="30" t="s">
        <v>142</v>
      </c>
    </row>
    <row r="16" spans="2:7" ht="27" customHeight="1" x14ac:dyDescent="0.3">
      <c r="B16" s="376"/>
      <c r="C16" s="376"/>
      <c r="E16" s="28" t="s">
        <v>143</v>
      </c>
      <c r="F16" s="29" t="s">
        <v>144</v>
      </c>
      <c r="G16" s="30" t="s">
        <v>145</v>
      </c>
    </row>
    <row r="17" spans="2:7" ht="27" customHeight="1" x14ac:dyDescent="0.3">
      <c r="B17" s="376"/>
      <c r="C17" s="376"/>
      <c r="E17" s="28" t="s">
        <v>146</v>
      </c>
      <c r="F17" s="29" t="s">
        <v>147</v>
      </c>
      <c r="G17" s="30" t="s">
        <v>148</v>
      </c>
    </row>
    <row r="18" spans="2:7" ht="27.75" customHeight="1" x14ac:dyDescent="0.3">
      <c r="B18" s="376"/>
      <c r="C18" s="376"/>
      <c r="E18" s="31" t="s">
        <v>149</v>
      </c>
      <c r="F18" s="32" t="s">
        <v>150</v>
      </c>
      <c r="G18" s="33" t="s">
        <v>151</v>
      </c>
    </row>
    <row r="19" spans="2:7" ht="15" customHeight="1" x14ac:dyDescent="0.3"/>
    <row r="20" spans="2:7" ht="15.75" customHeight="1" x14ac:dyDescent="0.3">
      <c r="B20" s="377" t="s">
        <v>152</v>
      </c>
      <c r="C20" s="377"/>
    </row>
    <row r="21" spans="2:7" ht="14.25" customHeight="1" x14ac:dyDescent="0.3">
      <c r="B21" s="373" t="s">
        <v>153</v>
      </c>
      <c r="C21" s="373"/>
      <c r="D21" s="373"/>
      <c r="E21" s="373"/>
      <c r="F21" s="373"/>
      <c r="G21" s="373"/>
    </row>
    <row r="22" spans="2:7" ht="14.25" customHeight="1" x14ac:dyDescent="0.3">
      <c r="B22" s="373"/>
      <c r="C22" s="373"/>
      <c r="D22" s="373"/>
      <c r="E22" s="373"/>
      <c r="F22" s="373"/>
      <c r="G22" s="373"/>
    </row>
    <row r="23" spans="2:7" ht="14.25" customHeight="1" x14ac:dyDescent="0.3">
      <c r="B23" s="373"/>
      <c r="C23" s="373"/>
      <c r="D23" s="373"/>
      <c r="E23" s="373"/>
      <c r="F23" s="373"/>
      <c r="G23" s="373"/>
    </row>
    <row r="24" spans="2:7" ht="14.25" customHeight="1" x14ac:dyDescent="0.3">
      <c r="B24" s="373"/>
      <c r="C24" s="373"/>
      <c r="D24" s="373"/>
      <c r="E24" s="373"/>
      <c r="F24" s="373"/>
      <c r="G24" s="373"/>
    </row>
    <row r="25" spans="2:7" ht="15" customHeight="1" x14ac:dyDescent="0.3">
      <c r="B25" s="373"/>
      <c r="C25" s="373"/>
      <c r="D25" s="373"/>
      <c r="E25" s="373"/>
      <c r="F25" s="373"/>
      <c r="G25" s="373"/>
    </row>
    <row r="26" spans="2:7" ht="14.25" customHeight="1" x14ac:dyDescent="0.3">
      <c r="B26" s="36"/>
      <c r="C26" s="37"/>
    </row>
  </sheetData>
  <mergeCells count="6">
    <mergeCell ref="B21:G25"/>
    <mergeCell ref="B2:C2"/>
    <mergeCell ref="E2:G2"/>
    <mergeCell ref="E9:G9"/>
    <mergeCell ref="B12:C18"/>
    <mergeCell ref="B20:C20"/>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5"/>
  <sheetViews>
    <sheetView zoomScaleNormal="100" workbookViewId="0">
      <selection activeCell="G21" sqref="G21"/>
    </sheetView>
  </sheetViews>
  <sheetFormatPr defaultColWidth="8.5546875" defaultRowHeight="14.4" x14ac:dyDescent="0.3"/>
  <cols>
    <col min="1" max="1" width="5.5546875" customWidth="1"/>
    <col min="2" max="2" width="19" customWidth="1"/>
    <col min="3" max="3" width="13.5546875" customWidth="1"/>
    <col min="4" max="4" width="19" customWidth="1"/>
    <col min="5" max="5" width="17.77734375" customWidth="1"/>
    <col min="6" max="6" width="14" customWidth="1"/>
  </cols>
  <sheetData>
    <row r="1" spans="1:6" ht="27" customHeight="1" x14ac:dyDescent="0.3">
      <c r="A1" s="38" t="s">
        <v>154</v>
      </c>
      <c r="B1" s="39" t="s">
        <v>155</v>
      </c>
      <c r="C1" s="39" t="s">
        <v>156</v>
      </c>
      <c r="D1" s="39" t="s">
        <v>157</v>
      </c>
      <c r="E1" s="39" t="s">
        <v>563</v>
      </c>
      <c r="F1" s="40" t="s">
        <v>158</v>
      </c>
    </row>
    <row r="2" spans="1:6" ht="14.25" customHeight="1" x14ac:dyDescent="0.3">
      <c r="A2" s="41">
        <v>2015</v>
      </c>
      <c r="B2" s="42">
        <v>8</v>
      </c>
      <c r="C2" s="42">
        <v>4.9000000000000004</v>
      </c>
      <c r="D2" s="42">
        <v>64.099999999999994</v>
      </c>
      <c r="E2" s="43">
        <v>26343</v>
      </c>
      <c r="F2" s="44">
        <v>7.5</v>
      </c>
    </row>
    <row r="3" spans="1:6" ht="14.25" customHeight="1" x14ac:dyDescent="0.3">
      <c r="A3" s="41">
        <v>2016</v>
      </c>
      <c r="B3" s="42">
        <v>8.3000000000000007</v>
      </c>
      <c r="C3" s="42">
        <v>4.9000000000000004</v>
      </c>
      <c r="D3" s="42">
        <v>67.2</v>
      </c>
      <c r="E3" s="43">
        <v>28623</v>
      </c>
      <c r="F3" s="44">
        <v>6.5</v>
      </c>
    </row>
    <row r="4" spans="1:6" ht="14.25" customHeight="1" x14ac:dyDescent="0.3">
      <c r="A4" s="41">
        <v>2017</v>
      </c>
      <c r="B4" s="42">
        <v>6.8</v>
      </c>
      <c r="C4" s="42">
        <v>3.3</v>
      </c>
      <c r="D4" s="42">
        <v>65.099999999999994</v>
      </c>
      <c r="E4" s="43">
        <v>29667</v>
      </c>
      <c r="F4" s="44">
        <v>6.25</v>
      </c>
    </row>
    <row r="5" spans="1:6" ht="14.25" customHeight="1" x14ac:dyDescent="0.3">
      <c r="A5" s="41">
        <v>2018</v>
      </c>
      <c r="B5" s="42">
        <v>6.5</v>
      </c>
      <c r="C5" s="42">
        <v>3.9</v>
      </c>
      <c r="D5" s="42">
        <v>68.400000000000006</v>
      </c>
      <c r="E5" s="43">
        <v>31438</v>
      </c>
      <c r="F5" s="44">
        <v>6.25</v>
      </c>
    </row>
    <row r="6" spans="1:6" ht="14.25" customHeight="1" x14ac:dyDescent="0.3">
      <c r="A6" s="41">
        <v>2019</v>
      </c>
      <c r="B6" s="42">
        <v>4</v>
      </c>
      <c r="C6" s="42">
        <v>4.8</v>
      </c>
      <c r="D6" s="42">
        <v>70.400000000000006</v>
      </c>
      <c r="E6" s="43">
        <v>35220</v>
      </c>
      <c r="F6" s="44">
        <v>5.15</v>
      </c>
    </row>
    <row r="7" spans="1:6" ht="14.25" customHeight="1" x14ac:dyDescent="0.3">
      <c r="A7" s="41">
        <v>2020</v>
      </c>
      <c r="B7" s="42">
        <v>-5.8</v>
      </c>
      <c r="C7" s="42">
        <v>6.6</v>
      </c>
      <c r="D7" s="42">
        <v>74.099999999999994</v>
      </c>
      <c r="E7" s="43">
        <v>48651</v>
      </c>
      <c r="F7" s="44">
        <v>4</v>
      </c>
    </row>
    <row r="8" spans="1:6" ht="14.25" customHeight="1" x14ac:dyDescent="0.3">
      <c r="A8" s="41">
        <v>2021</v>
      </c>
      <c r="B8" s="42">
        <v>9.1</v>
      </c>
      <c r="C8" s="42">
        <v>5.0999999999999996</v>
      </c>
      <c r="D8" s="42">
        <v>73.900000000000006</v>
      </c>
      <c r="E8" s="43">
        <v>48720</v>
      </c>
      <c r="F8" s="44">
        <v>4</v>
      </c>
    </row>
    <row r="9" spans="1:6" ht="14.25" customHeight="1" x14ac:dyDescent="0.3">
      <c r="A9" s="41">
        <v>2022</v>
      </c>
      <c r="B9" s="42">
        <v>7</v>
      </c>
      <c r="C9" s="42">
        <v>6.7</v>
      </c>
      <c r="D9" s="42">
        <v>78.599999999999994</v>
      </c>
      <c r="E9" s="43">
        <v>52670</v>
      </c>
      <c r="F9" s="44">
        <v>6.25</v>
      </c>
    </row>
    <row r="10" spans="1:6" ht="14.25" customHeight="1" x14ac:dyDescent="0.3">
      <c r="A10" s="41">
        <v>2023</v>
      </c>
      <c r="B10" s="42">
        <v>7.6</v>
      </c>
      <c r="C10" s="42">
        <v>5.6</v>
      </c>
      <c r="D10" s="42">
        <v>82.2</v>
      </c>
      <c r="E10" s="43">
        <v>65330</v>
      </c>
      <c r="F10" s="44">
        <v>6.5</v>
      </c>
    </row>
    <row r="11" spans="1:6" ht="14.25" customHeight="1" x14ac:dyDescent="0.3">
      <c r="A11" s="41">
        <v>2024</v>
      </c>
      <c r="B11" s="42">
        <v>6.5</v>
      </c>
      <c r="C11" s="42">
        <v>5</v>
      </c>
      <c r="D11" s="42">
        <v>83.1</v>
      </c>
      <c r="E11" s="43">
        <v>64070</v>
      </c>
      <c r="F11" s="44">
        <v>6.5</v>
      </c>
    </row>
    <row r="12" spans="1:6" ht="15" customHeight="1" x14ac:dyDescent="0.3">
      <c r="A12" s="45">
        <v>2025</v>
      </c>
      <c r="B12" s="46">
        <v>6.5</v>
      </c>
      <c r="C12" s="46">
        <v>4.8</v>
      </c>
      <c r="D12" s="46">
        <v>83</v>
      </c>
      <c r="E12" s="47">
        <v>72000</v>
      </c>
      <c r="F12" s="48">
        <v>5.25</v>
      </c>
    </row>
    <row r="13" spans="1:6" ht="15" customHeight="1" x14ac:dyDescent="0.3"/>
    <row r="14" spans="1:6" ht="15" customHeight="1" x14ac:dyDescent="0.3">
      <c r="A14" s="1" t="s">
        <v>154</v>
      </c>
      <c r="B14" s="2" t="s">
        <v>159</v>
      </c>
      <c r="C14" s="2" t="s">
        <v>59</v>
      </c>
      <c r="D14" s="2" t="s">
        <v>160</v>
      </c>
      <c r="E14" s="3" t="s">
        <v>161</v>
      </c>
    </row>
    <row r="15" spans="1:6" ht="14.25" customHeight="1" x14ac:dyDescent="0.3">
      <c r="A15" s="41">
        <v>2015</v>
      </c>
      <c r="B15" s="49">
        <v>0</v>
      </c>
      <c r="C15" s="42">
        <v>0</v>
      </c>
      <c r="D15" s="50">
        <f t="shared" ref="D15:D25" si="0">B2-C2</f>
        <v>3.0999999999999996</v>
      </c>
      <c r="E15" s="51">
        <v>0</v>
      </c>
    </row>
    <row r="16" spans="1:6" ht="14.25" customHeight="1" x14ac:dyDescent="0.3">
      <c r="A16" s="41">
        <v>2016</v>
      </c>
      <c r="B16" s="49">
        <f t="shared" ref="B16:B25" si="1">(E3/E2)-1</f>
        <v>8.6550506775993519E-2</v>
      </c>
      <c r="C16" s="50">
        <f t="shared" ref="C16:C25" si="2">B3-B2</f>
        <v>0.30000000000000071</v>
      </c>
      <c r="D16" s="50">
        <f t="shared" si="0"/>
        <v>3.4000000000000004</v>
      </c>
      <c r="E16" s="52">
        <f t="shared" ref="E16:E25" si="3">(D3/D2)-1</f>
        <v>4.8361934477379132E-2</v>
      </c>
    </row>
    <row r="17" spans="1:23" ht="15" customHeight="1" x14ac:dyDescent="0.3">
      <c r="A17" s="41">
        <v>2017</v>
      </c>
      <c r="B17" s="49">
        <f t="shared" si="1"/>
        <v>3.6474164133738496E-2</v>
      </c>
      <c r="C17" s="50">
        <f t="shared" si="2"/>
        <v>-1.5000000000000009</v>
      </c>
      <c r="D17" s="50">
        <f t="shared" si="0"/>
        <v>3.5</v>
      </c>
      <c r="E17" s="52">
        <f t="shared" si="3"/>
        <v>-3.1250000000000111E-2</v>
      </c>
    </row>
    <row r="18" spans="1:23" ht="14.25" customHeight="1" x14ac:dyDescent="0.3">
      <c r="A18" s="41">
        <v>2018</v>
      </c>
      <c r="B18" s="49">
        <f t="shared" si="1"/>
        <v>5.9695958472376631E-2</v>
      </c>
      <c r="C18" s="50">
        <f t="shared" si="2"/>
        <v>-0.29999999999999982</v>
      </c>
      <c r="D18" s="50">
        <f t="shared" si="0"/>
        <v>2.6</v>
      </c>
      <c r="E18" s="52">
        <f t="shared" si="3"/>
        <v>5.069124423963145E-2</v>
      </c>
      <c r="I18" s="378" t="s">
        <v>564</v>
      </c>
      <c r="J18" s="378"/>
      <c r="K18" s="378"/>
      <c r="L18" s="378"/>
      <c r="M18" s="378"/>
      <c r="N18" s="378"/>
      <c r="O18" s="378"/>
      <c r="Q18" s="378" t="s">
        <v>162</v>
      </c>
      <c r="R18" s="378"/>
      <c r="S18" s="378"/>
      <c r="T18" s="378"/>
      <c r="U18" s="378"/>
      <c r="V18" s="378"/>
      <c r="W18" s="378"/>
    </row>
    <row r="19" spans="1:23" ht="14.25" customHeight="1" x14ac:dyDescent="0.3">
      <c r="A19" s="41">
        <v>2019</v>
      </c>
      <c r="B19" s="49">
        <f t="shared" si="1"/>
        <v>0.12030027355429729</v>
      </c>
      <c r="C19" s="50">
        <f t="shared" si="2"/>
        <v>-2.5</v>
      </c>
      <c r="D19" s="50">
        <f t="shared" si="0"/>
        <v>-0.79999999999999982</v>
      </c>
      <c r="E19" s="52">
        <f t="shared" si="3"/>
        <v>2.9239766081871288E-2</v>
      </c>
      <c r="I19" s="378"/>
      <c r="J19" s="378"/>
      <c r="K19" s="378"/>
      <c r="L19" s="378"/>
      <c r="M19" s="378"/>
      <c r="N19" s="378"/>
      <c r="O19" s="378"/>
      <c r="Q19" s="378"/>
      <c r="R19" s="378"/>
      <c r="S19" s="378"/>
      <c r="T19" s="378"/>
      <c r="U19" s="378"/>
      <c r="V19" s="378"/>
      <c r="W19" s="378"/>
    </row>
    <row r="20" spans="1:23" ht="14.25" customHeight="1" x14ac:dyDescent="0.3">
      <c r="A20" s="41">
        <v>2020</v>
      </c>
      <c r="B20" s="49">
        <f t="shared" si="1"/>
        <v>0.38134582623509372</v>
      </c>
      <c r="C20" s="50">
        <f t="shared" si="2"/>
        <v>-9.8000000000000007</v>
      </c>
      <c r="D20" s="50">
        <f t="shared" si="0"/>
        <v>-12.399999999999999</v>
      </c>
      <c r="E20" s="52">
        <f t="shared" si="3"/>
        <v>5.2556818181818121E-2</v>
      </c>
      <c r="I20" s="378"/>
      <c r="J20" s="378"/>
      <c r="K20" s="378"/>
      <c r="L20" s="378"/>
      <c r="M20" s="378"/>
      <c r="N20" s="378"/>
      <c r="O20" s="378"/>
      <c r="Q20" s="378"/>
      <c r="R20" s="378"/>
      <c r="S20" s="378"/>
      <c r="T20" s="378"/>
      <c r="U20" s="378"/>
      <c r="V20" s="378"/>
      <c r="W20" s="378"/>
    </row>
    <row r="21" spans="1:23" ht="14.25" customHeight="1" x14ac:dyDescent="0.3">
      <c r="A21" s="41">
        <v>2021</v>
      </c>
      <c r="B21" s="49">
        <f t="shared" si="1"/>
        <v>1.4182647838687501E-3</v>
      </c>
      <c r="C21" s="50">
        <f t="shared" si="2"/>
        <v>14.899999999999999</v>
      </c>
      <c r="D21" s="50">
        <f t="shared" si="0"/>
        <v>4</v>
      </c>
      <c r="E21" s="52">
        <f t="shared" si="3"/>
        <v>-2.6990553306340814E-3</v>
      </c>
      <c r="I21" s="378"/>
      <c r="J21" s="378"/>
      <c r="K21" s="378"/>
      <c r="L21" s="378"/>
      <c r="M21" s="378"/>
      <c r="N21" s="378"/>
      <c r="O21" s="378"/>
      <c r="Q21" s="378"/>
      <c r="R21" s="378"/>
      <c r="S21" s="378"/>
      <c r="T21" s="378"/>
      <c r="U21" s="378"/>
      <c r="V21" s="378"/>
      <c r="W21" s="378"/>
    </row>
    <row r="22" spans="1:23" ht="14.25" customHeight="1" x14ac:dyDescent="0.3">
      <c r="A22" s="41">
        <v>2022</v>
      </c>
      <c r="B22" s="49">
        <f t="shared" si="1"/>
        <v>8.1075533661740584E-2</v>
      </c>
      <c r="C22" s="50">
        <f t="shared" si="2"/>
        <v>-2.0999999999999996</v>
      </c>
      <c r="D22" s="50">
        <f t="shared" si="0"/>
        <v>0.29999999999999982</v>
      </c>
      <c r="E22" s="52">
        <f t="shared" si="3"/>
        <v>6.3599458728010649E-2</v>
      </c>
      <c r="I22" s="378"/>
      <c r="J22" s="378"/>
      <c r="K22" s="378"/>
      <c r="L22" s="378"/>
      <c r="M22" s="378"/>
      <c r="N22" s="378"/>
      <c r="O22" s="378"/>
      <c r="Q22" s="378"/>
      <c r="R22" s="378"/>
      <c r="S22" s="378"/>
      <c r="T22" s="378"/>
      <c r="U22" s="378"/>
      <c r="V22" s="378"/>
      <c r="W22" s="378"/>
    </row>
    <row r="23" spans="1:23" ht="14.25" customHeight="1" x14ac:dyDescent="0.3">
      <c r="A23" s="41">
        <v>2023</v>
      </c>
      <c r="B23" s="49">
        <f t="shared" si="1"/>
        <v>0.24036453389026002</v>
      </c>
      <c r="C23" s="50">
        <f t="shared" si="2"/>
        <v>0.59999999999999964</v>
      </c>
      <c r="D23" s="50">
        <f t="shared" si="0"/>
        <v>2</v>
      </c>
      <c r="E23" s="52">
        <f t="shared" si="3"/>
        <v>4.5801526717557328E-2</v>
      </c>
      <c r="I23" s="378"/>
      <c r="J23" s="378"/>
      <c r="K23" s="378"/>
      <c r="L23" s="378"/>
      <c r="M23" s="378"/>
      <c r="N23" s="378"/>
      <c r="O23" s="378"/>
      <c r="Q23" s="378"/>
      <c r="R23" s="378"/>
      <c r="S23" s="378"/>
      <c r="T23" s="378"/>
      <c r="U23" s="378"/>
      <c r="V23" s="378"/>
      <c r="W23" s="378"/>
    </row>
    <row r="24" spans="1:23" ht="14.25" customHeight="1" x14ac:dyDescent="0.3">
      <c r="A24" s="41">
        <v>2024</v>
      </c>
      <c r="B24" s="49">
        <f t="shared" si="1"/>
        <v>-1.9286698300933769E-2</v>
      </c>
      <c r="C24" s="50">
        <f t="shared" si="2"/>
        <v>-1.0999999999999996</v>
      </c>
      <c r="D24" s="50">
        <f t="shared" si="0"/>
        <v>1.5</v>
      </c>
      <c r="E24" s="52">
        <f t="shared" si="3"/>
        <v>1.0948905109488871E-2</v>
      </c>
      <c r="I24" s="378"/>
      <c r="J24" s="378"/>
      <c r="K24" s="378"/>
      <c r="L24" s="378"/>
      <c r="M24" s="378"/>
      <c r="N24" s="378"/>
      <c r="O24" s="378"/>
      <c r="Q24" s="378"/>
      <c r="R24" s="378"/>
      <c r="S24" s="378"/>
      <c r="T24" s="378"/>
      <c r="U24" s="378"/>
      <c r="V24" s="378"/>
      <c r="W24" s="378"/>
    </row>
    <row r="25" spans="1:23" ht="15" customHeight="1" x14ac:dyDescent="0.3">
      <c r="A25" s="45">
        <v>2025</v>
      </c>
      <c r="B25" s="53">
        <f t="shared" si="1"/>
        <v>0.12377087560480726</v>
      </c>
      <c r="C25" s="54">
        <f t="shared" si="2"/>
        <v>0</v>
      </c>
      <c r="D25" s="54">
        <f t="shared" si="0"/>
        <v>1.7000000000000002</v>
      </c>
      <c r="E25" s="55">
        <f t="shared" si="3"/>
        <v>-1.2033694344163459E-3</v>
      </c>
      <c r="I25" s="378"/>
      <c r="J25" s="378"/>
      <c r="K25" s="378"/>
      <c r="L25" s="378"/>
      <c r="M25" s="378"/>
      <c r="N25" s="378"/>
      <c r="O25" s="378"/>
      <c r="Q25" s="378"/>
      <c r="R25" s="378"/>
      <c r="S25" s="378"/>
      <c r="T25" s="378"/>
      <c r="U25" s="378"/>
      <c r="V25" s="378"/>
      <c r="W25" s="378"/>
    </row>
    <row r="26" spans="1:23" ht="15" customHeight="1" x14ac:dyDescent="0.3">
      <c r="I26" s="378"/>
      <c r="J26" s="378"/>
      <c r="K26" s="378"/>
      <c r="L26" s="378"/>
      <c r="M26" s="378"/>
      <c r="N26" s="378"/>
      <c r="O26" s="378"/>
      <c r="Q26" s="378"/>
      <c r="R26" s="378"/>
      <c r="S26" s="378"/>
      <c r="T26" s="378"/>
      <c r="U26" s="378"/>
      <c r="V26" s="378"/>
      <c r="W26" s="378"/>
    </row>
    <row r="27" spans="1:23" ht="15" customHeight="1" x14ac:dyDescent="0.3">
      <c r="I27" s="378"/>
      <c r="J27" s="378"/>
      <c r="K27" s="378"/>
      <c r="L27" s="378"/>
      <c r="M27" s="378"/>
      <c r="N27" s="378"/>
      <c r="O27" s="378"/>
      <c r="Q27" s="56"/>
      <c r="R27" s="56"/>
      <c r="S27" s="56"/>
      <c r="T27" s="56"/>
      <c r="U27" s="56"/>
      <c r="V27" s="56"/>
      <c r="W27" s="56"/>
    </row>
    <row r="28" spans="1:23" ht="14.25" customHeight="1" x14ac:dyDescent="0.3">
      <c r="A28" s="379" t="s">
        <v>163</v>
      </c>
      <c r="B28" s="379"/>
      <c r="C28" s="379"/>
      <c r="D28" s="379"/>
      <c r="E28" s="379"/>
      <c r="F28" s="379"/>
      <c r="I28" s="56"/>
      <c r="J28" s="56"/>
      <c r="K28" s="56"/>
      <c r="L28" s="56"/>
      <c r="M28" s="56"/>
      <c r="N28" s="56"/>
      <c r="O28" s="56"/>
    </row>
    <row r="29" spans="1:23" ht="14.25" customHeight="1" x14ac:dyDescent="0.3">
      <c r="A29" s="379"/>
      <c r="B29" s="379"/>
      <c r="C29" s="379"/>
      <c r="D29" s="379"/>
      <c r="E29" s="379"/>
      <c r="F29" s="379"/>
      <c r="I29" s="56"/>
      <c r="J29" s="56"/>
      <c r="K29" s="56"/>
      <c r="L29" s="56"/>
      <c r="M29" s="56"/>
      <c r="N29" s="56"/>
      <c r="O29" s="56"/>
    </row>
    <row r="30" spans="1:23" ht="14.25" customHeight="1" x14ac:dyDescent="0.3">
      <c r="A30" s="379"/>
      <c r="B30" s="379"/>
      <c r="C30" s="379"/>
      <c r="D30" s="379"/>
      <c r="E30" s="379"/>
      <c r="F30" s="379"/>
      <c r="I30" s="56"/>
      <c r="J30" s="56"/>
      <c r="K30" s="56"/>
      <c r="L30" s="56"/>
      <c r="M30" s="56"/>
      <c r="N30" s="56"/>
      <c r="O30" s="56"/>
    </row>
    <row r="31" spans="1:23" ht="14.25" customHeight="1" x14ac:dyDescent="0.3">
      <c r="A31" s="379"/>
      <c r="B31" s="379"/>
      <c r="C31" s="379"/>
      <c r="D31" s="379"/>
      <c r="E31" s="379"/>
      <c r="F31" s="379"/>
      <c r="I31" s="56"/>
      <c r="J31" s="56"/>
      <c r="K31" s="56"/>
      <c r="L31" s="56"/>
      <c r="M31" s="56"/>
      <c r="N31" s="56"/>
      <c r="O31" s="56"/>
    </row>
    <row r="32" spans="1:23" ht="14.25" customHeight="1" x14ac:dyDescent="0.3">
      <c r="A32" s="379"/>
      <c r="B32" s="379"/>
      <c r="C32" s="379"/>
      <c r="D32" s="379"/>
      <c r="E32" s="379"/>
      <c r="F32" s="379"/>
      <c r="I32" s="56"/>
      <c r="J32" s="56"/>
      <c r="K32" s="56"/>
      <c r="L32" s="56"/>
      <c r="M32" s="56"/>
      <c r="N32" s="56"/>
      <c r="O32" s="56"/>
    </row>
    <row r="33" spans="1:23" ht="15" customHeight="1" x14ac:dyDescent="0.3">
      <c r="A33" s="379"/>
      <c r="B33" s="379"/>
      <c r="C33" s="379"/>
      <c r="D33" s="379"/>
      <c r="E33" s="379"/>
      <c r="F33" s="379"/>
    </row>
    <row r="34" spans="1:23" ht="14.25" customHeight="1" x14ac:dyDescent="0.3">
      <c r="A34" s="57"/>
      <c r="B34" s="57"/>
      <c r="C34" s="57"/>
      <c r="D34" s="57"/>
      <c r="E34" s="57"/>
      <c r="F34" s="57"/>
    </row>
    <row r="35" spans="1:23" ht="14.25" customHeight="1" x14ac:dyDescent="0.3">
      <c r="A35" s="57"/>
      <c r="B35" s="57"/>
      <c r="C35" s="57"/>
      <c r="D35" s="57"/>
      <c r="E35" s="57"/>
      <c r="F35" s="57"/>
    </row>
    <row r="44" spans="1:23" ht="15" customHeight="1" x14ac:dyDescent="0.3"/>
    <row r="45" spans="1:23" ht="14.25" customHeight="1" x14ac:dyDescent="0.3">
      <c r="I45" s="378" t="s">
        <v>164</v>
      </c>
      <c r="J45" s="378"/>
      <c r="K45" s="378"/>
      <c r="L45" s="378"/>
      <c r="M45" s="378"/>
      <c r="N45" s="378"/>
      <c r="O45" s="378"/>
      <c r="Q45" s="378" t="s">
        <v>165</v>
      </c>
      <c r="R45" s="378"/>
      <c r="S45" s="378"/>
      <c r="T45" s="378"/>
      <c r="U45" s="378"/>
      <c r="V45" s="378"/>
      <c r="W45" s="378"/>
    </row>
    <row r="46" spans="1:23" ht="14.25" customHeight="1" x14ac:dyDescent="0.3">
      <c r="I46" s="378"/>
      <c r="J46" s="378"/>
      <c r="K46" s="378"/>
      <c r="L46" s="378"/>
      <c r="M46" s="378"/>
      <c r="N46" s="378"/>
      <c r="O46" s="378"/>
      <c r="Q46" s="378"/>
      <c r="R46" s="378"/>
      <c r="S46" s="378"/>
      <c r="T46" s="378"/>
      <c r="U46" s="378"/>
      <c r="V46" s="378"/>
      <c r="W46" s="378"/>
    </row>
    <row r="47" spans="1:23" ht="14.25" customHeight="1" x14ac:dyDescent="0.3">
      <c r="I47" s="378"/>
      <c r="J47" s="378"/>
      <c r="K47" s="378"/>
      <c r="L47" s="378"/>
      <c r="M47" s="378"/>
      <c r="N47" s="378"/>
      <c r="O47" s="378"/>
      <c r="Q47" s="378"/>
      <c r="R47" s="378"/>
      <c r="S47" s="378"/>
      <c r="T47" s="378"/>
      <c r="U47" s="378"/>
      <c r="V47" s="378"/>
      <c r="W47" s="378"/>
    </row>
    <row r="48" spans="1:23" ht="14.25" customHeight="1" x14ac:dyDescent="0.3">
      <c r="I48" s="378"/>
      <c r="J48" s="378"/>
      <c r="K48" s="378"/>
      <c r="L48" s="378"/>
      <c r="M48" s="378"/>
      <c r="N48" s="378"/>
      <c r="O48" s="378"/>
      <c r="Q48" s="378"/>
      <c r="R48" s="378"/>
      <c r="S48" s="378"/>
      <c r="T48" s="378"/>
      <c r="U48" s="378"/>
      <c r="V48" s="378"/>
      <c r="W48" s="378"/>
    </row>
    <row r="49" spans="9:23" ht="14.25" customHeight="1" x14ac:dyDescent="0.3">
      <c r="I49" s="378"/>
      <c r="J49" s="378"/>
      <c r="K49" s="378"/>
      <c r="L49" s="378"/>
      <c r="M49" s="378"/>
      <c r="N49" s="378"/>
      <c r="O49" s="378"/>
      <c r="Q49" s="378"/>
      <c r="R49" s="378"/>
      <c r="S49" s="378"/>
      <c r="T49" s="378"/>
      <c r="U49" s="378"/>
      <c r="V49" s="378"/>
      <c r="W49" s="378"/>
    </row>
    <row r="50" spans="9:23" ht="14.25" customHeight="1" x14ac:dyDescent="0.3">
      <c r="I50" s="378"/>
      <c r="J50" s="378"/>
      <c r="K50" s="378"/>
      <c r="L50" s="378"/>
      <c r="M50" s="378"/>
      <c r="N50" s="378"/>
      <c r="O50" s="378"/>
      <c r="Q50" s="378"/>
      <c r="R50" s="378"/>
      <c r="S50" s="378"/>
      <c r="T50" s="378"/>
      <c r="U50" s="378"/>
      <c r="V50" s="378"/>
      <c r="W50" s="378"/>
    </row>
    <row r="51" spans="9:23" ht="14.25" customHeight="1" x14ac:dyDescent="0.3">
      <c r="I51" s="378"/>
      <c r="J51" s="378"/>
      <c r="K51" s="378"/>
      <c r="L51" s="378"/>
      <c r="M51" s="378"/>
      <c r="N51" s="378"/>
      <c r="O51" s="378"/>
      <c r="Q51" s="378"/>
      <c r="R51" s="378"/>
      <c r="S51" s="378"/>
      <c r="T51" s="378"/>
      <c r="U51" s="378"/>
      <c r="V51" s="378"/>
      <c r="W51" s="378"/>
    </row>
    <row r="52" spans="9:23" ht="15" customHeight="1" x14ac:dyDescent="0.3">
      <c r="I52" s="378"/>
      <c r="J52" s="378"/>
      <c r="K52" s="378"/>
      <c r="L52" s="378"/>
      <c r="M52" s="378"/>
      <c r="N52" s="378"/>
      <c r="O52" s="378"/>
      <c r="Q52" s="378"/>
      <c r="R52" s="378"/>
      <c r="S52" s="378"/>
      <c r="T52" s="378"/>
      <c r="U52" s="378"/>
      <c r="V52" s="378"/>
      <c r="W52" s="378"/>
    </row>
    <row r="53" spans="9:23" ht="15" customHeight="1" x14ac:dyDescent="0.3">
      <c r="I53" s="378"/>
      <c r="J53" s="378"/>
      <c r="K53" s="378"/>
      <c r="L53" s="378"/>
      <c r="M53" s="378"/>
      <c r="N53" s="378"/>
      <c r="O53" s="378"/>
    </row>
    <row r="54" spans="9:23" ht="14.25" customHeight="1" x14ac:dyDescent="0.3">
      <c r="I54" s="58"/>
      <c r="J54" s="58"/>
      <c r="K54" s="58"/>
      <c r="L54" s="58"/>
      <c r="M54" s="58"/>
      <c r="N54" s="58"/>
      <c r="O54" s="58"/>
    </row>
    <row r="55" spans="9:23" ht="14.25" customHeight="1" x14ac:dyDescent="0.3">
      <c r="I55" s="58"/>
      <c r="J55" s="58"/>
      <c r="K55" s="58"/>
      <c r="L55" s="58"/>
      <c r="M55" s="58"/>
      <c r="N55" s="58"/>
      <c r="O55" s="58"/>
    </row>
  </sheetData>
  <mergeCells count="5">
    <mergeCell ref="I18:O27"/>
    <mergeCell ref="Q18:W26"/>
    <mergeCell ref="A28:F33"/>
    <mergeCell ref="I45:O53"/>
    <mergeCell ref="Q45:W52"/>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3"/>
  <sheetViews>
    <sheetView topLeftCell="D1" zoomScaleNormal="100" workbookViewId="0"/>
  </sheetViews>
  <sheetFormatPr defaultColWidth="8.5546875" defaultRowHeight="14.4" x14ac:dyDescent="0.3"/>
  <cols>
    <col min="1" max="1" width="6" customWidth="1"/>
    <col min="2" max="2" width="16.33203125" customWidth="1"/>
    <col min="3" max="3" width="19" customWidth="1"/>
    <col min="4" max="4" width="15.88671875" customWidth="1"/>
    <col min="5" max="5" width="14.88671875" customWidth="1"/>
    <col min="6" max="6" width="15" customWidth="1"/>
    <col min="7" max="7" width="17.77734375" customWidth="1"/>
  </cols>
  <sheetData>
    <row r="1" spans="1:7" ht="41.25" customHeight="1" x14ac:dyDescent="0.3">
      <c r="A1" s="38" t="s">
        <v>154</v>
      </c>
      <c r="B1" s="39" t="s">
        <v>166</v>
      </c>
      <c r="C1" s="39" t="s">
        <v>167</v>
      </c>
      <c r="D1" s="39" t="s">
        <v>168</v>
      </c>
      <c r="E1" s="39" t="s">
        <v>169</v>
      </c>
      <c r="F1" s="39" t="s">
        <v>170</v>
      </c>
      <c r="G1" s="40" t="s">
        <v>171</v>
      </c>
    </row>
    <row r="2" spans="1:7" ht="14.25" customHeight="1" x14ac:dyDescent="0.3">
      <c r="A2" s="59">
        <v>2015</v>
      </c>
      <c r="B2" s="60">
        <v>848</v>
      </c>
      <c r="C2" s="60">
        <v>612</v>
      </c>
      <c r="D2" s="60">
        <v>236</v>
      </c>
      <c r="E2" s="60">
        <v>900</v>
      </c>
      <c r="F2" s="60" t="s">
        <v>172</v>
      </c>
      <c r="G2" s="61">
        <v>0.3</v>
      </c>
    </row>
    <row r="3" spans="1:7" ht="14.25" customHeight="1" x14ac:dyDescent="0.3">
      <c r="A3" s="59">
        <v>2016</v>
      </c>
      <c r="B3" s="60">
        <v>666</v>
      </c>
      <c r="C3" s="60">
        <v>458</v>
      </c>
      <c r="D3" s="60">
        <v>208</v>
      </c>
      <c r="E3" s="60">
        <v>780</v>
      </c>
      <c r="F3" s="60" t="s">
        <v>173</v>
      </c>
      <c r="G3" s="61">
        <v>0.32</v>
      </c>
    </row>
    <row r="4" spans="1:7" ht="14.25" customHeight="1" x14ac:dyDescent="0.3">
      <c r="A4" s="59">
        <v>2017</v>
      </c>
      <c r="B4" s="60">
        <v>727</v>
      </c>
      <c r="C4" s="60">
        <v>562</v>
      </c>
      <c r="D4" s="60">
        <v>165</v>
      </c>
      <c r="E4" s="60">
        <v>880</v>
      </c>
      <c r="F4" s="60" t="s">
        <v>172</v>
      </c>
      <c r="G4" s="61">
        <v>0.34</v>
      </c>
    </row>
    <row r="5" spans="1:7" ht="14.25" customHeight="1" x14ac:dyDescent="0.3">
      <c r="A5" s="59">
        <v>2018</v>
      </c>
      <c r="B5" s="60">
        <v>760</v>
      </c>
      <c r="C5" s="60">
        <v>598</v>
      </c>
      <c r="D5" s="60">
        <v>162</v>
      </c>
      <c r="E5" s="60">
        <v>950</v>
      </c>
      <c r="F5" s="60" t="s">
        <v>173</v>
      </c>
      <c r="G5" s="61">
        <v>0.36</v>
      </c>
    </row>
    <row r="6" spans="1:7" ht="14.25" customHeight="1" x14ac:dyDescent="0.3">
      <c r="A6" s="59">
        <v>2019</v>
      </c>
      <c r="B6" s="60">
        <v>690</v>
      </c>
      <c r="C6" s="60">
        <v>544</v>
      </c>
      <c r="D6" s="60">
        <v>146</v>
      </c>
      <c r="E6" s="60">
        <v>840</v>
      </c>
      <c r="F6" s="60" t="s">
        <v>173</v>
      </c>
      <c r="G6" s="61">
        <v>0.38</v>
      </c>
    </row>
    <row r="7" spans="1:7" ht="14.25" customHeight="1" x14ac:dyDescent="0.3">
      <c r="A7" s="59">
        <v>2020</v>
      </c>
      <c r="B7" s="60">
        <v>446</v>
      </c>
      <c r="C7" s="60">
        <v>315</v>
      </c>
      <c r="D7" s="60">
        <v>131</v>
      </c>
      <c r="E7" s="60">
        <v>580</v>
      </c>
      <c r="F7" s="60" t="s">
        <v>174</v>
      </c>
      <c r="G7" s="61">
        <v>0.4</v>
      </c>
    </row>
    <row r="8" spans="1:7" ht="14.25" customHeight="1" x14ac:dyDescent="0.3">
      <c r="A8" s="59">
        <v>2021</v>
      </c>
      <c r="B8" s="60">
        <v>797</v>
      </c>
      <c r="C8" s="60">
        <v>611</v>
      </c>
      <c r="D8" s="60">
        <v>186</v>
      </c>
      <c r="E8" s="62">
        <v>1050</v>
      </c>
      <c r="F8" s="60" t="s">
        <v>175</v>
      </c>
      <c r="G8" s="61">
        <v>0.42</v>
      </c>
    </row>
    <row r="9" spans="1:7" ht="14.25" customHeight="1" x14ac:dyDescent="0.3">
      <c r="A9" s="59">
        <v>2022</v>
      </c>
      <c r="B9" s="60">
        <v>774</v>
      </c>
      <c r="C9" s="60">
        <v>600</v>
      </c>
      <c r="D9" s="60">
        <v>174</v>
      </c>
      <c r="E9" s="60">
        <v>990</v>
      </c>
      <c r="F9" s="60" t="s">
        <v>173</v>
      </c>
      <c r="G9" s="61">
        <v>0.44</v>
      </c>
    </row>
    <row r="10" spans="1:7" ht="14.25" customHeight="1" x14ac:dyDescent="0.3">
      <c r="A10" s="59">
        <v>2023</v>
      </c>
      <c r="B10" s="60">
        <v>747</v>
      </c>
      <c r="C10" s="60">
        <v>575</v>
      </c>
      <c r="D10" s="60">
        <v>172</v>
      </c>
      <c r="E10" s="60">
        <v>920</v>
      </c>
      <c r="F10" s="60" t="s">
        <v>173</v>
      </c>
      <c r="G10" s="61">
        <v>0.46</v>
      </c>
    </row>
    <row r="11" spans="1:7" ht="14.25" customHeight="1" x14ac:dyDescent="0.3">
      <c r="A11" s="59">
        <v>2024</v>
      </c>
      <c r="B11" s="60">
        <v>780</v>
      </c>
      <c r="C11" s="60">
        <v>600</v>
      </c>
      <c r="D11" s="60">
        <v>180</v>
      </c>
      <c r="E11" s="60">
        <v>950</v>
      </c>
      <c r="F11" s="60" t="s">
        <v>176</v>
      </c>
      <c r="G11" s="61">
        <v>0.48</v>
      </c>
    </row>
    <row r="12" spans="1:7" ht="15" customHeight="1" x14ac:dyDescent="0.3">
      <c r="A12" s="63">
        <v>2025</v>
      </c>
      <c r="B12" s="64">
        <v>800</v>
      </c>
      <c r="C12" s="64">
        <v>620</v>
      </c>
      <c r="D12" s="64">
        <v>180</v>
      </c>
      <c r="E12" s="64">
        <v>970</v>
      </c>
      <c r="F12" s="64" t="s">
        <v>176</v>
      </c>
      <c r="G12" s="65">
        <v>0.5</v>
      </c>
    </row>
    <row r="17" spans="1:24" ht="15" customHeight="1" x14ac:dyDescent="0.3">
      <c r="A17" s="380" t="s">
        <v>177</v>
      </c>
      <c r="B17" s="380"/>
      <c r="C17" s="380"/>
      <c r="D17" s="380"/>
      <c r="E17" s="380"/>
      <c r="F17" s="380"/>
      <c r="G17" s="380"/>
    </row>
    <row r="18" spans="1:24" ht="14.25" customHeight="1" x14ac:dyDescent="0.3">
      <c r="A18" s="380"/>
      <c r="B18" s="380"/>
      <c r="C18" s="380"/>
      <c r="D18" s="380"/>
      <c r="E18" s="380"/>
      <c r="F18" s="380"/>
      <c r="G18" s="380"/>
      <c r="I18" s="378" t="s">
        <v>178</v>
      </c>
      <c r="J18" s="378"/>
      <c r="K18" s="378"/>
      <c r="L18" s="378"/>
      <c r="M18" s="378"/>
      <c r="N18" s="378"/>
      <c r="O18" s="378"/>
      <c r="R18" s="378" t="s">
        <v>179</v>
      </c>
      <c r="S18" s="378"/>
      <c r="T18" s="378"/>
      <c r="U18" s="378"/>
      <c r="V18" s="378"/>
      <c r="W18" s="378"/>
      <c r="X18" s="378"/>
    </row>
    <row r="19" spans="1:24" ht="14.25" customHeight="1" x14ac:dyDescent="0.3">
      <c r="A19" s="380"/>
      <c r="B19" s="380"/>
      <c r="C19" s="380"/>
      <c r="D19" s="380"/>
      <c r="E19" s="380"/>
      <c r="F19" s="380"/>
      <c r="G19" s="380"/>
      <c r="I19" s="378"/>
      <c r="J19" s="378"/>
      <c r="K19" s="378"/>
      <c r="L19" s="378"/>
      <c r="M19" s="378"/>
      <c r="N19" s="378"/>
      <c r="O19" s="378"/>
      <c r="R19" s="378"/>
      <c r="S19" s="378"/>
      <c r="T19" s="378"/>
      <c r="U19" s="378"/>
      <c r="V19" s="378"/>
      <c r="W19" s="378"/>
      <c r="X19" s="378"/>
    </row>
    <row r="20" spans="1:24" ht="14.25" customHeight="1" x14ac:dyDescent="0.3">
      <c r="A20" s="380"/>
      <c r="B20" s="380"/>
      <c r="C20" s="380"/>
      <c r="D20" s="380"/>
      <c r="E20" s="380"/>
      <c r="F20" s="380"/>
      <c r="G20" s="380"/>
      <c r="I20" s="378"/>
      <c r="J20" s="378"/>
      <c r="K20" s="378"/>
      <c r="L20" s="378"/>
      <c r="M20" s="378"/>
      <c r="N20" s="378"/>
      <c r="O20" s="378"/>
      <c r="R20" s="378"/>
      <c r="S20" s="378"/>
      <c r="T20" s="378"/>
      <c r="U20" s="378"/>
      <c r="V20" s="378"/>
      <c r="W20" s="378"/>
      <c r="X20" s="378"/>
    </row>
    <row r="21" spans="1:24" ht="14.25" customHeight="1" x14ac:dyDescent="0.3">
      <c r="A21" s="380"/>
      <c r="B21" s="380"/>
      <c r="C21" s="380"/>
      <c r="D21" s="380"/>
      <c r="E21" s="380"/>
      <c r="F21" s="380"/>
      <c r="G21" s="380"/>
      <c r="I21" s="378"/>
      <c r="J21" s="378"/>
      <c r="K21" s="378"/>
      <c r="L21" s="378"/>
      <c r="M21" s="378"/>
      <c r="N21" s="378"/>
      <c r="O21" s="378"/>
      <c r="R21" s="378"/>
      <c r="S21" s="378"/>
      <c r="T21" s="378"/>
      <c r="U21" s="378"/>
      <c r="V21" s="378"/>
      <c r="W21" s="378"/>
      <c r="X21" s="378"/>
    </row>
    <row r="22" spans="1:24" ht="14.25" customHeight="1" x14ac:dyDescent="0.3">
      <c r="A22" s="380"/>
      <c r="B22" s="380"/>
      <c r="C22" s="380"/>
      <c r="D22" s="380"/>
      <c r="E22" s="380"/>
      <c r="F22" s="380"/>
      <c r="G22" s="380"/>
      <c r="I22" s="378"/>
      <c r="J22" s="378"/>
      <c r="K22" s="378"/>
      <c r="L22" s="378"/>
      <c r="M22" s="378"/>
      <c r="N22" s="378"/>
      <c r="O22" s="378"/>
      <c r="R22" s="378"/>
      <c r="S22" s="378"/>
      <c r="T22" s="378"/>
      <c r="U22" s="378"/>
      <c r="V22" s="378"/>
      <c r="W22" s="378"/>
      <c r="X22" s="378"/>
    </row>
    <row r="23" spans="1:24" ht="14.25" customHeight="1" x14ac:dyDescent="0.3">
      <c r="A23" s="380"/>
      <c r="B23" s="380"/>
      <c r="C23" s="380"/>
      <c r="D23" s="380"/>
      <c r="E23" s="380"/>
      <c r="F23" s="380"/>
      <c r="G23" s="380"/>
      <c r="I23" s="378"/>
      <c r="J23" s="378"/>
      <c r="K23" s="378"/>
      <c r="L23" s="378"/>
      <c r="M23" s="378"/>
      <c r="N23" s="378"/>
      <c r="O23" s="378"/>
      <c r="R23" s="378"/>
      <c r="S23" s="378"/>
      <c r="T23" s="378"/>
      <c r="U23" s="378"/>
      <c r="V23" s="378"/>
      <c r="W23" s="378"/>
      <c r="X23" s="378"/>
    </row>
    <row r="24" spans="1:24" ht="14.25" customHeight="1" x14ac:dyDescent="0.3">
      <c r="A24" s="380"/>
      <c r="B24" s="380"/>
      <c r="C24" s="380"/>
      <c r="D24" s="380"/>
      <c r="E24" s="380"/>
      <c r="F24" s="380"/>
      <c r="G24" s="380"/>
      <c r="I24" s="378"/>
      <c r="J24" s="378"/>
      <c r="K24" s="378"/>
      <c r="L24" s="378"/>
      <c r="M24" s="378"/>
      <c r="N24" s="378"/>
      <c r="O24" s="378"/>
      <c r="R24" s="378"/>
      <c r="S24" s="378"/>
      <c r="T24" s="378"/>
      <c r="U24" s="378"/>
      <c r="V24" s="378"/>
      <c r="W24" s="378"/>
      <c r="X24" s="378"/>
    </row>
    <row r="25" spans="1:24" ht="14.25" customHeight="1" x14ac:dyDescent="0.3">
      <c r="A25" s="380"/>
      <c r="B25" s="380"/>
      <c r="C25" s="380"/>
      <c r="D25" s="380"/>
      <c r="E25" s="380"/>
      <c r="F25" s="380"/>
      <c r="G25" s="380"/>
      <c r="I25" s="378"/>
      <c r="J25" s="378"/>
      <c r="K25" s="378"/>
      <c r="L25" s="378"/>
      <c r="M25" s="378"/>
      <c r="N25" s="378"/>
      <c r="O25" s="378"/>
      <c r="R25" s="378"/>
      <c r="S25" s="378"/>
      <c r="T25" s="378"/>
      <c r="U25" s="378"/>
      <c r="V25" s="378"/>
      <c r="W25" s="378"/>
      <c r="X25" s="378"/>
    </row>
    <row r="26" spans="1:24" ht="15" customHeight="1" x14ac:dyDescent="0.3">
      <c r="A26" s="380"/>
      <c r="B26" s="380"/>
      <c r="C26" s="380"/>
      <c r="D26" s="380"/>
      <c r="E26" s="380"/>
      <c r="F26" s="380"/>
      <c r="G26" s="380"/>
      <c r="I26" s="378"/>
      <c r="J26" s="378"/>
      <c r="K26" s="378"/>
      <c r="L26" s="378"/>
      <c r="M26" s="378"/>
      <c r="N26" s="378"/>
      <c r="O26" s="378"/>
      <c r="R26" s="378"/>
      <c r="S26" s="378"/>
      <c r="T26" s="378"/>
      <c r="U26" s="378"/>
      <c r="V26" s="378"/>
      <c r="W26" s="378"/>
      <c r="X26" s="378"/>
    </row>
    <row r="27" spans="1:24" ht="15" customHeight="1" x14ac:dyDescent="0.3">
      <c r="A27" s="380"/>
      <c r="B27" s="380"/>
      <c r="C27" s="380"/>
      <c r="D27" s="380"/>
      <c r="E27" s="380"/>
      <c r="F27" s="380"/>
      <c r="G27" s="380"/>
      <c r="I27" s="378"/>
      <c r="J27" s="378"/>
      <c r="K27" s="378"/>
      <c r="L27" s="378"/>
      <c r="M27" s="378"/>
      <c r="N27" s="378"/>
      <c r="O27" s="378"/>
      <c r="R27" s="58"/>
      <c r="S27" s="58"/>
      <c r="T27" s="58"/>
      <c r="U27" s="58"/>
      <c r="V27" s="58"/>
      <c r="W27" s="58"/>
      <c r="X27" s="58"/>
    </row>
    <row r="28" spans="1:24" ht="14.25" customHeight="1" x14ac:dyDescent="0.3">
      <c r="A28" s="66"/>
      <c r="B28" s="66"/>
      <c r="C28" s="66"/>
      <c r="D28" s="66"/>
      <c r="E28" s="66"/>
      <c r="F28" s="66"/>
      <c r="G28" s="66"/>
    </row>
    <row r="29" spans="1:24" ht="14.25" customHeight="1" x14ac:dyDescent="0.3">
      <c r="A29" s="66"/>
      <c r="B29" s="66"/>
      <c r="C29" s="66"/>
      <c r="D29" s="66"/>
      <c r="E29" s="66"/>
      <c r="F29" s="66"/>
      <c r="G29" s="66"/>
    </row>
    <row r="44" spans="9:24" ht="15" customHeight="1" x14ac:dyDescent="0.3"/>
    <row r="45" spans="9:24" ht="14.25" customHeight="1" x14ac:dyDescent="0.3">
      <c r="I45" s="378" t="s">
        <v>180</v>
      </c>
      <c r="J45" s="378"/>
      <c r="K45" s="378"/>
      <c r="L45" s="378"/>
      <c r="M45" s="378"/>
      <c r="N45" s="378"/>
      <c r="O45" s="378"/>
      <c r="R45" s="378" t="s">
        <v>181</v>
      </c>
      <c r="S45" s="378"/>
      <c r="T45" s="378"/>
      <c r="U45" s="378"/>
      <c r="V45" s="378"/>
      <c r="W45" s="378"/>
      <c r="X45" s="378"/>
    </row>
    <row r="46" spans="9:24" ht="14.25" customHeight="1" x14ac:dyDescent="0.3">
      <c r="I46" s="378"/>
      <c r="J46" s="378"/>
      <c r="K46" s="378"/>
      <c r="L46" s="378"/>
      <c r="M46" s="378"/>
      <c r="N46" s="378"/>
      <c r="O46" s="378"/>
      <c r="R46" s="378"/>
      <c r="S46" s="378"/>
      <c r="T46" s="378"/>
      <c r="U46" s="378"/>
      <c r="V46" s="378"/>
      <c r="W46" s="378"/>
      <c r="X46" s="378"/>
    </row>
    <row r="47" spans="9:24" ht="14.25" customHeight="1" x14ac:dyDescent="0.3">
      <c r="I47" s="378"/>
      <c r="J47" s="378"/>
      <c r="K47" s="378"/>
      <c r="L47" s="378"/>
      <c r="M47" s="378"/>
      <c r="N47" s="378"/>
      <c r="O47" s="378"/>
      <c r="R47" s="378"/>
      <c r="S47" s="378"/>
      <c r="T47" s="378"/>
      <c r="U47" s="378"/>
      <c r="V47" s="378"/>
      <c r="W47" s="378"/>
      <c r="X47" s="378"/>
    </row>
    <row r="48" spans="9:24" ht="14.25" customHeight="1" x14ac:dyDescent="0.3">
      <c r="I48" s="378"/>
      <c r="J48" s="378"/>
      <c r="K48" s="378"/>
      <c r="L48" s="378"/>
      <c r="M48" s="378"/>
      <c r="N48" s="378"/>
      <c r="O48" s="378"/>
      <c r="R48" s="378"/>
      <c r="S48" s="378"/>
      <c r="T48" s="378"/>
      <c r="U48" s="378"/>
      <c r="V48" s="378"/>
      <c r="W48" s="378"/>
      <c r="X48" s="378"/>
    </row>
    <row r="49" spans="9:24" ht="14.25" customHeight="1" x14ac:dyDescent="0.3">
      <c r="I49" s="378"/>
      <c r="J49" s="378"/>
      <c r="K49" s="378"/>
      <c r="L49" s="378"/>
      <c r="M49" s="378"/>
      <c r="N49" s="378"/>
      <c r="O49" s="378"/>
      <c r="R49" s="378"/>
      <c r="S49" s="378"/>
      <c r="T49" s="378"/>
      <c r="U49" s="378"/>
      <c r="V49" s="378"/>
      <c r="W49" s="378"/>
      <c r="X49" s="378"/>
    </row>
    <row r="50" spans="9:24" ht="14.25" customHeight="1" x14ac:dyDescent="0.3">
      <c r="I50" s="378"/>
      <c r="J50" s="378"/>
      <c r="K50" s="378"/>
      <c r="L50" s="378"/>
      <c r="M50" s="378"/>
      <c r="N50" s="378"/>
      <c r="O50" s="378"/>
      <c r="R50" s="378"/>
      <c r="S50" s="378"/>
      <c r="T50" s="378"/>
      <c r="U50" s="378"/>
      <c r="V50" s="378"/>
      <c r="W50" s="378"/>
      <c r="X50" s="378"/>
    </row>
    <row r="51" spans="9:24" ht="15" customHeight="1" x14ac:dyDescent="0.3">
      <c r="I51" s="378"/>
      <c r="J51" s="378"/>
      <c r="K51" s="378"/>
      <c r="L51" s="378"/>
      <c r="M51" s="378"/>
      <c r="N51" s="378"/>
      <c r="O51" s="378"/>
      <c r="R51" s="378"/>
      <c r="S51" s="378"/>
      <c r="T51" s="378"/>
      <c r="U51" s="378"/>
      <c r="V51" s="378"/>
      <c r="W51" s="378"/>
      <c r="X51" s="378"/>
    </row>
    <row r="52" spans="9:24" ht="14.25" customHeight="1" x14ac:dyDescent="0.3">
      <c r="I52" s="67"/>
      <c r="J52" s="67"/>
      <c r="K52" s="67"/>
      <c r="L52" s="67"/>
      <c r="M52" s="67"/>
      <c r="N52" s="67"/>
      <c r="O52" s="67"/>
    </row>
    <row r="53" spans="9:24" ht="14.25" customHeight="1" x14ac:dyDescent="0.3">
      <c r="I53" s="67"/>
      <c r="J53" s="67"/>
      <c r="K53" s="67"/>
      <c r="L53" s="67"/>
      <c r="M53" s="67"/>
      <c r="N53" s="67"/>
      <c r="O53" s="67"/>
    </row>
  </sheetData>
  <mergeCells count="5">
    <mergeCell ref="A17:G27"/>
    <mergeCell ref="I18:O27"/>
    <mergeCell ref="R18:X26"/>
    <mergeCell ref="I45:O51"/>
    <mergeCell ref="R45:X51"/>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720"/>
  <sheetViews>
    <sheetView topLeftCell="C1" zoomScaleNormal="100" workbookViewId="0">
      <selection activeCell="F25" sqref="F25"/>
    </sheetView>
  </sheetViews>
  <sheetFormatPr defaultColWidth="8.5546875" defaultRowHeight="14.4" x14ac:dyDescent="0.3"/>
  <cols>
    <col min="1" max="2" width="9.88671875" customWidth="1"/>
    <col min="3" max="3" width="19.77734375" customWidth="1"/>
    <col min="4" max="4" width="20.44140625" customWidth="1"/>
    <col min="5" max="5" width="16.33203125" customWidth="1"/>
    <col min="6" max="6" width="12" customWidth="1"/>
    <col min="11" max="11" width="7" customWidth="1"/>
    <col min="12" max="12" width="12.21875" customWidth="1"/>
    <col min="13" max="13" width="11.5546875" customWidth="1"/>
    <col min="14" max="14" width="12.33203125" customWidth="1"/>
  </cols>
  <sheetData>
    <row r="1" spans="1:14" ht="15.75" customHeight="1" x14ac:dyDescent="0.3">
      <c r="A1" s="381" t="s">
        <v>182</v>
      </c>
      <c r="B1" s="381"/>
      <c r="C1" s="381"/>
      <c r="D1" s="381"/>
      <c r="E1" s="381"/>
      <c r="F1" s="381"/>
      <c r="H1" s="382" t="s">
        <v>183</v>
      </c>
      <c r="I1" s="382"/>
      <c r="J1" s="382"/>
      <c r="K1" s="382"/>
      <c r="L1" s="382"/>
      <c r="M1" s="382"/>
      <c r="N1" s="382"/>
    </row>
    <row r="2" spans="1:14" ht="15" customHeight="1" x14ac:dyDescent="0.3">
      <c r="A2" s="68" t="s">
        <v>184</v>
      </c>
      <c r="B2" s="69" t="s">
        <v>185</v>
      </c>
      <c r="C2" s="69" t="s">
        <v>186</v>
      </c>
      <c r="D2" s="69" t="s">
        <v>187</v>
      </c>
      <c r="E2" s="69" t="s">
        <v>188</v>
      </c>
      <c r="F2" s="70" t="s">
        <v>189</v>
      </c>
      <c r="H2" s="68" t="s">
        <v>190</v>
      </c>
      <c r="I2" s="70" t="s">
        <v>191</v>
      </c>
      <c r="K2" s="68" t="s">
        <v>192</v>
      </c>
      <c r="L2" s="71" t="s">
        <v>193</v>
      </c>
      <c r="M2" s="71" t="s">
        <v>194</v>
      </c>
      <c r="N2" s="72" t="s">
        <v>195</v>
      </c>
    </row>
    <row r="3" spans="1:14" ht="14.25" customHeight="1" x14ac:dyDescent="0.3">
      <c r="A3" s="73">
        <v>40546</v>
      </c>
      <c r="B3" s="74">
        <v>20561.05</v>
      </c>
      <c r="C3" s="74">
        <v>3682.4</v>
      </c>
      <c r="D3" s="74"/>
      <c r="E3" s="74"/>
      <c r="F3" s="75"/>
      <c r="H3" s="76" t="s">
        <v>196</v>
      </c>
      <c r="I3" s="77">
        <v>28553</v>
      </c>
      <c r="K3" s="76">
        <v>1</v>
      </c>
      <c r="L3" s="49">
        <v>0</v>
      </c>
      <c r="M3" s="49">
        <v>0</v>
      </c>
      <c r="N3" s="78">
        <f t="shared" ref="N3:N8" si="0">$I$8*(1+(M3)*(1-$I$5))</f>
        <v>0.30254072863285492</v>
      </c>
    </row>
    <row r="4" spans="1:14" ht="14.25" customHeight="1" x14ac:dyDescent="0.3">
      <c r="A4" s="73">
        <v>40547</v>
      </c>
      <c r="B4" s="74">
        <v>20498.72</v>
      </c>
      <c r="C4" s="74">
        <v>3657.9</v>
      </c>
      <c r="D4" s="74">
        <f t="shared" ref="D4:D67" si="1">LN(B4/B3)</f>
        <v>-3.0360641512694703E-3</v>
      </c>
      <c r="E4" s="74">
        <f t="shared" ref="E4:E67" si="2">LN(C4/C3)</f>
        <v>-6.6755012687028763E-3</v>
      </c>
      <c r="F4" s="75">
        <f>SLOPE(E4:E3720,D4:D3720)</f>
        <v>0.80743401233733969</v>
      </c>
      <c r="H4" s="76" t="s">
        <v>197</v>
      </c>
      <c r="I4" s="77">
        <v>12803</v>
      </c>
      <c r="K4" s="76">
        <v>2</v>
      </c>
      <c r="L4" s="49">
        <v>0.1</v>
      </c>
      <c r="M4" s="79">
        <f>10%/90%</f>
        <v>0.11111111111111112</v>
      </c>
      <c r="N4" s="78">
        <f t="shared" si="0"/>
        <v>0.32769530943685105</v>
      </c>
    </row>
    <row r="5" spans="1:14" ht="14.25" customHeight="1" x14ac:dyDescent="0.3">
      <c r="A5" s="73">
        <v>40548</v>
      </c>
      <c r="B5" s="74">
        <v>20301.099999999999</v>
      </c>
      <c r="C5" s="74">
        <v>3640.25</v>
      </c>
      <c r="D5" s="74">
        <f t="shared" si="1"/>
        <v>-9.6873733987883782E-3</v>
      </c>
      <c r="E5" s="74">
        <f t="shared" si="2"/>
        <v>-4.8368516433149392E-3</v>
      </c>
      <c r="F5" s="75"/>
      <c r="H5" s="76" t="s">
        <v>198</v>
      </c>
      <c r="I5" s="77">
        <v>0.25169999999999998</v>
      </c>
      <c r="K5" s="76">
        <v>3</v>
      </c>
      <c r="L5" s="49">
        <v>0.25</v>
      </c>
      <c r="M5" s="79">
        <f>25/75</f>
        <v>0.33333333333333331</v>
      </c>
      <c r="N5" s="78">
        <f t="shared" si="0"/>
        <v>0.37800447104484336</v>
      </c>
    </row>
    <row r="6" spans="1:14" ht="14.25" customHeight="1" x14ac:dyDescent="0.3">
      <c r="A6" s="73">
        <v>40549</v>
      </c>
      <c r="B6" s="74">
        <v>20184.740000000002</v>
      </c>
      <c r="C6" s="74">
        <v>3574</v>
      </c>
      <c r="D6" s="74">
        <f t="shared" si="1"/>
        <v>-5.7481984019595537E-3</v>
      </c>
      <c r="E6" s="74">
        <f t="shared" si="2"/>
        <v>-1.8366943871640562E-2</v>
      </c>
      <c r="F6" s="75"/>
      <c r="H6" s="76" t="s">
        <v>199</v>
      </c>
      <c r="I6" s="77">
        <f>F4</f>
        <v>0.80743401233733969</v>
      </c>
      <c r="K6" s="76">
        <v>4</v>
      </c>
      <c r="L6" s="49">
        <v>0.35</v>
      </c>
      <c r="M6" s="79">
        <f>35/65</f>
        <v>0.53846153846153844</v>
      </c>
      <c r="N6" s="78">
        <f t="shared" si="0"/>
        <v>0.42444369714452856</v>
      </c>
    </row>
    <row r="7" spans="1:14" ht="14.25" customHeight="1" x14ac:dyDescent="0.3">
      <c r="A7" s="73">
        <v>40550</v>
      </c>
      <c r="B7" s="74">
        <v>19691.810000000001</v>
      </c>
      <c r="C7" s="74">
        <v>3415.15</v>
      </c>
      <c r="D7" s="74">
        <f t="shared" si="1"/>
        <v>-2.4724060108680373E-2</v>
      </c>
      <c r="E7" s="74">
        <f t="shared" si="2"/>
        <v>-4.5464000813807477E-2</v>
      </c>
      <c r="F7" s="75"/>
      <c r="H7" s="76" t="s">
        <v>194</v>
      </c>
      <c r="I7" s="77">
        <f>I3/I4</f>
        <v>2.2301804264625478</v>
      </c>
      <c r="K7" s="76">
        <v>5</v>
      </c>
      <c r="L7" s="49">
        <v>0.5</v>
      </c>
      <c r="M7" s="49">
        <f>50/50</f>
        <v>1</v>
      </c>
      <c r="N7" s="78">
        <f t="shared" si="0"/>
        <v>0.52893195586882025</v>
      </c>
    </row>
    <row r="8" spans="1:14" ht="15" customHeight="1" x14ac:dyDescent="0.3">
      <c r="A8" s="73">
        <v>40553</v>
      </c>
      <c r="B8" s="74">
        <v>19224.12</v>
      </c>
      <c r="C8" s="74">
        <v>3291.05</v>
      </c>
      <c r="D8" s="74">
        <f t="shared" si="1"/>
        <v>-2.4037072649208339E-2</v>
      </c>
      <c r="E8" s="74">
        <f t="shared" si="2"/>
        <v>-3.7014753127166636E-2</v>
      </c>
      <c r="F8" s="75"/>
      <c r="H8" s="80" t="s">
        <v>200</v>
      </c>
      <c r="I8" s="81">
        <f>I6/(1+(I7)*(1-I5))</f>
        <v>0.30254072863285492</v>
      </c>
      <c r="K8" s="80">
        <v>6</v>
      </c>
      <c r="L8" s="53">
        <v>0.75</v>
      </c>
      <c r="M8" s="53">
        <f>75/25</f>
        <v>3</v>
      </c>
      <c r="N8" s="82">
        <f t="shared" si="0"/>
        <v>0.98171441034075091</v>
      </c>
    </row>
    <row r="9" spans="1:14" ht="14.25" customHeight="1" x14ac:dyDescent="0.3">
      <c r="A9" s="73">
        <v>40554</v>
      </c>
      <c r="B9" s="74">
        <v>19196.34</v>
      </c>
      <c r="C9" s="74">
        <v>3305.25</v>
      </c>
      <c r="D9" s="74">
        <f t="shared" si="1"/>
        <v>-1.4461047494574455E-3</v>
      </c>
      <c r="E9" s="74">
        <f t="shared" si="2"/>
        <v>4.3054506118067352E-3</v>
      </c>
      <c r="F9" s="75"/>
    </row>
    <row r="10" spans="1:14" ht="14.25" customHeight="1" x14ac:dyDescent="0.3">
      <c r="A10" s="73">
        <v>40555</v>
      </c>
      <c r="B10" s="74">
        <v>19534.099999999999</v>
      </c>
      <c r="C10" s="74">
        <v>3568.3</v>
      </c>
      <c r="D10" s="74">
        <f t="shared" si="1"/>
        <v>1.7442020428905986E-2</v>
      </c>
      <c r="E10" s="74">
        <f t="shared" si="2"/>
        <v>7.6577178492597459E-2</v>
      </c>
      <c r="F10" s="75"/>
    </row>
    <row r="11" spans="1:14" ht="14.25" customHeight="1" x14ac:dyDescent="0.3">
      <c r="A11" s="73">
        <v>40556</v>
      </c>
      <c r="B11" s="74">
        <v>19182.82</v>
      </c>
      <c r="C11" s="74">
        <v>3415.8</v>
      </c>
      <c r="D11" s="74">
        <f t="shared" si="1"/>
        <v>-1.8146569489347363E-2</v>
      </c>
      <c r="E11" s="74">
        <f t="shared" si="2"/>
        <v>-4.3677565697712153E-2</v>
      </c>
      <c r="F11" s="75"/>
    </row>
    <row r="12" spans="1:14" ht="14.25" customHeight="1" x14ac:dyDescent="0.3">
      <c r="A12" s="73">
        <v>40557</v>
      </c>
      <c r="B12" s="74">
        <v>18860.439999999999</v>
      </c>
      <c r="C12" s="74">
        <v>3410.55</v>
      </c>
      <c r="D12" s="74">
        <f t="shared" si="1"/>
        <v>-1.6948480070348645E-2</v>
      </c>
      <c r="E12" s="74">
        <f t="shared" si="2"/>
        <v>-1.5381575908337199E-3</v>
      </c>
      <c r="F12" s="75"/>
    </row>
    <row r="13" spans="1:14" ht="14.25" customHeight="1" x14ac:dyDescent="0.3">
      <c r="A13" s="73">
        <v>40560</v>
      </c>
      <c r="B13" s="74">
        <v>18882.25</v>
      </c>
      <c r="C13" s="74">
        <v>3429.6</v>
      </c>
      <c r="D13" s="74">
        <f t="shared" si="1"/>
        <v>1.1557206138522254E-3</v>
      </c>
      <c r="E13" s="74">
        <f t="shared" si="2"/>
        <v>5.5700676895097398E-3</v>
      </c>
      <c r="F13" s="75"/>
    </row>
    <row r="14" spans="1:14" ht="14.25" customHeight="1" x14ac:dyDescent="0.3">
      <c r="A14" s="73">
        <v>40561</v>
      </c>
      <c r="B14" s="74">
        <v>19092.05</v>
      </c>
      <c r="C14" s="74">
        <v>3481.9</v>
      </c>
      <c r="D14" s="74">
        <f t="shared" si="1"/>
        <v>1.104969069264492E-2</v>
      </c>
      <c r="E14" s="74">
        <f t="shared" si="2"/>
        <v>1.5134485505026508E-2</v>
      </c>
      <c r="F14" s="75"/>
    </row>
    <row r="15" spans="1:14" ht="14.25" customHeight="1" x14ac:dyDescent="0.3">
      <c r="A15" s="73">
        <v>40562</v>
      </c>
      <c r="B15" s="74">
        <v>18978.32</v>
      </c>
      <c r="C15" s="74">
        <v>3459.1</v>
      </c>
      <c r="D15" s="74">
        <f t="shared" si="1"/>
        <v>-5.974742999522476E-3</v>
      </c>
      <c r="E15" s="74">
        <f t="shared" si="2"/>
        <v>-6.5696821798924138E-3</v>
      </c>
      <c r="F15" s="75"/>
    </row>
    <row r="16" spans="1:14" ht="14.25" customHeight="1" x14ac:dyDescent="0.3">
      <c r="A16" s="73">
        <v>40563</v>
      </c>
      <c r="B16" s="74">
        <v>19046.54</v>
      </c>
      <c r="C16" s="74">
        <v>3479.45</v>
      </c>
      <c r="D16" s="74">
        <f t="shared" si="1"/>
        <v>3.5881827412212134E-3</v>
      </c>
      <c r="E16" s="74">
        <f t="shared" si="2"/>
        <v>5.8657956920255922E-3</v>
      </c>
      <c r="F16" s="75"/>
    </row>
    <row r="17" spans="1:6" ht="14.25" customHeight="1" x14ac:dyDescent="0.3">
      <c r="A17" s="73">
        <v>40564</v>
      </c>
      <c r="B17" s="74">
        <v>19007.53</v>
      </c>
      <c r="C17" s="74">
        <v>3502.1</v>
      </c>
      <c r="D17" s="74">
        <f t="shared" si="1"/>
        <v>-2.0502413363324987E-3</v>
      </c>
      <c r="E17" s="74">
        <f t="shared" si="2"/>
        <v>6.4885532485456678E-3</v>
      </c>
      <c r="F17" s="75"/>
    </row>
    <row r="18" spans="1:6" ht="14.25" customHeight="1" x14ac:dyDescent="0.3">
      <c r="A18" s="73">
        <v>40567</v>
      </c>
      <c r="B18" s="74">
        <v>19151.28</v>
      </c>
      <c r="C18" s="74">
        <v>3576.35</v>
      </c>
      <c r="D18" s="74">
        <f t="shared" si="1"/>
        <v>7.5343376804285862E-3</v>
      </c>
      <c r="E18" s="74">
        <f t="shared" si="2"/>
        <v>2.0979938674872096E-2</v>
      </c>
      <c r="F18" s="75"/>
    </row>
    <row r="19" spans="1:6" ht="14.25" customHeight="1" x14ac:dyDescent="0.3">
      <c r="A19" s="73">
        <v>40568</v>
      </c>
      <c r="B19" s="74">
        <v>18969.45</v>
      </c>
      <c r="C19" s="74">
        <v>3593.95</v>
      </c>
      <c r="D19" s="74">
        <f t="shared" si="1"/>
        <v>-9.5397637444441935E-3</v>
      </c>
      <c r="E19" s="74">
        <f t="shared" si="2"/>
        <v>4.9091489467040549E-3</v>
      </c>
      <c r="F19" s="75"/>
    </row>
    <row r="20" spans="1:6" ht="14.25" customHeight="1" x14ac:dyDescent="0.3">
      <c r="A20" s="73">
        <v>40570</v>
      </c>
      <c r="B20" s="74">
        <v>18684.43</v>
      </c>
      <c r="C20" s="74">
        <v>3562.1</v>
      </c>
      <c r="D20" s="74">
        <f t="shared" si="1"/>
        <v>-1.5139233660679931E-2</v>
      </c>
      <c r="E20" s="74">
        <f t="shared" si="2"/>
        <v>-8.9016175998470736E-3</v>
      </c>
      <c r="F20" s="75"/>
    </row>
    <row r="21" spans="1:6" ht="14.25" customHeight="1" x14ac:dyDescent="0.3">
      <c r="A21" s="73">
        <v>40571</v>
      </c>
      <c r="B21" s="74">
        <v>18395.97</v>
      </c>
      <c r="C21" s="74">
        <v>3465.4</v>
      </c>
      <c r="D21" s="74">
        <f t="shared" si="1"/>
        <v>-1.5558937831813566E-2</v>
      </c>
      <c r="E21" s="74">
        <f t="shared" si="2"/>
        <v>-2.7522192494455297E-2</v>
      </c>
      <c r="F21" s="75"/>
    </row>
    <row r="22" spans="1:6" ht="14.25" customHeight="1" x14ac:dyDescent="0.3">
      <c r="A22" s="73">
        <v>40574</v>
      </c>
      <c r="B22" s="74">
        <v>18327.759999999998</v>
      </c>
      <c r="C22" s="74">
        <v>3593.05</v>
      </c>
      <c r="D22" s="74">
        <f t="shared" si="1"/>
        <v>-3.714768540051525E-3</v>
      </c>
      <c r="E22" s="74">
        <f t="shared" si="2"/>
        <v>3.6173357887622555E-2</v>
      </c>
      <c r="F22" s="75"/>
    </row>
    <row r="23" spans="1:6" ht="14.25" customHeight="1" x14ac:dyDescent="0.3">
      <c r="A23" s="73">
        <v>40575</v>
      </c>
      <c r="B23" s="74">
        <v>18022.22</v>
      </c>
      <c r="C23" s="74">
        <v>3595.6</v>
      </c>
      <c r="D23" s="74">
        <f t="shared" si="1"/>
        <v>-1.6811409306470841E-2</v>
      </c>
      <c r="E23" s="74">
        <f t="shared" si="2"/>
        <v>7.0945173487528611E-4</v>
      </c>
      <c r="F23" s="75"/>
    </row>
    <row r="24" spans="1:6" ht="14.25" customHeight="1" x14ac:dyDescent="0.3">
      <c r="A24" s="73">
        <v>40576</v>
      </c>
      <c r="B24" s="74">
        <v>18090.62</v>
      </c>
      <c r="C24" s="74">
        <v>3546.85</v>
      </c>
      <c r="D24" s="74">
        <f t="shared" si="1"/>
        <v>3.7881308584209565E-3</v>
      </c>
      <c r="E24" s="74">
        <f t="shared" si="2"/>
        <v>-1.3650990078366633E-2</v>
      </c>
      <c r="F24" s="75"/>
    </row>
    <row r="25" spans="1:6" ht="14.25" customHeight="1" x14ac:dyDescent="0.3">
      <c r="A25" s="73">
        <v>40577</v>
      </c>
      <c r="B25" s="74">
        <v>18449.310000000001</v>
      </c>
      <c r="C25" s="74">
        <v>3595.1</v>
      </c>
      <c r="D25" s="74">
        <f t="shared" si="1"/>
        <v>1.9633399514271496E-2</v>
      </c>
      <c r="E25" s="74">
        <f t="shared" si="2"/>
        <v>1.351192155908325E-2</v>
      </c>
      <c r="F25" s="75"/>
    </row>
    <row r="26" spans="1:6" ht="14.25" customHeight="1" x14ac:dyDescent="0.3">
      <c r="A26" s="73">
        <v>40578</v>
      </c>
      <c r="B26" s="74">
        <v>18008.150000000001</v>
      </c>
      <c r="C26" s="74">
        <v>3509.3</v>
      </c>
      <c r="D26" s="74">
        <f t="shared" si="1"/>
        <v>-2.4202538212200909E-2</v>
      </c>
      <c r="E26" s="74">
        <f t="shared" si="2"/>
        <v>-2.4155219808325936E-2</v>
      </c>
      <c r="F26" s="75"/>
    </row>
    <row r="27" spans="1:6" ht="14.25" customHeight="1" x14ac:dyDescent="0.3">
      <c r="A27" s="73">
        <v>40581</v>
      </c>
      <c r="B27" s="74">
        <v>18037.189999999999</v>
      </c>
      <c r="C27" s="74">
        <v>3446.2</v>
      </c>
      <c r="D27" s="74">
        <f t="shared" si="1"/>
        <v>1.611304334099528E-3</v>
      </c>
      <c r="E27" s="74">
        <f t="shared" si="2"/>
        <v>-1.8144412662635664E-2</v>
      </c>
      <c r="F27" s="75"/>
    </row>
    <row r="28" spans="1:6" ht="14.25" customHeight="1" x14ac:dyDescent="0.3">
      <c r="A28" s="73">
        <v>40582</v>
      </c>
      <c r="B28" s="74">
        <v>17775.7</v>
      </c>
      <c r="C28" s="74">
        <v>3238.7</v>
      </c>
      <c r="D28" s="74">
        <f t="shared" si="1"/>
        <v>-1.4603381467922052E-2</v>
      </c>
      <c r="E28" s="74">
        <f t="shared" si="2"/>
        <v>-6.2100160006652527E-2</v>
      </c>
      <c r="F28" s="75"/>
    </row>
    <row r="29" spans="1:6" ht="14.25" customHeight="1" x14ac:dyDescent="0.3">
      <c r="A29" s="73">
        <v>40583</v>
      </c>
      <c r="B29" s="74">
        <v>17592.77</v>
      </c>
      <c r="C29" s="74">
        <v>3086</v>
      </c>
      <c r="D29" s="74">
        <f t="shared" si="1"/>
        <v>-1.0344333877199414E-2</v>
      </c>
      <c r="E29" s="74">
        <f t="shared" si="2"/>
        <v>-4.8296260779240388E-2</v>
      </c>
      <c r="F29" s="75"/>
    </row>
    <row r="30" spans="1:6" ht="14.25" customHeight="1" x14ac:dyDescent="0.3">
      <c r="A30" s="73">
        <v>40584</v>
      </c>
      <c r="B30" s="74">
        <v>17463.04</v>
      </c>
      <c r="C30" s="74">
        <v>3093.4</v>
      </c>
      <c r="D30" s="74">
        <f t="shared" si="1"/>
        <v>-7.4013746777302231E-3</v>
      </c>
      <c r="E30" s="74">
        <f t="shared" si="2"/>
        <v>2.3950556809333246E-3</v>
      </c>
      <c r="F30" s="75"/>
    </row>
    <row r="31" spans="1:6" ht="14.25" customHeight="1" x14ac:dyDescent="0.3">
      <c r="A31" s="73">
        <v>40585</v>
      </c>
      <c r="B31" s="74">
        <v>17728.61</v>
      </c>
      <c r="C31" s="74">
        <v>3116.5</v>
      </c>
      <c r="D31" s="74">
        <f t="shared" si="1"/>
        <v>1.5093071305405032E-2</v>
      </c>
      <c r="E31" s="74">
        <f t="shared" si="2"/>
        <v>7.4397676448659297E-3</v>
      </c>
      <c r="F31" s="75"/>
    </row>
    <row r="32" spans="1:6" ht="14.25" customHeight="1" x14ac:dyDescent="0.3">
      <c r="A32" s="73">
        <v>40588</v>
      </c>
      <c r="B32" s="74">
        <v>18202.2</v>
      </c>
      <c r="C32" s="74">
        <v>3177.6</v>
      </c>
      <c r="D32" s="74">
        <f t="shared" si="1"/>
        <v>2.6362747080668634E-2</v>
      </c>
      <c r="E32" s="74">
        <f t="shared" si="2"/>
        <v>1.9415617601948047E-2</v>
      </c>
      <c r="F32" s="75"/>
    </row>
    <row r="33" spans="1:6" ht="14.25" customHeight="1" x14ac:dyDescent="0.3">
      <c r="A33" s="73">
        <v>40589</v>
      </c>
      <c r="B33" s="74">
        <v>18273.8</v>
      </c>
      <c r="C33" s="74">
        <v>3210.6</v>
      </c>
      <c r="D33" s="74">
        <f t="shared" si="1"/>
        <v>3.9258741068730722E-3</v>
      </c>
      <c r="E33" s="74">
        <f t="shared" si="2"/>
        <v>1.0331640694460556E-2</v>
      </c>
      <c r="F33" s="75"/>
    </row>
    <row r="34" spans="1:6" ht="14.25" customHeight="1" x14ac:dyDescent="0.3">
      <c r="A34" s="73">
        <v>40590</v>
      </c>
      <c r="B34" s="74">
        <v>18300.900000000001</v>
      </c>
      <c r="C34" s="74">
        <v>3262.75</v>
      </c>
      <c r="D34" s="74">
        <f t="shared" si="1"/>
        <v>1.4818989607218254E-3</v>
      </c>
      <c r="E34" s="74">
        <f t="shared" si="2"/>
        <v>1.6112562502323079E-2</v>
      </c>
      <c r="F34" s="75"/>
    </row>
    <row r="35" spans="1:6" ht="14.25" customHeight="1" x14ac:dyDescent="0.3">
      <c r="A35" s="73">
        <v>40591</v>
      </c>
      <c r="B35" s="74">
        <v>18506.82</v>
      </c>
      <c r="C35" s="74">
        <v>3293.4</v>
      </c>
      <c r="D35" s="74">
        <f t="shared" si="1"/>
        <v>1.1189073832778541E-2</v>
      </c>
      <c r="E35" s="74">
        <f t="shared" si="2"/>
        <v>9.3500677362615796E-3</v>
      </c>
      <c r="F35" s="75"/>
    </row>
    <row r="36" spans="1:6" ht="14.25" customHeight="1" x14ac:dyDescent="0.3">
      <c r="A36" s="73">
        <v>40592</v>
      </c>
      <c r="B36" s="74">
        <v>18211.52</v>
      </c>
      <c r="C36" s="74">
        <v>3224.65</v>
      </c>
      <c r="D36" s="74">
        <f t="shared" si="1"/>
        <v>-1.6084951922133731E-2</v>
      </c>
      <c r="E36" s="74">
        <f t="shared" si="2"/>
        <v>-2.1096048575303845E-2</v>
      </c>
      <c r="F36" s="75"/>
    </row>
    <row r="37" spans="1:6" ht="14.25" customHeight="1" x14ac:dyDescent="0.3">
      <c r="A37" s="73">
        <v>40595</v>
      </c>
      <c r="B37" s="74">
        <v>18438.310000000001</v>
      </c>
      <c r="C37" s="74">
        <v>3374.3</v>
      </c>
      <c r="D37" s="74">
        <f t="shared" si="1"/>
        <v>1.2376204461861041E-2</v>
      </c>
      <c r="E37" s="74">
        <f t="shared" si="2"/>
        <v>4.5363478178737329E-2</v>
      </c>
      <c r="F37" s="75"/>
    </row>
    <row r="38" spans="1:6" ht="14.25" customHeight="1" x14ac:dyDescent="0.3">
      <c r="A38" s="73">
        <v>40596</v>
      </c>
      <c r="B38" s="74">
        <v>18296.16</v>
      </c>
      <c r="C38" s="74">
        <v>3476.2</v>
      </c>
      <c r="D38" s="74">
        <f t="shared" si="1"/>
        <v>-7.7393635753035504E-3</v>
      </c>
      <c r="E38" s="74">
        <f t="shared" si="2"/>
        <v>2.9751847742047421E-2</v>
      </c>
      <c r="F38" s="75"/>
    </row>
    <row r="39" spans="1:6" ht="14.25" customHeight="1" x14ac:dyDescent="0.3">
      <c r="A39" s="73">
        <v>40597</v>
      </c>
      <c r="B39" s="74">
        <v>18178.330000000002</v>
      </c>
      <c r="C39" s="74">
        <v>3438.15</v>
      </c>
      <c r="D39" s="74">
        <f t="shared" si="1"/>
        <v>-6.4609764190331027E-3</v>
      </c>
      <c r="E39" s="74">
        <f t="shared" si="2"/>
        <v>-1.1006207120894451E-2</v>
      </c>
      <c r="F39" s="75"/>
    </row>
    <row r="40" spans="1:6" ht="14.25" customHeight="1" x14ac:dyDescent="0.3">
      <c r="A40" s="73">
        <v>40598</v>
      </c>
      <c r="B40" s="74">
        <v>17632.41</v>
      </c>
      <c r="C40" s="74">
        <v>3268.95</v>
      </c>
      <c r="D40" s="74">
        <f t="shared" si="1"/>
        <v>-3.0491539467904206E-2</v>
      </c>
      <c r="E40" s="74">
        <f t="shared" si="2"/>
        <v>-5.0464703598555219E-2</v>
      </c>
      <c r="F40" s="75"/>
    </row>
    <row r="41" spans="1:6" ht="14.25" customHeight="1" x14ac:dyDescent="0.3">
      <c r="A41" s="73">
        <v>40599</v>
      </c>
      <c r="B41" s="74">
        <v>17700.91</v>
      </c>
      <c r="C41" s="74">
        <v>3337.15</v>
      </c>
      <c r="D41" s="74">
        <f t="shared" si="1"/>
        <v>3.8773648113916309E-3</v>
      </c>
      <c r="E41" s="74">
        <f t="shared" si="2"/>
        <v>2.0648316885588592E-2</v>
      </c>
      <c r="F41" s="75"/>
    </row>
    <row r="42" spans="1:6" ht="14.25" customHeight="1" x14ac:dyDescent="0.3">
      <c r="A42" s="73">
        <v>40602</v>
      </c>
      <c r="B42" s="74">
        <v>17823.400000000001</v>
      </c>
      <c r="C42" s="74">
        <v>3328.6</v>
      </c>
      <c r="D42" s="74">
        <f t="shared" si="1"/>
        <v>6.8961500131330946E-3</v>
      </c>
      <c r="E42" s="74">
        <f t="shared" si="2"/>
        <v>-2.5653541428922451E-3</v>
      </c>
      <c r="F42" s="75"/>
    </row>
    <row r="43" spans="1:6" ht="14.25" customHeight="1" x14ac:dyDescent="0.3">
      <c r="A43" s="73">
        <v>40603</v>
      </c>
      <c r="B43" s="74">
        <v>18446.5</v>
      </c>
      <c r="C43" s="74">
        <v>3398.25</v>
      </c>
      <c r="D43" s="74">
        <f t="shared" si="1"/>
        <v>3.4362449893115148E-2</v>
      </c>
      <c r="E43" s="74">
        <f t="shared" si="2"/>
        <v>2.0708798062731286E-2</v>
      </c>
      <c r="F43" s="75"/>
    </row>
    <row r="44" spans="1:6" ht="14.25" customHeight="1" x14ac:dyDescent="0.3">
      <c r="A44" s="73">
        <v>40605</v>
      </c>
      <c r="B44" s="74">
        <v>18489.759999999998</v>
      </c>
      <c r="C44" s="74">
        <v>3448.9</v>
      </c>
      <c r="D44" s="74">
        <f t="shared" si="1"/>
        <v>2.3424147317729137E-3</v>
      </c>
      <c r="E44" s="74">
        <f t="shared" si="2"/>
        <v>1.4794746389873523E-2</v>
      </c>
      <c r="F44" s="75"/>
    </row>
    <row r="45" spans="1:6" ht="14.25" customHeight="1" x14ac:dyDescent="0.3">
      <c r="A45" s="73">
        <v>40606</v>
      </c>
      <c r="B45" s="74">
        <v>18486.45</v>
      </c>
      <c r="C45" s="74">
        <v>3442.6</v>
      </c>
      <c r="D45" s="74">
        <f t="shared" si="1"/>
        <v>-1.7903403344146E-4</v>
      </c>
      <c r="E45" s="74">
        <f t="shared" si="2"/>
        <v>-1.828339767825286E-3</v>
      </c>
      <c r="F45" s="75"/>
    </row>
    <row r="46" spans="1:6" ht="14.25" customHeight="1" x14ac:dyDescent="0.3">
      <c r="A46" s="73">
        <v>40609</v>
      </c>
      <c r="B46" s="74">
        <v>18222.669999999998</v>
      </c>
      <c r="C46" s="74">
        <v>3400.45</v>
      </c>
      <c r="D46" s="74">
        <f t="shared" si="1"/>
        <v>-1.4371607935372529E-2</v>
      </c>
      <c r="E46" s="74">
        <f t="shared" si="2"/>
        <v>-1.2319224049854112E-2</v>
      </c>
      <c r="F46" s="75"/>
    </row>
    <row r="47" spans="1:6" ht="14.25" customHeight="1" x14ac:dyDescent="0.3">
      <c r="A47" s="73">
        <v>40610</v>
      </c>
      <c r="B47" s="74">
        <v>18439.650000000001</v>
      </c>
      <c r="C47" s="74">
        <v>3456.65</v>
      </c>
      <c r="D47" s="74">
        <f t="shared" si="1"/>
        <v>1.1836814114297572E-2</v>
      </c>
      <c r="E47" s="74">
        <f t="shared" si="2"/>
        <v>1.6392136155516466E-2</v>
      </c>
      <c r="F47" s="75"/>
    </row>
    <row r="48" spans="1:6" ht="14.25" customHeight="1" x14ac:dyDescent="0.3">
      <c r="A48" s="73">
        <v>40611</v>
      </c>
      <c r="B48" s="74">
        <v>18469.95</v>
      </c>
      <c r="C48" s="74">
        <v>3487.15</v>
      </c>
      <c r="D48" s="74">
        <f t="shared" si="1"/>
        <v>1.6418496438090004E-3</v>
      </c>
      <c r="E48" s="74">
        <f t="shared" si="2"/>
        <v>8.784871727370646E-3</v>
      </c>
      <c r="F48" s="75"/>
    </row>
    <row r="49" spans="1:6" ht="14.25" customHeight="1" x14ac:dyDescent="0.3">
      <c r="A49" s="73">
        <v>40612</v>
      </c>
      <c r="B49" s="74">
        <v>18327.98</v>
      </c>
      <c r="C49" s="74">
        <v>3470.05</v>
      </c>
      <c r="D49" s="74">
        <f t="shared" si="1"/>
        <v>-7.7162331908415685E-3</v>
      </c>
      <c r="E49" s="74">
        <f t="shared" si="2"/>
        <v>-4.9157806114434764E-3</v>
      </c>
      <c r="F49" s="75"/>
    </row>
    <row r="50" spans="1:6" ht="14.25" customHeight="1" x14ac:dyDescent="0.3">
      <c r="A50" s="73">
        <v>40613</v>
      </c>
      <c r="B50" s="74">
        <v>18174.09</v>
      </c>
      <c r="C50" s="74">
        <v>3449.8</v>
      </c>
      <c r="D50" s="74">
        <f t="shared" si="1"/>
        <v>-8.431900533751183E-3</v>
      </c>
      <c r="E50" s="74">
        <f t="shared" si="2"/>
        <v>-5.8527447284666186E-3</v>
      </c>
      <c r="F50" s="75"/>
    </row>
    <row r="51" spans="1:6" ht="14.25" customHeight="1" x14ac:dyDescent="0.3">
      <c r="A51" s="73">
        <v>40616</v>
      </c>
      <c r="B51" s="74">
        <v>18439.48</v>
      </c>
      <c r="C51" s="74">
        <v>3491.95</v>
      </c>
      <c r="D51" s="74">
        <f t="shared" si="1"/>
        <v>1.4497064774362885E-2</v>
      </c>
      <c r="E51" s="74">
        <f t="shared" si="2"/>
        <v>1.2144061084300937E-2</v>
      </c>
      <c r="F51" s="75"/>
    </row>
    <row r="52" spans="1:6" ht="14.25" customHeight="1" x14ac:dyDescent="0.3">
      <c r="A52" s="73">
        <v>40617</v>
      </c>
      <c r="B52" s="74">
        <v>18167.64</v>
      </c>
      <c r="C52" s="74">
        <v>3473.4</v>
      </c>
      <c r="D52" s="74">
        <f t="shared" si="1"/>
        <v>-1.4852028617180706E-2</v>
      </c>
      <c r="E52" s="74">
        <f t="shared" si="2"/>
        <v>-5.32637810181539E-3</v>
      </c>
      <c r="F52" s="75"/>
    </row>
    <row r="53" spans="1:6" ht="14.25" customHeight="1" x14ac:dyDescent="0.3">
      <c r="A53" s="73">
        <v>40618</v>
      </c>
      <c r="B53" s="74">
        <v>18358.689999999999</v>
      </c>
      <c r="C53" s="74">
        <v>3540.75</v>
      </c>
      <c r="D53" s="74">
        <f t="shared" si="1"/>
        <v>1.0461042336739139E-2</v>
      </c>
      <c r="E53" s="74">
        <f t="shared" si="2"/>
        <v>1.9204627781491776E-2</v>
      </c>
      <c r="F53" s="75"/>
    </row>
    <row r="54" spans="1:6" ht="14.25" customHeight="1" x14ac:dyDescent="0.3">
      <c r="A54" s="73">
        <v>40619</v>
      </c>
      <c r="B54" s="74">
        <v>18149.87</v>
      </c>
      <c r="C54" s="74">
        <v>3556.15</v>
      </c>
      <c r="D54" s="74">
        <f t="shared" si="1"/>
        <v>-1.1439633733456947E-2</v>
      </c>
      <c r="E54" s="74">
        <f t="shared" si="2"/>
        <v>4.3399298768658128E-3</v>
      </c>
      <c r="F54" s="75"/>
    </row>
    <row r="55" spans="1:6" ht="14.25" customHeight="1" x14ac:dyDescent="0.3">
      <c r="A55" s="73">
        <v>40620</v>
      </c>
      <c r="B55" s="74">
        <v>17878.810000000001</v>
      </c>
      <c r="C55" s="74">
        <v>3461</v>
      </c>
      <c r="D55" s="74">
        <f t="shared" si="1"/>
        <v>-1.504718543011827E-2</v>
      </c>
      <c r="E55" s="74">
        <f t="shared" si="2"/>
        <v>-2.7120934336027396E-2</v>
      </c>
      <c r="F55" s="75"/>
    </row>
    <row r="56" spans="1:6" ht="14.25" customHeight="1" x14ac:dyDescent="0.3">
      <c r="A56" s="73">
        <v>40623</v>
      </c>
      <c r="B56" s="74">
        <v>17839.05</v>
      </c>
      <c r="C56" s="74">
        <v>3431.15</v>
      </c>
      <c r="D56" s="74">
        <f t="shared" si="1"/>
        <v>-2.2263381077593791E-3</v>
      </c>
      <c r="E56" s="74">
        <f t="shared" si="2"/>
        <v>-8.6620827001914428E-3</v>
      </c>
      <c r="F56" s="75"/>
    </row>
    <row r="57" spans="1:6" ht="14.25" customHeight="1" x14ac:dyDescent="0.3">
      <c r="A57" s="73">
        <v>40624</v>
      </c>
      <c r="B57" s="74">
        <v>17988.3</v>
      </c>
      <c r="C57" s="74">
        <v>3456.05</v>
      </c>
      <c r="D57" s="74">
        <f t="shared" si="1"/>
        <v>8.3316719416825103E-3</v>
      </c>
      <c r="E57" s="74">
        <f t="shared" si="2"/>
        <v>7.2308364767315267E-3</v>
      </c>
      <c r="F57" s="75"/>
    </row>
    <row r="58" spans="1:6" ht="14.25" customHeight="1" x14ac:dyDescent="0.3">
      <c r="A58" s="73">
        <v>40625</v>
      </c>
      <c r="B58" s="74">
        <v>18206.16</v>
      </c>
      <c r="C58" s="74">
        <v>3460.1</v>
      </c>
      <c r="D58" s="74">
        <f t="shared" si="1"/>
        <v>1.203845180144727E-2</v>
      </c>
      <c r="E58" s="74">
        <f t="shared" si="2"/>
        <v>1.1711719563426244E-3</v>
      </c>
      <c r="F58" s="75"/>
    </row>
    <row r="59" spans="1:6" ht="14.25" customHeight="1" x14ac:dyDescent="0.3">
      <c r="A59" s="73">
        <v>40626</v>
      </c>
      <c r="B59" s="74">
        <v>18350.740000000002</v>
      </c>
      <c r="C59" s="74">
        <v>3489</v>
      </c>
      <c r="D59" s="74">
        <f t="shared" si="1"/>
        <v>7.9099023069199113E-3</v>
      </c>
      <c r="E59" s="74">
        <f t="shared" si="2"/>
        <v>8.3176718185472634E-3</v>
      </c>
      <c r="F59" s="75"/>
    </row>
    <row r="60" spans="1:6" ht="14.25" customHeight="1" x14ac:dyDescent="0.3">
      <c r="A60" s="73">
        <v>40627</v>
      </c>
      <c r="B60" s="74">
        <v>18815.64</v>
      </c>
      <c r="C60" s="74">
        <v>3509</v>
      </c>
      <c r="D60" s="74">
        <f t="shared" si="1"/>
        <v>2.5018538217177998E-2</v>
      </c>
      <c r="E60" s="74">
        <f t="shared" si="2"/>
        <v>5.715934396441108E-3</v>
      </c>
      <c r="F60" s="75"/>
    </row>
    <row r="61" spans="1:6" ht="14.25" customHeight="1" x14ac:dyDescent="0.3">
      <c r="A61" s="73">
        <v>40630</v>
      </c>
      <c r="B61" s="74">
        <v>18943.14</v>
      </c>
      <c r="C61" s="74">
        <v>3544.75</v>
      </c>
      <c r="D61" s="74">
        <f t="shared" si="1"/>
        <v>6.7534218315388464E-3</v>
      </c>
      <c r="E61" s="74">
        <f t="shared" si="2"/>
        <v>1.0136539034452113E-2</v>
      </c>
      <c r="F61" s="75"/>
    </row>
    <row r="62" spans="1:6" ht="14.25" customHeight="1" x14ac:dyDescent="0.3">
      <c r="A62" s="73">
        <v>40631</v>
      </c>
      <c r="B62" s="74">
        <v>19120.8</v>
      </c>
      <c r="C62" s="74">
        <v>3580.6</v>
      </c>
      <c r="D62" s="74">
        <f t="shared" si="1"/>
        <v>9.3348870404664289E-3</v>
      </c>
      <c r="E62" s="74">
        <f t="shared" si="2"/>
        <v>1.0062748499505338E-2</v>
      </c>
      <c r="F62" s="75"/>
    </row>
    <row r="63" spans="1:6" ht="14.25" customHeight="1" x14ac:dyDescent="0.3">
      <c r="A63" s="73">
        <v>40632</v>
      </c>
      <c r="B63" s="74">
        <v>19290.18</v>
      </c>
      <c r="C63" s="74">
        <v>3843</v>
      </c>
      <c r="D63" s="74">
        <f t="shared" si="1"/>
        <v>8.8194103816928663E-3</v>
      </c>
      <c r="E63" s="74">
        <f t="shared" si="2"/>
        <v>7.0722927447671252E-2</v>
      </c>
      <c r="F63" s="75"/>
    </row>
    <row r="64" spans="1:6" ht="14.25" customHeight="1" x14ac:dyDescent="0.3">
      <c r="A64" s="73">
        <v>40633</v>
      </c>
      <c r="B64" s="74">
        <v>19445.22</v>
      </c>
      <c r="C64" s="74">
        <v>3810.85</v>
      </c>
      <c r="D64" s="74">
        <f t="shared" si="1"/>
        <v>8.0051233723446111E-3</v>
      </c>
      <c r="E64" s="74">
        <f t="shared" si="2"/>
        <v>-8.4010502136966179E-3</v>
      </c>
      <c r="F64" s="75"/>
    </row>
    <row r="65" spans="1:6" ht="14.25" customHeight="1" x14ac:dyDescent="0.3">
      <c r="A65" s="73">
        <v>40634</v>
      </c>
      <c r="B65" s="74">
        <v>19420.39</v>
      </c>
      <c r="C65" s="74">
        <v>3856.55</v>
      </c>
      <c r="D65" s="74">
        <f t="shared" si="1"/>
        <v>-1.2777364553467291E-3</v>
      </c>
      <c r="E65" s="74">
        <f t="shared" si="2"/>
        <v>1.192074006267691E-2</v>
      </c>
      <c r="F65" s="75"/>
    </row>
    <row r="66" spans="1:6" ht="14.25" customHeight="1" x14ac:dyDescent="0.3">
      <c r="A66" s="73">
        <v>40637</v>
      </c>
      <c r="B66" s="74">
        <v>19701.73</v>
      </c>
      <c r="C66" s="74">
        <v>3858.55</v>
      </c>
      <c r="D66" s="74">
        <f t="shared" si="1"/>
        <v>1.4382904096296572E-2</v>
      </c>
      <c r="E66" s="74">
        <f t="shared" si="2"/>
        <v>5.1846380339871858E-4</v>
      </c>
      <c r="F66" s="75"/>
    </row>
    <row r="67" spans="1:6" ht="14.25" customHeight="1" x14ac:dyDescent="0.3">
      <c r="A67" s="73">
        <v>40638</v>
      </c>
      <c r="B67" s="74">
        <v>19686.82</v>
      </c>
      <c r="C67" s="74">
        <v>3960.15</v>
      </c>
      <c r="D67" s="74">
        <f t="shared" si="1"/>
        <v>-7.5707284031272285E-4</v>
      </c>
      <c r="E67" s="74">
        <f t="shared" si="2"/>
        <v>2.5990438101798737E-2</v>
      </c>
      <c r="F67" s="75"/>
    </row>
    <row r="68" spans="1:6" ht="14.25" customHeight="1" x14ac:dyDescent="0.3">
      <c r="A68" s="73">
        <v>40639</v>
      </c>
      <c r="B68" s="74">
        <v>19612.2</v>
      </c>
      <c r="C68" s="74">
        <v>4029.85</v>
      </c>
      <c r="D68" s="74">
        <f t="shared" ref="D68:D131" si="3">LN(B68/B67)</f>
        <v>-3.7975547317559834E-3</v>
      </c>
      <c r="E68" s="74">
        <f t="shared" ref="E68:E131" si="4">LN(C68/C67)</f>
        <v>1.7447251085321507E-2</v>
      </c>
      <c r="F68" s="75"/>
    </row>
    <row r="69" spans="1:6" ht="14.25" customHeight="1" x14ac:dyDescent="0.3">
      <c r="A69" s="73">
        <v>40640</v>
      </c>
      <c r="B69" s="74">
        <v>19591.18</v>
      </c>
      <c r="C69" s="74">
        <v>3994.55</v>
      </c>
      <c r="D69" s="74">
        <f t="shared" si="3"/>
        <v>-1.0723566189612995E-3</v>
      </c>
      <c r="E69" s="74">
        <f t="shared" si="4"/>
        <v>-8.7982223494209953E-3</v>
      </c>
      <c r="F69" s="75"/>
    </row>
    <row r="70" spans="1:6" ht="14.25" customHeight="1" x14ac:dyDescent="0.3">
      <c r="A70" s="73">
        <v>40641</v>
      </c>
      <c r="B70" s="74">
        <v>19451.45</v>
      </c>
      <c r="C70" s="74">
        <v>3911.1</v>
      </c>
      <c r="D70" s="74">
        <f t="shared" si="3"/>
        <v>-7.1578475418189406E-3</v>
      </c>
      <c r="E70" s="74">
        <f t="shared" si="4"/>
        <v>-2.1112267718079624E-2</v>
      </c>
      <c r="F70" s="75"/>
    </row>
    <row r="71" spans="1:6" ht="14.25" customHeight="1" x14ac:dyDescent="0.3">
      <c r="A71" s="73">
        <v>40644</v>
      </c>
      <c r="B71" s="74">
        <v>19262.54</v>
      </c>
      <c r="C71" s="74">
        <v>3799.25</v>
      </c>
      <c r="D71" s="74">
        <f t="shared" si="3"/>
        <v>-9.7593401965357443E-3</v>
      </c>
      <c r="E71" s="74">
        <f t="shared" si="4"/>
        <v>-2.9014985523128273E-2</v>
      </c>
      <c r="F71" s="75"/>
    </row>
    <row r="72" spans="1:6" ht="14.25" customHeight="1" x14ac:dyDescent="0.3">
      <c r="A72" s="73">
        <v>40646</v>
      </c>
      <c r="B72" s="74">
        <v>19696.86</v>
      </c>
      <c r="C72" s="74">
        <v>3882.2</v>
      </c>
      <c r="D72" s="74">
        <f t="shared" si="3"/>
        <v>2.22969549591935E-2</v>
      </c>
      <c r="E72" s="74">
        <f t="shared" si="4"/>
        <v>2.1598324423276485E-2</v>
      </c>
      <c r="F72" s="75"/>
    </row>
    <row r="73" spans="1:6" ht="14.25" customHeight="1" x14ac:dyDescent="0.3">
      <c r="A73" s="73">
        <v>40648</v>
      </c>
      <c r="B73" s="74">
        <v>19386.82</v>
      </c>
      <c r="C73" s="74">
        <v>3894.1</v>
      </c>
      <c r="D73" s="74">
        <f t="shared" si="3"/>
        <v>-1.5865778435092587E-2</v>
      </c>
      <c r="E73" s="74">
        <f t="shared" si="4"/>
        <v>3.0605838995699428E-3</v>
      </c>
      <c r="F73" s="75"/>
    </row>
    <row r="74" spans="1:6" ht="14.25" customHeight="1" x14ac:dyDescent="0.3">
      <c r="A74" s="73">
        <v>40651</v>
      </c>
      <c r="B74" s="74">
        <v>19091.169999999998</v>
      </c>
      <c r="C74" s="74">
        <v>3896.75</v>
      </c>
      <c r="D74" s="74">
        <f t="shared" si="3"/>
        <v>-1.5367529249455803E-2</v>
      </c>
      <c r="E74" s="74">
        <f t="shared" si="4"/>
        <v>6.8028523259956817E-4</v>
      </c>
      <c r="F74" s="75"/>
    </row>
    <row r="75" spans="1:6" ht="14.25" customHeight="1" x14ac:dyDescent="0.3">
      <c r="A75" s="73">
        <v>40652</v>
      </c>
      <c r="B75" s="74">
        <v>19121.830000000002</v>
      </c>
      <c r="C75" s="74">
        <v>3937.85</v>
      </c>
      <c r="D75" s="74">
        <f t="shared" si="3"/>
        <v>1.6046898479158806E-3</v>
      </c>
      <c r="E75" s="74">
        <f t="shared" si="4"/>
        <v>1.0492016703233711E-2</v>
      </c>
      <c r="F75" s="75"/>
    </row>
    <row r="76" spans="1:6" ht="14.25" customHeight="1" x14ac:dyDescent="0.3">
      <c r="A76" s="73">
        <v>40653</v>
      </c>
      <c r="B76" s="74">
        <v>19470.98</v>
      </c>
      <c r="C76" s="74">
        <v>4055.45</v>
      </c>
      <c r="D76" s="74">
        <f t="shared" si="3"/>
        <v>1.8094537624054243E-2</v>
      </c>
      <c r="E76" s="74">
        <f t="shared" si="4"/>
        <v>2.9426766425990434E-2</v>
      </c>
      <c r="F76" s="75"/>
    </row>
    <row r="77" spans="1:6" ht="14.25" customHeight="1" x14ac:dyDescent="0.3">
      <c r="A77" s="73">
        <v>40654</v>
      </c>
      <c r="B77" s="74">
        <v>19602.23</v>
      </c>
      <c r="C77" s="74">
        <v>4023.4</v>
      </c>
      <c r="D77" s="74">
        <f t="shared" si="3"/>
        <v>6.7181833103864743E-3</v>
      </c>
      <c r="E77" s="74">
        <f t="shared" si="4"/>
        <v>-7.9343392039131419E-3</v>
      </c>
      <c r="F77" s="75"/>
    </row>
    <row r="78" spans="1:6" ht="14.25" customHeight="1" x14ac:dyDescent="0.3">
      <c r="A78" s="73">
        <v>40658</v>
      </c>
      <c r="B78" s="74">
        <v>19584.310000000001</v>
      </c>
      <c r="C78" s="74">
        <v>4107.7</v>
      </c>
      <c r="D78" s="74">
        <f t="shared" si="3"/>
        <v>-9.1459982173274228E-4</v>
      </c>
      <c r="E78" s="74">
        <f t="shared" si="4"/>
        <v>2.0735944849700642E-2</v>
      </c>
      <c r="F78" s="75"/>
    </row>
    <row r="79" spans="1:6" ht="14.25" customHeight="1" x14ac:dyDescent="0.3">
      <c r="A79" s="73">
        <v>40659</v>
      </c>
      <c r="B79" s="74">
        <v>19545.349999999999</v>
      </c>
      <c r="C79" s="74">
        <v>4094.65</v>
      </c>
      <c r="D79" s="74">
        <f t="shared" si="3"/>
        <v>-1.9913289752226233E-3</v>
      </c>
      <c r="E79" s="74">
        <f t="shared" si="4"/>
        <v>-3.1820175952481803E-3</v>
      </c>
      <c r="F79" s="75"/>
    </row>
    <row r="80" spans="1:6" ht="14.25" customHeight="1" x14ac:dyDescent="0.3">
      <c r="A80" s="73">
        <v>40660</v>
      </c>
      <c r="B80" s="74">
        <v>19448.689999999999</v>
      </c>
      <c r="C80" s="74">
        <v>4116.6000000000004</v>
      </c>
      <c r="D80" s="74">
        <f t="shared" si="3"/>
        <v>-4.9576908666728219E-3</v>
      </c>
      <c r="E80" s="74">
        <f t="shared" si="4"/>
        <v>5.3463363759764498E-3</v>
      </c>
      <c r="F80" s="75"/>
    </row>
    <row r="81" spans="1:6" ht="14.25" customHeight="1" x14ac:dyDescent="0.3">
      <c r="A81" s="73">
        <v>40661</v>
      </c>
      <c r="B81" s="74">
        <v>19292.02</v>
      </c>
      <c r="C81" s="74">
        <v>4117.3</v>
      </c>
      <c r="D81" s="74">
        <f t="shared" si="3"/>
        <v>-8.0881767057669925E-3</v>
      </c>
      <c r="E81" s="74">
        <f t="shared" si="4"/>
        <v>1.7002878385364385E-4</v>
      </c>
      <c r="F81" s="75"/>
    </row>
    <row r="82" spans="1:6" ht="14.25" customHeight="1" x14ac:dyDescent="0.3">
      <c r="A82" s="73">
        <v>40662</v>
      </c>
      <c r="B82" s="74">
        <v>19135.96</v>
      </c>
      <c r="C82" s="74">
        <v>4035.05</v>
      </c>
      <c r="D82" s="74">
        <f t="shared" si="3"/>
        <v>-8.1222514403048156E-3</v>
      </c>
      <c r="E82" s="74">
        <f t="shared" si="4"/>
        <v>-2.0178915507749667E-2</v>
      </c>
      <c r="F82" s="75"/>
    </row>
    <row r="83" spans="1:6" ht="14.25" customHeight="1" x14ac:dyDescent="0.3">
      <c r="A83" s="73">
        <v>40665</v>
      </c>
      <c r="B83" s="74">
        <v>18998.02</v>
      </c>
      <c r="C83" s="74">
        <v>3916.4</v>
      </c>
      <c r="D83" s="74">
        <f t="shared" si="3"/>
        <v>-7.2345242552026411E-3</v>
      </c>
      <c r="E83" s="74">
        <f t="shared" si="4"/>
        <v>-2.984582872108784E-2</v>
      </c>
      <c r="F83" s="75"/>
    </row>
    <row r="84" spans="1:6" ht="14.25" customHeight="1" x14ac:dyDescent="0.3">
      <c r="A84" s="73">
        <v>40666</v>
      </c>
      <c r="B84" s="74">
        <v>18534.689999999999</v>
      </c>
      <c r="C84" s="74">
        <v>3771.45</v>
      </c>
      <c r="D84" s="74">
        <f t="shared" si="3"/>
        <v>-2.4690651861649284E-2</v>
      </c>
      <c r="E84" s="74">
        <f t="shared" si="4"/>
        <v>-3.7713321598781796E-2</v>
      </c>
      <c r="F84" s="75"/>
    </row>
    <row r="85" spans="1:6" ht="14.25" customHeight="1" x14ac:dyDescent="0.3">
      <c r="A85" s="73">
        <v>40667</v>
      </c>
      <c r="B85" s="74">
        <v>18469.36</v>
      </c>
      <c r="C85" s="74">
        <v>3837.8</v>
      </c>
      <c r="D85" s="74">
        <f t="shared" si="3"/>
        <v>-3.5309685224418396E-3</v>
      </c>
      <c r="E85" s="74">
        <f t="shared" si="4"/>
        <v>1.7439742854507407E-2</v>
      </c>
      <c r="F85" s="75"/>
    </row>
    <row r="86" spans="1:6" ht="14.25" customHeight="1" x14ac:dyDescent="0.3">
      <c r="A86" s="73">
        <v>40668</v>
      </c>
      <c r="B86" s="74">
        <v>18210.580000000002</v>
      </c>
      <c r="C86" s="74">
        <v>3896.9</v>
      </c>
      <c r="D86" s="74">
        <f t="shared" si="3"/>
        <v>-1.4110398961922269E-2</v>
      </c>
      <c r="E86" s="74">
        <f t="shared" si="4"/>
        <v>1.5282079509133328E-2</v>
      </c>
      <c r="F86" s="75"/>
    </row>
    <row r="87" spans="1:6" ht="14.25" customHeight="1" x14ac:dyDescent="0.3">
      <c r="A87" s="73">
        <v>40669</v>
      </c>
      <c r="B87" s="74">
        <v>18518.810000000001</v>
      </c>
      <c r="C87" s="74">
        <v>3953.45</v>
      </c>
      <c r="D87" s="74">
        <f t="shared" si="3"/>
        <v>1.6784228430173097E-2</v>
      </c>
      <c r="E87" s="74">
        <f t="shared" si="4"/>
        <v>1.4407250164605588E-2</v>
      </c>
      <c r="F87" s="75"/>
    </row>
    <row r="88" spans="1:6" ht="14.25" customHeight="1" x14ac:dyDescent="0.3">
      <c r="A88" s="73">
        <v>40672</v>
      </c>
      <c r="B88" s="74">
        <v>18528.96</v>
      </c>
      <c r="C88" s="74">
        <v>3946.45</v>
      </c>
      <c r="D88" s="74">
        <f t="shared" si="3"/>
        <v>5.4794122582539325E-4</v>
      </c>
      <c r="E88" s="74">
        <f t="shared" si="4"/>
        <v>-1.7721747951287283E-3</v>
      </c>
      <c r="F88" s="75"/>
    </row>
    <row r="89" spans="1:6" ht="14.25" customHeight="1" x14ac:dyDescent="0.3">
      <c r="A89" s="73">
        <v>40673</v>
      </c>
      <c r="B89" s="74">
        <v>18512.77</v>
      </c>
      <c r="C89" s="74">
        <v>3902.15</v>
      </c>
      <c r="D89" s="74">
        <f t="shared" si="3"/>
        <v>-8.7414929221431845E-4</v>
      </c>
      <c r="E89" s="74">
        <f t="shared" si="4"/>
        <v>-1.1288757345358455E-2</v>
      </c>
      <c r="F89" s="75"/>
    </row>
    <row r="90" spans="1:6" ht="14.25" customHeight="1" x14ac:dyDescent="0.3">
      <c r="A90" s="73">
        <v>40674</v>
      </c>
      <c r="B90" s="74">
        <v>18584.96</v>
      </c>
      <c r="C90" s="74">
        <v>3944.45</v>
      </c>
      <c r="D90" s="74">
        <f t="shared" si="3"/>
        <v>3.8918872459591624E-3</v>
      </c>
      <c r="E90" s="74">
        <f t="shared" si="4"/>
        <v>1.0781844308106213E-2</v>
      </c>
      <c r="F90" s="75"/>
    </row>
    <row r="91" spans="1:6" ht="14.25" customHeight="1" x14ac:dyDescent="0.3">
      <c r="A91" s="73">
        <v>40675</v>
      </c>
      <c r="B91" s="74">
        <v>18335.79</v>
      </c>
      <c r="C91" s="74">
        <v>3932.8</v>
      </c>
      <c r="D91" s="74">
        <f t="shared" si="3"/>
        <v>-1.3497763886397346E-2</v>
      </c>
      <c r="E91" s="74">
        <f t="shared" si="4"/>
        <v>-2.9578872052843457E-3</v>
      </c>
      <c r="F91" s="75"/>
    </row>
    <row r="92" spans="1:6" ht="14.25" customHeight="1" x14ac:dyDescent="0.3">
      <c r="A92" s="73">
        <v>40676</v>
      </c>
      <c r="B92" s="74">
        <v>18531.28</v>
      </c>
      <c r="C92" s="74">
        <v>3980.5</v>
      </c>
      <c r="D92" s="74">
        <f t="shared" si="3"/>
        <v>1.0605227496540397E-2</v>
      </c>
      <c r="E92" s="74">
        <f t="shared" si="4"/>
        <v>1.2055799156917239E-2</v>
      </c>
      <c r="F92" s="75"/>
    </row>
    <row r="93" spans="1:6" ht="14.25" customHeight="1" x14ac:dyDescent="0.3">
      <c r="A93" s="73">
        <v>40679</v>
      </c>
      <c r="B93" s="74">
        <v>18345.03</v>
      </c>
      <c r="C93" s="74">
        <v>4026.65</v>
      </c>
      <c r="D93" s="74">
        <f t="shared" si="3"/>
        <v>-1.010142195481918E-2</v>
      </c>
      <c r="E93" s="74">
        <f t="shared" si="4"/>
        <v>1.152732521064974E-2</v>
      </c>
      <c r="F93" s="75"/>
    </row>
    <row r="94" spans="1:6" ht="14.25" customHeight="1" x14ac:dyDescent="0.3">
      <c r="A94" s="73">
        <v>40680</v>
      </c>
      <c r="B94" s="74">
        <v>18137.349999999999</v>
      </c>
      <c r="C94" s="74">
        <v>4107.8</v>
      </c>
      <c r="D94" s="74">
        <f t="shared" si="3"/>
        <v>-1.1385345111287566E-2</v>
      </c>
      <c r="E94" s="74">
        <f t="shared" si="4"/>
        <v>1.9952840632265909E-2</v>
      </c>
      <c r="F94" s="75"/>
    </row>
    <row r="95" spans="1:6" ht="14.25" customHeight="1" x14ac:dyDescent="0.3">
      <c r="A95" s="73">
        <v>40681</v>
      </c>
      <c r="B95" s="74">
        <v>18086.2</v>
      </c>
      <c r="C95" s="74">
        <v>4086.65</v>
      </c>
      <c r="D95" s="74">
        <f t="shared" si="3"/>
        <v>-2.8241314833302306E-3</v>
      </c>
      <c r="E95" s="74">
        <f t="shared" si="4"/>
        <v>-5.1620418611977494E-3</v>
      </c>
      <c r="F95" s="75"/>
    </row>
    <row r="96" spans="1:6" ht="14.25" customHeight="1" x14ac:dyDescent="0.3">
      <c r="A96" s="73">
        <v>40682</v>
      </c>
      <c r="B96" s="74">
        <v>18141.400000000001</v>
      </c>
      <c r="C96" s="74">
        <v>4119.95</v>
      </c>
      <c r="D96" s="74">
        <f t="shared" si="3"/>
        <v>3.0474026829623814E-3</v>
      </c>
      <c r="E96" s="74">
        <f t="shared" si="4"/>
        <v>8.1154638372504528E-3</v>
      </c>
      <c r="F96" s="75"/>
    </row>
    <row r="97" spans="1:6" ht="14.25" customHeight="1" x14ac:dyDescent="0.3">
      <c r="A97" s="73">
        <v>40683</v>
      </c>
      <c r="B97" s="74">
        <v>18326.09</v>
      </c>
      <c r="C97" s="74">
        <v>4138.75</v>
      </c>
      <c r="D97" s="74">
        <f t="shared" si="3"/>
        <v>1.0129108369064553E-2</v>
      </c>
      <c r="E97" s="74">
        <f t="shared" si="4"/>
        <v>4.5527825138550288E-3</v>
      </c>
      <c r="F97" s="75"/>
    </row>
    <row r="98" spans="1:6" ht="14.25" customHeight="1" x14ac:dyDescent="0.3">
      <c r="A98" s="73">
        <v>40686</v>
      </c>
      <c r="B98" s="74">
        <v>17993.330000000002</v>
      </c>
      <c r="C98" s="74">
        <v>4225.8999999999996</v>
      </c>
      <c r="D98" s="74">
        <f t="shared" si="3"/>
        <v>-1.8324593918359427E-2</v>
      </c>
      <c r="E98" s="74">
        <f t="shared" si="4"/>
        <v>2.0838445996237669E-2</v>
      </c>
      <c r="F98" s="75"/>
    </row>
    <row r="99" spans="1:6" ht="14.25" customHeight="1" x14ac:dyDescent="0.3">
      <c r="A99" s="73">
        <v>40687</v>
      </c>
      <c r="B99" s="74">
        <v>18011.97</v>
      </c>
      <c r="C99" s="74">
        <v>4280</v>
      </c>
      <c r="D99" s="74">
        <f t="shared" si="3"/>
        <v>1.0354032137083486E-3</v>
      </c>
      <c r="E99" s="74">
        <f t="shared" si="4"/>
        <v>1.2720753718148892E-2</v>
      </c>
      <c r="F99" s="75"/>
    </row>
    <row r="100" spans="1:6" ht="14.25" customHeight="1" x14ac:dyDescent="0.3">
      <c r="A100" s="73">
        <v>40688</v>
      </c>
      <c r="B100" s="74">
        <v>17847.240000000002</v>
      </c>
      <c r="C100" s="74">
        <v>4346.3500000000004</v>
      </c>
      <c r="D100" s="74">
        <f t="shared" si="3"/>
        <v>-9.1876624599241414E-3</v>
      </c>
      <c r="E100" s="74">
        <f t="shared" si="4"/>
        <v>1.53834028220644E-2</v>
      </c>
      <c r="F100" s="75"/>
    </row>
    <row r="101" spans="1:6" ht="14.25" customHeight="1" x14ac:dyDescent="0.3">
      <c r="A101" s="73">
        <v>40689</v>
      </c>
      <c r="B101" s="74">
        <v>18044.64</v>
      </c>
      <c r="C101" s="74">
        <v>4233.55</v>
      </c>
      <c r="D101" s="74">
        <f t="shared" si="3"/>
        <v>1.0999813349339031E-2</v>
      </c>
      <c r="E101" s="74">
        <f t="shared" si="4"/>
        <v>-2.6295527826679644E-2</v>
      </c>
      <c r="F101" s="75"/>
    </row>
    <row r="102" spans="1:6" ht="14.25" customHeight="1" x14ac:dyDescent="0.3">
      <c r="A102" s="73">
        <v>40690</v>
      </c>
      <c r="B102" s="74">
        <v>18266.099999999999</v>
      </c>
      <c r="C102" s="74">
        <v>4176.95</v>
      </c>
      <c r="D102" s="74">
        <f t="shared" si="3"/>
        <v>1.2198195135803584E-2</v>
      </c>
      <c r="E102" s="74">
        <f t="shared" si="4"/>
        <v>-1.345956945931902E-2</v>
      </c>
      <c r="F102" s="75"/>
    </row>
    <row r="103" spans="1:6" ht="14.25" customHeight="1" x14ac:dyDescent="0.3">
      <c r="A103" s="73">
        <v>40693</v>
      </c>
      <c r="B103" s="74">
        <v>18232.060000000001</v>
      </c>
      <c r="C103" s="74">
        <v>4314.2</v>
      </c>
      <c r="D103" s="74">
        <f t="shared" si="3"/>
        <v>-1.8653000518238055E-3</v>
      </c>
      <c r="E103" s="74">
        <f t="shared" si="4"/>
        <v>3.233059244870818E-2</v>
      </c>
      <c r="F103" s="75"/>
    </row>
    <row r="104" spans="1:6" ht="14.25" customHeight="1" x14ac:dyDescent="0.3">
      <c r="A104" s="73">
        <v>40694</v>
      </c>
      <c r="B104" s="74">
        <v>18503.28</v>
      </c>
      <c r="C104" s="74">
        <v>4391.95</v>
      </c>
      <c r="D104" s="74">
        <f t="shared" si="3"/>
        <v>1.4766430811230915E-2</v>
      </c>
      <c r="E104" s="74">
        <f t="shared" si="4"/>
        <v>1.7861412228793234E-2</v>
      </c>
      <c r="F104" s="75"/>
    </row>
    <row r="105" spans="1:6" ht="14.25" customHeight="1" x14ac:dyDescent="0.3">
      <c r="A105" s="73">
        <v>40695</v>
      </c>
      <c r="B105" s="74">
        <v>18608.810000000001</v>
      </c>
      <c r="C105" s="74">
        <v>4308.6000000000004</v>
      </c>
      <c r="D105" s="74">
        <f t="shared" si="3"/>
        <v>5.6871108273127031E-3</v>
      </c>
      <c r="E105" s="74">
        <f t="shared" si="4"/>
        <v>-1.9160294445082698E-2</v>
      </c>
      <c r="F105" s="75"/>
    </row>
    <row r="106" spans="1:6" ht="14.25" customHeight="1" x14ac:dyDescent="0.3">
      <c r="A106" s="73">
        <v>40696</v>
      </c>
      <c r="B106" s="74">
        <v>18494.18</v>
      </c>
      <c r="C106" s="74">
        <v>4309.8999999999996</v>
      </c>
      <c r="D106" s="74">
        <f t="shared" si="3"/>
        <v>-6.1790364991565067E-3</v>
      </c>
      <c r="E106" s="74">
        <f t="shared" si="4"/>
        <v>3.0167662815067244E-4</v>
      </c>
      <c r="F106" s="75"/>
    </row>
    <row r="107" spans="1:6" ht="14.25" customHeight="1" x14ac:dyDescent="0.3">
      <c r="A107" s="73">
        <v>40697</v>
      </c>
      <c r="B107" s="74">
        <v>18376.48</v>
      </c>
      <c r="C107" s="74">
        <v>4322.95</v>
      </c>
      <c r="D107" s="74">
        <f t="shared" si="3"/>
        <v>-6.3845019213480559E-3</v>
      </c>
      <c r="E107" s="74">
        <f t="shared" si="4"/>
        <v>3.0233375861665654E-3</v>
      </c>
      <c r="F107" s="75"/>
    </row>
    <row r="108" spans="1:6" ht="14.25" customHeight="1" x14ac:dyDescent="0.3">
      <c r="A108" s="73">
        <v>40700</v>
      </c>
      <c r="B108" s="74">
        <v>18420.11</v>
      </c>
      <c r="C108" s="74">
        <v>4367.6000000000004</v>
      </c>
      <c r="D108" s="74">
        <f t="shared" si="3"/>
        <v>2.3714165060691817E-3</v>
      </c>
      <c r="E108" s="74">
        <f t="shared" si="4"/>
        <v>1.0275619581267083E-2</v>
      </c>
      <c r="F108" s="75"/>
    </row>
    <row r="109" spans="1:6" ht="14.25" customHeight="1" x14ac:dyDescent="0.3">
      <c r="A109" s="73">
        <v>40701</v>
      </c>
      <c r="B109" s="74">
        <v>18495.62</v>
      </c>
      <c r="C109" s="74">
        <v>4375.5</v>
      </c>
      <c r="D109" s="74">
        <f t="shared" si="3"/>
        <v>4.0909447170715601E-3</v>
      </c>
      <c r="E109" s="74">
        <f t="shared" si="4"/>
        <v>1.8071398359745861E-3</v>
      </c>
      <c r="F109" s="75"/>
    </row>
    <row r="110" spans="1:6" ht="14.25" customHeight="1" x14ac:dyDescent="0.3">
      <c r="A110" s="73">
        <v>40702</v>
      </c>
      <c r="B110" s="74">
        <v>18394.29</v>
      </c>
      <c r="C110" s="74">
        <v>4415.6000000000004</v>
      </c>
      <c r="D110" s="74">
        <f t="shared" si="3"/>
        <v>-5.4936569293376368E-3</v>
      </c>
      <c r="E110" s="74">
        <f t="shared" si="4"/>
        <v>9.1229261683109606E-3</v>
      </c>
      <c r="F110" s="75"/>
    </row>
    <row r="111" spans="1:6" ht="14.25" customHeight="1" x14ac:dyDescent="0.3">
      <c r="A111" s="73">
        <v>40703</v>
      </c>
      <c r="B111" s="74">
        <v>18384.900000000001</v>
      </c>
      <c r="C111" s="74">
        <v>4528.45</v>
      </c>
      <c r="D111" s="74">
        <f t="shared" si="3"/>
        <v>-5.1061484518924417E-4</v>
      </c>
      <c r="E111" s="74">
        <f t="shared" si="4"/>
        <v>2.5235992426237305E-2</v>
      </c>
      <c r="F111" s="75"/>
    </row>
    <row r="112" spans="1:6" ht="14.25" customHeight="1" x14ac:dyDescent="0.3">
      <c r="A112" s="73">
        <v>40704</v>
      </c>
      <c r="B112" s="74">
        <v>18268.54</v>
      </c>
      <c r="C112" s="74">
        <v>4610.7</v>
      </c>
      <c r="D112" s="74">
        <f t="shared" si="3"/>
        <v>-6.3492207496826077E-3</v>
      </c>
      <c r="E112" s="74">
        <f t="shared" si="4"/>
        <v>1.7999971710942041E-2</v>
      </c>
      <c r="F112" s="75"/>
    </row>
    <row r="113" spans="1:6" ht="14.25" customHeight="1" x14ac:dyDescent="0.3">
      <c r="A113" s="73">
        <v>40707</v>
      </c>
      <c r="B113" s="74">
        <v>18266.03</v>
      </c>
      <c r="C113" s="74">
        <v>4715</v>
      </c>
      <c r="D113" s="74">
        <f t="shared" si="3"/>
        <v>-1.3740410816116019E-4</v>
      </c>
      <c r="E113" s="74">
        <f t="shared" si="4"/>
        <v>2.2369226786181876E-2</v>
      </c>
      <c r="F113" s="75"/>
    </row>
    <row r="114" spans="1:6" ht="14.25" customHeight="1" x14ac:dyDescent="0.3">
      <c r="A114" s="73">
        <v>40708</v>
      </c>
      <c r="B114" s="74">
        <v>18308.66</v>
      </c>
      <c r="C114" s="74">
        <v>4553.8500000000004</v>
      </c>
      <c r="D114" s="74">
        <f t="shared" si="3"/>
        <v>2.3311212920591622E-3</v>
      </c>
      <c r="E114" s="74">
        <f t="shared" si="4"/>
        <v>-3.4775887062759511E-2</v>
      </c>
      <c r="F114" s="75"/>
    </row>
    <row r="115" spans="1:6" ht="14.25" customHeight="1" x14ac:dyDescent="0.3">
      <c r="A115" s="73">
        <v>40709</v>
      </c>
      <c r="B115" s="74">
        <v>18132.240000000002</v>
      </c>
      <c r="C115" s="74">
        <v>4474.3999999999996</v>
      </c>
      <c r="D115" s="74">
        <f t="shared" si="3"/>
        <v>-9.6826026975286791E-3</v>
      </c>
      <c r="E115" s="74">
        <f t="shared" si="4"/>
        <v>-1.7600764497420155E-2</v>
      </c>
      <c r="F115" s="75"/>
    </row>
    <row r="116" spans="1:6" ht="14.25" customHeight="1" x14ac:dyDescent="0.3">
      <c r="A116" s="73">
        <v>40710</v>
      </c>
      <c r="B116" s="74">
        <v>17985.88</v>
      </c>
      <c r="C116" s="74">
        <v>4428.1000000000004</v>
      </c>
      <c r="D116" s="74">
        <f t="shared" si="3"/>
        <v>-8.1045636441979818E-3</v>
      </c>
      <c r="E116" s="74">
        <f t="shared" si="4"/>
        <v>-1.04016663746864E-2</v>
      </c>
      <c r="F116" s="75"/>
    </row>
    <row r="117" spans="1:6" ht="14.25" customHeight="1" x14ac:dyDescent="0.3">
      <c r="A117" s="73">
        <v>40711</v>
      </c>
      <c r="B117" s="74">
        <v>17870.53</v>
      </c>
      <c r="C117" s="74">
        <v>4558.3999999999996</v>
      </c>
      <c r="D117" s="74">
        <f t="shared" si="3"/>
        <v>-6.4340182368762544E-3</v>
      </c>
      <c r="E117" s="74">
        <f t="shared" si="4"/>
        <v>2.9001086610952086E-2</v>
      </c>
      <c r="F117" s="75"/>
    </row>
    <row r="118" spans="1:6" ht="14.25" customHeight="1" x14ac:dyDescent="0.3">
      <c r="A118" s="73">
        <v>40714</v>
      </c>
      <c r="B118" s="74">
        <v>17506.63</v>
      </c>
      <c r="C118" s="74">
        <v>4620.05</v>
      </c>
      <c r="D118" s="74">
        <f t="shared" si="3"/>
        <v>-2.0573321053223542E-2</v>
      </c>
      <c r="E118" s="74">
        <f t="shared" si="4"/>
        <v>1.3433842784400414E-2</v>
      </c>
      <c r="F118" s="75"/>
    </row>
    <row r="119" spans="1:6" ht="14.25" customHeight="1" x14ac:dyDescent="0.3">
      <c r="A119" s="73">
        <v>40715</v>
      </c>
      <c r="B119" s="74">
        <v>17560.3</v>
      </c>
      <c r="C119" s="74">
        <v>4573.05</v>
      </c>
      <c r="D119" s="74">
        <f t="shared" si="3"/>
        <v>3.0610060194167436E-3</v>
      </c>
      <c r="E119" s="74">
        <f t="shared" si="4"/>
        <v>-1.0225149188235468E-2</v>
      </c>
      <c r="F119" s="75"/>
    </row>
    <row r="120" spans="1:6" ht="14.25" customHeight="1" x14ac:dyDescent="0.3">
      <c r="A120" s="73">
        <v>40716</v>
      </c>
      <c r="B120" s="74">
        <v>17550.63</v>
      </c>
      <c r="C120" s="74">
        <v>4288</v>
      </c>
      <c r="D120" s="74">
        <f t="shared" si="3"/>
        <v>-5.5082564002123817E-4</v>
      </c>
      <c r="E120" s="74">
        <f t="shared" si="4"/>
        <v>-6.4359954589170765E-2</v>
      </c>
      <c r="F120" s="75"/>
    </row>
    <row r="121" spans="1:6" ht="14.25" customHeight="1" x14ac:dyDescent="0.3">
      <c r="A121" s="73">
        <v>40717</v>
      </c>
      <c r="B121" s="74">
        <v>17727.490000000002</v>
      </c>
      <c r="C121" s="74">
        <v>229.05</v>
      </c>
      <c r="D121" s="74">
        <f t="shared" si="3"/>
        <v>1.0026695397048771E-2</v>
      </c>
      <c r="E121" s="74">
        <f t="shared" si="4"/>
        <v>-2.9296353824178869</v>
      </c>
      <c r="F121" s="75"/>
    </row>
    <row r="122" spans="1:6" ht="14.25" customHeight="1" x14ac:dyDescent="0.3">
      <c r="A122" s="73">
        <v>40718</v>
      </c>
      <c r="B122" s="74">
        <v>18240.68</v>
      </c>
      <c r="C122" s="74">
        <v>216.85</v>
      </c>
      <c r="D122" s="74">
        <f t="shared" si="3"/>
        <v>2.8537722552508034E-2</v>
      </c>
      <c r="E122" s="74">
        <f t="shared" si="4"/>
        <v>-5.4734450051375942E-2</v>
      </c>
      <c r="F122" s="75"/>
    </row>
    <row r="123" spans="1:6" ht="14.25" customHeight="1" x14ac:dyDescent="0.3">
      <c r="A123" s="73">
        <v>40721</v>
      </c>
      <c r="B123" s="74">
        <v>18412.41</v>
      </c>
      <c r="C123" s="74">
        <v>212.05</v>
      </c>
      <c r="D123" s="74">
        <f t="shared" si="3"/>
        <v>9.37062914006416E-3</v>
      </c>
      <c r="E123" s="74">
        <f t="shared" si="4"/>
        <v>-2.2383774360775457E-2</v>
      </c>
      <c r="F123" s="75"/>
    </row>
    <row r="124" spans="1:6" ht="14.25" customHeight="1" x14ac:dyDescent="0.3">
      <c r="A124" s="73">
        <v>40722</v>
      </c>
      <c r="B124" s="74">
        <v>18492.45</v>
      </c>
      <c r="C124" s="74">
        <v>213.15</v>
      </c>
      <c r="D124" s="74">
        <f t="shared" si="3"/>
        <v>4.3376468842972801E-3</v>
      </c>
      <c r="E124" s="74">
        <f t="shared" si="4"/>
        <v>5.1740472906195763E-3</v>
      </c>
      <c r="F124" s="75"/>
    </row>
    <row r="125" spans="1:6" ht="14.25" customHeight="1" x14ac:dyDescent="0.3">
      <c r="A125" s="73">
        <v>40723</v>
      </c>
      <c r="B125" s="74">
        <v>18693.86</v>
      </c>
      <c r="C125" s="74">
        <v>212.55</v>
      </c>
      <c r="D125" s="74">
        <f t="shared" si="3"/>
        <v>1.0832587021041024E-2</v>
      </c>
      <c r="E125" s="74">
        <f t="shared" si="4"/>
        <v>-2.8188884064201656E-3</v>
      </c>
      <c r="F125" s="75"/>
    </row>
    <row r="126" spans="1:6" ht="14.25" customHeight="1" x14ac:dyDescent="0.3">
      <c r="A126" s="73">
        <v>40724</v>
      </c>
      <c r="B126" s="74">
        <v>18845.87</v>
      </c>
      <c r="C126" s="74">
        <v>215</v>
      </c>
      <c r="D126" s="74">
        <f t="shared" si="3"/>
        <v>8.0986640468448355E-3</v>
      </c>
      <c r="E126" s="74">
        <f t="shared" si="4"/>
        <v>1.1460773322863573E-2</v>
      </c>
      <c r="F126" s="75"/>
    </row>
    <row r="127" spans="1:6" ht="14.25" customHeight="1" x14ac:dyDescent="0.3">
      <c r="A127" s="73">
        <v>40725</v>
      </c>
      <c r="B127" s="74">
        <v>18762.8</v>
      </c>
      <c r="C127" s="74">
        <v>213.5</v>
      </c>
      <c r="D127" s="74">
        <f t="shared" si="3"/>
        <v>-4.4176055730871782E-3</v>
      </c>
      <c r="E127" s="74">
        <f t="shared" si="4"/>
        <v>-7.0011954589835881E-3</v>
      </c>
      <c r="F127" s="75"/>
    </row>
    <row r="128" spans="1:6" ht="14.25" customHeight="1" x14ac:dyDescent="0.3">
      <c r="A128" s="73">
        <v>40728</v>
      </c>
      <c r="B128" s="74">
        <v>18814.48</v>
      </c>
      <c r="C128" s="74">
        <v>217.9</v>
      </c>
      <c r="D128" s="74">
        <f t="shared" si="3"/>
        <v>2.7505999680324891E-3</v>
      </c>
      <c r="E128" s="74">
        <f t="shared" si="4"/>
        <v>2.0399409281894883E-2</v>
      </c>
      <c r="F128" s="75"/>
    </row>
    <row r="129" spans="1:6" ht="14.25" customHeight="1" x14ac:dyDescent="0.3">
      <c r="A129" s="73">
        <v>40729</v>
      </c>
      <c r="B129" s="74">
        <v>18744.560000000001</v>
      </c>
      <c r="C129" s="74">
        <v>217.85</v>
      </c>
      <c r="D129" s="74">
        <f t="shared" si="3"/>
        <v>-3.7232091539561242E-3</v>
      </c>
      <c r="E129" s="74">
        <f t="shared" si="4"/>
        <v>-2.294893871231573E-4</v>
      </c>
      <c r="F129" s="75"/>
    </row>
    <row r="130" spans="1:6" ht="14.25" customHeight="1" x14ac:dyDescent="0.3">
      <c r="A130" s="73">
        <v>40730</v>
      </c>
      <c r="B130" s="74">
        <v>18726.97</v>
      </c>
      <c r="C130" s="74">
        <v>223.85</v>
      </c>
      <c r="D130" s="74">
        <f t="shared" si="3"/>
        <v>-9.3884617425723355E-4</v>
      </c>
      <c r="E130" s="74">
        <f t="shared" si="4"/>
        <v>2.7169432123523404E-2</v>
      </c>
      <c r="F130" s="75"/>
    </row>
    <row r="131" spans="1:6" ht="14.25" customHeight="1" x14ac:dyDescent="0.3">
      <c r="A131" s="73">
        <v>40731</v>
      </c>
      <c r="B131" s="74">
        <v>19078.3</v>
      </c>
      <c r="C131" s="74">
        <v>228.35</v>
      </c>
      <c r="D131" s="74">
        <f t="shared" si="3"/>
        <v>1.8586832706124528E-2</v>
      </c>
      <c r="E131" s="74">
        <f t="shared" si="4"/>
        <v>1.9903354944033468E-2</v>
      </c>
      <c r="F131" s="75"/>
    </row>
    <row r="132" spans="1:6" ht="14.25" customHeight="1" x14ac:dyDescent="0.3">
      <c r="A132" s="73">
        <v>40732</v>
      </c>
      <c r="B132" s="74">
        <v>18858.04</v>
      </c>
      <c r="C132" s="74">
        <v>225.85</v>
      </c>
      <c r="D132" s="74">
        <f t="shared" ref="D132:D195" si="5">LN(B132/B131)</f>
        <v>-1.1612215361192712E-2</v>
      </c>
      <c r="E132" s="74">
        <f t="shared" ref="E132:E195" si="6">LN(C132/C131)</f>
        <v>-1.1008477530394764E-2</v>
      </c>
      <c r="F132" s="75"/>
    </row>
    <row r="133" spans="1:6" ht="14.25" customHeight="1" x14ac:dyDescent="0.3">
      <c r="A133" s="73">
        <v>40735</v>
      </c>
      <c r="B133" s="74">
        <v>18721.39</v>
      </c>
      <c r="C133" s="74">
        <v>228.5</v>
      </c>
      <c r="D133" s="74">
        <f t="shared" si="5"/>
        <v>-7.272627727298234E-3</v>
      </c>
      <c r="E133" s="74">
        <f t="shared" si="6"/>
        <v>1.16651482336462E-2</v>
      </c>
      <c r="F133" s="75"/>
    </row>
    <row r="134" spans="1:6" ht="14.25" customHeight="1" x14ac:dyDescent="0.3">
      <c r="A134" s="73">
        <v>40736</v>
      </c>
      <c r="B134" s="74">
        <v>18411.62</v>
      </c>
      <c r="C134" s="74">
        <v>222.35</v>
      </c>
      <c r="D134" s="74">
        <f t="shared" si="5"/>
        <v>-1.6684733401513156E-2</v>
      </c>
      <c r="E134" s="74">
        <f t="shared" si="6"/>
        <v>-2.7283493377553928E-2</v>
      </c>
      <c r="F134" s="75"/>
    </row>
    <row r="135" spans="1:6" ht="14.25" customHeight="1" x14ac:dyDescent="0.3">
      <c r="A135" s="73">
        <v>40737</v>
      </c>
      <c r="B135" s="74">
        <v>18596.02</v>
      </c>
      <c r="C135" s="74">
        <v>225.2</v>
      </c>
      <c r="D135" s="74">
        <f t="shared" si="5"/>
        <v>9.9655922997359623E-3</v>
      </c>
      <c r="E135" s="74">
        <f t="shared" si="6"/>
        <v>1.2736179308829849E-2</v>
      </c>
      <c r="F135" s="75"/>
    </row>
    <row r="136" spans="1:6" ht="14.25" customHeight="1" x14ac:dyDescent="0.3">
      <c r="A136" s="73">
        <v>40738</v>
      </c>
      <c r="B136" s="74">
        <v>18618.2</v>
      </c>
      <c r="C136" s="74">
        <v>226.6</v>
      </c>
      <c r="D136" s="74">
        <f t="shared" si="5"/>
        <v>1.1920176011377462E-3</v>
      </c>
      <c r="E136" s="74">
        <f t="shared" si="6"/>
        <v>6.1974523283707204E-3</v>
      </c>
      <c r="F136" s="75"/>
    </row>
    <row r="137" spans="1:6" ht="14.25" customHeight="1" x14ac:dyDescent="0.3">
      <c r="A137" s="73">
        <v>40739</v>
      </c>
      <c r="B137" s="74">
        <v>18561.919999999998</v>
      </c>
      <c r="C137" s="74">
        <v>226.1</v>
      </c>
      <c r="D137" s="74">
        <f t="shared" si="5"/>
        <v>-3.0274266454927566E-3</v>
      </c>
      <c r="E137" s="74">
        <f t="shared" si="6"/>
        <v>-2.2089693099818083E-3</v>
      </c>
      <c r="F137" s="75"/>
    </row>
    <row r="138" spans="1:6" ht="14.25" customHeight="1" x14ac:dyDescent="0.3">
      <c r="A138" s="73">
        <v>40742</v>
      </c>
      <c r="B138" s="74">
        <v>18507.04</v>
      </c>
      <c r="C138" s="74">
        <v>227.6</v>
      </c>
      <c r="D138" s="74">
        <f t="shared" si="5"/>
        <v>-2.960970045880727E-3</v>
      </c>
      <c r="E138" s="74">
        <f t="shared" si="6"/>
        <v>6.6123229682516129E-3</v>
      </c>
      <c r="F138" s="75"/>
    </row>
    <row r="139" spans="1:6" ht="14.25" customHeight="1" x14ac:dyDescent="0.3">
      <c r="A139" s="73">
        <v>40743</v>
      </c>
      <c r="B139" s="74">
        <v>18653.87</v>
      </c>
      <c r="C139" s="74">
        <v>233.25</v>
      </c>
      <c r="D139" s="74">
        <f t="shared" si="5"/>
        <v>7.9024310280676399E-3</v>
      </c>
      <c r="E139" s="74">
        <f t="shared" si="6"/>
        <v>2.4521137475277299E-2</v>
      </c>
      <c r="F139" s="75"/>
    </row>
    <row r="140" spans="1:6" ht="14.25" customHeight="1" x14ac:dyDescent="0.3">
      <c r="A140" s="73">
        <v>40744</v>
      </c>
      <c r="B140" s="74">
        <v>18502.38</v>
      </c>
      <c r="C140" s="74">
        <v>232.1</v>
      </c>
      <c r="D140" s="74">
        <f t="shared" si="5"/>
        <v>-8.1542588072994072E-3</v>
      </c>
      <c r="E140" s="74">
        <f t="shared" si="6"/>
        <v>-4.9425264470618312E-3</v>
      </c>
      <c r="F140" s="75"/>
    </row>
    <row r="141" spans="1:6" ht="14.25" customHeight="1" x14ac:dyDescent="0.3">
      <c r="A141" s="73">
        <v>40745</v>
      </c>
      <c r="B141" s="74">
        <v>18436.189999999999</v>
      </c>
      <c r="C141" s="74">
        <v>224.95</v>
      </c>
      <c r="D141" s="74">
        <f t="shared" si="5"/>
        <v>-3.583791730050234E-3</v>
      </c>
      <c r="E141" s="74">
        <f t="shared" si="6"/>
        <v>-3.1290157993210103E-2</v>
      </c>
      <c r="F141" s="75"/>
    </row>
    <row r="142" spans="1:6" ht="14.25" customHeight="1" x14ac:dyDescent="0.3">
      <c r="A142" s="73">
        <v>40746</v>
      </c>
      <c r="B142" s="74">
        <v>18722.3</v>
      </c>
      <c r="C142" s="74">
        <v>221.7</v>
      </c>
      <c r="D142" s="74">
        <f t="shared" si="5"/>
        <v>1.5399746021888643E-2</v>
      </c>
      <c r="E142" s="74">
        <f t="shared" si="6"/>
        <v>-1.4553038664915526E-2</v>
      </c>
      <c r="F142" s="75"/>
    </row>
    <row r="143" spans="1:6" ht="14.25" customHeight="1" x14ac:dyDescent="0.3">
      <c r="A143" s="73">
        <v>40749</v>
      </c>
      <c r="B143" s="74">
        <v>18871.29</v>
      </c>
      <c r="C143" s="74">
        <v>223.3</v>
      </c>
      <c r="D143" s="74">
        <f t="shared" si="5"/>
        <v>7.9263927737396132E-3</v>
      </c>
      <c r="E143" s="74">
        <f t="shared" si="6"/>
        <v>7.19104222384645E-3</v>
      </c>
      <c r="F143" s="75"/>
    </row>
    <row r="144" spans="1:6" ht="14.25" customHeight="1" x14ac:dyDescent="0.3">
      <c r="A144" s="73">
        <v>40750</v>
      </c>
      <c r="B144" s="74">
        <v>18518.22</v>
      </c>
      <c r="C144" s="74">
        <v>220.35</v>
      </c>
      <c r="D144" s="74">
        <f t="shared" si="5"/>
        <v>-1.8886607236044146E-2</v>
      </c>
      <c r="E144" s="74">
        <f t="shared" si="6"/>
        <v>-1.329896755811622E-2</v>
      </c>
      <c r="F144" s="75"/>
    </row>
    <row r="145" spans="1:6" ht="14.25" customHeight="1" x14ac:dyDescent="0.3">
      <c r="A145" s="73">
        <v>40751</v>
      </c>
      <c r="B145" s="74">
        <v>18432.25</v>
      </c>
      <c r="C145" s="74">
        <v>224.65</v>
      </c>
      <c r="D145" s="74">
        <f t="shared" si="5"/>
        <v>-4.6532644983795102E-3</v>
      </c>
      <c r="E145" s="74">
        <f t="shared" si="6"/>
        <v>1.932644422817302E-2</v>
      </c>
      <c r="F145" s="75"/>
    </row>
    <row r="146" spans="1:6" ht="14.25" customHeight="1" x14ac:dyDescent="0.3">
      <c r="A146" s="73">
        <v>40752</v>
      </c>
      <c r="B146" s="74">
        <v>18209.52</v>
      </c>
      <c r="C146" s="74">
        <v>227.75</v>
      </c>
      <c r="D146" s="74">
        <f t="shared" si="5"/>
        <v>-1.2157313540774203E-2</v>
      </c>
      <c r="E146" s="74">
        <f t="shared" si="6"/>
        <v>1.370490062389869E-2</v>
      </c>
      <c r="F146" s="75"/>
    </row>
    <row r="147" spans="1:6" ht="14.25" customHeight="1" x14ac:dyDescent="0.3">
      <c r="A147" s="73">
        <v>40753</v>
      </c>
      <c r="B147" s="74">
        <v>18197.2</v>
      </c>
      <c r="C147" s="74">
        <v>228.4</v>
      </c>
      <c r="D147" s="74">
        <f t="shared" si="5"/>
        <v>-6.7679815541033818E-4</v>
      </c>
      <c r="E147" s="74">
        <f t="shared" si="6"/>
        <v>2.849941641787482E-3</v>
      </c>
      <c r="F147" s="75"/>
    </row>
    <row r="148" spans="1:6" ht="14.25" customHeight="1" x14ac:dyDescent="0.3">
      <c r="A148" s="73">
        <v>40756</v>
      </c>
      <c r="B148" s="74">
        <v>18314.330000000002</v>
      </c>
      <c r="C148" s="74">
        <v>228</v>
      </c>
      <c r="D148" s="74">
        <f t="shared" si="5"/>
        <v>6.4160774316866674E-3</v>
      </c>
      <c r="E148" s="74">
        <f t="shared" si="6"/>
        <v>-1.7528488274143605E-3</v>
      </c>
      <c r="F148" s="75"/>
    </row>
    <row r="149" spans="1:6" ht="14.25" customHeight="1" x14ac:dyDescent="0.3">
      <c r="A149" s="73">
        <v>40757</v>
      </c>
      <c r="B149" s="74">
        <v>18109.89</v>
      </c>
      <c r="C149" s="74">
        <v>228.15</v>
      </c>
      <c r="D149" s="74">
        <f t="shared" si="5"/>
        <v>-1.122561564045099E-2</v>
      </c>
      <c r="E149" s="74">
        <f t="shared" si="6"/>
        <v>6.5767841897075693E-4</v>
      </c>
      <c r="F149" s="75"/>
    </row>
    <row r="150" spans="1:6" ht="14.25" customHeight="1" x14ac:dyDescent="0.3">
      <c r="A150" s="73">
        <v>40758</v>
      </c>
      <c r="B150" s="74">
        <v>17940.55</v>
      </c>
      <c r="C150" s="74">
        <v>225.3</v>
      </c>
      <c r="D150" s="74">
        <f t="shared" si="5"/>
        <v>-9.394683975845846E-3</v>
      </c>
      <c r="E150" s="74">
        <f t="shared" si="6"/>
        <v>-1.2570459935212792E-2</v>
      </c>
      <c r="F150" s="75"/>
    </row>
    <row r="151" spans="1:6" ht="14.25" customHeight="1" x14ac:dyDescent="0.3">
      <c r="A151" s="73">
        <v>40759</v>
      </c>
      <c r="B151" s="74">
        <v>17693.18</v>
      </c>
      <c r="C151" s="74">
        <v>222.95</v>
      </c>
      <c r="D151" s="74">
        <f t="shared" si="5"/>
        <v>-1.3884259314694633E-2</v>
      </c>
      <c r="E151" s="74">
        <f t="shared" si="6"/>
        <v>-1.0485316364713188E-2</v>
      </c>
      <c r="F151" s="75"/>
    </row>
    <row r="152" spans="1:6" ht="14.25" customHeight="1" x14ac:dyDescent="0.3">
      <c r="A152" s="73">
        <v>40760</v>
      </c>
      <c r="B152" s="74">
        <v>17305.87</v>
      </c>
      <c r="C152" s="74">
        <v>214.25</v>
      </c>
      <c r="D152" s="74">
        <f t="shared" si="5"/>
        <v>-2.2133504283335059E-2</v>
      </c>
      <c r="E152" s="74">
        <f t="shared" si="6"/>
        <v>-3.9803973595596488E-2</v>
      </c>
      <c r="F152" s="75"/>
    </row>
    <row r="153" spans="1:6" ht="14.25" customHeight="1" x14ac:dyDescent="0.3">
      <c r="A153" s="73">
        <v>40763</v>
      </c>
      <c r="B153" s="74">
        <v>16990.18</v>
      </c>
      <c r="C153" s="74">
        <v>215.95</v>
      </c>
      <c r="D153" s="74">
        <f t="shared" si="5"/>
        <v>-1.8410220215676915E-2</v>
      </c>
      <c r="E153" s="74">
        <f t="shared" si="6"/>
        <v>7.9033419288208253E-3</v>
      </c>
      <c r="F153" s="75"/>
    </row>
    <row r="154" spans="1:6" ht="14.25" customHeight="1" x14ac:dyDescent="0.3">
      <c r="A154" s="73">
        <v>40764</v>
      </c>
      <c r="B154" s="74">
        <v>16857.91</v>
      </c>
      <c r="C154" s="74">
        <v>214.35</v>
      </c>
      <c r="D154" s="74">
        <f t="shared" si="5"/>
        <v>-7.8155472456049105E-3</v>
      </c>
      <c r="E154" s="74">
        <f t="shared" si="6"/>
        <v>-7.4367063627240422E-3</v>
      </c>
      <c r="F154" s="75"/>
    </row>
    <row r="155" spans="1:6" ht="14.25" customHeight="1" x14ac:dyDescent="0.3">
      <c r="A155" s="73">
        <v>40765</v>
      </c>
      <c r="B155" s="74">
        <v>17130.509999999998</v>
      </c>
      <c r="C155" s="74">
        <v>220.1</v>
      </c>
      <c r="D155" s="74">
        <f t="shared" si="5"/>
        <v>1.6041101372639806E-2</v>
      </c>
      <c r="E155" s="74">
        <f t="shared" si="6"/>
        <v>2.6471795488429838E-2</v>
      </c>
      <c r="F155" s="75"/>
    </row>
    <row r="156" spans="1:6" ht="14.25" customHeight="1" x14ac:dyDescent="0.3">
      <c r="A156" s="73">
        <v>40766</v>
      </c>
      <c r="B156" s="74">
        <v>17059.400000000001</v>
      </c>
      <c r="C156" s="74">
        <v>214.45</v>
      </c>
      <c r="D156" s="74">
        <f t="shared" si="5"/>
        <v>-4.1597127653104464E-3</v>
      </c>
      <c r="E156" s="74">
        <f t="shared" si="6"/>
        <v>-2.6005377569526599E-2</v>
      </c>
      <c r="F156" s="75"/>
    </row>
    <row r="157" spans="1:6" ht="14.25" customHeight="1" x14ac:dyDescent="0.3">
      <c r="A157" s="73">
        <v>40767</v>
      </c>
      <c r="B157" s="74">
        <v>16839.63</v>
      </c>
      <c r="C157" s="74">
        <v>211.1</v>
      </c>
      <c r="D157" s="74">
        <f t="shared" si="5"/>
        <v>-1.2966334380411072E-2</v>
      </c>
      <c r="E157" s="74">
        <f t="shared" si="6"/>
        <v>-1.5744656108614551E-2</v>
      </c>
      <c r="F157" s="75"/>
    </row>
    <row r="158" spans="1:6" ht="14.25" customHeight="1" x14ac:dyDescent="0.3">
      <c r="A158" s="73">
        <v>40771</v>
      </c>
      <c r="B158" s="74">
        <v>16730.939999999999</v>
      </c>
      <c r="C158" s="74">
        <v>208.65</v>
      </c>
      <c r="D158" s="74">
        <f t="shared" si="5"/>
        <v>-6.4753371647031637E-3</v>
      </c>
      <c r="E158" s="74">
        <f t="shared" si="6"/>
        <v>-1.1673747816713233E-2</v>
      </c>
      <c r="F158" s="75"/>
    </row>
    <row r="159" spans="1:6" ht="14.25" customHeight="1" x14ac:dyDescent="0.3">
      <c r="A159" s="73">
        <v>40772</v>
      </c>
      <c r="B159" s="74">
        <v>16840.8</v>
      </c>
      <c r="C159" s="74">
        <v>209.95</v>
      </c>
      <c r="D159" s="74">
        <f t="shared" si="5"/>
        <v>6.5448137123877747E-3</v>
      </c>
      <c r="E159" s="74">
        <f t="shared" si="6"/>
        <v>6.2112000926406764E-3</v>
      </c>
      <c r="F159" s="75"/>
    </row>
    <row r="160" spans="1:6" ht="14.25" customHeight="1" x14ac:dyDescent="0.3">
      <c r="A160" s="73">
        <v>40773</v>
      </c>
      <c r="B160" s="74">
        <v>16469.79</v>
      </c>
      <c r="C160" s="74">
        <v>202.85</v>
      </c>
      <c r="D160" s="74">
        <f t="shared" si="5"/>
        <v>-2.227671997116373E-2</v>
      </c>
      <c r="E160" s="74">
        <f t="shared" si="6"/>
        <v>-3.4402617477745957E-2</v>
      </c>
      <c r="F160" s="75"/>
    </row>
    <row r="161" spans="1:6" ht="14.25" customHeight="1" x14ac:dyDescent="0.3">
      <c r="A161" s="73">
        <v>40774</v>
      </c>
      <c r="B161" s="74">
        <v>16141.67</v>
      </c>
      <c r="C161" s="74">
        <v>197.35</v>
      </c>
      <c r="D161" s="74">
        <f t="shared" si="5"/>
        <v>-2.0123666523054761E-2</v>
      </c>
      <c r="E161" s="74">
        <f t="shared" si="6"/>
        <v>-2.7487987543600108E-2</v>
      </c>
      <c r="F161" s="75"/>
    </row>
    <row r="162" spans="1:6" ht="14.25" customHeight="1" x14ac:dyDescent="0.3">
      <c r="A162" s="73">
        <v>40777</v>
      </c>
      <c r="B162" s="74">
        <v>16341.7</v>
      </c>
      <c r="C162" s="74">
        <v>203.05</v>
      </c>
      <c r="D162" s="74">
        <f t="shared" si="5"/>
        <v>1.2315996058011671E-2</v>
      </c>
      <c r="E162" s="74">
        <f t="shared" si="6"/>
        <v>2.847345202345071E-2</v>
      </c>
      <c r="F162" s="75"/>
    </row>
    <row r="163" spans="1:6" ht="14.25" customHeight="1" x14ac:dyDescent="0.3">
      <c r="A163" s="73">
        <v>40778</v>
      </c>
      <c r="B163" s="74">
        <v>16498.47</v>
      </c>
      <c r="C163" s="74">
        <v>208.9</v>
      </c>
      <c r="D163" s="74">
        <f t="shared" si="5"/>
        <v>9.5475261465236654E-3</v>
      </c>
      <c r="E163" s="74">
        <f t="shared" si="6"/>
        <v>2.8403414430213218E-2</v>
      </c>
      <c r="F163" s="75"/>
    </row>
    <row r="164" spans="1:6" ht="14.25" customHeight="1" x14ac:dyDescent="0.3">
      <c r="A164" s="73">
        <v>40779</v>
      </c>
      <c r="B164" s="74">
        <v>16284.98</v>
      </c>
      <c r="C164" s="74">
        <v>209.35</v>
      </c>
      <c r="D164" s="74">
        <f t="shared" si="5"/>
        <v>-1.3024438730966259E-2</v>
      </c>
      <c r="E164" s="74">
        <f t="shared" si="6"/>
        <v>2.1518239026321788E-3</v>
      </c>
      <c r="F164" s="75"/>
    </row>
    <row r="165" spans="1:6" ht="14.25" customHeight="1" x14ac:dyDescent="0.3">
      <c r="A165" s="73">
        <v>40780</v>
      </c>
      <c r="B165" s="74">
        <v>16146.33</v>
      </c>
      <c r="C165" s="74">
        <v>205.8</v>
      </c>
      <c r="D165" s="74">
        <f t="shared" si="5"/>
        <v>-8.5504313407422875E-3</v>
      </c>
      <c r="E165" s="74">
        <f t="shared" si="6"/>
        <v>-1.7102669065202965E-2</v>
      </c>
      <c r="F165" s="75"/>
    </row>
    <row r="166" spans="1:6" ht="14.25" customHeight="1" x14ac:dyDescent="0.3">
      <c r="A166" s="73">
        <v>40781</v>
      </c>
      <c r="B166" s="74">
        <v>15848.83</v>
      </c>
      <c r="C166" s="74">
        <v>201.6</v>
      </c>
      <c r="D166" s="74">
        <f t="shared" si="5"/>
        <v>-1.8597098698681945E-2</v>
      </c>
      <c r="E166" s="74">
        <f t="shared" si="6"/>
        <v>-2.0619287202735818E-2</v>
      </c>
      <c r="F166" s="75"/>
    </row>
    <row r="167" spans="1:6" ht="14.25" customHeight="1" x14ac:dyDescent="0.3">
      <c r="A167" s="73">
        <v>40784</v>
      </c>
      <c r="B167" s="74">
        <v>16416.330000000002</v>
      </c>
      <c r="C167" s="74">
        <v>205.75</v>
      </c>
      <c r="D167" s="74">
        <f t="shared" si="5"/>
        <v>3.518089056151328E-2</v>
      </c>
      <c r="E167" s="74">
        <f t="shared" si="6"/>
        <v>2.0376303359965625E-2</v>
      </c>
      <c r="F167" s="75"/>
    </row>
    <row r="168" spans="1:6" ht="14.25" customHeight="1" x14ac:dyDescent="0.3">
      <c r="A168" s="73">
        <v>40785</v>
      </c>
      <c r="B168" s="74">
        <v>16676.75</v>
      </c>
      <c r="C168" s="74">
        <v>205.55</v>
      </c>
      <c r="D168" s="74">
        <f t="shared" si="5"/>
        <v>1.5738962695826721E-2</v>
      </c>
      <c r="E168" s="74">
        <f t="shared" si="6"/>
        <v>-9.7252621329169489E-4</v>
      </c>
      <c r="F168" s="75"/>
    </row>
    <row r="169" spans="1:6" ht="14.25" customHeight="1" x14ac:dyDescent="0.3">
      <c r="A169" s="73">
        <v>40788</v>
      </c>
      <c r="B169" s="74">
        <v>16821.46</v>
      </c>
      <c r="C169" s="74">
        <v>210.9</v>
      </c>
      <c r="D169" s="74">
        <f t="shared" si="5"/>
        <v>8.6399183833308496E-3</v>
      </c>
      <c r="E169" s="74">
        <f t="shared" si="6"/>
        <v>2.5694774140841394E-2</v>
      </c>
      <c r="F169" s="75"/>
    </row>
    <row r="170" spans="1:6" ht="14.25" customHeight="1" x14ac:dyDescent="0.3">
      <c r="A170" s="73">
        <v>40791</v>
      </c>
      <c r="B170" s="74">
        <v>16713.330000000002</v>
      </c>
      <c r="C170" s="74">
        <v>220.45</v>
      </c>
      <c r="D170" s="74">
        <f t="shared" si="5"/>
        <v>-6.4488475841946247E-3</v>
      </c>
      <c r="E170" s="74">
        <f t="shared" si="6"/>
        <v>4.4286824319217592E-2</v>
      </c>
      <c r="F170" s="75"/>
    </row>
    <row r="171" spans="1:6" ht="14.25" customHeight="1" x14ac:dyDescent="0.3">
      <c r="A171" s="73">
        <v>40792</v>
      </c>
      <c r="B171" s="74">
        <v>16862.810000000001</v>
      </c>
      <c r="C171" s="74">
        <v>216.8</v>
      </c>
      <c r="D171" s="74">
        <f t="shared" si="5"/>
        <v>8.9040007325759708E-3</v>
      </c>
      <c r="E171" s="74">
        <f t="shared" si="6"/>
        <v>-1.669564223845537E-2</v>
      </c>
      <c r="F171" s="75"/>
    </row>
    <row r="172" spans="1:6" ht="14.25" customHeight="1" x14ac:dyDescent="0.3">
      <c r="A172" s="73">
        <v>40793</v>
      </c>
      <c r="B172" s="74">
        <v>17065</v>
      </c>
      <c r="C172" s="74">
        <v>217.95</v>
      </c>
      <c r="D172" s="74">
        <f t="shared" si="5"/>
        <v>1.1918977005640001E-2</v>
      </c>
      <c r="E172" s="74">
        <f t="shared" si="6"/>
        <v>5.2904091189104547E-3</v>
      </c>
      <c r="F172" s="75"/>
    </row>
    <row r="173" spans="1:6" ht="14.25" customHeight="1" x14ac:dyDescent="0.3">
      <c r="A173" s="73">
        <v>40794</v>
      </c>
      <c r="B173" s="74">
        <v>17165.54</v>
      </c>
      <c r="C173" s="74">
        <v>223.55</v>
      </c>
      <c r="D173" s="74">
        <f t="shared" si="5"/>
        <v>5.8743034211366134E-3</v>
      </c>
      <c r="E173" s="74">
        <f t="shared" si="6"/>
        <v>2.5369423995588235E-2</v>
      </c>
      <c r="F173" s="75"/>
    </row>
    <row r="174" spans="1:6" ht="14.25" customHeight="1" x14ac:dyDescent="0.3">
      <c r="A174" s="73">
        <v>40795</v>
      </c>
      <c r="B174" s="74">
        <v>16866.97</v>
      </c>
      <c r="C174" s="74">
        <v>226.75</v>
      </c>
      <c r="D174" s="74">
        <f t="shared" si="5"/>
        <v>-1.7546614126486938E-2</v>
      </c>
      <c r="E174" s="74">
        <f t="shared" si="6"/>
        <v>1.4212986315256325E-2</v>
      </c>
      <c r="F174" s="75"/>
    </row>
    <row r="175" spans="1:6" ht="14.25" customHeight="1" x14ac:dyDescent="0.3">
      <c r="A175" s="73">
        <v>40798</v>
      </c>
      <c r="B175" s="74">
        <v>16501.740000000002</v>
      </c>
      <c r="C175" s="74">
        <v>214.25</v>
      </c>
      <c r="D175" s="74">
        <f t="shared" si="5"/>
        <v>-2.1891441761270079E-2</v>
      </c>
      <c r="E175" s="74">
        <f t="shared" si="6"/>
        <v>-5.6704531517356785E-2</v>
      </c>
      <c r="F175" s="75"/>
    </row>
    <row r="176" spans="1:6" ht="14.25" customHeight="1" x14ac:dyDescent="0.3">
      <c r="A176" s="73">
        <v>40799</v>
      </c>
      <c r="B176" s="74">
        <v>16467.439999999999</v>
      </c>
      <c r="C176" s="74">
        <v>212.55</v>
      </c>
      <c r="D176" s="74">
        <f t="shared" si="5"/>
        <v>-2.080731906283361E-3</v>
      </c>
      <c r="E176" s="74">
        <f t="shared" si="6"/>
        <v>-7.9663026730900158E-3</v>
      </c>
      <c r="F176" s="75"/>
    </row>
    <row r="177" spans="1:6" ht="14.25" customHeight="1" x14ac:dyDescent="0.3">
      <c r="A177" s="73">
        <v>40800</v>
      </c>
      <c r="B177" s="74">
        <v>16709.599999999999</v>
      </c>
      <c r="C177" s="74">
        <v>212.45</v>
      </c>
      <c r="D177" s="74">
        <f t="shared" si="5"/>
        <v>1.4598306573203743E-2</v>
      </c>
      <c r="E177" s="74">
        <f t="shared" si="6"/>
        <v>-4.7058824397870868E-4</v>
      </c>
      <c r="F177" s="75"/>
    </row>
    <row r="178" spans="1:6" ht="14.25" customHeight="1" x14ac:dyDescent="0.3">
      <c r="A178" s="73">
        <v>40801</v>
      </c>
      <c r="B178" s="74">
        <v>16876.54</v>
      </c>
      <c r="C178" s="74">
        <v>218.6</v>
      </c>
      <c r="D178" s="74">
        <f t="shared" si="5"/>
        <v>9.9410872950098563E-3</v>
      </c>
      <c r="E178" s="74">
        <f t="shared" si="6"/>
        <v>2.8536909181617685E-2</v>
      </c>
      <c r="F178" s="75"/>
    </row>
    <row r="179" spans="1:6" ht="14.25" customHeight="1" x14ac:dyDescent="0.3">
      <c r="A179" s="73">
        <v>40802</v>
      </c>
      <c r="B179" s="74">
        <v>16933.830000000002</v>
      </c>
      <c r="C179" s="74">
        <v>219.8</v>
      </c>
      <c r="D179" s="74">
        <f t="shared" si="5"/>
        <v>3.3889043408712538E-3</v>
      </c>
      <c r="E179" s="74">
        <f t="shared" si="6"/>
        <v>5.4744662270827691E-3</v>
      </c>
      <c r="F179" s="75"/>
    </row>
    <row r="180" spans="1:6" ht="14.25" customHeight="1" x14ac:dyDescent="0.3">
      <c r="A180" s="73">
        <v>40805</v>
      </c>
      <c r="B180" s="74">
        <v>16745.349999999999</v>
      </c>
      <c r="C180" s="74">
        <v>222</v>
      </c>
      <c r="D180" s="74">
        <f t="shared" si="5"/>
        <v>-1.1192788405402297E-2</v>
      </c>
      <c r="E180" s="74">
        <f t="shared" si="6"/>
        <v>9.9593399027584871E-3</v>
      </c>
      <c r="F180" s="75"/>
    </row>
    <row r="181" spans="1:6" ht="14.25" customHeight="1" x14ac:dyDescent="0.3">
      <c r="A181" s="73">
        <v>40806</v>
      </c>
      <c r="B181" s="74">
        <v>17099.28</v>
      </c>
      <c r="C181" s="74">
        <v>226.8</v>
      </c>
      <c r="D181" s="74">
        <f t="shared" si="5"/>
        <v>2.0915749569555761E-2</v>
      </c>
      <c r="E181" s="74">
        <f t="shared" si="6"/>
        <v>2.139118998131756E-2</v>
      </c>
      <c r="F181" s="75"/>
    </row>
    <row r="182" spans="1:6" ht="14.25" customHeight="1" x14ac:dyDescent="0.3">
      <c r="A182" s="73">
        <v>40807</v>
      </c>
      <c r="B182" s="74">
        <v>17065.150000000001</v>
      </c>
      <c r="C182" s="74">
        <v>235</v>
      </c>
      <c r="D182" s="74">
        <f t="shared" si="5"/>
        <v>-1.9979851180746511E-3</v>
      </c>
      <c r="E182" s="74">
        <f t="shared" si="6"/>
        <v>3.5516942290561924E-2</v>
      </c>
      <c r="F182" s="75"/>
    </row>
    <row r="183" spans="1:6" ht="14.25" customHeight="1" x14ac:dyDescent="0.3">
      <c r="A183" s="73">
        <v>40808</v>
      </c>
      <c r="B183" s="74">
        <v>16361.15</v>
      </c>
      <c r="C183" s="74">
        <v>226.1</v>
      </c>
      <c r="D183" s="74">
        <f t="shared" si="5"/>
        <v>-4.2128750138261194E-2</v>
      </c>
      <c r="E183" s="74">
        <f t="shared" si="6"/>
        <v>-3.8608134860234775E-2</v>
      </c>
      <c r="F183" s="75"/>
    </row>
    <row r="184" spans="1:6" ht="14.25" customHeight="1" x14ac:dyDescent="0.3">
      <c r="A184" s="73">
        <v>40809</v>
      </c>
      <c r="B184" s="74">
        <v>16162.06</v>
      </c>
      <c r="C184" s="74">
        <v>223.65</v>
      </c>
      <c r="D184" s="74">
        <f t="shared" si="5"/>
        <v>-1.2243101886473717E-2</v>
      </c>
      <c r="E184" s="74">
        <f t="shared" si="6"/>
        <v>-1.0895049405066947E-2</v>
      </c>
      <c r="F184" s="75"/>
    </row>
    <row r="185" spans="1:6" ht="14.25" customHeight="1" x14ac:dyDescent="0.3">
      <c r="A185" s="73">
        <v>40812</v>
      </c>
      <c r="B185" s="74">
        <v>16051.1</v>
      </c>
      <c r="C185" s="74">
        <v>207.4</v>
      </c>
      <c r="D185" s="74">
        <f t="shared" si="5"/>
        <v>-6.8891371630973777E-3</v>
      </c>
      <c r="E185" s="74">
        <f t="shared" si="6"/>
        <v>-7.5433034083430134E-2</v>
      </c>
      <c r="F185" s="75"/>
    </row>
    <row r="186" spans="1:6" ht="14.25" customHeight="1" x14ac:dyDescent="0.3">
      <c r="A186" s="73">
        <v>40813</v>
      </c>
      <c r="B186" s="74">
        <v>16524.03</v>
      </c>
      <c r="C186" s="74">
        <v>213</v>
      </c>
      <c r="D186" s="74">
        <f t="shared" si="5"/>
        <v>2.9038302020803555E-2</v>
      </c>
      <c r="E186" s="74">
        <f t="shared" si="6"/>
        <v>2.6642869913998175E-2</v>
      </c>
      <c r="F186" s="75"/>
    </row>
    <row r="187" spans="1:6" ht="14.25" customHeight="1" x14ac:dyDescent="0.3">
      <c r="A187" s="73">
        <v>40814</v>
      </c>
      <c r="B187" s="74">
        <v>16446.02</v>
      </c>
      <c r="C187" s="74">
        <v>207.5</v>
      </c>
      <c r="D187" s="74">
        <f t="shared" si="5"/>
        <v>-4.7321824247571797E-3</v>
      </c>
      <c r="E187" s="74">
        <f t="shared" si="6"/>
        <v>-2.6160826038672164E-2</v>
      </c>
      <c r="F187" s="75"/>
    </row>
    <row r="188" spans="1:6" ht="14.25" customHeight="1" x14ac:dyDescent="0.3">
      <c r="A188" s="73">
        <v>40815</v>
      </c>
      <c r="B188" s="74">
        <v>16698.07</v>
      </c>
      <c r="C188" s="74">
        <v>205.75</v>
      </c>
      <c r="D188" s="74">
        <f t="shared" si="5"/>
        <v>1.5209641232694405E-2</v>
      </c>
      <c r="E188" s="74">
        <f t="shared" si="6"/>
        <v>-8.469500113573834E-3</v>
      </c>
      <c r="F188" s="75"/>
    </row>
    <row r="189" spans="1:6" ht="14.25" customHeight="1" x14ac:dyDescent="0.3">
      <c r="A189" s="73">
        <v>40816</v>
      </c>
      <c r="B189" s="74">
        <v>16453.759999999998</v>
      </c>
      <c r="C189" s="74">
        <v>208.75</v>
      </c>
      <c r="D189" s="74">
        <f t="shared" si="5"/>
        <v>-1.4739121360355288E-2</v>
      </c>
      <c r="E189" s="74">
        <f t="shared" si="6"/>
        <v>1.447552417378568E-2</v>
      </c>
      <c r="F189" s="75"/>
    </row>
    <row r="190" spans="1:6" ht="14.25" customHeight="1" x14ac:dyDescent="0.3">
      <c r="A190" s="73">
        <v>40819</v>
      </c>
      <c r="B190" s="74">
        <v>16151.45</v>
      </c>
      <c r="C190" s="74">
        <v>204.3</v>
      </c>
      <c r="D190" s="74">
        <f t="shared" si="5"/>
        <v>-1.8544193601361458E-2</v>
      </c>
      <c r="E190" s="74">
        <f t="shared" si="6"/>
        <v>-2.1547861907388451E-2</v>
      </c>
      <c r="F190" s="75"/>
    </row>
    <row r="191" spans="1:6" ht="14.25" customHeight="1" x14ac:dyDescent="0.3">
      <c r="A191" s="73">
        <v>40820</v>
      </c>
      <c r="B191" s="74">
        <v>15864.86</v>
      </c>
      <c r="C191" s="74">
        <v>198.25</v>
      </c>
      <c r="D191" s="74">
        <f t="shared" si="5"/>
        <v>-1.7903228380249023E-2</v>
      </c>
      <c r="E191" s="74">
        <f t="shared" si="6"/>
        <v>-3.0060641308619091E-2</v>
      </c>
      <c r="F191" s="75"/>
    </row>
    <row r="192" spans="1:6" ht="14.25" customHeight="1" x14ac:dyDescent="0.3">
      <c r="A192" s="73">
        <v>40821</v>
      </c>
      <c r="B192" s="74">
        <v>15792.41</v>
      </c>
      <c r="C192" s="74">
        <v>197.45</v>
      </c>
      <c r="D192" s="74">
        <f t="shared" si="5"/>
        <v>-4.5771556731025089E-3</v>
      </c>
      <c r="E192" s="74">
        <f t="shared" si="6"/>
        <v>-4.0434727822990122E-3</v>
      </c>
      <c r="F192" s="75"/>
    </row>
    <row r="193" spans="1:6" ht="14.25" customHeight="1" x14ac:dyDescent="0.3">
      <c r="A193" s="73">
        <v>40823</v>
      </c>
      <c r="B193" s="74">
        <v>16232.54</v>
      </c>
      <c r="C193" s="74">
        <v>207.8</v>
      </c>
      <c r="D193" s="74">
        <f t="shared" si="5"/>
        <v>2.7488424722905389E-2</v>
      </c>
      <c r="E193" s="74">
        <f t="shared" si="6"/>
        <v>5.1090690932468666E-2</v>
      </c>
      <c r="F193" s="75"/>
    </row>
    <row r="194" spans="1:6" ht="14.25" customHeight="1" x14ac:dyDescent="0.3">
      <c r="A194" s="73">
        <v>40826</v>
      </c>
      <c r="B194" s="74">
        <v>16557.23</v>
      </c>
      <c r="C194" s="74">
        <v>211.35</v>
      </c>
      <c r="D194" s="74">
        <f t="shared" si="5"/>
        <v>1.9804994844761437E-2</v>
      </c>
      <c r="E194" s="74">
        <f t="shared" si="6"/>
        <v>1.6939448347671863E-2</v>
      </c>
      <c r="F194" s="75"/>
    </row>
    <row r="195" spans="1:6" ht="14.25" customHeight="1" x14ac:dyDescent="0.3">
      <c r="A195" s="73">
        <v>40827</v>
      </c>
      <c r="B195" s="74">
        <v>16536.47</v>
      </c>
      <c r="C195" s="74">
        <v>212.85</v>
      </c>
      <c r="D195" s="74">
        <f t="shared" si="5"/>
        <v>-1.254619623864325E-3</v>
      </c>
      <c r="E195" s="74">
        <f t="shared" si="6"/>
        <v>7.0721652613625332E-3</v>
      </c>
      <c r="F195" s="75"/>
    </row>
    <row r="196" spans="1:6" ht="14.25" customHeight="1" x14ac:dyDescent="0.3">
      <c r="A196" s="73">
        <v>40828</v>
      </c>
      <c r="B196" s="74">
        <v>16958.39</v>
      </c>
      <c r="C196" s="74">
        <v>219.75</v>
      </c>
      <c r="D196" s="74">
        <f t="shared" ref="D196:D259" si="7">LN(B196/B195)</f>
        <v>2.5194451801835376E-2</v>
      </c>
      <c r="E196" s="74">
        <f t="shared" ref="E196:E259" si="8">LN(C196/C195)</f>
        <v>3.190284429112502E-2</v>
      </c>
      <c r="F196" s="75"/>
    </row>
    <row r="197" spans="1:6" ht="14.25" customHeight="1" x14ac:dyDescent="0.3">
      <c r="A197" s="73">
        <v>40829</v>
      </c>
      <c r="B197" s="74">
        <v>16883.919999999998</v>
      </c>
      <c r="C197" s="74">
        <v>217.2</v>
      </c>
      <c r="D197" s="74">
        <f t="shared" si="7"/>
        <v>-4.4010069170745568E-3</v>
      </c>
      <c r="E197" s="74">
        <f t="shared" si="8"/>
        <v>-1.167194850550609E-2</v>
      </c>
      <c r="F197" s="75"/>
    </row>
    <row r="198" spans="1:6" ht="14.25" customHeight="1" x14ac:dyDescent="0.3">
      <c r="A198" s="73">
        <v>40830</v>
      </c>
      <c r="B198" s="74">
        <v>17082.689999999999</v>
      </c>
      <c r="C198" s="74">
        <v>218.1</v>
      </c>
      <c r="D198" s="74">
        <f t="shared" si="7"/>
        <v>1.1703980409388484E-2</v>
      </c>
      <c r="E198" s="74">
        <f t="shared" si="8"/>
        <v>4.1350851478030174E-3</v>
      </c>
      <c r="F198" s="75"/>
    </row>
    <row r="199" spans="1:6" ht="14.25" customHeight="1" x14ac:dyDescent="0.3">
      <c r="A199" s="73">
        <v>40833</v>
      </c>
      <c r="B199" s="74">
        <v>17025.09</v>
      </c>
      <c r="C199" s="74">
        <v>224.9</v>
      </c>
      <c r="D199" s="74">
        <f t="shared" si="7"/>
        <v>-3.3775317395061408E-3</v>
      </c>
      <c r="E199" s="74">
        <f t="shared" si="8"/>
        <v>3.0702185757686674E-2</v>
      </c>
      <c r="F199" s="75"/>
    </row>
    <row r="200" spans="1:6" ht="14.25" customHeight="1" x14ac:dyDescent="0.3">
      <c r="A200" s="73">
        <v>40834</v>
      </c>
      <c r="B200" s="74">
        <v>16748.29</v>
      </c>
      <c r="C200" s="74">
        <v>221.05</v>
      </c>
      <c r="D200" s="74">
        <f t="shared" si="7"/>
        <v>-1.6391974857872083E-2</v>
      </c>
      <c r="E200" s="74">
        <f t="shared" si="8"/>
        <v>-1.7266938693017816E-2</v>
      </c>
      <c r="F200" s="75"/>
    </row>
    <row r="201" spans="1:6" ht="14.25" customHeight="1" x14ac:dyDescent="0.3">
      <c r="A201" s="73">
        <v>40835</v>
      </c>
      <c r="B201" s="74">
        <v>17085.34</v>
      </c>
      <c r="C201" s="74">
        <v>222.25</v>
      </c>
      <c r="D201" s="74">
        <f t="shared" si="7"/>
        <v>1.9924622359411604E-2</v>
      </c>
      <c r="E201" s="74">
        <f t="shared" si="8"/>
        <v>5.4139541217617859E-3</v>
      </c>
      <c r="F201" s="75"/>
    </row>
    <row r="202" spans="1:6" ht="14.25" customHeight="1" x14ac:dyDescent="0.3">
      <c r="A202" s="73">
        <v>40836</v>
      </c>
      <c r="B202" s="74">
        <v>16936.89</v>
      </c>
      <c r="C202" s="74">
        <v>216.8</v>
      </c>
      <c r="D202" s="74">
        <f t="shared" si="7"/>
        <v>-8.7267026355303257E-3</v>
      </c>
      <c r="E202" s="74">
        <f t="shared" si="8"/>
        <v>-2.4827604828522813E-2</v>
      </c>
      <c r="F202" s="75"/>
    </row>
    <row r="203" spans="1:6" ht="14.25" customHeight="1" x14ac:dyDescent="0.3">
      <c r="A203" s="73">
        <v>40837</v>
      </c>
      <c r="B203" s="74">
        <v>16785.64</v>
      </c>
      <c r="C203" s="74">
        <v>219.65</v>
      </c>
      <c r="D203" s="74">
        <f t="shared" si="7"/>
        <v>-8.9703242440322441E-3</v>
      </c>
      <c r="E203" s="74">
        <f t="shared" si="8"/>
        <v>1.3060100856297401E-2</v>
      </c>
      <c r="F203" s="75"/>
    </row>
    <row r="204" spans="1:6" ht="14.25" customHeight="1" x14ac:dyDescent="0.3">
      <c r="A204" s="73">
        <v>40840</v>
      </c>
      <c r="B204" s="74">
        <v>16939.28</v>
      </c>
      <c r="C204" s="74">
        <v>225.65</v>
      </c>
      <c r="D204" s="74">
        <f t="shared" si="7"/>
        <v>9.1114263818456269E-3</v>
      </c>
      <c r="E204" s="74">
        <f t="shared" si="8"/>
        <v>2.6949755851221578E-2</v>
      </c>
      <c r="F204" s="75"/>
    </row>
    <row r="205" spans="1:6" ht="14.25" customHeight="1" x14ac:dyDescent="0.3">
      <c r="A205" s="73">
        <v>40841</v>
      </c>
      <c r="B205" s="74">
        <v>17254.86</v>
      </c>
      <c r="C205" s="74">
        <v>215.5</v>
      </c>
      <c r="D205" s="74">
        <f t="shared" si="7"/>
        <v>1.8458657557749423E-2</v>
      </c>
      <c r="E205" s="74">
        <f t="shared" si="8"/>
        <v>-4.6024216729207729E-2</v>
      </c>
      <c r="F205" s="75"/>
    </row>
    <row r="206" spans="1:6" ht="14.25" customHeight="1" x14ac:dyDescent="0.3">
      <c r="A206" s="73">
        <v>40842</v>
      </c>
      <c r="B206" s="74">
        <v>17288.830000000002</v>
      </c>
      <c r="C206" s="74">
        <v>217.2</v>
      </c>
      <c r="D206" s="74">
        <f t="shared" si="7"/>
        <v>1.9667853058172925E-3</v>
      </c>
      <c r="E206" s="74">
        <f t="shared" si="8"/>
        <v>7.8576785159777535E-3</v>
      </c>
      <c r="F206" s="75"/>
    </row>
    <row r="207" spans="1:6" ht="14.25" customHeight="1" x14ac:dyDescent="0.3">
      <c r="A207" s="73">
        <v>40844</v>
      </c>
      <c r="B207" s="74">
        <v>17804.8</v>
      </c>
      <c r="C207" s="74">
        <v>217.35</v>
      </c>
      <c r="D207" s="74">
        <f t="shared" si="7"/>
        <v>2.9407455634272078E-2</v>
      </c>
      <c r="E207" s="74">
        <f t="shared" si="8"/>
        <v>6.9036937502063253E-4</v>
      </c>
      <c r="F207" s="75"/>
    </row>
    <row r="208" spans="1:6" ht="14.25" customHeight="1" x14ac:dyDescent="0.3">
      <c r="A208" s="73">
        <v>40847</v>
      </c>
      <c r="B208" s="74">
        <v>17705.009999999998</v>
      </c>
      <c r="C208" s="74">
        <v>217.2</v>
      </c>
      <c r="D208" s="74">
        <f t="shared" si="7"/>
        <v>-5.6204334909699246E-3</v>
      </c>
      <c r="E208" s="74">
        <f t="shared" si="8"/>
        <v>-6.9036937502075428E-4</v>
      </c>
      <c r="F208" s="75"/>
    </row>
    <row r="209" spans="1:6" ht="14.25" customHeight="1" x14ac:dyDescent="0.3">
      <c r="A209" s="73">
        <v>40848</v>
      </c>
      <c r="B209" s="74">
        <v>17480.830000000002</v>
      </c>
      <c r="C209" s="74">
        <v>215</v>
      </c>
      <c r="D209" s="74">
        <f t="shared" si="7"/>
        <v>-1.274279843826354E-2</v>
      </c>
      <c r="E209" s="74">
        <f t="shared" si="8"/>
        <v>-1.0180559932117493E-2</v>
      </c>
      <c r="F209" s="75"/>
    </row>
    <row r="210" spans="1:6" ht="14.25" customHeight="1" x14ac:dyDescent="0.3">
      <c r="A210" s="73">
        <v>40849</v>
      </c>
      <c r="B210" s="74">
        <v>17464.849999999999</v>
      </c>
      <c r="C210" s="74">
        <v>215.2</v>
      </c>
      <c r="D210" s="74">
        <f t="shared" si="7"/>
        <v>-9.1456232151396742E-4</v>
      </c>
      <c r="E210" s="74">
        <f t="shared" si="8"/>
        <v>9.2980015996652738E-4</v>
      </c>
      <c r="F210" s="75"/>
    </row>
    <row r="211" spans="1:6" ht="14.25" customHeight="1" x14ac:dyDescent="0.3">
      <c r="A211" s="73">
        <v>40850</v>
      </c>
      <c r="B211" s="74">
        <v>17481.93</v>
      </c>
      <c r="C211" s="74">
        <v>215.25</v>
      </c>
      <c r="D211" s="74">
        <f t="shared" si="7"/>
        <v>9.7748641562776621E-4</v>
      </c>
      <c r="E211" s="74">
        <f t="shared" si="8"/>
        <v>2.323150202109359E-4</v>
      </c>
      <c r="F211" s="75"/>
    </row>
    <row r="212" spans="1:6" ht="14.25" customHeight="1" x14ac:dyDescent="0.3">
      <c r="A212" s="73">
        <v>40851</v>
      </c>
      <c r="B212" s="74">
        <v>17562.61</v>
      </c>
      <c r="C212" s="74">
        <v>216.8</v>
      </c>
      <c r="D212" s="74">
        <f t="shared" si="7"/>
        <v>4.6044343877878818E-3</v>
      </c>
      <c r="E212" s="74">
        <f t="shared" si="8"/>
        <v>7.1751262576509479E-3</v>
      </c>
      <c r="F212" s="75"/>
    </row>
    <row r="213" spans="1:6" ht="14.25" customHeight="1" x14ac:dyDescent="0.3">
      <c r="A213" s="73">
        <v>40855</v>
      </c>
      <c r="B213" s="74">
        <v>17569.53</v>
      </c>
      <c r="C213" s="74">
        <v>221.9</v>
      </c>
      <c r="D213" s="74">
        <f t="shared" si="7"/>
        <v>3.9394127938060939E-4</v>
      </c>
      <c r="E213" s="74">
        <f t="shared" si="8"/>
        <v>2.3251560373057024E-2</v>
      </c>
      <c r="F213" s="75"/>
    </row>
    <row r="214" spans="1:6" ht="14.25" customHeight="1" x14ac:dyDescent="0.3">
      <c r="A214" s="73">
        <v>40856</v>
      </c>
      <c r="B214" s="74">
        <v>17362.099999999999</v>
      </c>
      <c r="C214" s="74">
        <v>218.15</v>
      </c>
      <c r="D214" s="74">
        <f t="shared" si="7"/>
        <v>-1.1876482040794155E-2</v>
      </c>
      <c r="E214" s="74">
        <f t="shared" si="8"/>
        <v>-1.7043930368929663E-2</v>
      </c>
      <c r="F214" s="75"/>
    </row>
    <row r="215" spans="1:6" ht="14.25" customHeight="1" x14ac:dyDescent="0.3">
      <c r="A215" s="73">
        <v>40858</v>
      </c>
      <c r="B215" s="74">
        <v>17192.82</v>
      </c>
      <c r="C215" s="74">
        <v>214.8</v>
      </c>
      <c r="D215" s="74">
        <f t="shared" si="7"/>
        <v>-9.797814852298534E-3</v>
      </c>
      <c r="E215" s="74">
        <f t="shared" si="8"/>
        <v>-1.5475536934908926E-2</v>
      </c>
      <c r="F215" s="75"/>
    </row>
    <row r="216" spans="1:6" ht="14.25" customHeight="1" x14ac:dyDescent="0.3">
      <c r="A216" s="73">
        <v>40861</v>
      </c>
      <c r="B216" s="74">
        <v>17118.740000000002</v>
      </c>
      <c r="C216" s="74">
        <v>209.4</v>
      </c>
      <c r="D216" s="74">
        <f t="shared" si="7"/>
        <v>-4.3180849315540603E-3</v>
      </c>
      <c r="E216" s="74">
        <f t="shared" si="8"/>
        <v>-2.5461064198273143E-2</v>
      </c>
      <c r="F216" s="75"/>
    </row>
    <row r="217" spans="1:6" ht="14.25" customHeight="1" x14ac:dyDescent="0.3">
      <c r="A217" s="73">
        <v>40862</v>
      </c>
      <c r="B217" s="74">
        <v>16882.669999999998</v>
      </c>
      <c r="C217" s="74">
        <v>205.95</v>
      </c>
      <c r="D217" s="74">
        <f t="shared" si="7"/>
        <v>-1.388611785942106E-2</v>
      </c>
      <c r="E217" s="74">
        <f t="shared" si="8"/>
        <v>-1.6612877554346869E-2</v>
      </c>
      <c r="F217" s="75"/>
    </row>
    <row r="218" spans="1:6" ht="14.25" customHeight="1" x14ac:dyDescent="0.3">
      <c r="A218" s="73">
        <v>40863</v>
      </c>
      <c r="B218" s="74">
        <v>16775.87</v>
      </c>
      <c r="C218" s="74">
        <v>211.9</v>
      </c>
      <c r="D218" s="74">
        <f t="shared" si="7"/>
        <v>-6.3461076107392987E-3</v>
      </c>
      <c r="E218" s="74">
        <f t="shared" si="8"/>
        <v>2.8481044392163642E-2</v>
      </c>
      <c r="F218" s="75"/>
    </row>
    <row r="219" spans="1:6" ht="14.25" customHeight="1" x14ac:dyDescent="0.3">
      <c r="A219" s="73">
        <v>40864</v>
      </c>
      <c r="B219" s="74">
        <v>16461.71</v>
      </c>
      <c r="C219" s="74">
        <v>204.55</v>
      </c>
      <c r="D219" s="74">
        <f t="shared" si="7"/>
        <v>-1.8904466337350628E-2</v>
      </c>
      <c r="E219" s="74">
        <f t="shared" si="8"/>
        <v>-3.5302020898845737E-2</v>
      </c>
      <c r="F219" s="75"/>
    </row>
    <row r="220" spans="1:6" ht="14.25" customHeight="1" x14ac:dyDescent="0.3">
      <c r="A220" s="73">
        <v>40865</v>
      </c>
      <c r="B220" s="74">
        <v>16371.51</v>
      </c>
      <c r="C220" s="74">
        <v>203.8</v>
      </c>
      <c r="D220" s="74">
        <f t="shared" si="7"/>
        <v>-5.4944490318227096E-3</v>
      </c>
      <c r="E220" s="74">
        <f t="shared" si="8"/>
        <v>-3.6733235867830961E-3</v>
      </c>
      <c r="F220" s="75"/>
    </row>
    <row r="221" spans="1:6" ht="14.25" customHeight="1" x14ac:dyDescent="0.3">
      <c r="A221" s="73">
        <v>40868</v>
      </c>
      <c r="B221" s="74">
        <v>15946.1</v>
      </c>
      <c r="C221" s="74">
        <v>198.4</v>
      </c>
      <c r="D221" s="74">
        <f t="shared" si="7"/>
        <v>-2.6328343809123488E-2</v>
      </c>
      <c r="E221" s="74">
        <f t="shared" si="8"/>
        <v>-2.6853925937852088E-2</v>
      </c>
      <c r="F221" s="75"/>
    </row>
    <row r="222" spans="1:6" ht="14.25" customHeight="1" x14ac:dyDescent="0.3">
      <c r="A222" s="73">
        <v>40869</v>
      </c>
      <c r="B222" s="74">
        <v>16065.42</v>
      </c>
      <c r="C222" s="74">
        <v>185.45</v>
      </c>
      <c r="D222" s="74">
        <f t="shared" si="7"/>
        <v>7.4548507911059748E-3</v>
      </c>
      <c r="E222" s="74">
        <f t="shared" si="8"/>
        <v>-6.7499890915172639E-2</v>
      </c>
      <c r="F222" s="75"/>
    </row>
    <row r="223" spans="1:6" ht="14.25" customHeight="1" x14ac:dyDescent="0.3">
      <c r="A223" s="73">
        <v>40870</v>
      </c>
      <c r="B223" s="74">
        <v>15699.97</v>
      </c>
      <c r="C223" s="74">
        <v>190.6</v>
      </c>
      <c r="D223" s="74">
        <f t="shared" si="7"/>
        <v>-2.3010334492517274E-2</v>
      </c>
      <c r="E223" s="74">
        <f t="shared" si="8"/>
        <v>2.7391687284501882E-2</v>
      </c>
      <c r="F223" s="75"/>
    </row>
    <row r="224" spans="1:6" ht="14.25" customHeight="1" x14ac:dyDescent="0.3">
      <c r="A224" s="73">
        <v>40871</v>
      </c>
      <c r="B224" s="74">
        <v>15858.49</v>
      </c>
      <c r="C224" s="74">
        <v>189.9</v>
      </c>
      <c r="D224" s="74">
        <f t="shared" si="7"/>
        <v>1.0046202079096837E-2</v>
      </c>
      <c r="E224" s="74">
        <f t="shared" si="8"/>
        <v>-3.6793734018614882E-3</v>
      </c>
      <c r="F224" s="75"/>
    </row>
    <row r="225" spans="1:6" ht="14.25" customHeight="1" x14ac:dyDescent="0.3">
      <c r="A225" s="73">
        <v>40872</v>
      </c>
      <c r="B225" s="74">
        <v>15695.43</v>
      </c>
      <c r="C225" s="74">
        <v>189.6</v>
      </c>
      <c r="D225" s="74">
        <f t="shared" si="7"/>
        <v>-1.0335416424615197E-2</v>
      </c>
      <c r="E225" s="74">
        <f t="shared" si="8"/>
        <v>-1.5810279973188181E-3</v>
      </c>
      <c r="F225" s="75"/>
    </row>
    <row r="226" spans="1:6" ht="14.25" customHeight="1" x14ac:dyDescent="0.3">
      <c r="A226" s="73">
        <v>40875</v>
      </c>
      <c r="B226" s="74">
        <v>16167.13</v>
      </c>
      <c r="C226" s="74">
        <v>191.25</v>
      </c>
      <c r="D226" s="74">
        <f t="shared" si="7"/>
        <v>2.9610581479565416E-2</v>
      </c>
      <c r="E226" s="74">
        <f t="shared" si="8"/>
        <v>8.6648828857237258E-3</v>
      </c>
      <c r="F226" s="75"/>
    </row>
    <row r="227" spans="1:6" ht="14.25" customHeight="1" x14ac:dyDescent="0.3">
      <c r="A227" s="73">
        <v>40876</v>
      </c>
      <c r="B227" s="74">
        <v>16008.34</v>
      </c>
      <c r="C227" s="74">
        <v>185.2</v>
      </c>
      <c r="D227" s="74">
        <f t="shared" si="7"/>
        <v>-9.8703322222684648E-3</v>
      </c>
      <c r="E227" s="74">
        <f t="shared" si="8"/>
        <v>-3.2145150494566233E-2</v>
      </c>
      <c r="F227" s="75"/>
    </row>
    <row r="228" spans="1:6" ht="14.25" customHeight="1" x14ac:dyDescent="0.3">
      <c r="A228" s="73">
        <v>40877</v>
      </c>
      <c r="B228" s="74">
        <v>16123.46</v>
      </c>
      <c r="C228" s="74">
        <v>177.95</v>
      </c>
      <c r="D228" s="74">
        <f t="shared" si="7"/>
        <v>7.1655178088919106E-3</v>
      </c>
      <c r="E228" s="74">
        <f t="shared" si="8"/>
        <v>-3.9933710255877289E-2</v>
      </c>
      <c r="F228" s="75"/>
    </row>
    <row r="229" spans="1:6" ht="14.25" customHeight="1" x14ac:dyDescent="0.3">
      <c r="A229" s="73">
        <v>40878</v>
      </c>
      <c r="B229" s="74">
        <v>16483.45</v>
      </c>
      <c r="C229" s="74">
        <v>186.1</v>
      </c>
      <c r="D229" s="74">
        <f t="shared" si="7"/>
        <v>2.2081492986902658E-2</v>
      </c>
      <c r="E229" s="74">
        <f t="shared" si="8"/>
        <v>4.4781551692003478E-2</v>
      </c>
      <c r="F229" s="75"/>
    </row>
    <row r="230" spans="1:6" ht="14.25" customHeight="1" x14ac:dyDescent="0.3">
      <c r="A230" s="73">
        <v>40879</v>
      </c>
      <c r="B230" s="74">
        <v>16846.830000000002</v>
      </c>
      <c r="C230" s="74">
        <v>191.05</v>
      </c>
      <c r="D230" s="74">
        <f t="shared" si="7"/>
        <v>2.1805661303814054E-2</v>
      </c>
      <c r="E230" s="74">
        <f t="shared" si="8"/>
        <v>2.6251010244703936E-2</v>
      </c>
      <c r="F230" s="75"/>
    </row>
    <row r="231" spans="1:6" ht="14.25" customHeight="1" x14ac:dyDescent="0.3">
      <c r="A231" s="73">
        <v>40882</v>
      </c>
      <c r="B231" s="74">
        <v>16805.330000000002</v>
      </c>
      <c r="C231" s="74">
        <v>186.8</v>
      </c>
      <c r="D231" s="74">
        <f t="shared" si="7"/>
        <v>-2.4664105387389871E-3</v>
      </c>
      <c r="E231" s="74">
        <f t="shared" si="8"/>
        <v>-2.2496648098166653E-2</v>
      </c>
      <c r="F231" s="75"/>
    </row>
    <row r="232" spans="1:6" ht="14.25" customHeight="1" x14ac:dyDescent="0.3">
      <c r="A232" s="73">
        <v>40884</v>
      </c>
      <c r="B232" s="74">
        <v>16877.060000000001</v>
      </c>
      <c r="C232" s="74">
        <v>185.15</v>
      </c>
      <c r="D232" s="74">
        <f t="shared" si="7"/>
        <v>4.2592053851749686E-3</v>
      </c>
      <c r="E232" s="74">
        <f t="shared" si="8"/>
        <v>-8.872218435120564E-3</v>
      </c>
      <c r="F232" s="75"/>
    </row>
    <row r="233" spans="1:6" ht="14.25" customHeight="1" x14ac:dyDescent="0.3">
      <c r="A233" s="73">
        <v>40885</v>
      </c>
      <c r="B233" s="74">
        <v>16488.240000000002</v>
      </c>
      <c r="C233" s="74">
        <v>182.8</v>
      </c>
      <c r="D233" s="74">
        <f t="shared" si="7"/>
        <v>-2.3307903859257472E-2</v>
      </c>
      <c r="E233" s="74">
        <f t="shared" si="8"/>
        <v>-1.2773648339572004E-2</v>
      </c>
      <c r="F233" s="75"/>
    </row>
    <row r="234" spans="1:6" ht="14.25" customHeight="1" x14ac:dyDescent="0.3">
      <c r="A234" s="73">
        <v>40886</v>
      </c>
      <c r="B234" s="74">
        <v>16213.46</v>
      </c>
      <c r="C234" s="74">
        <v>185</v>
      </c>
      <c r="D234" s="74">
        <f t="shared" si="7"/>
        <v>-1.6805638063692344E-2</v>
      </c>
      <c r="E234" s="74">
        <f t="shared" si="8"/>
        <v>1.1963166058275224E-2</v>
      </c>
      <c r="F234" s="75"/>
    </row>
    <row r="235" spans="1:6" ht="14.25" customHeight="1" x14ac:dyDescent="0.3">
      <c r="A235" s="73">
        <v>40889</v>
      </c>
      <c r="B235" s="74">
        <v>15870.35</v>
      </c>
      <c r="C235" s="74">
        <v>179.8</v>
      </c>
      <c r="D235" s="74">
        <f t="shared" si="7"/>
        <v>-2.1389172973860622E-2</v>
      </c>
      <c r="E235" s="74">
        <f t="shared" si="8"/>
        <v>-2.8510703040804854E-2</v>
      </c>
      <c r="F235" s="75"/>
    </row>
    <row r="236" spans="1:6" ht="14.25" customHeight="1" x14ac:dyDescent="0.3">
      <c r="A236" s="73">
        <v>40890</v>
      </c>
      <c r="B236" s="74">
        <v>16002.51</v>
      </c>
      <c r="C236" s="74">
        <v>172.15</v>
      </c>
      <c r="D236" s="74">
        <f t="shared" si="7"/>
        <v>8.2929964507614147E-3</v>
      </c>
      <c r="E236" s="74">
        <f t="shared" si="8"/>
        <v>-4.3478932252987199E-2</v>
      </c>
      <c r="F236" s="75"/>
    </row>
    <row r="237" spans="1:6" ht="14.25" customHeight="1" x14ac:dyDescent="0.3">
      <c r="A237" s="73">
        <v>40891</v>
      </c>
      <c r="B237" s="74">
        <v>15881.14</v>
      </c>
      <c r="C237" s="74">
        <v>167.25</v>
      </c>
      <c r="D237" s="74">
        <f t="shared" si="7"/>
        <v>-7.6133432807621287E-3</v>
      </c>
      <c r="E237" s="74">
        <f t="shared" si="8"/>
        <v>-2.8876490776195005E-2</v>
      </c>
      <c r="F237" s="75"/>
    </row>
    <row r="238" spans="1:6" ht="14.25" customHeight="1" x14ac:dyDescent="0.3">
      <c r="A238" s="73">
        <v>40892</v>
      </c>
      <c r="B238" s="74">
        <v>15836.47</v>
      </c>
      <c r="C238" s="74">
        <v>163.30000000000001</v>
      </c>
      <c r="D238" s="74">
        <f t="shared" si="7"/>
        <v>-2.8167336400357909E-3</v>
      </c>
      <c r="E238" s="74">
        <f t="shared" si="8"/>
        <v>-2.390069903191833E-2</v>
      </c>
      <c r="F238" s="75"/>
    </row>
    <row r="239" spans="1:6" ht="14.25" customHeight="1" x14ac:dyDescent="0.3">
      <c r="A239" s="73">
        <v>40893</v>
      </c>
      <c r="B239" s="74">
        <v>15491.35</v>
      </c>
      <c r="C239" s="74">
        <v>160.94999999999999</v>
      </c>
      <c r="D239" s="74">
        <f t="shared" si="7"/>
        <v>-2.20337043822754E-2</v>
      </c>
      <c r="E239" s="74">
        <f t="shared" si="8"/>
        <v>-1.4495242231602416E-2</v>
      </c>
      <c r="F239" s="75"/>
    </row>
    <row r="240" spans="1:6" ht="14.25" customHeight="1" x14ac:dyDescent="0.3">
      <c r="A240" s="73">
        <v>40896</v>
      </c>
      <c r="B240" s="74">
        <v>15379.34</v>
      </c>
      <c r="C240" s="74">
        <v>161.44999999999999</v>
      </c>
      <c r="D240" s="74">
        <f t="shared" si="7"/>
        <v>-7.2567533502597582E-3</v>
      </c>
      <c r="E240" s="74">
        <f t="shared" si="8"/>
        <v>3.1017394594670664E-3</v>
      </c>
      <c r="F240" s="75"/>
    </row>
    <row r="241" spans="1:6" ht="14.25" customHeight="1" x14ac:dyDescent="0.3">
      <c r="A241" s="73">
        <v>40897</v>
      </c>
      <c r="B241" s="74">
        <v>15175.08</v>
      </c>
      <c r="C241" s="74">
        <v>156.1</v>
      </c>
      <c r="D241" s="74">
        <f t="shared" si="7"/>
        <v>-1.3370441522520583E-2</v>
      </c>
      <c r="E241" s="74">
        <f t="shared" si="8"/>
        <v>-3.3698669682897781E-2</v>
      </c>
      <c r="F241" s="75"/>
    </row>
    <row r="242" spans="1:6" ht="14.25" customHeight="1" x14ac:dyDescent="0.3">
      <c r="A242" s="73">
        <v>40898</v>
      </c>
      <c r="B242" s="74">
        <v>15685.21</v>
      </c>
      <c r="C242" s="74">
        <v>168.95</v>
      </c>
      <c r="D242" s="74">
        <f t="shared" si="7"/>
        <v>3.306362138050626E-2</v>
      </c>
      <c r="E242" s="74">
        <f t="shared" si="8"/>
        <v>7.9105985638912454E-2</v>
      </c>
      <c r="F242" s="75"/>
    </row>
    <row r="243" spans="1:6" ht="14.25" customHeight="1" x14ac:dyDescent="0.3">
      <c r="A243" s="73">
        <v>40899</v>
      </c>
      <c r="B243" s="74">
        <v>15813.36</v>
      </c>
      <c r="C243" s="74">
        <v>174.85</v>
      </c>
      <c r="D243" s="74">
        <f t="shared" si="7"/>
        <v>8.1369222197413757E-3</v>
      </c>
      <c r="E243" s="74">
        <f t="shared" si="8"/>
        <v>3.4325650349085926E-2</v>
      </c>
      <c r="F243" s="75"/>
    </row>
    <row r="244" spans="1:6" ht="14.25" customHeight="1" x14ac:dyDescent="0.3">
      <c r="A244" s="73">
        <v>40900</v>
      </c>
      <c r="B244" s="74">
        <v>15738.7</v>
      </c>
      <c r="C244" s="74">
        <v>171.25</v>
      </c>
      <c r="D244" s="74">
        <f t="shared" si="7"/>
        <v>-4.7325049042214202E-3</v>
      </c>
      <c r="E244" s="74">
        <f t="shared" si="8"/>
        <v>-2.0803986367050185E-2</v>
      </c>
      <c r="F244" s="75"/>
    </row>
    <row r="245" spans="1:6" ht="14.25" customHeight="1" x14ac:dyDescent="0.3">
      <c r="A245" s="73">
        <v>40903</v>
      </c>
      <c r="B245" s="74">
        <v>15970.75</v>
      </c>
      <c r="C245" s="74">
        <v>174.45</v>
      </c>
      <c r="D245" s="74">
        <f t="shared" si="7"/>
        <v>1.4636276723562861E-2</v>
      </c>
      <c r="E245" s="74">
        <f t="shared" si="8"/>
        <v>1.8513690490448289E-2</v>
      </c>
      <c r="F245" s="75"/>
    </row>
    <row r="246" spans="1:6" ht="14.25" customHeight="1" x14ac:dyDescent="0.3">
      <c r="A246" s="73">
        <v>40904</v>
      </c>
      <c r="B246" s="74">
        <v>15873.95</v>
      </c>
      <c r="C246" s="74">
        <v>174.85</v>
      </c>
      <c r="D246" s="74">
        <f t="shared" si="7"/>
        <v>-6.0795233209097093E-3</v>
      </c>
      <c r="E246" s="74">
        <f t="shared" si="8"/>
        <v>2.2902958766018587E-3</v>
      </c>
      <c r="F246" s="75"/>
    </row>
    <row r="247" spans="1:6" ht="14.25" customHeight="1" x14ac:dyDescent="0.3">
      <c r="A247" s="73">
        <v>40905</v>
      </c>
      <c r="B247" s="74">
        <v>15727.85</v>
      </c>
      <c r="C247" s="74">
        <v>173.6</v>
      </c>
      <c r="D247" s="74">
        <f t="shared" si="7"/>
        <v>-9.24637463090997E-3</v>
      </c>
      <c r="E247" s="74">
        <f t="shared" si="8"/>
        <v>-7.1746612831350854E-3</v>
      </c>
      <c r="F247" s="75"/>
    </row>
    <row r="248" spans="1:6" ht="14.25" customHeight="1" x14ac:dyDescent="0.3">
      <c r="A248" s="73">
        <v>40906</v>
      </c>
      <c r="B248" s="74">
        <v>15543.93</v>
      </c>
      <c r="C248" s="74">
        <v>172.55</v>
      </c>
      <c r="D248" s="74">
        <f t="shared" si="7"/>
        <v>-1.1762817508444478E-2</v>
      </c>
      <c r="E248" s="74">
        <f t="shared" si="8"/>
        <v>-6.0667526822373152E-3</v>
      </c>
      <c r="F248" s="75"/>
    </row>
    <row r="249" spans="1:6" ht="14.25" customHeight="1" x14ac:dyDescent="0.3">
      <c r="A249" s="73">
        <v>40907</v>
      </c>
      <c r="B249" s="74">
        <v>15454.92</v>
      </c>
      <c r="C249" s="74">
        <v>170.8</v>
      </c>
      <c r="D249" s="74">
        <f t="shared" si="7"/>
        <v>-5.7428094673177242E-3</v>
      </c>
      <c r="E249" s="74">
        <f t="shared" si="8"/>
        <v>-1.0193768189542944E-2</v>
      </c>
      <c r="F249" s="75"/>
    </row>
    <row r="250" spans="1:6" ht="14.25" customHeight="1" x14ac:dyDescent="0.3">
      <c r="A250" s="73">
        <v>40910</v>
      </c>
      <c r="B250" s="74">
        <v>15517.92</v>
      </c>
      <c r="C250" s="74">
        <v>175.2</v>
      </c>
      <c r="D250" s="74">
        <f t="shared" si="7"/>
        <v>4.0680859026114768E-3</v>
      </c>
      <c r="E250" s="74">
        <f t="shared" si="8"/>
        <v>2.5434897147821389E-2</v>
      </c>
      <c r="F250" s="75"/>
    </row>
    <row r="251" spans="1:6" ht="14.25" customHeight="1" x14ac:dyDescent="0.3">
      <c r="A251" s="73">
        <v>40911</v>
      </c>
      <c r="B251" s="74">
        <v>15939.36</v>
      </c>
      <c r="C251" s="74">
        <v>179.05</v>
      </c>
      <c r="D251" s="74">
        <f t="shared" si="7"/>
        <v>2.679603683644571E-2</v>
      </c>
      <c r="E251" s="74">
        <f t="shared" si="8"/>
        <v>2.1736917942150828E-2</v>
      </c>
      <c r="F251" s="75"/>
    </row>
    <row r="252" spans="1:6" ht="14.25" customHeight="1" x14ac:dyDescent="0.3">
      <c r="A252" s="73">
        <v>40912</v>
      </c>
      <c r="B252" s="74">
        <v>15882.64</v>
      </c>
      <c r="C252" s="74">
        <v>177.55</v>
      </c>
      <c r="D252" s="74">
        <f t="shared" si="7"/>
        <v>-3.5648331384975796E-3</v>
      </c>
      <c r="E252" s="74">
        <f t="shared" si="8"/>
        <v>-8.4128370553447959E-3</v>
      </c>
      <c r="F252" s="75"/>
    </row>
    <row r="253" spans="1:6" ht="14.25" customHeight="1" x14ac:dyDescent="0.3">
      <c r="A253" s="73">
        <v>40913</v>
      </c>
      <c r="B253" s="74">
        <v>15857.08</v>
      </c>
      <c r="C253" s="74">
        <v>175.85</v>
      </c>
      <c r="D253" s="74">
        <f t="shared" si="7"/>
        <v>-1.61060056769831E-3</v>
      </c>
      <c r="E253" s="74">
        <f t="shared" si="8"/>
        <v>-9.620900469105546E-3</v>
      </c>
      <c r="F253" s="75"/>
    </row>
    <row r="254" spans="1:6" ht="14.25" customHeight="1" x14ac:dyDescent="0.3">
      <c r="A254" s="73">
        <v>40914</v>
      </c>
      <c r="B254" s="74">
        <v>15867.73</v>
      </c>
      <c r="C254" s="74">
        <v>173</v>
      </c>
      <c r="D254" s="74">
        <f t="shared" si="7"/>
        <v>6.7139884526101344E-4</v>
      </c>
      <c r="E254" s="74">
        <f t="shared" si="8"/>
        <v>-1.6339764422212435E-2</v>
      </c>
      <c r="F254" s="75"/>
    </row>
    <row r="255" spans="1:6" ht="14.25" customHeight="1" x14ac:dyDescent="0.3">
      <c r="A255" s="73">
        <v>40915</v>
      </c>
      <c r="B255" s="74">
        <v>15848.8</v>
      </c>
      <c r="C255" s="74">
        <v>174.05</v>
      </c>
      <c r="D255" s="74">
        <f t="shared" si="7"/>
        <v>-1.1936994524816608E-3</v>
      </c>
      <c r="E255" s="74">
        <f t="shared" si="8"/>
        <v>6.0510197596689167E-3</v>
      </c>
      <c r="F255" s="75"/>
    </row>
    <row r="256" spans="1:6" ht="14.25" customHeight="1" x14ac:dyDescent="0.3">
      <c r="A256" s="73">
        <v>40917</v>
      </c>
      <c r="B256" s="74">
        <v>15814.72</v>
      </c>
      <c r="C256" s="74">
        <v>175.6</v>
      </c>
      <c r="D256" s="74">
        <f t="shared" si="7"/>
        <v>-2.1526357878155189E-3</v>
      </c>
      <c r="E256" s="74">
        <f t="shared" si="8"/>
        <v>8.8660669435682484E-3</v>
      </c>
      <c r="F256" s="75"/>
    </row>
    <row r="257" spans="1:6" ht="14.25" customHeight="1" x14ac:dyDescent="0.3">
      <c r="A257" s="73">
        <v>40918</v>
      </c>
      <c r="B257" s="74">
        <v>16165.09</v>
      </c>
      <c r="C257" s="74">
        <v>180.8</v>
      </c>
      <c r="D257" s="74">
        <f t="shared" si="7"/>
        <v>2.1912826856020213E-2</v>
      </c>
      <c r="E257" s="74">
        <f t="shared" si="8"/>
        <v>2.9182766757059917E-2</v>
      </c>
      <c r="F257" s="75"/>
    </row>
    <row r="258" spans="1:6" ht="14.25" customHeight="1" x14ac:dyDescent="0.3">
      <c r="A258" s="73">
        <v>40919</v>
      </c>
      <c r="B258" s="74">
        <v>16175.86</v>
      </c>
      <c r="C258" s="74">
        <v>183.25</v>
      </c>
      <c r="D258" s="74">
        <f t="shared" si="7"/>
        <v>6.6602869724763272E-4</v>
      </c>
      <c r="E258" s="74">
        <f t="shared" si="8"/>
        <v>1.3459892808684724E-2</v>
      </c>
      <c r="F258" s="75"/>
    </row>
    <row r="259" spans="1:6" ht="14.25" customHeight="1" x14ac:dyDescent="0.3">
      <c r="A259" s="73">
        <v>40920</v>
      </c>
      <c r="B259" s="74">
        <v>16037.51</v>
      </c>
      <c r="C259" s="74">
        <v>184</v>
      </c>
      <c r="D259" s="74">
        <f t="shared" si="7"/>
        <v>-8.589653963290339E-3</v>
      </c>
      <c r="E259" s="74">
        <f t="shared" si="8"/>
        <v>4.0844168422248554E-3</v>
      </c>
      <c r="F259" s="75"/>
    </row>
    <row r="260" spans="1:6" ht="14.25" customHeight="1" x14ac:dyDescent="0.3">
      <c r="A260" s="73">
        <v>40921</v>
      </c>
      <c r="B260" s="74">
        <v>16154.62</v>
      </c>
      <c r="C260" s="74">
        <v>182.65</v>
      </c>
      <c r="D260" s="74">
        <f t="shared" ref="D260:D323" si="9">LN(B260/B259)</f>
        <v>7.2757233902984112E-3</v>
      </c>
      <c r="E260" s="74">
        <f t="shared" ref="E260:E323" si="10">LN(C260/C259)</f>
        <v>-7.3640043676940267E-3</v>
      </c>
      <c r="F260" s="75"/>
    </row>
    <row r="261" spans="1:6" ht="14.25" customHeight="1" x14ac:dyDescent="0.3">
      <c r="A261" s="73">
        <v>40924</v>
      </c>
      <c r="B261" s="74">
        <v>16189.36</v>
      </c>
      <c r="C261" s="74">
        <v>184.4</v>
      </c>
      <c r="D261" s="74">
        <f t="shared" si="9"/>
        <v>2.1481594633210579E-3</v>
      </c>
      <c r="E261" s="74">
        <f t="shared" si="10"/>
        <v>9.5355578812018719E-3</v>
      </c>
      <c r="F261" s="75"/>
    </row>
    <row r="262" spans="1:6" ht="14.25" customHeight="1" x14ac:dyDescent="0.3">
      <c r="A262" s="73">
        <v>40925</v>
      </c>
      <c r="B262" s="74">
        <v>16466.05</v>
      </c>
      <c r="C262" s="74">
        <v>184.25</v>
      </c>
      <c r="D262" s="74">
        <f t="shared" si="9"/>
        <v>1.6946449098047052E-2</v>
      </c>
      <c r="E262" s="74">
        <f t="shared" si="10"/>
        <v>-8.1378005304745386E-4</v>
      </c>
      <c r="F262" s="75"/>
    </row>
    <row r="263" spans="1:6" ht="14.25" customHeight="1" x14ac:dyDescent="0.3">
      <c r="A263" s="73">
        <v>40926</v>
      </c>
      <c r="B263" s="74">
        <v>16451.47</v>
      </c>
      <c r="C263" s="74">
        <v>183.7</v>
      </c>
      <c r="D263" s="74">
        <f t="shared" si="9"/>
        <v>-8.8585051081899104E-4</v>
      </c>
      <c r="E263" s="74">
        <f t="shared" si="10"/>
        <v>-2.9895388483660483E-3</v>
      </c>
      <c r="F263" s="75"/>
    </row>
    <row r="264" spans="1:6" ht="14.25" customHeight="1" x14ac:dyDescent="0.3">
      <c r="A264" s="73">
        <v>40927</v>
      </c>
      <c r="B264" s="74">
        <v>16643.740000000002</v>
      </c>
      <c r="C264" s="74">
        <v>182.3</v>
      </c>
      <c r="D264" s="74">
        <f t="shared" si="9"/>
        <v>1.1619334832799434E-2</v>
      </c>
      <c r="E264" s="74">
        <f t="shared" si="10"/>
        <v>-7.650310536462532E-3</v>
      </c>
      <c r="F264" s="75"/>
    </row>
    <row r="265" spans="1:6" ht="14.25" customHeight="1" x14ac:dyDescent="0.3">
      <c r="A265" s="73">
        <v>40928</v>
      </c>
      <c r="B265" s="74">
        <v>16739.009999999998</v>
      </c>
      <c r="C265" s="74">
        <v>192.05</v>
      </c>
      <c r="D265" s="74">
        <f t="shared" si="9"/>
        <v>5.7077537737679467E-3</v>
      </c>
      <c r="E265" s="74">
        <f t="shared" si="10"/>
        <v>5.2102073107296552E-2</v>
      </c>
      <c r="F265" s="75"/>
    </row>
    <row r="266" spans="1:6" ht="14.25" customHeight="1" x14ac:dyDescent="0.3">
      <c r="A266" s="73">
        <v>40931</v>
      </c>
      <c r="B266" s="74">
        <v>16751.73</v>
      </c>
      <c r="C266" s="74">
        <v>191.45</v>
      </c>
      <c r="D266" s="74">
        <f t="shared" si="9"/>
        <v>7.5961299222603073E-4</v>
      </c>
      <c r="E266" s="74">
        <f t="shared" si="10"/>
        <v>-3.1290768686104572E-3</v>
      </c>
      <c r="F266" s="75"/>
    </row>
    <row r="267" spans="1:6" ht="14.25" customHeight="1" x14ac:dyDescent="0.3">
      <c r="A267" s="73">
        <v>40932</v>
      </c>
      <c r="B267" s="74">
        <v>16995.77</v>
      </c>
      <c r="C267" s="74">
        <v>192</v>
      </c>
      <c r="D267" s="74">
        <f t="shared" si="9"/>
        <v>1.4462953045310858E-2</v>
      </c>
      <c r="E267" s="74">
        <f t="shared" si="10"/>
        <v>2.8686941044781143E-3</v>
      </c>
      <c r="F267" s="75"/>
    </row>
    <row r="268" spans="1:6" ht="14.25" customHeight="1" x14ac:dyDescent="0.3">
      <c r="A268" s="73">
        <v>40933</v>
      </c>
      <c r="B268" s="74">
        <v>17077.18</v>
      </c>
      <c r="C268" s="74">
        <v>197.3</v>
      </c>
      <c r="D268" s="74">
        <f t="shared" si="9"/>
        <v>4.7785797775183551E-3</v>
      </c>
      <c r="E268" s="74">
        <f t="shared" si="10"/>
        <v>2.7230041000788099E-2</v>
      </c>
      <c r="F268" s="75"/>
    </row>
    <row r="269" spans="1:6" ht="14.25" customHeight="1" x14ac:dyDescent="0.3">
      <c r="A269" s="73">
        <v>40935</v>
      </c>
      <c r="B269" s="74">
        <v>17233.98</v>
      </c>
      <c r="C269" s="74">
        <v>206.15</v>
      </c>
      <c r="D269" s="74">
        <f t="shared" si="9"/>
        <v>9.1399469775969543E-3</v>
      </c>
      <c r="E269" s="74">
        <f t="shared" si="10"/>
        <v>4.3878646124339275E-2</v>
      </c>
      <c r="F269" s="75"/>
    </row>
    <row r="270" spans="1:6" ht="14.25" customHeight="1" x14ac:dyDescent="0.3">
      <c r="A270" s="73">
        <v>40938</v>
      </c>
      <c r="B270" s="74">
        <v>16863.3</v>
      </c>
      <c r="C270" s="74">
        <v>201.1</v>
      </c>
      <c r="D270" s="74">
        <f t="shared" si="9"/>
        <v>-2.1743353361660004E-2</v>
      </c>
      <c r="E270" s="74">
        <f t="shared" si="10"/>
        <v>-2.480176237430276E-2</v>
      </c>
      <c r="F270" s="75"/>
    </row>
    <row r="271" spans="1:6" ht="14.25" customHeight="1" x14ac:dyDescent="0.3">
      <c r="A271" s="73">
        <v>40939</v>
      </c>
      <c r="B271" s="74">
        <v>17193.55</v>
      </c>
      <c r="C271" s="74">
        <v>202.3</v>
      </c>
      <c r="D271" s="74">
        <f t="shared" si="9"/>
        <v>1.9394650530775201E-2</v>
      </c>
      <c r="E271" s="74">
        <f t="shared" si="10"/>
        <v>5.9494473950934216E-3</v>
      </c>
      <c r="F271" s="75"/>
    </row>
    <row r="272" spans="1:6" ht="14.25" customHeight="1" x14ac:dyDescent="0.3">
      <c r="A272" s="73">
        <v>40940</v>
      </c>
      <c r="B272" s="74">
        <v>17300.580000000002</v>
      </c>
      <c r="C272" s="74">
        <v>196.85</v>
      </c>
      <c r="D272" s="74">
        <f t="shared" si="9"/>
        <v>6.2057134639855885E-3</v>
      </c>
      <c r="E272" s="74">
        <f t="shared" si="10"/>
        <v>-2.7309726783953304E-2</v>
      </c>
      <c r="F272" s="75"/>
    </row>
    <row r="273" spans="1:6" ht="14.25" customHeight="1" x14ac:dyDescent="0.3">
      <c r="A273" s="73">
        <v>40941</v>
      </c>
      <c r="B273" s="74">
        <v>17431.849999999999</v>
      </c>
      <c r="C273" s="74">
        <v>194.65</v>
      </c>
      <c r="D273" s="74">
        <f t="shared" si="9"/>
        <v>7.5589657873698915E-3</v>
      </c>
      <c r="E273" s="74">
        <f t="shared" si="10"/>
        <v>-1.1238943333281709E-2</v>
      </c>
      <c r="F273" s="75"/>
    </row>
    <row r="274" spans="1:6" ht="14.25" customHeight="1" x14ac:dyDescent="0.3">
      <c r="A274" s="73">
        <v>40942</v>
      </c>
      <c r="B274" s="74">
        <v>17604.96</v>
      </c>
      <c r="C274" s="74">
        <v>196.45</v>
      </c>
      <c r="D274" s="74">
        <f t="shared" si="9"/>
        <v>9.8816877819597835E-3</v>
      </c>
      <c r="E274" s="74">
        <f t="shared" si="10"/>
        <v>9.2048719480038888E-3</v>
      </c>
      <c r="F274" s="75"/>
    </row>
    <row r="275" spans="1:6" ht="14.25" customHeight="1" x14ac:dyDescent="0.3">
      <c r="A275" s="73">
        <v>40945</v>
      </c>
      <c r="B275" s="74">
        <v>17707.310000000001</v>
      </c>
      <c r="C275" s="74">
        <v>198.25</v>
      </c>
      <c r="D275" s="74">
        <f t="shared" si="9"/>
        <v>5.7968681487330052E-3</v>
      </c>
      <c r="E275" s="74">
        <f t="shared" si="10"/>
        <v>9.1209145104885654E-3</v>
      </c>
      <c r="F275" s="75"/>
    </row>
    <row r="276" spans="1:6" ht="14.25" customHeight="1" x14ac:dyDescent="0.3">
      <c r="A276" s="73">
        <v>40946</v>
      </c>
      <c r="B276" s="74">
        <v>17622.45</v>
      </c>
      <c r="C276" s="74">
        <v>199.65</v>
      </c>
      <c r="D276" s="74">
        <f t="shared" si="9"/>
        <v>-4.8038912913881118E-3</v>
      </c>
      <c r="E276" s="74">
        <f t="shared" si="10"/>
        <v>7.0369729942730292E-3</v>
      </c>
      <c r="F276" s="75"/>
    </row>
    <row r="277" spans="1:6" ht="14.25" customHeight="1" x14ac:dyDescent="0.3">
      <c r="A277" s="73">
        <v>40947</v>
      </c>
      <c r="B277" s="74">
        <v>17707.32</v>
      </c>
      <c r="C277" s="74">
        <v>208.75</v>
      </c>
      <c r="D277" s="74">
        <f t="shared" si="9"/>
        <v>4.8044560297463065E-3</v>
      </c>
      <c r="E277" s="74">
        <f t="shared" si="10"/>
        <v>4.4571530221734414E-2</v>
      </c>
      <c r="F277" s="75"/>
    </row>
    <row r="278" spans="1:6" ht="14.25" customHeight="1" x14ac:dyDescent="0.3">
      <c r="A278" s="73">
        <v>40948</v>
      </c>
      <c r="B278" s="74">
        <v>17830.75</v>
      </c>
      <c r="C278" s="74">
        <v>210.35</v>
      </c>
      <c r="D278" s="74">
        <f t="shared" si="9"/>
        <v>6.9463815178401932E-3</v>
      </c>
      <c r="E278" s="74">
        <f t="shared" si="10"/>
        <v>7.6354463055650964E-3</v>
      </c>
      <c r="F278" s="75"/>
    </row>
    <row r="279" spans="1:6" ht="14.25" customHeight="1" x14ac:dyDescent="0.3">
      <c r="A279" s="73">
        <v>40949</v>
      </c>
      <c r="B279" s="74">
        <v>17748.689999999999</v>
      </c>
      <c r="C279" s="74">
        <v>206.85</v>
      </c>
      <c r="D279" s="74">
        <f t="shared" si="9"/>
        <v>-4.6127845466095094E-3</v>
      </c>
      <c r="E279" s="74">
        <f t="shared" si="10"/>
        <v>-1.6778917129109366E-2</v>
      </c>
      <c r="F279" s="75"/>
    </row>
    <row r="280" spans="1:6" ht="14.25" customHeight="1" x14ac:dyDescent="0.3">
      <c r="A280" s="73">
        <v>40952</v>
      </c>
      <c r="B280" s="74">
        <v>17772.84</v>
      </c>
      <c r="C280" s="74">
        <v>208.65</v>
      </c>
      <c r="D280" s="74">
        <f t="shared" si="9"/>
        <v>1.3597389369711121E-3</v>
      </c>
      <c r="E280" s="74">
        <f t="shared" si="10"/>
        <v>8.6643141301412183E-3</v>
      </c>
      <c r="F280" s="75"/>
    </row>
    <row r="281" spans="1:6" ht="14.25" customHeight="1" x14ac:dyDescent="0.3">
      <c r="A281" s="73">
        <v>40953</v>
      </c>
      <c r="B281" s="74">
        <v>17848.57</v>
      </c>
      <c r="C281" s="74">
        <v>209.15</v>
      </c>
      <c r="D281" s="74">
        <f t="shared" si="9"/>
        <v>4.251943653756419E-3</v>
      </c>
      <c r="E281" s="74">
        <f t="shared" si="10"/>
        <v>2.3934908506458076E-3</v>
      </c>
      <c r="F281" s="75"/>
    </row>
    <row r="282" spans="1:6" ht="14.25" customHeight="1" x14ac:dyDescent="0.3">
      <c r="A282" s="73">
        <v>40954</v>
      </c>
      <c r="B282" s="74">
        <v>18202.41</v>
      </c>
      <c r="C282" s="74">
        <v>217.95</v>
      </c>
      <c r="D282" s="74">
        <f t="shared" si="9"/>
        <v>1.963060992704415E-2</v>
      </c>
      <c r="E282" s="74">
        <f t="shared" si="10"/>
        <v>4.1213980796194094E-2</v>
      </c>
      <c r="F282" s="75"/>
    </row>
    <row r="283" spans="1:6" ht="14.25" customHeight="1" x14ac:dyDescent="0.3">
      <c r="A283" s="73">
        <v>40955</v>
      </c>
      <c r="B283" s="74">
        <v>18153.990000000002</v>
      </c>
      <c r="C283" s="74">
        <v>215.4</v>
      </c>
      <c r="D283" s="74">
        <f t="shared" si="9"/>
        <v>-2.663631637238604E-3</v>
      </c>
      <c r="E283" s="74">
        <f t="shared" si="10"/>
        <v>-1.1768913962113381E-2</v>
      </c>
      <c r="F283" s="75"/>
    </row>
    <row r="284" spans="1:6" ht="14.25" customHeight="1" x14ac:dyDescent="0.3">
      <c r="A284" s="73">
        <v>40956</v>
      </c>
      <c r="B284" s="74">
        <v>18289.349999999999</v>
      </c>
      <c r="C284" s="74">
        <v>232.5</v>
      </c>
      <c r="D284" s="74">
        <f t="shared" si="9"/>
        <v>7.4285519641173817E-3</v>
      </c>
      <c r="E284" s="74">
        <f t="shared" si="10"/>
        <v>7.6393460305122729E-2</v>
      </c>
      <c r="F284" s="75"/>
    </row>
    <row r="285" spans="1:6" ht="14.25" customHeight="1" x14ac:dyDescent="0.3">
      <c r="A285" s="73">
        <v>40960</v>
      </c>
      <c r="B285" s="74">
        <v>18428.61</v>
      </c>
      <c r="C285" s="74">
        <v>244.2</v>
      </c>
      <c r="D285" s="74">
        <f t="shared" si="9"/>
        <v>7.5854251018124012E-3</v>
      </c>
      <c r="E285" s="74">
        <f t="shared" si="10"/>
        <v>4.9097336649193274E-2</v>
      </c>
      <c r="F285" s="75"/>
    </row>
    <row r="286" spans="1:6" ht="14.25" customHeight="1" x14ac:dyDescent="0.3">
      <c r="A286" s="73">
        <v>40961</v>
      </c>
      <c r="B286" s="74">
        <v>18145.25</v>
      </c>
      <c r="C286" s="74">
        <v>226.2</v>
      </c>
      <c r="D286" s="74">
        <f t="shared" si="9"/>
        <v>-1.5495529857057044E-2</v>
      </c>
      <c r="E286" s="74">
        <f t="shared" si="10"/>
        <v>-7.6567997994584289E-2</v>
      </c>
      <c r="F286" s="75"/>
    </row>
    <row r="287" spans="1:6" ht="14.25" customHeight="1" x14ac:dyDescent="0.3">
      <c r="A287" s="73">
        <v>40962</v>
      </c>
      <c r="B287" s="74">
        <v>18078.5</v>
      </c>
      <c r="C287" s="74">
        <v>224.6</v>
      </c>
      <c r="D287" s="74">
        <f t="shared" si="9"/>
        <v>-3.6854315498596182E-3</v>
      </c>
      <c r="E287" s="74">
        <f t="shared" si="10"/>
        <v>-7.0985213776772913E-3</v>
      </c>
      <c r="F287" s="75"/>
    </row>
    <row r="288" spans="1:6" ht="14.25" customHeight="1" x14ac:dyDescent="0.3">
      <c r="A288" s="73">
        <v>40963</v>
      </c>
      <c r="B288" s="74">
        <v>17923.57</v>
      </c>
      <c r="C288" s="74">
        <v>225.9</v>
      </c>
      <c r="D288" s="74">
        <f t="shared" si="9"/>
        <v>-8.6067804651432604E-3</v>
      </c>
      <c r="E288" s="74">
        <f t="shared" si="10"/>
        <v>5.7713811696149375E-3</v>
      </c>
      <c r="F288" s="75"/>
    </row>
    <row r="289" spans="1:6" ht="14.25" customHeight="1" x14ac:dyDescent="0.3">
      <c r="A289" s="73">
        <v>40966</v>
      </c>
      <c r="B289" s="74">
        <v>17445.75</v>
      </c>
      <c r="C289" s="74">
        <v>216.55</v>
      </c>
      <c r="D289" s="74">
        <f t="shared" si="9"/>
        <v>-2.7020540479374758E-2</v>
      </c>
      <c r="E289" s="74">
        <f t="shared" si="10"/>
        <v>-4.2270955813321909E-2</v>
      </c>
      <c r="F289" s="75"/>
    </row>
    <row r="290" spans="1:6" ht="14.25" customHeight="1" x14ac:dyDescent="0.3">
      <c r="A290" s="73">
        <v>40967</v>
      </c>
      <c r="B290" s="74">
        <v>17731.12</v>
      </c>
      <c r="C290" s="74">
        <v>225.15</v>
      </c>
      <c r="D290" s="74">
        <f t="shared" si="9"/>
        <v>1.6225221883754623E-2</v>
      </c>
      <c r="E290" s="74">
        <f t="shared" si="10"/>
        <v>3.8945379086944905E-2</v>
      </c>
      <c r="F290" s="75"/>
    </row>
    <row r="291" spans="1:6" ht="14.25" customHeight="1" x14ac:dyDescent="0.3">
      <c r="A291" s="73">
        <v>40968</v>
      </c>
      <c r="B291" s="74">
        <v>17752.68</v>
      </c>
      <c r="C291" s="74">
        <v>228.75</v>
      </c>
      <c r="D291" s="74">
        <f t="shared" si="9"/>
        <v>1.2152025799474187E-3</v>
      </c>
      <c r="E291" s="74">
        <f t="shared" si="10"/>
        <v>1.5862857408050081E-2</v>
      </c>
      <c r="F291" s="75"/>
    </row>
    <row r="292" spans="1:6" ht="14.25" customHeight="1" x14ac:dyDescent="0.3">
      <c r="A292" s="73">
        <v>40969</v>
      </c>
      <c r="B292" s="74">
        <v>17583.97</v>
      </c>
      <c r="C292" s="74">
        <v>228.9</v>
      </c>
      <c r="D292" s="74">
        <f t="shared" si="9"/>
        <v>-9.548798876332679E-3</v>
      </c>
      <c r="E292" s="74">
        <f t="shared" si="10"/>
        <v>6.5552280289039758E-4</v>
      </c>
      <c r="F292" s="75"/>
    </row>
    <row r="293" spans="1:6" ht="14.25" customHeight="1" x14ac:dyDescent="0.3">
      <c r="A293" s="73">
        <v>40970</v>
      </c>
      <c r="B293" s="74">
        <v>17636.8</v>
      </c>
      <c r="C293" s="74">
        <v>228.9</v>
      </c>
      <c r="D293" s="74">
        <f t="shared" si="9"/>
        <v>2.9999366635550294E-3</v>
      </c>
      <c r="E293" s="74">
        <f t="shared" si="10"/>
        <v>0</v>
      </c>
      <c r="F293" s="75"/>
    </row>
    <row r="294" spans="1:6" ht="14.25" customHeight="1" x14ac:dyDescent="0.3">
      <c r="A294" s="73">
        <v>40971</v>
      </c>
      <c r="B294" s="74">
        <v>17636.990000000002</v>
      </c>
      <c r="C294" s="74">
        <v>227.7</v>
      </c>
      <c r="D294" s="74">
        <f t="shared" si="9"/>
        <v>1.0772871302130098E-5</v>
      </c>
      <c r="E294" s="74">
        <f t="shared" si="10"/>
        <v>-5.2562538888271748E-3</v>
      </c>
      <c r="F294" s="75"/>
    </row>
    <row r="295" spans="1:6" ht="14.25" customHeight="1" x14ac:dyDescent="0.3">
      <c r="A295" s="73">
        <v>40973</v>
      </c>
      <c r="B295" s="74">
        <v>17362.87</v>
      </c>
      <c r="C295" s="74">
        <v>223.85</v>
      </c>
      <c r="D295" s="74">
        <f t="shared" si="9"/>
        <v>-1.5664382949638674E-2</v>
      </c>
      <c r="E295" s="74">
        <f t="shared" si="10"/>
        <v>-1.7052788382719359E-2</v>
      </c>
      <c r="F295" s="75"/>
    </row>
    <row r="296" spans="1:6" ht="14.25" customHeight="1" x14ac:dyDescent="0.3">
      <c r="A296" s="73">
        <v>40974</v>
      </c>
      <c r="B296" s="74">
        <v>17173.29</v>
      </c>
      <c r="C296" s="74">
        <v>230.4</v>
      </c>
      <c r="D296" s="74">
        <f t="shared" si="9"/>
        <v>-1.0978748315697749E-2</v>
      </c>
      <c r="E296" s="74">
        <f t="shared" si="10"/>
        <v>2.884074413476161E-2</v>
      </c>
      <c r="F296" s="75"/>
    </row>
    <row r="297" spans="1:6" ht="14.25" customHeight="1" x14ac:dyDescent="0.3">
      <c r="A297" s="73">
        <v>40975</v>
      </c>
      <c r="B297" s="74">
        <v>17145.52</v>
      </c>
      <c r="C297" s="74">
        <v>230.9</v>
      </c>
      <c r="D297" s="74">
        <f t="shared" si="9"/>
        <v>-1.6183548357865424E-3</v>
      </c>
      <c r="E297" s="74">
        <f t="shared" si="10"/>
        <v>2.1677875387134497E-3</v>
      </c>
      <c r="F297" s="75"/>
    </row>
    <row r="298" spans="1:6" ht="14.25" customHeight="1" x14ac:dyDescent="0.3">
      <c r="A298" s="73">
        <v>40977</v>
      </c>
      <c r="B298" s="74">
        <v>17503.240000000002</v>
      </c>
      <c r="C298" s="74">
        <v>239</v>
      </c>
      <c r="D298" s="74">
        <f t="shared" si="9"/>
        <v>2.0649091652694646E-2</v>
      </c>
      <c r="E298" s="74">
        <f t="shared" si="10"/>
        <v>3.4478835571061066E-2</v>
      </c>
      <c r="F298" s="75"/>
    </row>
    <row r="299" spans="1:6" ht="14.25" customHeight="1" x14ac:dyDescent="0.3">
      <c r="A299" s="73">
        <v>40980</v>
      </c>
      <c r="B299" s="74">
        <v>17587.669999999998</v>
      </c>
      <c r="C299" s="74">
        <v>245.9</v>
      </c>
      <c r="D299" s="74">
        <f t="shared" si="9"/>
        <v>4.8120816999392049E-3</v>
      </c>
      <c r="E299" s="74">
        <f t="shared" si="10"/>
        <v>2.8461397290636174E-2</v>
      </c>
      <c r="F299" s="75"/>
    </row>
    <row r="300" spans="1:6" ht="14.25" customHeight="1" x14ac:dyDescent="0.3">
      <c r="A300" s="73">
        <v>40981</v>
      </c>
      <c r="B300" s="74">
        <v>17813.62</v>
      </c>
      <c r="C300" s="74">
        <v>246.75</v>
      </c>
      <c r="D300" s="74">
        <f t="shared" si="9"/>
        <v>1.2765244895436843E-2</v>
      </c>
      <c r="E300" s="74">
        <f t="shared" si="10"/>
        <v>3.4507290914440126E-3</v>
      </c>
      <c r="F300" s="75"/>
    </row>
    <row r="301" spans="1:6" ht="14.25" customHeight="1" x14ac:dyDescent="0.3">
      <c r="A301" s="73">
        <v>40982</v>
      </c>
      <c r="B301" s="74">
        <v>17919.3</v>
      </c>
      <c r="C301" s="74">
        <v>247.8</v>
      </c>
      <c r="D301" s="74">
        <f t="shared" si="9"/>
        <v>5.9150110386612543E-3</v>
      </c>
      <c r="E301" s="74">
        <f t="shared" si="10"/>
        <v>4.2462908814512243E-3</v>
      </c>
      <c r="F301" s="75"/>
    </row>
    <row r="302" spans="1:6" ht="14.25" customHeight="1" x14ac:dyDescent="0.3">
      <c r="A302" s="73">
        <v>40983</v>
      </c>
      <c r="B302" s="74">
        <v>17675.849999999999</v>
      </c>
      <c r="C302" s="74">
        <v>233.15</v>
      </c>
      <c r="D302" s="74">
        <f t="shared" si="9"/>
        <v>-1.3679043134162782E-2</v>
      </c>
      <c r="E302" s="74">
        <f t="shared" si="10"/>
        <v>-6.0939945940712212E-2</v>
      </c>
      <c r="F302" s="75"/>
    </row>
    <row r="303" spans="1:6" ht="14.25" customHeight="1" x14ac:dyDescent="0.3">
      <c r="A303" s="73">
        <v>40984</v>
      </c>
      <c r="B303" s="74">
        <v>17466.2</v>
      </c>
      <c r="C303" s="74">
        <v>232.5</v>
      </c>
      <c r="D303" s="74">
        <f t="shared" si="9"/>
        <v>-1.1931716404947688E-2</v>
      </c>
      <c r="E303" s="74">
        <f t="shared" si="10"/>
        <v>-2.7917982269189336E-3</v>
      </c>
      <c r="F303" s="75"/>
    </row>
    <row r="304" spans="1:6" ht="14.25" customHeight="1" x14ac:dyDescent="0.3">
      <c r="A304" s="73">
        <v>40987</v>
      </c>
      <c r="B304" s="74">
        <v>17273.37</v>
      </c>
      <c r="C304" s="74">
        <v>235</v>
      </c>
      <c r="D304" s="74">
        <f t="shared" si="9"/>
        <v>-1.1101575548577814E-2</v>
      </c>
      <c r="E304" s="74">
        <f t="shared" si="10"/>
        <v>1.069528911674795E-2</v>
      </c>
      <c r="F304" s="75"/>
    </row>
    <row r="305" spans="1:6" ht="14.25" customHeight="1" x14ac:dyDescent="0.3">
      <c r="A305" s="73">
        <v>40988</v>
      </c>
      <c r="B305" s="74">
        <v>17316.18</v>
      </c>
      <c r="C305" s="74">
        <v>243.55</v>
      </c>
      <c r="D305" s="74">
        <f t="shared" si="9"/>
        <v>2.4753153399644881E-3</v>
      </c>
      <c r="E305" s="74">
        <f t="shared" si="10"/>
        <v>3.5736746108392684E-2</v>
      </c>
      <c r="F305" s="75"/>
    </row>
    <row r="306" spans="1:6" ht="14.25" customHeight="1" x14ac:dyDescent="0.3">
      <c r="A306" s="73">
        <v>40989</v>
      </c>
      <c r="B306" s="74">
        <v>17601.71</v>
      </c>
      <c r="C306" s="74">
        <v>242.9</v>
      </c>
      <c r="D306" s="74">
        <f t="shared" si="9"/>
        <v>1.63547318792749E-2</v>
      </c>
      <c r="E306" s="74">
        <f t="shared" si="10"/>
        <v>-2.6724242444249144E-3</v>
      </c>
      <c r="F306" s="75"/>
    </row>
    <row r="307" spans="1:6" ht="14.25" customHeight="1" x14ac:dyDescent="0.3">
      <c r="A307" s="73">
        <v>40990</v>
      </c>
      <c r="B307" s="74">
        <v>17196.47</v>
      </c>
      <c r="C307" s="74">
        <v>233.65</v>
      </c>
      <c r="D307" s="74">
        <f t="shared" si="9"/>
        <v>-2.3291926217191831E-2</v>
      </c>
      <c r="E307" s="74">
        <f t="shared" si="10"/>
        <v>-3.8825566861691592E-2</v>
      </c>
      <c r="F307" s="75"/>
    </row>
    <row r="308" spans="1:6" ht="14.25" customHeight="1" x14ac:dyDescent="0.3">
      <c r="A308" s="73">
        <v>40991</v>
      </c>
      <c r="B308" s="74">
        <v>17361.740000000002</v>
      </c>
      <c r="C308" s="74">
        <v>232.35</v>
      </c>
      <c r="D308" s="74">
        <f t="shared" si="9"/>
        <v>9.564804426033852E-3</v>
      </c>
      <c r="E308" s="74">
        <f t="shared" si="10"/>
        <v>-5.5794136154479436E-3</v>
      </c>
      <c r="F308" s="75"/>
    </row>
    <row r="309" spans="1:6" ht="14.25" customHeight="1" x14ac:dyDescent="0.3">
      <c r="A309" s="73">
        <v>40994</v>
      </c>
      <c r="B309" s="74">
        <v>17052.78</v>
      </c>
      <c r="C309" s="74">
        <v>228.7</v>
      </c>
      <c r="D309" s="74">
        <f t="shared" si="9"/>
        <v>-1.7955694332502777E-2</v>
      </c>
      <c r="E309" s="74">
        <f t="shared" si="10"/>
        <v>-1.5833754502251853E-2</v>
      </c>
      <c r="F309" s="75"/>
    </row>
    <row r="310" spans="1:6" ht="14.25" customHeight="1" x14ac:dyDescent="0.3">
      <c r="A310" s="73">
        <v>40995</v>
      </c>
      <c r="B310" s="74">
        <v>17257.36</v>
      </c>
      <c r="C310" s="74">
        <v>237.75</v>
      </c>
      <c r="D310" s="74">
        <f t="shared" si="9"/>
        <v>1.1925478855980127E-2</v>
      </c>
      <c r="E310" s="74">
        <f t="shared" si="10"/>
        <v>3.8808600396764238E-2</v>
      </c>
      <c r="F310" s="75"/>
    </row>
    <row r="311" spans="1:6" ht="14.25" customHeight="1" x14ac:dyDescent="0.3">
      <c r="A311" s="73">
        <v>40996</v>
      </c>
      <c r="B311" s="74">
        <v>17121.62</v>
      </c>
      <c r="C311" s="74">
        <v>223.95</v>
      </c>
      <c r="D311" s="74">
        <f t="shared" si="9"/>
        <v>-7.8967267426489022E-3</v>
      </c>
      <c r="E311" s="74">
        <f t="shared" si="10"/>
        <v>-5.9796888772190665E-2</v>
      </c>
      <c r="F311" s="75"/>
    </row>
    <row r="312" spans="1:6" ht="14.25" customHeight="1" x14ac:dyDescent="0.3">
      <c r="A312" s="73">
        <v>40997</v>
      </c>
      <c r="B312" s="74">
        <v>17058.61</v>
      </c>
      <c r="C312" s="74">
        <v>227.9</v>
      </c>
      <c r="D312" s="74">
        <f t="shared" si="9"/>
        <v>-3.6869308004637844E-3</v>
      </c>
      <c r="E312" s="74">
        <f t="shared" si="10"/>
        <v>1.7484123598329519E-2</v>
      </c>
      <c r="F312" s="75"/>
    </row>
    <row r="313" spans="1:6" ht="14.25" customHeight="1" x14ac:dyDescent="0.3">
      <c r="A313" s="73">
        <v>40998</v>
      </c>
      <c r="B313" s="74">
        <v>17404.2</v>
      </c>
      <c r="C313" s="74">
        <v>228.6</v>
      </c>
      <c r="D313" s="74">
        <f t="shared" si="9"/>
        <v>2.005649479894648E-2</v>
      </c>
      <c r="E313" s="74">
        <f t="shared" si="10"/>
        <v>3.0668151090717174E-3</v>
      </c>
      <c r="F313" s="75"/>
    </row>
    <row r="314" spans="1:6" ht="14.25" customHeight="1" x14ac:dyDescent="0.3">
      <c r="A314" s="73">
        <v>41001</v>
      </c>
      <c r="B314" s="74">
        <v>17478.150000000001</v>
      </c>
      <c r="C314" s="74">
        <v>242.7</v>
      </c>
      <c r="D314" s="74">
        <f t="shared" si="9"/>
        <v>4.2399729826411263E-3</v>
      </c>
      <c r="E314" s="74">
        <f t="shared" si="10"/>
        <v>5.9852361371845381E-2</v>
      </c>
      <c r="F314" s="75"/>
    </row>
    <row r="315" spans="1:6" ht="14.25" customHeight="1" x14ac:dyDescent="0.3">
      <c r="A315" s="73">
        <v>41002</v>
      </c>
      <c r="B315" s="74">
        <v>17597.419999999998</v>
      </c>
      <c r="C315" s="74">
        <v>247.65</v>
      </c>
      <c r="D315" s="74">
        <f t="shared" si="9"/>
        <v>6.8007710033470368E-3</v>
      </c>
      <c r="E315" s="74">
        <f t="shared" si="10"/>
        <v>2.0190346301691024E-2</v>
      </c>
      <c r="F315" s="75"/>
    </row>
    <row r="316" spans="1:6" ht="14.25" customHeight="1" x14ac:dyDescent="0.3">
      <c r="A316" s="73">
        <v>41003</v>
      </c>
      <c r="B316" s="74">
        <v>17486.02</v>
      </c>
      <c r="C316" s="74">
        <v>249.2</v>
      </c>
      <c r="D316" s="74">
        <f t="shared" si="9"/>
        <v>-6.3505958593118887E-3</v>
      </c>
      <c r="E316" s="74">
        <f t="shared" si="10"/>
        <v>6.2393278790512643E-3</v>
      </c>
      <c r="F316" s="75"/>
    </row>
    <row r="317" spans="1:6" ht="14.25" customHeight="1" x14ac:dyDescent="0.3">
      <c r="A317" s="73">
        <v>41008</v>
      </c>
      <c r="B317" s="74">
        <v>17222.14</v>
      </c>
      <c r="C317" s="74">
        <v>243.25</v>
      </c>
      <c r="D317" s="74">
        <f t="shared" si="9"/>
        <v>-1.520593915212343E-2</v>
      </c>
      <c r="E317" s="74">
        <f t="shared" si="10"/>
        <v>-2.4166065847183608E-2</v>
      </c>
      <c r="F317" s="75"/>
    </row>
    <row r="318" spans="1:6" ht="14.25" customHeight="1" x14ac:dyDescent="0.3">
      <c r="A318" s="73">
        <v>41009</v>
      </c>
      <c r="B318" s="74">
        <v>17243.84</v>
      </c>
      <c r="C318" s="74">
        <v>244.2</v>
      </c>
      <c r="D318" s="74">
        <f t="shared" si="9"/>
        <v>1.2592128741050618E-3</v>
      </c>
      <c r="E318" s="74">
        <f t="shared" si="10"/>
        <v>3.8978406104897239E-3</v>
      </c>
      <c r="F318" s="75"/>
    </row>
    <row r="319" spans="1:6" ht="14.25" customHeight="1" x14ac:dyDescent="0.3">
      <c r="A319" s="73">
        <v>41010</v>
      </c>
      <c r="B319" s="74">
        <v>17199.400000000001</v>
      </c>
      <c r="C319" s="74">
        <v>241.9</v>
      </c>
      <c r="D319" s="74">
        <f t="shared" si="9"/>
        <v>-2.5804787621614236E-3</v>
      </c>
      <c r="E319" s="74">
        <f t="shared" si="10"/>
        <v>-9.4631440606226178E-3</v>
      </c>
      <c r="F319" s="75"/>
    </row>
    <row r="320" spans="1:6" ht="14.25" customHeight="1" x14ac:dyDescent="0.3">
      <c r="A320" s="73">
        <v>41011</v>
      </c>
      <c r="B320" s="74">
        <v>17332.62</v>
      </c>
      <c r="C320" s="74">
        <v>238.9</v>
      </c>
      <c r="D320" s="74">
        <f t="shared" si="9"/>
        <v>7.7157757302948925E-3</v>
      </c>
      <c r="E320" s="74">
        <f t="shared" si="10"/>
        <v>-1.2479363284217759E-2</v>
      </c>
      <c r="F320" s="75"/>
    </row>
    <row r="321" spans="1:6" ht="14.25" customHeight="1" x14ac:dyDescent="0.3">
      <c r="A321" s="73">
        <v>41012</v>
      </c>
      <c r="B321" s="74">
        <v>17094.509999999998</v>
      </c>
      <c r="C321" s="74">
        <v>237.95</v>
      </c>
      <c r="D321" s="74">
        <f t="shared" si="9"/>
        <v>-1.3832915891715421E-2</v>
      </c>
      <c r="E321" s="74">
        <f t="shared" si="10"/>
        <v>-3.9844867646444534E-3</v>
      </c>
      <c r="F321" s="75"/>
    </row>
    <row r="322" spans="1:6" ht="14.25" customHeight="1" x14ac:dyDescent="0.3">
      <c r="A322" s="73">
        <v>41015</v>
      </c>
      <c r="B322" s="74">
        <v>17150.95</v>
      </c>
      <c r="C322" s="74">
        <v>237.55</v>
      </c>
      <c r="D322" s="74">
        <f t="shared" si="9"/>
        <v>3.2962063351812247E-3</v>
      </c>
      <c r="E322" s="74">
        <f t="shared" si="10"/>
        <v>-1.6824399341890924E-3</v>
      </c>
      <c r="F322" s="75"/>
    </row>
    <row r="323" spans="1:6" ht="14.25" customHeight="1" x14ac:dyDescent="0.3">
      <c r="A323" s="73">
        <v>41016</v>
      </c>
      <c r="B323" s="74">
        <v>17357.939999999999</v>
      </c>
      <c r="C323" s="74">
        <v>235.45</v>
      </c>
      <c r="D323" s="74">
        <f t="shared" si="9"/>
        <v>1.1996472932865949E-2</v>
      </c>
      <c r="E323" s="74">
        <f t="shared" si="10"/>
        <v>-8.879550943366895E-3</v>
      </c>
      <c r="F323" s="75"/>
    </row>
    <row r="324" spans="1:6" ht="14.25" customHeight="1" x14ac:dyDescent="0.3">
      <c r="A324" s="73">
        <v>41017</v>
      </c>
      <c r="B324" s="74">
        <v>17392.39</v>
      </c>
      <c r="C324" s="74">
        <v>239.65</v>
      </c>
      <c r="D324" s="74">
        <f t="shared" ref="D324:D387" si="11">LN(B324/B323)</f>
        <v>1.9827156338204283E-3</v>
      </c>
      <c r="E324" s="74">
        <f t="shared" ref="E324:E387" si="12">LN(C324/C323)</f>
        <v>1.768094891607672E-2</v>
      </c>
      <c r="F324" s="75"/>
    </row>
    <row r="325" spans="1:6" ht="14.25" customHeight="1" x14ac:dyDescent="0.3">
      <c r="A325" s="73">
        <v>41018</v>
      </c>
      <c r="B325" s="74">
        <v>17503.71</v>
      </c>
      <c r="C325" s="74">
        <v>236.75</v>
      </c>
      <c r="D325" s="74">
        <f t="shared" si="11"/>
        <v>6.38010423017086E-3</v>
      </c>
      <c r="E325" s="74">
        <f t="shared" si="12"/>
        <v>-1.217479353945264E-2</v>
      </c>
      <c r="F325" s="75"/>
    </row>
    <row r="326" spans="1:6" ht="14.25" customHeight="1" x14ac:dyDescent="0.3">
      <c r="A326" s="73">
        <v>41019</v>
      </c>
      <c r="B326" s="74">
        <v>17373.84</v>
      </c>
      <c r="C326" s="74">
        <v>237.45</v>
      </c>
      <c r="D326" s="74">
        <f t="shared" si="11"/>
        <v>-7.4472318284370138E-3</v>
      </c>
      <c r="E326" s="74">
        <f t="shared" si="12"/>
        <v>2.9523429289431379E-3</v>
      </c>
      <c r="F326" s="75"/>
    </row>
    <row r="327" spans="1:6" ht="14.25" customHeight="1" x14ac:dyDescent="0.3">
      <c r="A327" s="73">
        <v>41022</v>
      </c>
      <c r="B327" s="74">
        <v>17096.68</v>
      </c>
      <c r="C327" s="74">
        <v>234.75</v>
      </c>
      <c r="D327" s="74">
        <f t="shared" si="11"/>
        <v>-1.6081334020324856E-2</v>
      </c>
      <c r="E327" s="74">
        <f t="shared" si="12"/>
        <v>-1.1435956906758537E-2</v>
      </c>
      <c r="F327" s="75"/>
    </row>
    <row r="328" spans="1:6" ht="14.25" customHeight="1" x14ac:dyDescent="0.3">
      <c r="A328" s="73">
        <v>41023</v>
      </c>
      <c r="B328" s="74">
        <v>17207.29</v>
      </c>
      <c r="C328" s="74">
        <v>237.2</v>
      </c>
      <c r="D328" s="74">
        <f t="shared" si="11"/>
        <v>6.4488386232086472E-3</v>
      </c>
      <c r="E328" s="74">
        <f t="shared" si="12"/>
        <v>1.0382549035198108E-2</v>
      </c>
      <c r="F328" s="75"/>
    </row>
    <row r="329" spans="1:6" ht="14.25" customHeight="1" x14ac:dyDescent="0.3">
      <c r="A329" s="73">
        <v>41024</v>
      </c>
      <c r="B329" s="74">
        <v>17151.29</v>
      </c>
      <c r="C329" s="74">
        <v>230.7</v>
      </c>
      <c r="D329" s="74">
        <f t="shared" si="11"/>
        <v>-3.2597417930310952E-3</v>
      </c>
      <c r="E329" s="74">
        <f t="shared" si="12"/>
        <v>-2.7785501943862426E-2</v>
      </c>
      <c r="F329" s="75"/>
    </row>
    <row r="330" spans="1:6" ht="14.25" customHeight="1" x14ac:dyDescent="0.3">
      <c r="A330" s="73">
        <v>41025</v>
      </c>
      <c r="B330" s="74">
        <v>17130.669999999998</v>
      </c>
      <c r="C330" s="74">
        <v>229.9</v>
      </c>
      <c r="D330" s="74">
        <f t="shared" si="11"/>
        <v>-1.2029652030774839E-3</v>
      </c>
      <c r="E330" s="74">
        <f t="shared" si="12"/>
        <v>-3.4737334105720214E-3</v>
      </c>
      <c r="F330" s="75"/>
    </row>
    <row r="331" spans="1:6" ht="14.25" customHeight="1" x14ac:dyDescent="0.3">
      <c r="A331" s="73">
        <v>41026</v>
      </c>
      <c r="B331" s="74">
        <v>17134.25</v>
      </c>
      <c r="C331" s="74">
        <v>235.15</v>
      </c>
      <c r="D331" s="74">
        <f t="shared" si="11"/>
        <v>2.0896006837469244E-4</v>
      </c>
      <c r="E331" s="74">
        <f t="shared" si="12"/>
        <v>2.2579176621921146E-2</v>
      </c>
      <c r="F331" s="75"/>
    </row>
    <row r="332" spans="1:6" ht="14.25" customHeight="1" x14ac:dyDescent="0.3">
      <c r="A332" s="73">
        <v>41027</v>
      </c>
      <c r="B332" s="74">
        <v>17187.34</v>
      </c>
      <c r="C332" s="74">
        <v>236.25</v>
      </c>
      <c r="D332" s="74">
        <f t="shared" si="11"/>
        <v>3.0936819851940332E-3</v>
      </c>
      <c r="E332" s="74">
        <f t="shared" si="12"/>
        <v>4.6669579827951927E-3</v>
      </c>
      <c r="F332" s="75"/>
    </row>
    <row r="333" spans="1:6" ht="14.25" customHeight="1" x14ac:dyDescent="0.3">
      <c r="A333" s="73">
        <v>41029</v>
      </c>
      <c r="B333" s="74">
        <v>17318.810000000001</v>
      </c>
      <c r="C333" s="74">
        <v>232.95</v>
      </c>
      <c r="D333" s="74">
        <f t="shared" si="11"/>
        <v>7.6201277838651785E-3</v>
      </c>
      <c r="E333" s="74">
        <f t="shared" si="12"/>
        <v>-1.4066728111046362E-2</v>
      </c>
      <c r="F333" s="75"/>
    </row>
    <row r="334" spans="1:6" ht="14.25" customHeight="1" x14ac:dyDescent="0.3">
      <c r="A334" s="73">
        <v>41031</v>
      </c>
      <c r="B334" s="74">
        <v>17301.91</v>
      </c>
      <c r="C334" s="74">
        <v>242.85</v>
      </c>
      <c r="D334" s="74">
        <f t="shared" si="11"/>
        <v>-9.7629404254763246E-4</v>
      </c>
      <c r="E334" s="74">
        <f t="shared" si="12"/>
        <v>4.1620130528948127E-2</v>
      </c>
      <c r="F334" s="75"/>
    </row>
    <row r="335" spans="1:6" ht="14.25" customHeight="1" x14ac:dyDescent="0.3">
      <c r="A335" s="73">
        <v>41032</v>
      </c>
      <c r="B335" s="74">
        <v>17151.189999999999</v>
      </c>
      <c r="C335" s="74">
        <v>245.65</v>
      </c>
      <c r="D335" s="74">
        <f t="shared" si="11"/>
        <v>-8.7493410740367879E-3</v>
      </c>
      <c r="E335" s="74">
        <f t="shared" si="12"/>
        <v>1.1463789822903516E-2</v>
      </c>
      <c r="F335" s="75"/>
    </row>
    <row r="336" spans="1:6" ht="14.25" customHeight="1" x14ac:dyDescent="0.3">
      <c r="A336" s="73">
        <v>41033</v>
      </c>
      <c r="B336" s="74">
        <v>16831.080000000002</v>
      </c>
      <c r="C336" s="74">
        <v>240.6</v>
      </c>
      <c r="D336" s="74">
        <f t="shared" si="11"/>
        <v>-1.8840381693001038E-2</v>
      </c>
      <c r="E336" s="74">
        <f t="shared" si="12"/>
        <v>-2.0771955074078832E-2</v>
      </c>
      <c r="F336" s="75"/>
    </row>
    <row r="337" spans="1:6" ht="14.25" customHeight="1" x14ac:dyDescent="0.3">
      <c r="A337" s="73">
        <v>41036</v>
      </c>
      <c r="B337" s="74">
        <v>16912.71</v>
      </c>
      <c r="C337" s="74">
        <v>249.05</v>
      </c>
      <c r="D337" s="74">
        <f t="shared" si="11"/>
        <v>4.8382330044281201E-3</v>
      </c>
      <c r="E337" s="74">
        <f t="shared" si="12"/>
        <v>3.4517875978713856E-2</v>
      </c>
      <c r="F337" s="75"/>
    </row>
    <row r="338" spans="1:6" ht="14.25" customHeight="1" x14ac:dyDescent="0.3">
      <c r="A338" s="73">
        <v>41037</v>
      </c>
      <c r="B338" s="74">
        <v>16546.18</v>
      </c>
      <c r="C338" s="74">
        <v>244.3</v>
      </c>
      <c r="D338" s="74">
        <f t="shared" si="11"/>
        <v>-2.191015080020263E-2</v>
      </c>
      <c r="E338" s="74">
        <f t="shared" si="12"/>
        <v>-1.9256701255597624E-2</v>
      </c>
      <c r="F338" s="75"/>
    </row>
    <row r="339" spans="1:6" ht="14.25" customHeight="1" x14ac:dyDescent="0.3">
      <c r="A339" s="73">
        <v>41038</v>
      </c>
      <c r="B339" s="74">
        <v>16479.580000000002</v>
      </c>
      <c r="C339" s="74">
        <v>244.1</v>
      </c>
      <c r="D339" s="74">
        <f t="shared" si="11"/>
        <v>-4.0332207513831637E-3</v>
      </c>
      <c r="E339" s="74">
        <f t="shared" si="12"/>
        <v>-8.1900086478050866E-4</v>
      </c>
      <c r="F339" s="75"/>
    </row>
    <row r="340" spans="1:6" ht="14.25" customHeight="1" x14ac:dyDescent="0.3">
      <c r="A340" s="73">
        <v>41039</v>
      </c>
      <c r="B340" s="74">
        <v>16420.05</v>
      </c>
      <c r="C340" s="74">
        <v>245.6</v>
      </c>
      <c r="D340" s="74">
        <f t="shared" si="11"/>
        <v>-3.6188896330358986E-3</v>
      </c>
      <c r="E340" s="74">
        <f t="shared" si="12"/>
        <v>6.1262188740729305E-3</v>
      </c>
      <c r="F340" s="75"/>
    </row>
    <row r="341" spans="1:6" ht="14.25" customHeight="1" x14ac:dyDescent="0.3">
      <c r="A341" s="73">
        <v>41040</v>
      </c>
      <c r="B341" s="74">
        <v>16292.98</v>
      </c>
      <c r="C341" s="74">
        <v>244.8</v>
      </c>
      <c r="D341" s="74">
        <f t="shared" si="11"/>
        <v>-7.7688088875942016E-3</v>
      </c>
      <c r="E341" s="74">
        <f t="shared" si="12"/>
        <v>-3.2626456348162714E-3</v>
      </c>
      <c r="F341" s="75"/>
    </row>
    <row r="342" spans="1:6" ht="14.25" customHeight="1" x14ac:dyDescent="0.3">
      <c r="A342" s="73">
        <v>41043</v>
      </c>
      <c r="B342" s="74">
        <v>16215.84</v>
      </c>
      <c r="C342" s="74">
        <v>245</v>
      </c>
      <c r="D342" s="74">
        <f t="shared" si="11"/>
        <v>-4.7457978962454099E-3</v>
      </c>
      <c r="E342" s="74">
        <f t="shared" si="12"/>
        <v>8.1665990655596524E-4</v>
      </c>
      <c r="F342" s="75"/>
    </row>
    <row r="343" spans="1:6" ht="14.25" customHeight="1" x14ac:dyDescent="0.3">
      <c r="A343" s="73">
        <v>41044</v>
      </c>
      <c r="B343" s="74">
        <v>16328.25</v>
      </c>
      <c r="C343" s="74">
        <v>243.6</v>
      </c>
      <c r="D343" s="74">
        <f t="shared" si="11"/>
        <v>6.9081942095308947E-3</v>
      </c>
      <c r="E343" s="74">
        <f t="shared" si="12"/>
        <v>-5.7306747089850953E-3</v>
      </c>
      <c r="F343" s="75"/>
    </row>
    <row r="344" spans="1:6" ht="14.25" customHeight="1" x14ac:dyDescent="0.3">
      <c r="A344" s="73">
        <v>41045</v>
      </c>
      <c r="B344" s="74">
        <v>16030.09</v>
      </c>
      <c r="C344" s="74">
        <v>234.6</v>
      </c>
      <c r="D344" s="74">
        <f t="shared" si="11"/>
        <v>-1.8429155433764784E-2</v>
      </c>
      <c r="E344" s="74">
        <f t="shared" si="12"/>
        <v>-3.7645599616366883E-2</v>
      </c>
      <c r="F344" s="75"/>
    </row>
    <row r="345" spans="1:6" ht="14.25" customHeight="1" x14ac:dyDescent="0.3">
      <c r="A345" s="73">
        <v>41046</v>
      </c>
      <c r="B345" s="74">
        <v>16070.48</v>
      </c>
      <c r="C345" s="74">
        <v>229.75</v>
      </c>
      <c r="D345" s="74">
        <f t="shared" si="11"/>
        <v>2.5164675464955984E-3</v>
      </c>
      <c r="E345" s="74">
        <f t="shared" si="12"/>
        <v>-2.0890174983578671E-2</v>
      </c>
      <c r="F345" s="75"/>
    </row>
    <row r="346" spans="1:6" ht="14.25" customHeight="1" x14ac:dyDescent="0.3">
      <c r="A346" s="73">
        <v>41047</v>
      </c>
      <c r="B346" s="74">
        <v>16152.75</v>
      </c>
      <c r="C346" s="74">
        <v>229.55</v>
      </c>
      <c r="D346" s="74">
        <f t="shared" si="11"/>
        <v>5.1062651856153204E-3</v>
      </c>
      <c r="E346" s="74">
        <f t="shared" si="12"/>
        <v>-8.7089054056537873E-4</v>
      </c>
      <c r="F346" s="75"/>
    </row>
    <row r="347" spans="1:6" ht="14.25" customHeight="1" x14ac:dyDescent="0.3">
      <c r="A347" s="73">
        <v>41050</v>
      </c>
      <c r="B347" s="74">
        <v>16183.26</v>
      </c>
      <c r="C347" s="74">
        <v>230.55</v>
      </c>
      <c r="D347" s="74">
        <f t="shared" si="11"/>
        <v>1.8870608373661153E-3</v>
      </c>
      <c r="E347" s="74">
        <f t="shared" si="12"/>
        <v>4.3468879574835393E-3</v>
      </c>
      <c r="F347" s="75"/>
    </row>
    <row r="348" spans="1:6" ht="14.25" customHeight="1" x14ac:dyDescent="0.3">
      <c r="A348" s="73">
        <v>41051</v>
      </c>
      <c r="B348" s="74">
        <v>16026.41</v>
      </c>
      <c r="C348" s="74">
        <v>231.5</v>
      </c>
      <c r="D348" s="74">
        <f t="shared" si="11"/>
        <v>-9.7393881924809876E-3</v>
      </c>
      <c r="E348" s="74">
        <f t="shared" si="12"/>
        <v>4.1121148735741818E-3</v>
      </c>
      <c r="F348" s="75"/>
    </row>
    <row r="349" spans="1:6" ht="14.25" customHeight="1" x14ac:dyDescent="0.3">
      <c r="A349" s="73">
        <v>41052</v>
      </c>
      <c r="B349" s="74">
        <v>15948.1</v>
      </c>
      <c r="C349" s="74">
        <v>223.9</v>
      </c>
      <c r="D349" s="74">
        <f t="shared" si="11"/>
        <v>-4.8982865773789987E-3</v>
      </c>
      <c r="E349" s="74">
        <f t="shared" si="12"/>
        <v>-3.3380349921579594E-2</v>
      </c>
      <c r="F349" s="75"/>
    </row>
    <row r="350" spans="1:6" ht="14.25" customHeight="1" x14ac:dyDescent="0.3">
      <c r="A350" s="73">
        <v>41053</v>
      </c>
      <c r="B350" s="74">
        <v>16222.3</v>
      </c>
      <c r="C350" s="74">
        <v>226.25</v>
      </c>
      <c r="D350" s="74">
        <f t="shared" si="11"/>
        <v>1.7047139002990621E-2</v>
      </c>
      <c r="E350" s="74">
        <f t="shared" si="12"/>
        <v>1.0441058975326436E-2</v>
      </c>
      <c r="F350" s="75"/>
    </row>
    <row r="351" spans="1:6" ht="14.25" customHeight="1" x14ac:dyDescent="0.3">
      <c r="A351" s="73">
        <v>41054</v>
      </c>
      <c r="B351" s="74">
        <v>16217.82</v>
      </c>
      <c r="C351" s="74">
        <v>224.3</v>
      </c>
      <c r="D351" s="74">
        <f t="shared" si="11"/>
        <v>-2.7620119953197396E-4</v>
      </c>
      <c r="E351" s="74">
        <f t="shared" si="12"/>
        <v>-8.6561410538727977E-3</v>
      </c>
      <c r="F351" s="75"/>
    </row>
    <row r="352" spans="1:6" ht="14.25" customHeight="1" x14ac:dyDescent="0.3">
      <c r="A352" s="73">
        <v>41057</v>
      </c>
      <c r="B352" s="74">
        <v>16416.84</v>
      </c>
      <c r="C352" s="74">
        <v>233.7</v>
      </c>
      <c r="D352" s="74">
        <f t="shared" si="11"/>
        <v>1.2196999588244073E-2</v>
      </c>
      <c r="E352" s="74">
        <f t="shared" si="12"/>
        <v>4.1053800018649576E-2</v>
      </c>
      <c r="F352" s="75"/>
    </row>
    <row r="353" spans="1:6" ht="14.25" customHeight="1" x14ac:dyDescent="0.3">
      <c r="A353" s="73">
        <v>41058</v>
      </c>
      <c r="B353" s="74">
        <v>16438.580000000002</v>
      </c>
      <c r="C353" s="74">
        <v>232.2</v>
      </c>
      <c r="D353" s="74">
        <f t="shared" si="11"/>
        <v>1.3233739317777926E-3</v>
      </c>
      <c r="E353" s="74">
        <f t="shared" si="12"/>
        <v>-6.4391722810212011E-3</v>
      </c>
      <c r="F353" s="75"/>
    </row>
    <row r="354" spans="1:6" ht="14.25" customHeight="1" x14ac:dyDescent="0.3">
      <c r="A354" s="73">
        <v>41059</v>
      </c>
      <c r="B354" s="74">
        <v>16312.15</v>
      </c>
      <c r="C354" s="74">
        <v>224.85</v>
      </c>
      <c r="D354" s="74">
        <f t="shared" si="11"/>
        <v>-7.720782287628499E-3</v>
      </c>
      <c r="E354" s="74">
        <f t="shared" si="12"/>
        <v>-3.2165556047074738E-2</v>
      </c>
      <c r="F354" s="75"/>
    </row>
    <row r="355" spans="1:6" ht="14.25" customHeight="1" x14ac:dyDescent="0.3">
      <c r="A355" s="73">
        <v>41060</v>
      </c>
      <c r="B355" s="74">
        <v>16218.53</v>
      </c>
      <c r="C355" s="74">
        <v>222.85</v>
      </c>
      <c r="D355" s="74">
        <f t="shared" si="11"/>
        <v>-5.7558131870762332E-3</v>
      </c>
      <c r="E355" s="74">
        <f t="shared" si="12"/>
        <v>-8.9346138241516108E-3</v>
      </c>
      <c r="F355" s="75"/>
    </row>
    <row r="356" spans="1:6" ht="14.25" customHeight="1" x14ac:dyDescent="0.3">
      <c r="A356" s="73">
        <v>41061</v>
      </c>
      <c r="B356" s="74">
        <v>15965.16</v>
      </c>
      <c r="C356" s="74">
        <v>221.55</v>
      </c>
      <c r="D356" s="74">
        <f t="shared" si="11"/>
        <v>-1.5745567687474045E-2</v>
      </c>
      <c r="E356" s="74">
        <f t="shared" si="12"/>
        <v>-5.8506017470662947E-3</v>
      </c>
      <c r="F356" s="75"/>
    </row>
    <row r="357" spans="1:6" ht="14.25" customHeight="1" x14ac:dyDescent="0.3">
      <c r="A357" s="73">
        <v>41064</v>
      </c>
      <c r="B357" s="74">
        <v>15988.4</v>
      </c>
      <c r="C357" s="74">
        <v>210</v>
      </c>
      <c r="D357" s="74">
        <f t="shared" si="11"/>
        <v>1.4546112607033443E-3</v>
      </c>
      <c r="E357" s="74">
        <f t="shared" si="12"/>
        <v>-5.354076692802992E-2</v>
      </c>
      <c r="F357" s="75"/>
    </row>
    <row r="358" spans="1:6" ht="14.25" customHeight="1" x14ac:dyDescent="0.3">
      <c r="A358" s="73">
        <v>41065</v>
      </c>
      <c r="B358" s="74">
        <v>16020.64</v>
      </c>
      <c r="C358" s="74">
        <v>207.8</v>
      </c>
      <c r="D358" s="74">
        <f t="shared" si="11"/>
        <v>2.0144316044665455E-3</v>
      </c>
      <c r="E358" s="74">
        <f t="shared" si="12"/>
        <v>-1.0531452052341602E-2</v>
      </c>
      <c r="F358" s="75"/>
    </row>
    <row r="359" spans="1:6" ht="14.25" customHeight="1" x14ac:dyDescent="0.3">
      <c r="A359" s="73">
        <v>41066</v>
      </c>
      <c r="B359" s="74">
        <v>16454.3</v>
      </c>
      <c r="C359" s="74">
        <v>215.5</v>
      </c>
      <c r="D359" s="74">
        <f t="shared" si="11"/>
        <v>2.6708950324469335E-2</v>
      </c>
      <c r="E359" s="74">
        <f t="shared" si="12"/>
        <v>3.6384830878675486E-2</v>
      </c>
      <c r="F359" s="75"/>
    </row>
    <row r="360" spans="1:6" ht="14.25" customHeight="1" x14ac:dyDescent="0.3">
      <c r="A360" s="73">
        <v>41067</v>
      </c>
      <c r="B360" s="74">
        <v>16649.05</v>
      </c>
      <c r="C360" s="74">
        <v>212.9</v>
      </c>
      <c r="D360" s="74">
        <f t="shared" si="11"/>
        <v>1.1766316512457946E-2</v>
      </c>
      <c r="E360" s="74">
        <f t="shared" si="12"/>
        <v>-1.2138337644368696E-2</v>
      </c>
      <c r="F360" s="75"/>
    </row>
    <row r="361" spans="1:6" ht="14.25" customHeight="1" x14ac:dyDescent="0.3">
      <c r="A361" s="73">
        <v>41068</v>
      </c>
      <c r="B361" s="74">
        <v>16718.87</v>
      </c>
      <c r="C361" s="74">
        <v>213</v>
      </c>
      <c r="D361" s="74">
        <f t="shared" si="11"/>
        <v>4.1848638990347707E-3</v>
      </c>
      <c r="E361" s="74">
        <f t="shared" si="12"/>
        <v>4.6959380999121177E-4</v>
      </c>
      <c r="F361" s="75"/>
    </row>
    <row r="362" spans="1:6" ht="14.25" customHeight="1" x14ac:dyDescent="0.3">
      <c r="A362" s="73">
        <v>41071</v>
      </c>
      <c r="B362" s="74">
        <v>16668.009999999998</v>
      </c>
      <c r="C362" s="74">
        <v>215.1</v>
      </c>
      <c r="D362" s="74">
        <f t="shared" si="11"/>
        <v>-3.0467081285839577E-3</v>
      </c>
      <c r="E362" s="74">
        <f t="shared" si="12"/>
        <v>9.8108705642592393E-3</v>
      </c>
      <c r="F362" s="75"/>
    </row>
    <row r="363" spans="1:6" ht="14.25" customHeight="1" x14ac:dyDescent="0.3">
      <c r="A363" s="73">
        <v>41072</v>
      </c>
      <c r="B363" s="74">
        <v>16862.8</v>
      </c>
      <c r="C363" s="74">
        <v>220.35</v>
      </c>
      <c r="D363" s="74">
        <f t="shared" si="11"/>
        <v>1.1618698819850152E-2</v>
      </c>
      <c r="E363" s="74">
        <f t="shared" si="12"/>
        <v>2.4114155014311672E-2</v>
      </c>
      <c r="F363" s="75"/>
    </row>
    <row r="364" spans="1:6" ht="14.25" customHeight="1" x14ac:dyDescent="0.3">
      <c r="A364" s="73">
        <v>41073</v>
      </c>
      <c r="B364" s="74">
        <v>16880.509999999998</v>
      </c>
      <c r="C364" s="74">
        <v>217.8</v>
      </c>
      <c r="D364" s="74">
        <f t="shared" si="11"/>
        <v>1.0496896496605703E-3</v>
      </c>
      <c r="E364" s="74">
        <f t="shared" si="12"/>
        <v>-1.1639980789135872E-2</v>
      </c>
      <c r="F364" s="75"/>
    </row>
    <row r="365" spans="1:6" ht="14.25" customHeight="1" x14ac:dyDescent="0.3">
      <c r="A365" s="73">
        <v>41074</v>
      </c>
      <c r="B365" s="74">
        <v>16677.88</v>
      </c>
      <c r="C365" s="74">
        <v>213.65</v>
      </c>
      <c r="D365" s="74">
        <f t="shared" si="11"/>
        <v>-1.2076411449959787E-2</v>
      </c>
      <c r="E365" s="74">
        <f t="shared" si="12"/>
        <v>-1.9238048408826158E-2</v>
      </c>
      <c r="F365" s="75"/>
    </row>
    <row r="366" spans="1:6" ht="14.25" customHeight="1" x14ac:dyDescent="0.3">
      <c r="A366" s="73">
        <v>41075</v>
      </c>
      <c r="B366" s="74">
        <v>16949.830000000002</v>
      </c>
      <c r="C366" s="74">
        <v>217.8</v>
      </c>
      <c r="D366" s="74">
        <f t="shared" si="11"/>
        <v>1.6174513746056818E-2</v>
      </c>
      <c r="E366" s="74">
        <f t="shared" si="12"/>
        <v>1.9238048408826088E-2</v>
      </c>
      <c r="F366" s="75"/>
    </row>
    <row r="367" spans="1:6" ht="14.25" customHeight="1" x14ac:dyDescent="0.3">
      <c r="A367" s="73">
        <v>41078</v>
      </c>
      <c r="B367" s="74">
        <v>16705.830000000002</v>
      </c>
      <c r="C367" s="74">
        <v>219.35</v>
      </c>
      <c r="D367" s="74">
        <f t="shared" si="11"/>
        <v>-1.4500043980375799E-2</v>
      </c>
      <c r="E367" s="74">
        <f t="shared" si="12"/>
        <v>7.0914171133627472E-3</v>
      </c>
      <c r="F367" s="75"/>
    </row>
    <row r="368" spans="1:6" ht="14.25" customHeight="1" x14ac:dyDescent="0.3">
      <c r="A368" s="73">
        <v>41079</v>
      </c>
      <c r="B368" s="74">
        <v>16859.8</v>
      </c>
      <c r="C368" s="74">
        <v>219.65</v>
      </c>
      <c r="D368" s="74">
        <f t="shared" si="11"/>
        <v>9.1743298098837505E-3</v>
      </c>
      <c r="E368" s="74">
        <f t="shared" si="12"/>
        <v>1.3667428095655379E-3</v>
      </c>
      <c r="F368" s="75"/>
    </row>
    <row r="369" spans="1:6" ht="14.25" customHeight="1" x14ac:dyDescent="0.3">
      <c r="A369" s="73">
        <v>41080</v>
      </c>
      <c r="B369" s="74">
        <v>16896.63</v>
      </c>
      <c r="C369" s="74">
        <v>220.75</v>
      </c>
      <c r="D369" s="74">
        <f t="shared" si="11"/>
        <v>2.1821036533822796E-3</v>
      </c>
      <c r="E369" s="74">
        <f t="shared" si="12"/>
        <v>4.9954690622806908E-3</v>
      </c>
      <c r="F369" s="75"/>
    </row>
    <row r="370" spans="1:6" ht="14.25" customHeight="1" x14ac:dyDescent="0.3">
      <c r="A370" s="73">
        <v>41081</v>
      </c>
      <c r="B370" s="74">
        <v>17032.560000000001</v>
      </c>
      <c r="C370" s="74">
        <v>219.7</v>
      </c>
      <c r="D370" s="74">
        <f t="shared" si="11"/>
        <v>8.0126125761874195E-3</v>
      </c>
      <c r="E370" s="74">
        <f t="shared" si="12"/>
        <v>-4.7678600935049335E-3</v>
      </c>
      <c r="F370" s="75"/>
    </row>
    <row r="371" spans="1:6" ht="14.25" customHeight="1" x14ac:dyDescent="0.3">
      <c r="A371" s="73">
        <v>41082</v>
      </c>
      <c r="B371" s="74">
        <v>16972.509999999998</v>
      </c>
      <c r="C371" s="74">
        <v>220.7</v>
      </c>
      <c r="D371" s="74">
        <f t="shared" si="11"/>
        <v>-3.5318299548318909E-3</v>
      </c>
      <c r="E371" s="74">
        <f t="shared" si="12"/>
        <v>4.5413338721262833E-3</v>
      </c>
      <c r="F371" s="75"/>
    </row>
    <row r="372" spans="1:6" ht="14.25" customHeight="1" x14ac:dyDescent="0.3">
      <c r="A372" s="73">
        <v>41085</v>
      </c>
      <c r="B372" s="74">
        <v>16882.16</v>
      </c>
      <c r="C372" s="74">
        <v>221.25</v>
      </c>
      <c r="D372" s="74">
        <f t="shared" si="11"/>
        <v>-5.3375333152145439E-3</v>
      </c>
      <c r="E372" s="74">
        <f t="shared" si="12"/>
        <v>2.4889706253481679E-3</v>
      </c>
      <c r="F372" s="75"/>
    </row>
    <row r="373" spans="1:6" ht="14.25" customHeight="1" x14ac:dyDescent="0.3">
      <c r="A373" s="73">
        <v>41086</v>
      </c>
      <c r="B373" s="74">
        <v>16906.580000000002</v>
      </c>
      <c r="C373" s="74">
        <v>218</v>
      </c>
      <c r="D373" s="74">
        <f t="shared" si="11"/>
        <v>1.4454521980868931E-3</v>
      </c>
      <c r="E373" s="74">
        <f t="shared" si="12"/>
        <v>-1.479822109894984E-2</v>
      </c>
      <c r="F373" s="75"/>
    </row>
    <row r="374" spans="1:6" ht="14.25" customHeight="1" x14ac:dyDescent="0.3">
      <c r="A374" s="73">
        <v>41087</v>
      </c>
      <c r="B374" s="74">
        <v>16967.759999999998</v>
      </c>
      <c r="C374" s="74">
        <v>216.5</v>
      </c>
      <c r="D374" s="74">
        <f t="shared" si="11"/>
        <v>3.6121776260234209E-3</v>
      </c>
      <c r="E374" s="74">
        <f t="shared" si="12"/>
        <v>-6.9045153465444866E-3</v>
      </c>
      <c r="F374" s="75"/>
    </row>
    <row r="375" spans="1:6" ht="14.25" customHeight="1" x14ac:dyDescent="0.3">
      <c r="A375" s="73">
        <v>41088</v>
      </c>
      <c r="B375" s="74">
        <v>16990.759999999998</v>
      </c>
      <c r="C375" s="74">
        <v>215.55</v>
      </c>
      <c r="D375" s="74">
        <f t="shared" si="11"/>
        <v>1.3545939880147313E-3</v>
      </c>
      <c r="E375" s="74">
        <f t="shared" si="12"/>
        <v>-4.397646249400906E-3</v>
      </c>
      <c r="F375" s="75"/>
    </row>
    <row r="376" spans="1:6" ht="14.25" customHeight="1" x14ac:dyDescent="0.3">
      <c r="A376" s="73">
        <v>41089</v>
      </c>
      <c r="B376" s="74">
        <v>17429.98</v>
      </c>
      <c r="C376" s="74">
        <v>222.3</v>
      </c>
      <c r="D376" s="74">
        <f t="shared" si="11"/>
        <v>2.552204520554582E-2</v>
      </c>
      <c r="E376" s="74">
        <f t="shared" si="12"/>
        <v>3.0834919777007242E-2</v>
      </c>
      <c r="F376" s="75"/>
    </row>
    <row r="377" spans="1:6" ht="14.25" customHeight="1" x14ac:dyDescent="0.3">
      <c r="A377" s="73">
        <v>41092</v>
      </c>
      <c r="B377" s="74">
        <v>17398.98</v>
      </c>
      <c r="C377" s="74">
        <v>225.3</v>
      </c>
      <c r="D377" s="74">
        <f t="shared" si="11"/>
        <v>-1.7801282717723006E-3</v>
      </c>
      <c r="E377" s="74">
        <f t="shared" si="12"/>
        <v>1.3405026468047764E-2</v>
      </c>
      <c r="F377" s="75"/>
    </row>
    <row r="378" spans="1:6" ht="14.25" customHeight="1" x14ac:dyDescent="0.3">
      <c r="A378" s="73">
        <v>41093</v>
      </c>
      <c r="B378" s="74">
        <v>17425.71</v>
      </c>
      <c r="C378" s="74">
        <v>236.85</v>
      </c>
      <c r="D378" s="74">
        <f t="shared" si="11"/>
        <v>1.5351180584406102E-3</v>
      </c>
      <c r="E378" s="74">
        <f t="shared" si="12"/>
        <v>4.9994181931562034E-2</v>
      </c>
      <c r="F378" s="75"/>
    </row>
    <row r="379" spans="1:6" ht="14.25" customHeight="1" x14ac:dyDescent="0.3">
      <c r="A379" s="73">
        <v>41094</v>
      </c>
      <c r="B379" s="74">
        <v>17462.810000000001</v>
      </c>
      <c r="C379" s="74">
        <v>233.25</v>
      </c>
      <c r="D379" s="74">
        <f t="shared" si="11"/>
        <v>2.1267748809143962E-3</v>
      </c>
      <c r="E379" s="74">
        <f t="shared" si="12"/>
        <v>-1.531618964230756E-2</v>
      </c>
      <c r="F379" s="75"/>
    </row>
    <row r="380" spans="1:6" ht="14.25" customHeight="1" x14ac:dyDescent="0.3">
      <c r="A380" s="73">
        <v>41095</v>
      </c>
      <c r="B380" s="74">
        <v>17538.669999999998</v>
      </c>
      <c r="C380" s="74">
        <v>233.15</v>
      </c>
      <c r="D380" s="74">
        <f t="shared" si="11"/>
        <v>4.3346806352553349E-3</v>
      </c>
      <c r="E380" s="74">
        <f t="shared" si="12"/>
        <v>-4.2881647312334383E-4</v>
      </c>
      <c r="F380" s="75"/>
    </row>
    <row r="381" spans="1:6" ht="14.25" customHeight="1" x14ac:dyDescent="0.3">
      <c r="A381" s="73">
        <v>41096</v>
      </c>
      <c r="B381" s="74">
        <v>17521.12</v>
      </c>
      <c r="C381" s="74">
        <v>229.65</v>
      </c>
      <c r="D381" s="74">
        <f t="shared" si="11"/>
        <v>-1.0011469815338597E-3</v>
      </c>
      <c r="E381" s="74">
        <f t="shared" si="12"/>
        <v>-1.5125612482527431E-2</v>
      </c>
      <c r="F381" s="75"/>
    </row>
    <row r="382" spans="1:6" ht="14.25" customHeight="1" x14ac:dyDescent="0.3">
      <c r="A382" s="73">
        <v>41099</v>
      </c>
      <c r="B382" s="74">
        <v>17391.98</v>
      </c>
      <c r="C382" s="74">
        <v>227.35</v>
      </c>
      <c r="D382" s="74">
        <f t="shared" si="11"/>
        <v>-7.3978299814542459E-3</v>
      </c>
      <c r="E382" s="74">
        <f t="shared" si="12"/>
        <v>-1.0065730500782938E-2</v>
      </c>
      <c r="F382" s="75"/>
    </row>
    <row r="383" spans="1:6" ht="14.25" customHeight="1" x14ac:dyDescent="0.3">
      <c r="A383" s="73">
        <v>41100</v>
      </c>
      <c r="B383" s="74">
        <v>17618.349999999999</v>
      </c>
      <c r="C383" s="74">
        <v>228.45</v>
      </c>
      <c r="D383" s="74">
        <f t="shared" si="11"/>
        <v>1.2931792112175201E-2</v>
      </c>
      <c r="E383" s="74">
        <f t="shared" si="12"/>
        <v>4.8266877382609485E-3</v>
      </c>
      <c r="F383" s="75"/>
    </row>
    <row r="384" spans="1:6" ht="14.25" customHeight="1" x14ac:dyDescent="0.3">
      <c r="A384" s="73">
        <v>41101</v>
      </c>
      <c r="B384" s="74">
        <v>17489.14</v>
      </c>
      <c r="C384" s="74">
        <v>228.35</v>
      </c>
      <c r="D384" s="74">
        <f t="shared" si="11"/>
        <v>-7.3608556696174565E-3</v>
      </c>
      <c r="E384" s="74">
        <f t="shared" si="12"/>
        <v>-4.3782837827246703E-4</v>
      </c>
      <c r="F384" s="75"/>
    </row>
    <row r="385" spans="1:6" ht="14.25" customHeight="1" x14ac:dyDescent="0.3">
      <c r="A385" s="73">
        <v>41102</v>
      </c>
      <c r="B385" s="74">
        <v>17232.55</v>
      </c>
      <c r="C385" s="74">
        <v>223.9</v>
      </c>
      <c r="D385" s="74">
        <f t="shared" si="11"/>
        <v>-1.4780079599018331E-2</v>
      </c>
      <c r="E385" s="74">
        <f t="shared" si="12"/>
        <v>-1.9680016026298815E-2</v>
      </c>
      <c r="F385" s="75"/>
    </row>
    <row r="386" spans="1:6" ht="14.25" customHeight="1" x14ac:dyDescent="0.3">
      <c r="A386" s="73">
        <v>41103</v>
      </c>
      <c r="B386" s="74">
        <v>17213.7</v>
      </c>
      <c r="C386" s="74">
        <v>216.9</v>
      </c>
      <c r="D386" s="74">
        <f t="shared" si="11"/>
        <v>-1.0944588674590716E-3</v>
      </c>
      <c r="E386" s="74">
        <f t="shared" si="12"/>
        <v>-3.1763105771880497E-2</v>
      </c>
      <c r="F386" s="75"/>
    </row>
    <row r="387" spans="1:6" ht="14.25" customHeight="1" x14ac:dyDescent="0.3">
      <c r="A387" s="73">
        <v>41106</v>
      </c>
      <c r="B387" s="74">
        <v>17103.310000000001</v>
      </c>
      <c r="C387" s="74">
        <v>220.75</v>
      </c>
      <c r="D387" s="74">
        <f t="shared" si="11"/>
        <v>-6.43356637191794E-3</v>
      </c>
      <c r="E387" s="74">
        <f t="shared" si="12"/>
        <v>1.7594421651240637E-2</v>
      </c>
      <c r="F387" s="75"/>
    </row>
    <row r="388" spans="1:6" ht="14.25" customHeight="1" x14ac:dyDescent="0.3">
      <c r="A388" s="73">
        <v>41107</v>
      </c>
      <c r="B388" s="74">
        <v>17105.3</v>
      </c>
      <c r="C388" s="74">
        <v>222.7</v>
      </c>
      <c r="D388" s="74">
        <f t="shared" ref="D388:D451" si="13">LN(B388/B387)</f>
        <v>1.1634497877835373E-4</v>
      </c>
      <c r="E388" s="74">
        <f t="shared" ref="E388:E451" si="14">LN(C388/C387)</f>
        <v>8.7947347792525048E-3</v>
      </c>
      <c r="F388" s="75"/>
    </row>
    <row r="389" spans="1:6" ht="14.25" customHeight="1" x14ac:dyDescent="0.3">
      <c r="A389" s="73">
        <v>41108</v>
      </c>
      <c r="B389" s="74">
        <v>17185.009999999998</v>
      </c>
      <c r="C389" s="74">
        <v>222.25</v>
      </c>
      <c r="D389" s="74">
        <f t="shared" si="13"/>
        <v>4.649135197318765E-3</v>
      </c>
      <c r="E389" s="74">
        <f t="shared" si="14"/>
        <v>-2.0226998693078828E-3</v>
      </c>
      <c r="F389" s="75"/>
    </row>
    <row r="390" spans="1:6" ht="14.25" customHeight="1" x14ac:dyDescent="0.3">
      <c r="A390" s="73">
        <v>41109</v>
      </c>
      <c r="B390" s="74">
        <v>17278.849999999999</v>
      </c>
      <c r="C390" s="74">
        <v>226.75</v>
      </c>
      <c r="D390" s="74">
        <f t="shared" si="13"/>
        <v>5.4457180309224898E-3</v>
      </c>
      <c r="E390" s="74">
        <f t="shared" si="14"/>
        <v>2.0045214601232084E-2</v>
      </c>
      <c r="F390" s="75"/>
    </row>
    <row r="391" spans="1:6" ht="14.25" customHeight="1" x14ac:dyDescent="0.3">
      <c r="A391" s="73">
        <v>41110</v>
      </c>
      <c r="B391" s="74">
        <v>17158.439999999999</v>
      </c>
      <c r="C391" s="74">
        <v>228.1</v>
      </c>
      <c r="D391" s="74">
        <f t="shared" si="13"/>
        <v>-6.993029398947242E-3</v>
      </c>
      <c r="E391" s="74">
        <f t="shared" si="14"/>
        <v>5.9360402950963771E-3</v>
      </c>
      <c r="F391" s="75"/>
    </row>
    <row r="392" spans="1:6" ht="14.25" customHeight="1" x14ac:dyDescent="0.3">
      <c r="A392" s="73">
        <v>41113</v>
      </c>
      <c r="B392" s="74">
        <v>16877.349999999999</v>
      </c>
      <c r="C392" s="74">
        <v>223.7</v>
      </c>
      <c r="D392" s="74">
        <f t="shared" si="13"/>
        <v>-1.6517694514242991E-2</v>
      </c>
      <c r="E392" s="74">
        <f t="shared" si="14"/>
        <v>-1.9478260794258479E-2</v>
      </c>
      <c r="F392" s="75"/>
    </row>
    <row r="393" spans="1:6" ht="14.25" customHeight="1" x14ac:dyDescent="0.3">
      <c r="A393" s="73">
        <v>41114</v>
      </c>
      <c r="B393" s="74">
        <v>16918.080000000002</v>
      </c>
      <c r="C393" s="74">
        <v>229.15</v>
      </c>
      <c r="D393" s="74">
        <f t="shared" si="13"/>
        <v>2.410386239795048E-3</v>
      </c>
      <c r="E393" s="74">
        <f t="shared" si="14"/>
        <v>2.4070942459049283E-2</v>
      </c>
      <c r="F393" s="75"/>
    </row>
    <row r="394" spans="1:6" ht="14.25" customHeight="1" x14ac:dyDescent="0.3">
      <c r="A394" s="73">
        <v>41115</v>
      </c>
      <c r="B394" s="74">
        <v>16846.05</v>
      </c>
      <c r="C394" s="74">
        <v>222.4</v>
      </c>
      <c r="D394" s="74">
        <f t="shared" si="13"/>
        <v>-4.2666646095747968E-3</v>
      </c>
      <c r="E394" s="74">
        <f t="shared" si="14"/>
        <v>-2.9899248578705698E-2</v>
      </c>
      <c r="F394" s="75"/>
    </row>
    <row r="395" spans="1:6" ht="14.25" customHeight="1" x14ac:dyDescent="0.3">
      <c r="A395" s="73">
        <v>41116</v>
      </c>
      <c r="B395" s="74">
        <v>16639.82</v>
      </c>
      <c r="C395" s="74">
        <v>222.45</v>
      </c>
      <c r="D395" s="74">
        <f t="shared" si="13"/>
        <v>-1.2317589925539746E-2</v>
      </c>
      <c r="E395" s="74">
        <f t="shared" si="14"/>
        <v>2.2479487562339774E-4</v>
      </c>
      <c r="F395" s="75"/>
    </row>
    <row r="396" spans="1:6" ht="14.25" customHeight="1" x14ac:dyDescent="0.3">
      <c r="A396" s="73">
        <v>41117</v>
      </c>
      <c r="B396" s="74">
        <v>16839.189999999999</v>
      </c>
      <c r="C396" s="74">
        <v>226.45</v>
      </c>
      <c r="D396" s="74">
        <f t="shared" si="13"/>
        <v>1.1910289868016821E-2</v>
      </c>
      <c r="E396" s="74">
        <f t="shared" si="14"/>
        <v>1.7821812750172111E-2</v>
      </c>
      <c r="F396" s="75"/>
    </row>
    <row r="397" spans="1:6" ht="14.25" customHeight="1" x14ac:dyDescent="0.3">
      <c r="A397" s="73">
        <v>41120</v>
      </c>
      <c r="B397" s="74">
        <v>17143.68</v>
      </c>
      <c r="C397" s="74">
        <v>232.1</v>
      </c>
      <c r="D397" s="74">
        <f t="shared" si="13"/>
        <v>1.7920684679889918E-2</v>
      </c>
      <c r="E397" s="74">
        <f t="shared" si="14"/>
        <v>2.4644143278168568E-2</v>
      </c>
      <c r="F397" s="75"/>
    </row>
    <row r="398" spans="1:6" ht="14.25" customHeight="1" x14ac:dyDescent="0.3">
      <c r="A398" s="73">
        <v>41121</v>
      </c>
      <c r="B398" s="74">
        <v>17236.18</v>
      </c>
      <c r="C398" s="74">
        <v>222.25</v>
      </c>
      <c r="D398" s="74">
        <f t="shared" si="13"/>
        <v>5.381070382588192E-3</v>
      </c>
      <c r="E398" s="74">
        <f t="shared" si="14"/>
        <v>-4.3365438886377394E-2</v>
      </c>
      <c r="F398" s="75"/>
    </row>
    <row r="399" spans="1:6" ht="14.25" customHeight="1" x14ac:dyDescent="0.3">
      <c r="A399" s="73">
        <v>41122</v>
      </c>
      <c r="B399" s="74">
        <v>17257.38</v>
      </c>
      <c r="C399" s="74">
        <v>221.75</v>
      </c>
      <c r="D399" s="74">
        <f t="shared" si="13"/>
        <v>1.2292151154812672E-3</v>
      </c>
      <c r="E399" s="74">
        <f t="shared" si="14"/>
        <v>-2.2522532043251315E-3</v>
      </c>
      <c r="F399" s="75"/>
    </row>
    <row r="400" spans="1:6" ht="14.25" customHeight="1" x14ac:dyDescent="0.3">
      <c r="A400" s="73">
        <v>41123</v>
      </c>
      <c r="B400" s="74">
        <v>17224.36</v>
      </c>
      <c r="C400" s="74">
        <v>226.85</v>
      </c>
      <c r="D400" s="74">
        <f t="shared" si="13"/>
        <v>-1.9152171609245431E-3</v>
      </c>
      <c r="E400" s="74">
        <f t="shared" si="14"/>
        <v>2.2738384920283947E-2</v>
      </c>
      <c r="F400" s="75"/>
    </row>
    <row r="401" spans="1:6" ht="14.25" customHeight="1" x14ac:dyDescent="0.3">
      <c r="A401" s="73">
        <v>41124</v>
      </c>
      <c r="B401" s="74">
        <v>17197.93</v>
      </c>
      <c r="C401" s="74">
        <v>227.75</v>
      </c>
      <c r="D401" s="74">
        <f t="shared" si="13"/>
        <v>-1.5356331722188041E-3</v>
      </c>
      <c r="E401" s="74">
        <f t="shared" si="14"/>
        <v>3.9595300300947541E-3</v>
      </c>
      <c r="F401" s="75"/>
    </row>
    <row r="402" spans="1:6" ht="14.25" customHeight="1" x14ac:dyDescent="0.3">
      <c r="A402" s="73">
        <v>41127</v>
      </c>
      <c r="B402" s="74">
        <v>17412.96</v>
      </c>
      <c r="C402" s="74">
        <v>228.6</v>
      </c>
      <c r="D402" s="74">
        <f t="shared" si="13"/>
        <v>1.2425728820586577E-2</v>
      </c>
      <c r="E402" s="74">
        <f t="shared" si="14"/>
        <v>3.7252152206425876E-3</v>
      </c>
      <c r="F402" s="75"/>
    </row>
    <row r="403" spans="1:6" ht="14.25" customHeight="1" x14ac:dyDescent="0.3">
      <c r="A403" s="73">
        <v>41128</v>
      </c>
      <c r="B403" s="74">
        <v>17601.78</v>
      </c>
      <c r="C403" s="74">
        <v>227.4</v>
      </c>
      <c r="D403" s="74">
        <f t="shared" si="13"/>
        <v>1.0785276733522886E-2</v>
      </c>
      <c r="E403" s="74">
        <f t="shared" si="14"/>
        <v>-5.263170044274533E-3</v>
      </c>
      <c r="F403" s="75"/>
    </row>
    <row r="404" spans="1:6" ht="14.25" customHeight="1" x14ac:dyDescent="0.3">
      <c r="A404" s="73">
        <v>41129</v>
      </c>
      <c r="B404" s="74">
        <v>17600.560000000001</v>
      </c>
      <c r="C404" s="74">
        <v>224.3</v>
      </c>
      <c r="D404" s="74">
        <f t="shared" si="13"/>
        <v>-6.9313574068476924E-5</v>
      </c>
      <c r="E404" s="74">
        <f t="shared" si="14"/>
        <v>-1.3726139790273057E-2</v>
      </c>
      <c r="F404" s="75"/>
    </row>
    <row r="405" spans="1:6" ht="14.25" customHeight="1" x14ac:dyDescent="0.3">
      <c r="A405" s="73">
        <v>41130</v>
      </c>
      <c r="B405" s="74">
        <v>17560.87</v>
      </c>
      <c r="C405" s="74">
        <v>224.5</v>
      </c>
      <c r="D405" s="74">
        <f t="shared" si="13"/>
        <v>-2.2575883209160564E-3</v>
      </c>
      <c r="E405" s="74">
        <f t="shared" si="14"/>
        <v>8.9126565614639603E-4</v>
      </c>
      <c r="F405" s="75"/>
    </row>
    <row r="406" spans="1:6" ht="14.25" customHeight="1" x14ac:dyDescent="0.3">
      <c r="A406" s="73">
        <v>41131</v>
      </c>
      <c r="B406" s="74">
        <v>17557.740000000002</v>
      </c>
      <c r="C406" s="74">
        <v>217.7</v>
      </c>
      <c r="D406" s="74">
        <f t="shared" si="13"/>
        <v>-1.7825306914397566E-4</v>
      </c>
      <c r="E406" s="74">
        <f t="shared" si="14"/>
        <v>-3.0757738941807267E-2</v>
      </c>
      <c r="F406" s="75"/>
    </row>
    <row r="407" spans="1:6" ht="14.25" customHeight="1" x14ac:dyDescent="0.3">
      <c r="A407" s="73">
        <v>41134</v>
      </c>
      <c r="B407" s="74">
        <v>17633.45</v>
      </c>
      <c r="C407" s="74">
        <v>223.3</v>
      </c>
      <c r="D407" s="74">
        <f t="shared" si="13"/>
        <v>4.3027881016688115E-3</v>
      </c>
      <c r="E407" s="74">
        <f t="shared" si="14"/>
        <v>2.5398190605610618E-2</v>
      </c>
      <c r="F407" s="75"/>
    </row>
    <row r="408" spans="1:6" ht="14.25" customHeight="1" x14ac:dyDescent="0.3">
      <c r="A408" s="73">
        <v>41135</v>
      </c>
      <c r="B408" s="74">
        <v>17728.2</v>
      </c>
      <c r="C408" s="74">
        <v>224.8</v>
      </c>
      <c r="D408" s="74">
        <f t="shared" si="13"/>
        <v>5.3589256583387521E-3</v>
      </c>
      <c r="E408" s="74">
        <f t="shared" si="14"/>
        <v>6.6949591734238988E-3</v>
      </c>
      <c r="F408" s="75"/>
    </row>
    <row r="409" spans="1:6" ht="14.25" customHeight="1" x14ac:dyDescent="0.3">
      <c r="A409" s="73">
        <v>41137</v>
      </c>
      <c r="B409" s="74">
        <v>17657.21</v>
      </c>
      <c r="C409" s="74">
        <v>220.15</v>
      </c>
      <c r="D409" s="74">
        <f t="shared" si="13"/>
        <v>-4.0123935396404005E-3</v>
      </c>
      <c r="E409" s="74">
        <f t="shared" si="14"/>
        <v>-2.0901985817773226E-2</v>
      </c>
      <c r="F409" s="75"/>
    </row>
    <row r="410" spans="1:6" ht="14.25" customHeight="1" x14ac:dyDescent="0.3">
      <c r="A410" s="73">
        <v>41138</v>
      </c>
      <c r="B410" s="74">
        <v>17691.080000000002</v>
      </c>
      <c r="C410" s="74">
        <v>220.6</v>
      </c>
      <c r="D410" s="74">
        <f t="shared" si="13"/>
        <v>1.9163591995789077E-3</v>
      </c>
      <c r="E410" s="74">
        <f t="shared" si="14"/>
        <v>2.0419746176392165E-3</v>
      </c>
      <c r="F410" s="75"/>
    </row>
    <row r="411" spans="1:6" ht="14.25" customHeight="1" x14ac:dyDescent="0.3">
      <c r="A411" s="73">
        <v>41142</v>
      </c>
      <c r="B411" s="74">
        <v>17885.259999999998</v>
      </c>
      <c r="C411" s="74">
        <v>222.85</v>
      </c>
      <c r="D411" s="74">
        <f t="shared" si="13"/>
        <v>1.0916352177470211E-2</v>
      </c>
      <c r="E411" s="74">
        <f t="shared" si="14"/>
        <v>1.0147792573162678E-2</v>
      </c>
      <c r="F411" s="75"/>
    </row>
    <row r="412" spans="1:6" ht="14.25" customHeight="1" x14ac:dyDescent="0.3">
      <c r="A412" s="73">
        <v>41143</v>
      </c>
      <c r="B412" s="74">
        <v>17846.86</v>
      </c>
      <c r="C412" s="74">
        <v>223.35</v>
      </c>
      <c r="D412" s="74">
        <f t="shared" si="13"/>
        <v>-2.149327539633553E-3</v>
      </c>
      <c r="E412" s="74">
        <f t="shared" si="14"/>
        <v>2.2411484055629024E-3</v>
      </c>
      <c r="F412" s="75"/>
    </row>
    <row r="413" spans="1:6" ht="14.25" customHeight="1" x14ac:dyDescent="0.3">
      <c r="A413" s="73">
        <v>41144</v>
      </c>
      <c r="B413" s="74">
        <v>17850.22</v>
      </c>
      <c r="C413" s="74">
        <v>222.9</v>
      </c>
      <c r="D413" s="74">
        <f t="shared" si="13"/>
        <v>1.8825069220926917E-4</v>
      </c>
      <c r="E413" s="74">
        <f t="shared" si="14"/>
        <v>-2.0168074063044235E-3</v>
      </c>
      <c r="F413" s="75"/>
    </row>
    <row r="414" spans="1:6" ht="14.25" customHeight="1" x14ac:dyDescent="0.3">
      <c r="A414" s="73">
        <v>41145</v>
      </c>
      <c r="B414" s="74">
        <v>17783.21</v>
      </c>
      <c r="C414" s="74">
        <v>221.95</v>
      </c>
      <c r="D414" s="74">
        <f t="shared" si="13"/>
        <v>-3.7610793567742851E-3</v>
      </c>
      <c r="E414" s="74">
        <f t="shared" si="14"/>
        <v>-4.2711091117790508E-3</v>
      </c>
      <c r="F414" s="75"/>
    </row>
    <row r="415" spans="1:6" ht="14.25" customHeight="1" x14ac:dyDescent="0.3">
      <c r="A415" s="73">
        <v>41148</v>
      </c>
      <c r="B415" s="74">
        <v>17678.810000000001</v>
      </c>
      <c r="C415" s="74">
        <v>221.2</v>
      </c>
      <c r="D415" s="74">
        <f t="shared" si="13"/>
        <v>-5.8880064709691694E-3</v>
      </c>
      <c r="E415" s="74">
        <f t="shared" si="14"/>
        <v>-3.3848616318645176E-3</v>
      </c>
      <c r="F415" s="75"/>
    </row>
    <row r="416" spans="1:6" ht="14.25" customHeight="1" x14ac:dyDescent="0.3">
      <c r="A416" s="73">
        <v>41149</v>
      </c>
      <c r="B416" s="74">
        <v>17631.71</v>
      </c>
      <c r="C416" s="74">
        <v>220.75</v>
      </c>
      <c r="D416" s="74">
        <f t="shared" si="13"/>
        <v>-2.6677617851019906E-3</v>
      </c>
      <c r="E416" s="74">
        <f t="shared" si="14"/>
        <v>-2.0364301641103027E-3</v>
      </c>
      <c r="F416" s="75"/>
    </row>
    <row r="417" spans="1:6" ht="14.25" customHeight="1" x14ac:dyDescent="0.3">
      <c r="A417" s="73">
        <v>41150</v>
      </c>
      <c r="B417" s="74">
        <v>17490.810000000001</v>
      </c>
      <c r="C417" s="74">
        <v>221</v>
      </c>
      <c r="D417" s="74">
        <f t="shared" si="13"/>
        <v>-8.0233853303008067E-3</v>
      </c>
      <c r="E417" s="74">
        <f t="shared" si="14"/>
        <v>1.1318620336833308E-3</v>
      </c>
      <c r="F417" s="75"/>
    </row>
    <row r="418" spans="1:6" ht="14.25" customHeight="1" x14ac:dyDescent="0.3">
      <c r="A418" s="73">
        <v>41151</v>
      </c>
      <c r="B418" s="74">
        <v>17541.64</v>
      </c>
      <c r="C418" s="74">
        <v>222.3</v>
      </c>
      <c r="D418" s="74">
        <f t="shared" si="13"/>
        <v>2.9018830067340262E-3</v>
      </c>
      <c r="E418" s="74">
        <f t="shared" si="14"/>
        <v>5.8651194523980576E-3</v>
      </c>
      <c r="F418" s="75"/>
    </row>
    <row r="419" spans="1:6" ht="14.25" customHeight="1" x14ac:dyDescent="0.3">
      <c r="A419" s="73">
        <v>41152</v>
      </c>
      <c r="B419" s="74">
        <v>17429.560000000001</v>
      </c>
      <c r="C419" s="74">
        <v>221.6</v>
      </c>
      <c r="D419" s="74">
        <f t="shared" si="13"/>
        <v>-6.4098677624305767E-3</v>
      </c>
      <c r="E419" s="74">
        <f t="shared" si="14"/>
        <v>-3.1538660970221806E-3</v>
      </c>
      <c r="F419" s="75"/>
    </row>
    <row r="420" spans="1:6" ht="14.25" customHeight="1" x14ac:dyDescent="0.3">
      <c r="A420" s="73">
        <v>41155</v>
      </c>
      <c r="B420" s="74">
        <v>17384.400000000001</v>
      </c>
      <c r="C420" s="74">
        <v>223.35</v>
      </c>
      <c r="D420" s="74">
        <f t="shared" si="13"/>
        <v>-2.5943630273567407E-3</v>
      </c>
      <c r="E420" s="74">
        <f t="shared" si="14"/>
        <v>7.8660929249988291E-3</v>
      </c>
      <c r="F420" s="75"/>
    </row>
    <row r="421" spans="1:6" ht="14.25" customHeight="1" x14ac:dyDescent="0.3">
      <c r="A421" s="73">
        <v>41156</v>
      </c>
      <c r="B421" s="74">
        <v>17440.87</v>
      </c>
      <c r="C421" s="74">
        <v>225.65</v>
      </c>
      <c r="D421" s="74">
        <f t="shared" si="13"/>
        <v>3.2430502042338316E-3</v>
      </c>
      <c r="E421" s="74">
        <f t="shared" si="14"/>
        <v>1.024507847488256E-2</v>
      </c>
      <c r="F421" s="75"/>
    </row>
    <row r="422" spans="1:6" ht="14.25" customHeight="1" x14ac:dyDescent="0.3">
      <c r="A422" s="73">
        <v>41157</v>
      </c>
      <c r="B422" s="74">
        <v>17313.34</v>
      </c>
      <c r="C422" s="74">
        <v>222.4</v>
      </c>
      <c r="D422" s="74">
        <f t="shared" si="13"/>
        <v>-7.3389999316003729E-3</v>
      </c>
      <c r="E422" s="74">
        <f t="shared" si="14"/>
        <v>-1.4507563896582892E-2</v>
      </c>
      <c r="F422" s="75"/>
    </row>
    <row r="423" spans="1:6" ht="14.25" customHeight="1" x14ac:dyDescent="0.3">
      <c r="A423" s="73">
        <v>41158</v>
      </c>
      <c r="B423" s="74">
        <v>17346.27</v>
      </c>
      <c r="C423" s="74">
        <v>220.35</v>
      </c>
      <c r="D423" s="74">
        <f t="shared" si="13"/>
        <v>1.9001950632725755E-3</v>
      </c>
      <c r="E423" s="74">
        <f t="shared" si="14"/>
        <v>-9.2603710884313906E-3</v>
      </c>
      <c r="F423" s="75"/>
    </row>
    <row r="424" spans="1:6" ht="14.25" customHeight="1" x14ac:dyDescent="0.3">
      <c r="A424" s="73">
        <v>41159</v>
      </c>
      <c r="B424" s="74">
        <v>17683.73</v>
      </c>
      <c r="C424" s="74">
        <v>227.4</v>
      </c>
      <c r="D424" s="74">
        <f t="shared" si="13"/>
        <v>1.9267510119158424E-2</v>
      </c>
      <c r="E424" s="74">
        <f t="shared" si="14"/>
        <v>3.1493390028439608E-2</v>
      </c>
      <c r="F424" s="75"/>
    </row>
    <row r="425" spans="1:6" ht="14.25" customHeight="1" x14ac:dyDescent="0.3">
      <c r="A425" s="73">
        <v>41160</v>
      </c>
      <c r="B425" s="74">
        <v>17749.650000000001</v>
      </c>
      <c r="C425" s="74">
        <v>229.45</v>
      </c>
      <c r="D425" s="74">
        <f t="shared" si="13"/>
        <v>3.7207896086234428E-3</v>
      </c>
      <c r="E425" s="74">
        <f t="shared" si="14"/>
        <v>8.9745595244067784E-3</v>
      </c>
      <c r="F425" s="75"/>
    </row>
    <row r="426" spans="1:6" ht="14.25" customHeight="1" x14ac:dyDescent="0.3">
      <c r="A426" s="73">
        <v>41162</v>
      </c>
      <c r="B426" s="74">
        <v>17766.78</v>
      </c>
      <c r="C426" s="74">
        <v>234.95</v>
      </c>
      <c r="D426" s="74">
        <f t="shared" si="13"/>
        <v>9.6462405305299123E-4</v>
      </c>
      <c r="E426" s="74">
        <f t="shared" si="14"/>
        <v>2.3687584707982292E-2</v>
      </c>
      <c r="F426" s="75"/>
    </row>
    <row r="427" spans="1:6" ht="14.25" customHeight="1" x14ac:dyDescent="0.3">
      <c r="A427" s="73">
        <v>41163</v>
      </c>
      <c r="B427" s="74">
        <v>17852.95</v>
      </c>
      <c r="C427" s="74">
        <v>236.6</v>
      </c>
      <c r="D427" s="74">
        <f t="shared" si="13"/>
        <v>4.8383392069418999E-3</v>
      </c>
      <c r="E427" s="74">
        <f t="shared" si="14"/>
        <v>6.9982259954616127E-3</v>
      </c>
      <c r="F427" s="75"/>
    </row>
    <row r="428" spans="1:6" ht="14.25" customHeight="1" x14ac:dyDescent="0.3">
      <c r="A428" s="73">
        <v>41164</v>
      </c>
      <c r="B428" s="74">
        <v>18000.03</v>
      </c>
      <c r="C428" s="74">
        <v>238.05</v>
      </c>
      <c r="D428" s="74">
        <f t="shared" si="13"/>
        <v>8.2046638842902843E-3</v>
      </c>
      <c r="E428" s="74">
        <f t="shared" si="14"/>
        <v>6.1097840962415339E-3</v>
      </c>
      <c r="F428" s="75"/>
    </row>
    <row r="429" spans="1:6" ht="14.25" customHeight="1" x14ac:dyDescent="0.3">
      <c r="A429" s="73">
        <v>41165</v>
      </c>
      <c r="B429" s="74">
        <v>18021.16</v>
      </c>
      <c r="C429" s="74">
        <v>239.1</v>
      </c>
      <c r="D429" s="74">
        <f t="shared" si="13"/>
        <v>1.1731984658809099E-3</v>
      </c>
      <c r="E429" s="74">
        <f t="shared" si="14"/>
        <v>4.4011388237511703E-3</v>
      </c>
      <c r="F429" s="75"/>
    </row>
    <row r="430" spans="1:6" ht="14.25" customHeight="1" x14ac:dyDescent="0.3">
      <c r="A430" s="73">
        <v>41166</v>
      </c>
      <c r="B430" s="74">
        <v>18464.27</v>
      </c>
      <c r="C430" s="74">
        <v>239.95</v>
      </c>
      <c r="D430" s="74">
        <f t="shared" si="13"/>
        <v>2.4290890241709991E-2</v>
      </c>
      <c r="E430" s="74">
        <f t="shared" si="14"/>
        <v>3.5486938399754645E-3</v>
      </c>
      <c r="F430" s="75"/>
    </row>
    <row r="431" spans="1:6" ht="14.25" customHeight="1" x14ac:dyDescent="0.3">
      <c r="A431" s="73">
        <v>41169</v>
      </c>
      <c r="B431" s="74">
        <v>18542.310000000001</v>
      </c>
      <c r="C431" s="74">
        <v>241.65</v>
      </c>
      <c r="D431" s="74">
        <f t="shared" si="13"/>
        <v>4.2176345765607597E-3</v>
      </c>
      <c r="E431" s="74">
        <f t="shared" si="14"/>
        <v>7.059829986838584E-3</v>
      </c>
      <c r="F431" s="75"/>
    </row>
    <row r="432" spans="1:6" ht="14.25" customHeight="1" x14ac:dyDescent="0.3">
      <c r="A432" s="73">
        <v>41170</v>
      </c>
      <c r="B432" s="74">
        <v>18496.009999999998</v>
      </c>
      <c r="C432" s="74">
        <v>240.4</v>
      </c>
      <c r="D432" s="74">
        <f t="shared" si="13"/>
        <v>-2.5001146983338906E-3</v>
      </c>
      <c r="E432" s="74">
        <f t="shared" si="14"/>
        <v>-5.1861956300405763E-3</v>
      </c>
      <c r="F432" s="75"/>
    </row>
    <row r="433" spans="1:6" ht="14.25" customHeight="1" x14ac:dyDescent="0.3">
      <c r="A433" s="73">
        <v>41172</v>
      </c>
      <c r="B433" s="74">
        <v>18349.25</v>
      </c>
      <c r="C433" s="74">
        <v>241.7</v>
      </c>
      <c r="D433" s="74">
        <f t="shared" si="13"/>
        <v>-7.9663314165660509E-3</v>
      </c>
      <c r="E433" s="74">
        <f t="shared" si="14"/>
        <v>5.3930850483848089E-3</v>
      </c>
      <c r="F433" s="75"/>
    </row>
    <row r="434" spans="1:6" ht="14.25" customHeight="1" x14ac:dyDescent="0.3">
      <c r="A434" s="73">
        <v>41173</v>
      </c>
      <c r="B434" s="74">
        <v>18752.830000000002</v>
      </c>
      <c r="C434" s="74">
        <v>241.3</v>
      </c>
      <c r="D434" s="74">
        <f t="shared" si="13"/>
        <v>2.1755972629769547E-2</v>
      </c>
      <c r="E434" s="74">
        <f t="shared" si="14"/>
        <v>-1.6563150784511336E-3</v>
      </c>
      <c r="F434" s="75"/>
    </row>
    <row r="435" spans="1:6" ht="14.25" customHeight="1" x14ac:dyDescent="0.3">
      <c r="A435" s="73">
        <v>41176</v>
      </c>
      <c r="B435" s="74">
        <v>18673.34</v>
      </c>
      <c r="C435" s="74">
        <v>244.1</v>
      </c>
      <c r="D435" s="74">
        <f t="shared" si="13"/>
        <v>-4.2478361813229355E-3</v>
      </c>
      <c r="E435" s="74">
        <f t="shared" si="14"/>
        <v>1.1537004767928374E-2</v>
      </c>
      <c r="F435" s="75"/>
    </row>
    <row r="436" spans="1:6" ht="14.25" customHeight="1" x14ac:dyDescent="0.3">
      <c r="A436" s="73">
        <v>41177</v>
      </c>
      <c r="B436" s="74">
        <v>18694.41</v>
      </c>
      <c r="C436" s="74">
        <v>244.95</v>
      </c>
      <c r="D436" s="74">
        <f t="shared" si="13"/>
        <v>1.1277105114944018E-3</v>
      </c>
      <c r="E436" s="74">
        <f t="shared" si="14"/>
        <v>3.4761306856695034E-3</v>
      </c>
      <c r="F436" s="75"/>
    </row>
    <row r="437" spans="1:6" ht="14.25" customHeight="1" x14ac:dyDescent="0.3">
      <c r="A437" s="73">
        <v>41178</v>
      </c>
      <c r="B437" s="74">
        <v>18632.169999999998</v>
      </c>
      <c r="C437" s="74">
        <v>245.2</v>
      </c>
      <c r="D437" s="74">
        <f t="shared" si="13"/>
        <v>-3.3348920626283464E-3</v>
      </c>
      <c r="E437" s="74">
        <f t="shared" si="14"/>
        <v>1.02009597747251E-3</v>
      </c>
      <c r="F437" s="75"/>
    </row>
    <row r="438" spans="1:6" ht="14.25" customHeight="1" x14ac:dyDescent="0.3">
      <c r="A438" s="73">
        <v>41179</v>
      </c>
      <c r="B438" s="74">
        <v>18579.5</v>
      </c>
      <c r="C438" s="74">
        <v>254.15</v>
      </c>
      <c r="D438" s="74">
        <f t="shared" si="13"/>
        <v>-2.8308342610325384E-3</v>
      </c>
      <c r="E438" s="74">
        <f t="shared" si="14"/>
        <v>3.5850439830855216E-2</v>
      </c>
      <c r="F438" s="75"/>
    </row>
    <row r="439" spans="1:6" ht="14.25" customHeight="1" x14ac:dyDescent="0.3">
      <c r="A439" s="73">
        <v>41180</v>
      </c>
      <c r="B439" s="74">
        <v>18762.740000000002</v>
      </c>
      <c r="C439" s="74">
        <v>261.55</v>
      </c>
      <c r="D439" s="74">
        <f t="shared" si="13"/>
        <v>9.814165983147799E-3</v>
      </c>
      <c r="E439" s="74">
        <f t="shared" si="14"/>
        <v>2.8700825923708519E-2</v>
      </c>
      <c r="F439" s="75"/>
    </row>
    <row r="440" spans="1:6" ht="14.25" customHeight="1" x14ac:dyDescent="0.3">
      <c r="A440" s="73">
        <v>41183</v>
      </c>
      <c r="B440" s="74">
        <v>18823.91</v>
      </c>
      <c r="C440" s="74">
        <v>261.64999999999998</v>
      </c>
      <c r="D440" s="74">
        <f t="shared" si="13"/>
        <v>3.254881933037931E-3</v>
      </c>
      <c r="E440" s="74">
        <f t="shared" si="14"/>
        <v>3.8226300159653652E-4</v>
      </c>
      <c r="F440" s="75"/>
    </row>
    <row r="441" spans="1:6" ht="14.25" customHeight="1" x14ac:dyDescent="0.3">
      <c r="A441" s="73">
        <v>41185</v>
      </c>
      <c r="B441" s="74">
        <v>18869.689999999999</v>
      </c>
      <c r="C441" s="74">
        <v>258.95</v>
      </c>
      <c r="D441" s="74">
        <f t="shared" si="13"/>
        <v>2.4290607694557823E-3</v>
      </c>
      <c r="E441" s="74">
        <f t="shared" si="14"/>
        <v>-1.0372739948316353E-2</v>
      </c>
      <c r="F441" s="75"/>
    </row>
    <row r="442" spans="1:6" ht="14.25" customHeight="1" x14ac:dyDescent="0.3">
      <c r="A442" s="73">
        <v>41186</v>
      </c>
      <c r="B442" s="74">
        <v>19058.150000000001</v>
      </c>
      <c r="C442" s="74">
        <v>266.75</v>
      </c>
      <c r="D442" s="74">
        <f t="shared" si="13"/>
        <v>9.93790055286972E-3</v>
      </c>
      <c r="E442" s="74">
        <f t="shared" si="14"/>
        <v>2.9676897311962241E-2</v>
      </c>
      <c r="F442" s="75"/>
    </row>
    <row r="443" spans="1:6" ht="14.25" customHeight="1" x14ac:dyDescent="0.3">
      <c r="A443" s="73">
        <v>41187</v>
      </c>
      <c r="B443" s="74">
        <v>18938.46</v>
      </c>
      <c r="C443" s="74">
        <v>268.7</v>
      </c>
      <c r="D443" s="74">
        <f t="shared" si="13"/>
        <v>-6.3000565514409572E-3</v>
      </c>
      <c r="E443" s="74">
        <f t="shared" si="14"/>
        <v>7.2836254395826682E-3</v>
      </c>
      <c r="F443" s="75"/>
    </row>
    <row r="444" spans="1:6" ht="14.25" customHeight="1" x14ac:dyDescent="0.3">
      <c r="A444" s="73">
        <v>41190</v>
      </c>
      <c r="B444" s="74">
        <v>18708.98</v>
      </c>
      <c r="C444" s="74">
        <v>261.35000000000002</v>
      </c>
      <c r="D444" s="74">
        <f t="shared" si="13"/>
        <v>-1.2191152555556962E-2</v>
      </c>
      <c r="E444" s="74">
        <f t="shared" si="14"/>
        <v>-2.7735010462514548E-2</v>
      </c>
      <c r="F444" s="75"/>
    </row>
    <row r="445" spans="1:6" ht="14.25" customHeight="1" x14ac:dyDescent="0.3">
      <c r="A445" s="73">
        <v>41191</v>
      </c>
      <c r="B445" s="74">
        <v>18793.36</v>
      </c>
      <c r="C445" s="74">
        <v>265.05</v>
      </c>
      <c r="D445" s="74">
        <f t="shared" si="13"/>
        <v>4.4999934612502106E-3</v>
      </c>
      <c r="E445" s="74">
        <f t="shared" si="14"/>
        <v>1.4057982274884149E-2</v>
      </c>
      <c r="F445" s="75"/>
    </row>
    <row r="446" spans="1:6" ht="14.25" customHeight="1" x14ac:dyDescent="0.3">
      <c r="A446" s="73">
        <v>41192</v>
      </c>
      <c r="B446" s="74">
        <v>18631.099999999999</v>
      </c>
      <c r="C446" s="74">
        <v>267.75</v>
      </c>
      <c r="D446" s="74">
        <f t="shared" si="13"/>
        <v>-8.6713885375034033E-3</v>
      </c>
      <c r="E446" s="74">
        <f t="shared" si="14"/>
        <v>1.013522189404293E-2</v>
      </c>
      <c r="F446" s="75"/>
    </row>
    <row r="447" spans="1:6" ht="14.25" customHeight="1" x14ac:dyDescent="0.3">
      <c r="A447" s="73">
        <v>41193</v>
      </c>
      <c r="B447" s="74">
        <v>18804.75</v>
      </c>
      <c r="C447" s="74">
        <v>268.89999999999998</v>
      </c>
      <c r="D447" s="74">
        <f t="shared" si="13"/>
        <v>9.2772700750824791E-3</v>
      </c>
      <c r="E447" s="74">
        <f t="shared" si="14"/>
        <v>4.2858539469608206E-3</v>
      </c>
      <c r="F447" s="75"/>
    </row>
    <row r="448" spans="1:6" ht="14.25" customHeight="1" x14ac:dyDescent="0.3">
      <c r="A448" s="73">
        <v>41194</v>
      </c>
      <c r="B448" s="74">
        <v>18675.18</v>
      </c>
      <c r="C448" s="74">
        <v>274.10000000000002</v>
      </c>
      <c r="D448" s="74">
        <f t="shared" si="13"/>
        <v>-6.9141279706692697E-3</v>
      </c>
      <c r="E448" s="74">
        <f t="shared" si="14"/>
        <v>1.9153440033921314E-2</v>
      </c>
      <c r="F448" s="75"/>
    </row>
    <row r="449" spans="1:6" ht="14.25" customHeight="1" x14ac:dyDescent="0.3">
      <c r="A449" s="73">
        <v>41197</v>
      </c>
      <c r="B449" s="74">
        <v>18713.55</v>
      </c>
      <c r="C449" s="74">
        <v>270.45</v>
      </c>
      <c r="D449" s="74">
        <f t="shared" si="13"/>
        <v>2.0524908693163803E-3</v>
      </c>
      <c r="E449" s="74">
        <f t="shared" si="14"/>
        <v>-1.3405764991304275E-2</v>
      </c>
      <c r="F449" s="75"/>
    </row>
    <row r="450" spans="1:6" ht="14.25" customHeight="1" x14ac:dyDescent="0.3">
      <c r="A450" s="73">
        <v>41198</v>
      </c>
      <c r="B450" s="74">
        <v>18577.7</v>
      </c>
      <c r="C450" s="74">
        <v>272.25</v>
      </c>
      <c r="D450" s="74">
        <f t="shared" si="13"/>
        <v>-7.2859236932164215E-3</v>
      </c>
      <c r="E450" s="74">
        <f t="shared" si="14"/>
        <v>6.6335234956338774E-3</v>
      </c>
      <c r="F450" s="75"/>
    </row>
    <row r="451" spans="1:6" ht="14.25" customHeight="1" x14ac:dyDescent="0.3">
      <c r="A451" s="73">
        <v>41199</v>
      </c>
      <c r="B451" s="74">
        <v>18610.77</v>
      </c>
      <c r="C451" s="74">
        <v>274.3</v>
      </c>
      <c r="D451" s="74">
        <f t="shared" si="13"/>
        <v>1.7785086999791055E-3</v>
      </c>
      <c r="E451" s="74">
        <f t="shared" si="14"/>
        <v>7.5016361304877637E-3</v>
      </c>
      <c r="F451" s="75"/>
    </row>
    <row r="452" spans="1:6" ht="14.25" customHeight="1" x14ac:dyDescent="0.3">
      <c r="A452" s="73">
        <v>41200</v>
      </c>
      <c r="B452" s="74">
        <v>18791.93</v>
      </c>
      <c r="C452" s="74">
        <v>277.95</v>
      </c>
      <c r="D452" s="74">
        <f t="shared" ref="D452:D515" si="15">LN(B452/B451)</f>
        <v>9.687076957590298E-3</v>
      </c>
      <c r="E452" s="74">
        <f t="shared" ref="E452:E515" si="16">LN(C452/C451)</f>
        <v>1.3218843455920885E-2</v>
      </c>
      <c r="F452" s="75"/>
    </row>
    <row r="453" spans="1:6" ht="14.25" customHeight="1" x14ac:dyDescent="0.3">
      <c r="A453" s="73">
        <v>41201</v>
      </c>
      <c r="B453" s="74">
        <v>18682.310000000001</v>
      </c>
      <c r="C453" s="74">
        <v>278.89999999999998</v>
      </c>
      <c r="D453" s="74">
        <f t="shared" si="15"/>
        <v>-5.8504355348585951E-3</v>
      </c>
      <c r="E453" s="74">
        <f t="shared" si="16"/>
        <v>3.412053233964805E-3</v>
      </c>
      <c r="F453" s="75"/>
    </row>
    <row r="454" spans="1:6" ht="14.25" customHeight="1" x14ac:dyDescent="0.3">
      <c r="A454" s="73">
        <v>41204</v>
      </c>
      <c r="B454" s="74">
        <v>18793.439999999999</v>
      </c>
      <c r="C454" s="74">
        <v>278.85000000000002</v>
      </c>
      <c r="D454" s="74">
        <f t="shared" si="15"/>
        <v>5.9307859478417669E-3</v>
      </c>
      <c r="E454" s="74">
        <f t="shared" si="16"/>
        <v>-1.7929179788043895E-4</v>
      </c>
      <c r="F454" s="75"/>
    </row>
    <row r="455" spans="1:6" ht="14.25" customHeight="1" x14ac:dyDescent="0.3">
      <c r="A455" s="73">
        <v>41205</v>
      </c>
      <c r="B455" s="74">
        <v>18710.02</v>
      </c>
      <c r="C455" s="74">
        <v>275.75</v>
      </c>
      <c r="D455" s="74">
        <f t="shared" si="15"/>
        <v>-4.4486635407856804E-3</v>
      </c>
      <c r="E455" s="74">
        <f t="shared" si="16"/>
        <v>-1.1179344701950991E-2</v>
      </c>
      <c r="F455" s="75"/>
    </row>
    <row r="456" spans="1:6" ht="14.25" customHeight="1" x14ac:dyDescent="0.3">
      <c r="A456" s="73">
        <v>41207</v>
      </c>
      <c r="B456" s="74">
        <v>18758.63</v>
      </c>
      <c r="C456" s="74">
        <v>276.35000000000002</v>
      </c>
      <c r="D456" s="74">
        <f t="shared" si="15"/>
        <v>2.5947039603609174E-3</v>
      </c>
      <c r="E456" s="74">
        <f t="shared" si="16"/>
        <v>2.173520145660099E-3</v>
      </c>
      <c r="F456" s="75"/>
    </row>
    <row r="457" spans="1:6" ht="14.25" customHeight="1" x14ac:dyDescent="0.3">
      <c r="A457" s="73">
        <v>41208</v>
      </c>
      <c r="B457" s="74">
        <v>18625.34</v>
      </c>
      <c r="C457" s="74">
        <v>265.25</v>
      </c>
      <c r="D457" s="74">
        <f t="shared" si="15"/>
        <v>-7.1308940603157242E-3</v>
      </c>
      <c r="E457" s="74">
        <f t="shared" si="16"/>
        <v>-4.0995400785179527E-2</v>
      </c>
      <c r="F457" s="75"/>
    </row>
    <row r="458" spans="1:6" ht="14.25" customHeight="1" x14ac:dyDescent="0.3">
      <c r="A458" s="73">
        <v>41211</v>
      </c>
      <c r="B458" s="74">
        <v>18635.82</v>
      </c>
      <c r="C458" s="74">
        <v>266.89999999999998</v>
      </c>
      <c r="D458" s="74">
        <f t="shared" si="15"/>
        <v>5.6251605029709472E-4</v>
      </c>
      <c r="E458" s="74">
        <f t="shared" si="16"/>
        <v>6.2012789163859109E-3</v>
      </c>
      <c r="F458" s="75"/>
    </row>
    <row r="459" spans="1:6" ht="14.25" customHeight="1" x14ac:dyDescent="0.3">
      <c r="A459" s="73">
        <v>41212</v>
      </c>
      <c r="B459" s="74">
        <v>18430.849999999999</v>
      </c>
      <c r="C459" s="74">
        <v>257.8</v>
      </c>
      <c r="D459" s="74">
        <f t="shared" si="15"/>
        <v>-1.1059644108861313E-2</v>
      </c>
      <c r="E459" s="74">
        <f t="shared" si="16"/>
        <v>-3.4689965905391355E-2</v>
      </c>
      <c r="F459" s="75"/>
    </row>
    <row r="460" spans="1:6" ht="14.25" customHeight="1" x14ac:dyDescent="0.3">
      <c r="A460" s="73">
        <v>41213</v>
      </c>
      <c r="B460" s="74">
        <v>18505.38</v>
      </c>
      <c r="C460" s="74">
        <v>259.39999999999998</v>
      </c>
      <c r="D460" s="74">
        <f t="shared" si="15"/>
        <v>4.035609543827378E-3</v>
      </c>
      <c r="E460" s="74">
        <f t="shared" si="16"/>
        <v>6.187181377256456E-3</v>
      </c>
      <c r="F460" s="75"/>
    </row>
    <row r="461" spans="1:6" ht="14.25" customHeight="1" x14ac:dyDescent="0.3">
      <c r="A461" s="73">
        <v>41214</v>
      </c>
      <c r="B461" s="74">
        <v>18561.7</v>
      </c>
      <c r="C461" s="74">
        <v>284.89999999999998</v>
      </c>
      <c r="D461" s="74">
        <f t="shared" si="15"/>
        <v>3.038817373268333E-3</v>
      </c>
      <c r="E461" s="74">
        <f t="shared" si="16"/>
        <v>9.3766969621519133E-2</v>
      </c>
      <c r="F461" s="75"/>
    </row>
    <row r="462" spans="1:6" ht="14.25" customHeight="1" x14ac:dyDescent="0.3">
      <c r="A462" s="73">
        <v>41215</v>
      </c>
      <c r="B462" s="74">
        <v>18755.45</v>
      </c>
      <c r="C462" s="74">
        <v>288.45</v>
      </c>
      <c r="D462" s="74">
        <f t="shared" si="15"/>
        <v>1.0384058856624462E-2</v>
      </c>
      <c r="E462" s="74">
        <f t="shared" si="16"/>
        <v>1.2383519199035964E-2</v>
      </c>
      <c r="F462" s="75"/>
    </row>
    <row r="463" spans="1:6" ht="14.25" customHeight="1" x14ac:dyDescent="0.3">
      <c r="A463" s="73">
        <v>41218</v>
      </c>
      <c r="B463" s="74">
        <v>18762.87</v>
      </c>
      <c r="C463" s="74">
        <v>290.3</v>
      </c>
      <c r="D463" s="74">
        <f t="shared" si="15"/>
        <v>3.9554010396712917E-4</v>
      </c>
      <c r="E463" s="74">
        <f t="shared" si="16"/>
        <v>6.3931103276857843E-3</v>
      </c>
      <c r="F463" s="75"/>
    </row>
    <row r="464" spans="1:6" ht="14.25" customHeight="1" x14ac:dyDescent="0.3">
      <c r="A464" s="73">
        <v>41219</v>
      </c>
      <c r="B464" s="74">
        <v>18817.38</v>
      </c>
      <c r="C464" s="74">
        <v>290.95</v>
      </c>
      <c r="D464" s="74">
        <f t="shared" si="15"/>
        <v>2.9009939118878536E-3</v>
      </c>
      <c r="E464" s="74">
        <f t="shared" si="16"/>
        <v>2.2365600720947055E-3</v>
      </c>
      <c r="F464" s="75"/>
    </row>
    <row r="465" spans="1:6" ht="14.25" customHeight="1" x14ac:dyDescent="0.3">
      <c r="A465" s="73">
        <v>41220</v>
      </c>
      <c r="B465" s="74">
        <v>18902.41</v>
      </c>
      <c r="C465" s="74">
        <v>292.3</v>
      </c>
      <c r="D465" s="74">
        <f t="shared" si="15"/>
        <v>4.5085163004192795E-3</v>
      </c>
      <c r="E465" s="74">
        <f t="shared" si="16"/>
        <v>4.6292410145215073E-3</v>
      </c>
      <c r="F465" s="75"/>
    </row>
    <row r="466" spans="1:6" ht="14.25" customHeight="1" x14ac:dyDescent="0.3">
      <c r="A466" s="73">
        <v>41221</v>
      </c>
      <c r="B466" s="74">
        <v>18846.259999999998</v>
      </c>
      <c r="C466" s="74">
        <v>293.5</v>
      </c>
      <c r="D466" s="74">
        <f t="shared" si="15"/>
        <v>-2.974941443601328E-3</v>
      </c>
      <c r="E466" s="74">
        <f t="shared" si="16"/>
        <v>4.0969671509507866E-3</v>
      </c>
      <c r="F466" s="75"/>
    </row>
    <row r="467" spans="1:6" ht="14.25" customHeight="1" x14ac:dyDescent="0.3">
      <c r="A467" s="73">
        <v>41222</v>
      </c>
      <c r="B467" s="74">
        <v>18683.68</v>
      </c>
      <c r="C467" s="74">
        <v>290.05</v>
      </c>
      <c r="D467" s="74">
        <f t="shared" si="15"/>
        <v>-8.6640701807375112E-3</v>
      </c>
      <c r="E467" s="74">
        <f t="shared" si="16"/>
        <v>-1.1824317356077781E-2</v>
      </c>
      <c r="F467" s="75"/>
    </row>
    <row r="468" spans="1:6" ht="14.25" customHeight="1" x14ac:dyDescent="0.3">
      <c r="A468" s="73">
        <v>41225</v>
      </c>
      <c r="B468" s="74">
        <v>18670.34</v>
      </c>
      <c r="C468" s="74">
        <v>294.35000000000002</v>
      </c>
      <c r="D468" s="74">
        <f t="shared" si="15"/>
        <v>-7.142471180941601E-4</v>
      </c>
      <c r="E468" s="74">
        <f t="shared" si="16"/>
        <v>1.4716213562197078E-2</v>
      </c>
      <c r="F468" s="75"/>
    </row>
    <row r="469" spans="1:6" ht="14.25" customHeight="1" x14ac:dyDescent="0.3">
      <c r="A469" s="73">
        <v>41226</v>
      </c>
      <c r="B469" s="74">
        <v>18618.87</v>
      </c>
      <c r="C469" s="74">
        <v>291.89999999999998</v>
      </c>
      <c r="D469" s="74">
        <f t="shared" si="15"/>
        <v>-2.7605858470600283E-3</v>
      </c>
      <c r="E469" s="74">
        <f t="shared" si="16"/>
        <v>-8.3582576142014718E-3</v>
      </c>
      <c r="F469" s="75"/>
    </row>
    <row r="470" spans="1:6" ht="14.25" customHeight="1" x14ac:dyDescent="0.3">
      <c r="A470" s="73">
        <v>41228</v>
      </c>
      <c r="B470" s="74">
        <v>18471.37</v>
      </c>
      <c r="C470" s="74">
        <v>299.45</v>
      </c>
      <c r="D470" s="74">
        <f t="shared" si="15"/>
        <v>-7.9536167773655748E-3</v>
      </c>
      <c r="E470" s="74">
        <f t="shared" si="16"/>
        <v>2.5536180850402369E-2</v>
      </c>
      <c r="F470" s="75"/>
    </row>
    <row r="471" spans="1:6" ht="14.25" customHeight="1" x14ac:dyDescent="0.3">
      <c r="A471" s="73">
        <v>41229</v>
      </c>
      <c r="B471" s="74">
        <v>18309.37</v>
      </c>
      <c r="C471" s="74">
        <v>295.60000000000002</v>
      </c>
      <c r="D471" s="74">
        <f t="shared" si="15"/>
        <v>-8.8090151302957463E-3</v>
      </c>
      <c r="E471" s="74">
        <f t="shared" si="16"/>
        <v>-1.2940269636424572E-2</v>
      </c>
      <c r="F471" s="75"/>
    </row>
    <row r="472" spans="1:6" ht="14.25" customHeight="1" x14ac:dyDescent="0.3">
      <c r="A472" s="73">
        <v>41232</v>
      </c>
      <c r="B472" s="74">
        <v>18339</v>
      </c>
      <c r="C472" s="74">
        <v>290.14999999999998</v>
      </c>
      <c r="D472" s="74">
        <f t="shared" si="15"/>
        <v>1.6169890478630665E-3</v>
      </c>
      <c r="E472" s="74">
        <f t="shared" si="16"/>
        <v>-1.8609158437429607E-2</v>
      </c>
      <c r="F472" s="75"/>
    </row>
    <row r="473" spans="1:6" ht="14.25" customHeight="1" x14ac:dyDescent="0.3">
      <c r="A473" s="73">
        <v>41233</v>
      </c>
      <c r="B473" s="74">
        <v>18329.32</v>
      </c>
      <c r="C473" s="74">
        <v>289.7</v>
      </c>
      <c r="D473" s="74">
        <f t="shared" si="15"/>
        <v>-5.2797620533838441E-4</v>
      </c>
      <c r="E473" s="74">
        <f t="shared" si="16"/>
        <v>-1.5521258613125804E-3</v>
      </c>
      <c r="F473" s="75"/>
    </row>
    <row r="474" spans="1:6" ht="14.25" customHeight="1" x14ac:dyDescent="0.3">
      <c r="A474" s="73">
        <v>41234</v>
      </c>
      <c r="B474" s="74">
        <v>18460.38</v>
      </c>
      <c r="C474" s="74">
        <v>296.64999999999998</v>
      </c>
      <c r="D474" s="74">
        <f t="shared" si="15"/>
        <v>7.1248504022313518E-3</v>
      </c>
      <c r="E474" s="74">
        <f t="shared" si="16"/>
        <v>2.3707087929347437E-2</v>
      </c>
      <c r="F474" s="75"/>
    </row>
    <row r="475" spans="1:6" ht="14.25" customHeight="1" x14ac:dyDescent="0.3">
      <c r="A475" s="73">
        <v>41235</v>
      </c>
      <c r="B475" s="74">
        <v>18517.34</v>
      </c>
      <c r="C475" s="74">
        <v>294</v>
      </c>
      <c r="D475" s="74">
        <f t="shared" si="15"/>
        <v>3.0807764811608394E-3</v>
      </c>
      <c r="E475" s="74">
        <f t="shared" si="16"/>
        <v>-8.9732253659705885E-3</v>
      </c>
      <c r="F475" s="75"/>
    </row>
    <row r="476" spans="1:6" ht="14.25" customHeight="1" x14ac:dyDescent="0.3">
      <c r="A476" s="73">
        <v>41236</v>
      </c>
      <c r="B476" s="74">
        <v>18506.57</v>
      </c>
      <c r="C476" s="74">
        <v>295.95</v>
      </c>
      <c r="D476" s="74">
        <f t="shared" si="15"/>
        <v>-5.8178621889373543E-4</v>
      </c>
      <c r="E476" s="74">
        <f t="shared" si="16"/>
        <v>6.6107537980523469E-3</v>
      </c>
      <c r="F476" s="75"/>
    </row>
    <row r="477" spans="1:6" ht="14.25" customHeight="1" x14ac:dyDescent="0.3">
      <c r="A477" s="73">
        <v>41239</v>
      </c>
      <c r="B477" s="74">
        <v>18537.009999999998</v>
      </c>
      <c r="C477" s="74">
        <v>298.39999999999998</v>
      </c>
      <c r="D477" s="74">
        <f t="shared" si="15"/>
        <v>1.6434700345656732E-3</v>
      </c>
      <c r="E477" s="74">
        <f t="shared" si="16"/>
        <v>8.2443471928716344E-3</v>
      </c>
      <c r="F477" s="75"/>
    </row>
    <row r="478" spans="1:6" ht="14.25" customHeight="1" x14ac:dyDescent="0.3">
      <c r="A478" s="73">
        <v>41240</v>
      </c>
      <c r="B478" s="74">
        <v>18842.080000000002</v>
      </c>
      <c r="C478" s="74">
        <v>302.89999999999998</v>
      </c>
      <c r="D478" s="74">
        <f t="shared" si="15"/>
        <v>1.6323392242814361E-2</v>
      </c>
      <c r="E478" s="74">
        <f t="shared" si="16"/>
        <v>1.4967849703585759E-2</v>
      </c>
      <c r="F478" s="75"/>
    </row>
    <row r="479" spans="1:6" ht="14.25" customHeight="1" x14ac:dyDescent="0.3">
      <c r="A479" s="73">
        <v>41242</v>
      </c>
      <c r="B479" s="74">
        <v>19170.91</v>
      </c>
      <c r="C479" s="74">
        <v>307</v>
      </c>
      <c r="D479" s="74">
        <f t="shared" si="15"/>
        <v>1.7301359484866486E-2</v>
      </c>
      <c r="E479" s="74">
        <f t="shared" si="16"/>
        <v>1.3445029554005688E-2</v>
      </c>
      <c r="F479" s="75"/>
    </row>
    <row r="480" spans="1:6" ht="14.25" customHeight="1" x14ac:dyDescent="0.3">
      <c r="A480" s="73">
        <v>41243</v>
      </c>
      <c r="B480" s="74">
        <v>19339.900000000001</v>
      </c>
      <c r="C480" s="74">
        <v>311.75</v>
      </c>
      <c r="D480" s="74">
        <f t="shared" si="15"/>
        <v>8.7762934448591071E-3</v>
      </c>
      <c r="E480" s="74">
        <f t="shared" si="16"/>
        <v>1.5353836972948575E-2</v>
      </c>
      <c r="F480" s="75"/>
    </row>
    <row r="481" spans="1:6" ht="14.25" customHeight="1" x14ac:dyDescent="0.3">
      <c r="A481" s="73">
        <v>41246</v>
      </c>
      <c r="B481" s="74">
        <v>19305.32</v>
      </c>
      <c r="C481" s="74">
        <v>306.2</v>
      </c>
      <c r="D481" s="74">
        <f t="shared" si="15"/>
        <v>-1.7896137855685458E-3</v>
      </c>
      <c r="E481" s="74">
        <f t="shared" si="16"/>
        <v>-1.7963101336562523E-2</v>
      </c>
      <c r="F481" s="75"/>
    </row>
    <row r="482" spans="1:6" ht="14.25" customHeight="1" x14ac:dyDescent="0.3">
      <c r="A482" s="73">
        <v>41247</v>
      </c>
      <c r="B482" s="74">
        <v>19348.12</v>
      </c>
      <c r="C482" s="74">
        <v>305.25</v>
      </c>
      <c r="D482" s="74">
        <f t="shared" si="15"/>
        <v>2.214551537549049E-3</v>
      </c>
      <c r="E482" s="74">
        <f t="shared" si="16"/>
        <v>-3.1073702327692504E-3</v>
      </c>
      <c r="F482" s="75"/>
    </row>
    <row r="483" spans="1:6" ht="14.25" customHeight="1" x14ac:dyDescent="0.3">
      <c r="A483" s="73">
        <v>41248</v>
      </c>
      <c r="B483" s="74">
        <v>19391.86</v>
      </c>
      <c r="C483" s="74">
        <v>305.7</v>
      </c>
      <c r="D483" s="74">
        <f t="shared" si="15"/>
        <v>2.2581332559520532E-3</v>
      </c>
      <c r="E483" s="74">
        <f t="shared" si="16"/>
        <v>1.4731159059748053E-3</v>
      </c>
      <c r="F483" s="75"/>
    </row>
    <row r="484" spans="1:6" ht="14.25" customHeight="1" x14ac:dyDescent="0.3">
      <c r="A484" s="73">
        <v>41249</v>
      </c>
      <c r="B484" s="74">
        <v>19486.8</v>
      </c>
      <c r="C484" s="74">
        <v>308.14999999999998</v>
      </c>
      <c r="D484" s="74">
        <f t="shared" si="15"/>
        <v>4.8839228880087817E-3</v>
      </c>
      <c r="E484" s="74">
        <f t="shared" si="16"/>
        <v>7.9824485114633643E-3</v>
      </c>
      <c r="F484" s="75"/>
    </row>
    <row r="485" spans="1:6" ht="14.25" customHeight="1" x14ac:dyDescent="0.3">
      <c r="A485" s="73">
        <v>41250</v>
      </c>
      <c r="B485" s="74">
        <v>19424.099999999999</v>
      </c>
      <c r="C485" s="74">
        <v>307.25</v>
      </c>
      <c r="D485" s="74">
        <f t="shared" si="15"/>
        <v>-3.2227501428885104E-3</v>
      </c>
      <c r="E485" s="74">
        <f t="shared" si="16"/>
        <v>-2.9249289621078602E-3</v>
      </c>
      <c r="F485" s="75"/>
    </row>
    <row r="486" spans="1:6" ht="14.25" customHeight="1" x14ac:dyDescent="0.3">
      <c r="A486" s="73">
        <v>41253</v>
      </c>
      <c r="B486" s="74">
        <v>19409.689999999999</v>
      </c>
      <c r="C486" s="74">
        <v>296.3</v>
      </c>
      <c r="D486" s="74">
        <f t="shared" si="15"/>
        <v>-7.4213722953026158E-4</v>
      </c>
      <c r="E486" s="74">
        <f t="shared" si="16"/>
        <v>-3.6289293866624564E-2</v>
      </c>
      <c r="F486" s="75"/>
    </row>
    <row r="487" spans="1:6" ht="14.25" customHeight="1" x14ac:dyDescent="0.3">
      <c r="A487" s="73">
        <v>41254</v>
      </c>
      <c r="B487" s="74">
        <v>19387.14</v>
      </c>
      <c r="C487" s="74">
        <v>295.39999999999998</v>
      </c>
      <c r="D487" s="74">
        <f t="shared" si="15"/>
        <v>-1.1624662396061819E-3</v>
      </c>
      <c r="E487" s="74">
        <f t="shared" si="16"/>
        <v>-3.0420844822402525E-3</v>
      </c>
      <c r="F487" s="75"/>
    </row>
    <row r="488" spans="1:6" ht="14.25" customHeight="1" x14ac:dyDescent="0.3">
      <c r="A488" s="73">
        <v>41255</v>
      </c>
      <c r="B488" s="74">
        <v>19355.259999999998</v>
      </c>
      <c r="C488" s="74">
        <v>303.14999999999998</v>
      </c>
      <c r="D488" s="74">
        <f t="shared" si="15"/>
        <v>-1.6457425041039454E-3</v>
      </c>
      <c r="E488" s="74">
        <f t="shared" si="16"/>
        <v>2.5897362420460278E-2</v>
      </c>
      <c r="F488" s="75"/>
    </row>
    <row r="489" spans="1:6" ht="14.25" customHeight="1" x14ac:dyDescent="0.3">
      <c r="A489" s="73">
        <v>41256</v>
      </c>
      <c r="B489" s="74">
        <v>19229.259999999998</v>
      </c>
      <c r="C489" s="74">
        <v>294.35000000000002</v>
      </c>
      <c r="D489" s="74">
        <f t="shared" si="15"/>
        <v>-6.5311398397829628E-3</v>
      </c>
      <c r="E489" s="74">
        <f t="shared" si="16"/>
        <v>-2.9458197043469161E-2</v>
      </c>
      <c r="F489" s="75"/>
    </row>
    <row r="490" spans="1:6" ht="14.25" customHeight="1" x14ac:dyDescent="0.3">
      <c r="A490" s="73">
        <v>41257</v>
      </c>
      <c r="B490" s="74">
        <v>19317.25</v>
      </c>
      <c r="C490" s="74">
        <v>288.64999999999998</v>
      </c>
      <c r="D490" s="74">
        <f t="shared" si="15"/>
        <v>4.565401787630808E-3</v>
      </c>
      <c r="E490" s="74">
        <f t="shared" si="16"/>
        <v>-1.955465396732799E-2</v>
      </c>
      <c r="F490" s="75"/>
    </row>
    <row r="491" spans="1:6" ht="14.25" customHeight="1" x14ac:dyDescent="0.3">
      <c r="A491" s="73">
        <v>41260</v>
      </c>
      <c r="B491" s="74">
        <v>19244.419999999998</v>
      </c>
      <c r="C491" s="74">
        <v>283.39999999999998</v>
      </c>
      <c r="D491" s="74">
        <f t="shared" si="15"/>
        <v>-3.7773305251676812E-3</v>
      </c>
      <c r="E491" s="74">
        <f t="shared" si="16"/>
        <v>-1.8355554250362553E-2</v>
      </c>
      <c r="F491" s="75"/>
    </row>
    <row r="492" spans="1:6" ht="14.25" customHeight="1" x14ac:dyDescent="0.3">
      <c r="A492" s="73">
        <v>41261</v>
      </c>
      <c r="B492" s="74">
        <v>19364.75</v>
      </c>
      <c r="C492" s="74">
        <v>287.39999999999998</v>
      </c>
      <c r="D492" s="74">
        <f t="shared" si="15"/>
        <v>6.2332544109507167E-3</v>
      </c>
      <c r="E492" s="74">
        <f t="shared" si="16"/>
        <v>1.4015646388344492E-2</v>
      </c>
      <c r="F492" s="75"/>
    </row>
    <row r="493" spans="1:6" ht="14.25" customHeight="1" x14ac:dyDescent="0.3">
      <c r="A493" s="73">
        <v>41262</v>
      </c>
      <c r="B493" s="74">
        <v>19476</v>
      </c>
      <c r="C493" s="74">
        <v>289.60000000000002</v>
      </c>
      <c r="D493" s="74">
        <f t="shared" si="15"/>
        <v>5.7285353260471536E-3</v>
      </c>
      <c r="E493" s="74">
        <f t="shared" si="16"/>
        <v>7.6256868666368348E-3</v>
      </c>
      <c r="F493" s="75"/>
    </row>
    <row r="494" spans="1:6" ht="14.25" customHeight="1" x14ac:dyDescent="0.3">
      <c r="A494" s="73">
        <v>41263</v>
      </c>
      <c r="B494" s="74">
        <v>19453.919999999998</v>
      </c>
      <c r="C494" s="74">
        <v>285.7</v>
      </c>
      <c r="D494" s="74">
        <f t="shared" si="15"/>
        <v>-1.1343461464912257E-3</v>
      </c>
      <c r="E494" s="74">
        <f t="shared" si="16"/>
        <v>-1.3558351274834082E-2</v>
      </c>
      <c r="F494" s="75"/>
    </row>
    <row r="495" spans="1:6" ht="14.25" customHeight="1" x14ac:dyDescent="0.3">
      <c r="A495" s="73">
        <v>41264</v>
      </c>
      <c r="B495" s="74">
        <v>19242</v>
      </c>
      <c r="C495" s="74">
        <v>279.8</v>
      </c>
      <c r="D495" s="74">
        <f t="shared" si="15"/>
        <v>-1.0953202234890389E-2</v>
      </c>
      <c r="E495" s="74">
        <f t="shared" si="16"/>
        <v>-2.0867247005346482E-2</v>
      </c>
      <c r="F495" s="75"/>
    </row>
    <row r="496" spans="1:6" ht="14.25" customHeight="1" x14ac:dyDescent="0.3">
      <c r="A496" s="73">
        <v>41267</v>
      </c>
      <c r="B496" s="74">
        <v>19255.09</v>
      </c>
      <c r="C496" s="74">
        <v>280.35000000000002</v>
      </c>
      <c r="D496" s="74">
        <f t="shared" si="15"/>
        <v>6.8005142749646291E-4</v>
      </c>
      <c r="E496" s="74">
        <f t="shared" si="16"/>
        <v>1.9637603383008506E-3</v>
      </c>
      <c r="F496" s="75"/>
    </row>
    <row r="497" spans="1:6" ht="14.25" customHeight="1" x14ac:dyDescent="0.3">
      <c r="A497" s="73">
        <v>41269</v>
      </c>
      <c r="B497" s="74">
        <v>19417.46</v>
      </c>
      <c r="C497" s="74">
        <v>282.2</v>
      </c>
      <c r="D497" s="74">
        <f t="shared" si="15"/>
        <v>8.3972199455492058E-3</v>
      </c>
      <c r="E497" s="74">
        <f t="shared" si="16"/>
        <v>6.5772168490319865E-3</v>
      </c>
      <c r="F497" s="75"/>
    </row>
    <row r="498" spans="1:6" ht="14.25" customHeight="1" x14ac:dyDescent="0.3">
      <c r="A498" s="73">
        <v>41270</v>
      </c>
      <c r="B498" s="74">
        <v>19323.8</v>
      </c>
      <c r="C498" s="74">
        <v>281.7</v>
      </c>
      <c r="D498" s="74">
        <f t="shared" si="15"/>
        <v>-4.8351644975711044E-3</v>
      </c>
      <c r="E498" s="74">
        <f t="shared" si="16"/>
        <v>-1.77336453638669E-3</v>
      </c>
      <c r="F498" s="75"/>
    </row>
    <row r="499" spans="1:6" ht="14.25" customHeight="1" x14ac:dyDescent="0.3">
      <c r="A499" s="73">
        <v>41271</v>
      </c>
      <c r="B499" s="74">
        <v>19444.84</v>
      </c>
      <c r="C499" s="74">
        <v>280.95</v>
      </c>
      <c r="D499" s="74">
        <f t="shared" si="15"/>
        <v>6.2442424229770749E-3</v>
      </c>
      <c r="E499" s="74">
        <f t="shared" si="16"/>
        <v>-2.6659573241197203E-3</v>
      </c>
      <c r="F499" s="75"/>
    </row>
    <row r="500" spans="1:6" ht="14.25" customHeight="1" x14ac:dyDescent="0.3">
      <c r="A500" s="73">
        <v>41274</v>
      </c>
      <c r="B500" s="74">
        <v>19426.71</v>
      </c>
      <c r="C500" s="74">
        <v>283.85000000000002</v>
      </c>
      <c r="D500" s="74">
        <f t="shared" si="15"/>
        <v>-9.328159702736593E-4</v>
      </c>
      <c r="E500" s="74">
        <f t="shared" si="16"/>
        <v>1.0269212058528049E-2</v>
      </c>
      <c r="F500" s="75"/>
    </row>
    <row r="501" spans="1:6" ht="14.25" customHeight="1" x14ac:dyDescent="0.3">
      <c r="A501" s="73">
        <v>41275</v>
      </c>
      <c r="B501" s="74">
        <v>19580.810000000001</v>
      </c>
      <c r="C501" s="74">
        <v>286.05</v>
      </c>
      <c r="D501" s="74">
        <f t="shared" si="15"/>
        <v>7.9010817230666663E-3</v>
      </c>
      <c r="E501" s="74">
        <f t="shared" si="16"/>
        <v>7.7206910978024771E-3</v>
      </c>
      <c r="F501" s="75"/>
    </row>
    <row r="502" spans="1:6" ht="14.25" customHeight="1" x14ac:dyDescent="0.3">
      <c r="A502" s="73">
        <v>41276</v>
      </c>
      <c r="B502" s="74">
        <v>19714.240000000002</v>
      </c>
      <c r="C502" s="74">
        <v>287.75</v>
      </c>
      <c r="D502" s="74">
        <f t="shared" si="15"/>
        <v>6.7912122683058138E-3</v>
      </c>
      <c r="E502" s="74">
        <f t="shared" si="16"/>
        <v>5.9254268874542951E-3</v>
      </c>
      <c r="F502" s="75"/>
    </row>
    <row r="503" spans="1:6" ht="14.25" customHeight="1" x14ac:dyDescent="0.3">
      <c r="A503" s="73">
        <v>41277</v>
      </c>
      <c r="B503" s="74">
        <v>19764.78</v>
      </c>
      <c r="C503" s="74">
        <v>282.7</v>
      </c>
      <c r="D503" s="74">
        <f t="shared" si="15"/>
        <v>2.5603486413335566E-3</v>
      </c>
      <c r="E503" s="74">
        <f t="shared" si="16"/>
        <v>-1.7705782902447426E-2</v>
      </c>
      <c r="F503" s="75"/>
    </row>
    <row r="504" spans="1:6" ht="14.25" customHeight="1" x14ac:dyDescent="0.3">
      <c r="A504" s="73">
        <v>41278</v>
      </c>
      <c r="B504" s="74">
        <v>19784.080000000002</v>
      </c>
      <c r="C504" s="74">
        <v>285.45</v>
      </c>
      <c r="D504" s="74">
        <f t="shared" si="15"/>
        <v>9.7600798263662017E-4</v>
      </c>
      <c r="E504" s="74">
        <f t="shared" si="16"/>
        <v>9.6806177107234964E-3</v>
      </c>
      <c r="F504" s="75"/>
    </row>
    <row r="505" spans="1:6" ht="14.25" customHeight="1" x14ac:dyDescent="0.3">
      <c r="A505" s="73">
        <v>41281</v>
      </c>
      <c r="B505" s="74">
        <v>19691.419999999998</v>
      </c>
      <c r="C505" s="74">
        <v>281.55</v>
      </c>
      <c r="D505" s="74">
        <f t="shared" si="15"/>
        <v>-4.6945660056169321E-3</v>
      </c>
      <c r="E505" s="74">
        <f t="shared" si="16"/>
        <v>-1.3756830709640563E-2</v>
      </c>
      <c r="F505" s="75"/>
    </row>
    <row r="506" spans="1:6" ht="14.25" customHeight="1" x14ac:dyDescent="0.3">
      <c r="A506" s="73">
        <v>41282</v>
      </c>
      <c r="B506" s="74">
        <v>19742.52</v>
      </c>
      <c r="C506" s="74">
        <v>272.05</v>
      </c>
      <c r="D506" s="74">
        <f t="shared" si="15"/>
        <v>2.5916775550371401E-3</v>
      </c>
      <c r="E506" s="74">
        <f t="shared" si="16"/>
        <v>-3.4324178768693113E-2</v>
      </c>
      <c r="F506" s="75"/>
    </row>
    <row r="507" spans="1:6" ht="14.25" customHeight="1" x14ac:dyDescent="0.3">
      <c r="A507" s="73">
        <v>41283</v>
      </c>
      <c r="B507" s="74">
        <v>19666.59</v>
      </c>
      <c r="C507" s="74">
        <v>268.05</v>
      </c>
      <c r="D507" s="74">
        <f t="shared" si="15"/>
        <v>-3.8534285070869504E-3</v>
      </c>
      <c r="E507" s="74">
        <f t="shared" si="16"/>
        <v>-1.4812342658387581E-2</v>
      </c>
      <c r="F507" s="75"/>
    </row>
    <row r="508" spans="1:6" ht="14.25" customHeight="1" x14ac:dyDescent="0.3">
      <c r="A508" s="73">
        <v>41284</v>
      </c>
      <c r="B508" s="74">
        <v>19663.55</v>
      </c>
      <c r="C508" s="74">
        <v>267.10000000000002</v>
      </c>
      <c r="D508" s="74">
        <f t="shared" si="15"/>
        <v>-1.5458882201054198E-4</v>
      </c>
      <c r="E508" s="74">
        <f t="shared" si="16"/>
        <v>-3.5504101576315232E-3</v>
      </c>
      <c r="F508" s="75"/>
    </row>
    <row r="509" spans="1:6" ht="14.25" customHeight="1" x14ac:dyDescent="0.3">
      <c r="A509" s="73">
        <v>41285</v>
      </c>
      <c r="B509" s="74">
        <v>19663.64</v>
      </c>
      <c r="C509" s="74">
        <v>269.75</v>
      </c>
      <c r="D509" s="74">
        <f t="shared" si="15"/>
        <v>4.5769860495917068E-6</v>
      </c>
      <c r="E509" s="74">
        <f t="shared" si="16"/>
        <v>9.8724840223287022E-3</v>
      </c>
      <c r="F509" s="75"/>
    </row>
    <row r="510" spans="1:6" ht="14.25" customHeight="1" x14ac:dyDescent="0.3">
      <c r="A510" s="73">
        <v>41288</v>
      </c>
      <c r="B510" s="74">
        <v>19906.41</v>
      </c>
      <c r="C510" s="74">
        <v>274.3</v>
      </c>
      <c r="D510" s="74">
        <f t="shared" si="15"/>
        <v>1.2270545327778284E-2</v>
      </c>
      <c r="E510" s="74">
        <f t="shared" si="16"/>
        <v>1.6726793805313583E-2</v>
      </c>
      <c r="F510" s="75"/>
    </row>
    <row r="511" spans="1:6" ht="14.25" customHeight="1" x14ac:dyDescent="0.3">
      <c r="A511" s="73">
        <v>41289</v>
      </c>
      <c r="B511" s="74">
        <v>19986.82</v>
      </c>
      <c r="C511" s="74">
        <v>276.2</v>
      </c>
      <c r="D511" s="74">
        <f t="shared" si="15"/>
        <v>4.0312659013027842E-3</v>
      </c>
      <c r="E511" s="74">
        <f t="shared" si="16"/>
        <v>6.9028430316340214E-3</v>
      </c>
      <c r="F511" s="75"/>
    </row>
    <row r="512" spans="1:6" ht="14.25" customHeight="1" x14ac:dyDescent="0.3">
      <c r="A512" s="73">
        <v>41290</v>
      </c>
      <c r="B512" s="74">
        <v>19817.63</v>
      </c>
      <c r="C512" s="74">
        <v>276.3</v>
      </c>
      <c r="D512" s="74">
        <f t="shared" si="15"/>
        <v>-8.5011107516779084E-3</v>
      </c>
      <c r="E512" s="74">
        <f t="shared" si="16"/>
        <v>3.6199095417921472E-4</v>
      </c>
      <c r="F512" s="75"/>
    </row>
    <row r="513" spans="1:6" ht="14.25" customHeight="1" x14ac:dyDescent="0.3">
      <c r="A513" s="73">
        <v>41291</v>
      </c>
      <c r="B513" s="74">
        <v>19964.03</v>
      </c>
      <c r="C513" s="74">
        <v>276.45</v>
      </c>
      <c r="D513" s="74">
        <f t="shared" si="15"/>
        <v>7.3602087447335665E-3</v>
      </c>
      <c r="E513" s="74">
        <f t="shared" si="16"/>
        <v>5.4274085457112794E-4</v>
      </c>
      <c r="F513" s="75"/>
    </row>
    <row r="514" spans="1:6" ht="14.25" customHeight="1" x14ac:dyDescent="0.3">
      <c r="A514" s="73">
        <v>41292</v>
      </c>
      <c r="B514" s="74">
        <v>20039.04</v>
      </c>
      <c r="C514" s="74">
        <v>274.60000000000002</v>
      </c>
      <c r="D514" s="74">
        <f t="shared" si="15"/>
        <v>3.7502165665023496E-3</v>
      </c>
      <c r="E514" s="74">
        <f t="shared" si="16"/>
        <v>-6.7144794500712222E-3</v>
      </c>
      <c r="F514" s="75"/>
    </row>
    <row r="515" spans="1:6" ht="14.25" customHeight="1" x14ac:dyDescent="0.3">
      <c r="A515" s="73">
        <v>41295</v>
      </c>
      <c r="B515" s="74">
        <v>20101.82</v>
      </c>
      <c r="C515" s="74">
        <v>276.25</v>
      </c>
      <c r="D515" s="74">
        <f t="shared" si="15"/>
        <v>3.1279873519506722E-3</v>
      </c>
      <c r="E515" s="74">
        <f t="shared" si="16"/>
        <v>5.990759498091705E-3</v>
      </c>
      <c r="F515" s="75"/>
    </row>
    <row r="516" spans="1:6" ht="14.25" customHeight="1" x14ac:dyDescent="0.3">
      <c r="A516" s="73">
        <v>41296</v>
      </c>
      <c r="B516" s="74">
        <v>19981.57</v>
      </c>
      <c r="C516" s="74">
        <v>269</v>
      </c>
      <c r="D516" s="74">
        <f t="shared" ref="D516:D579" si="17">LN(B516/B515)</f>
        <v>-6.0000095177043392E-3</v>
      </c>
      <c r="E516" s="74">
        <f t="shared" ref="E516:E579" si="18">LN(C516/C515)</f>
        <v>-2.6594873230123484E-2</v>
      </c>
      <c r="F516" s="75"/>
    </row>
    <row r="517" spans="1:6" ht="14.25" customHeight="1" x14ac:dyDescent="0.3">
      <c r="A517" s="73">
        <v>41297</v>
      </c>
      <c r="B517" s="74">
        <v>20026.61</v>
      </c>
      <c r="C517" s="74">
        <v>266.35000000000002</v>
      </c>
      <c r="D517" s="74">
        <f t="shared" si="17"/>
        <v>2.2515405113291988E-3</v>
      </c>
      <c r="E517" s="74">
        <f t="shared" si="18"/>
        <v>-9.9001462388308946E-3</v>
      </c>
      <c r="F517" s="75"/>
    </row>
    <row r="518" spans="1:6" ht="14.25" customHeight="1" x14ac:dyDescent="0.3">
      <c r="A518" s="73">
        <v>41298</v>
      </c>
      <c r="B518" s="74">
        <v>19923.78</v>
      </c>
      <c r="C518" s="74">
        <v>267.7</v>
      </c>
      <c r="D518" s="74">
        <f t="shared" si="17"/>
        <v>-5.1478960325524251E-3</v>
      </c>
      <c r="E518" s="74">
        <f t="shared" si="18"/>
        <v>5.0557171632985677E-3</v>
      </c>
      <c r="F518" s="75"/>
    </row>
    <row r="519" spans="1:6" ht="14.25" customHeight="1" x14ac:dyDescent="0.3">
      <c r="A519" s="73">
        <v>41299</v>
      </c>
      <c r="B519" s="74">
        <v>20103.53</v>
      </c>
      <c r="C519" s="74">
        <v>274.2</v>
      </c>
      <c r="D519" s="74">
        <f t="shared" si="17"/>
        <v>8.9814283452303457E-3</v>
      </c>
      <c r="E519" s="74">
        <f t="shared" si="18"/>
        <v>2.3990816601907255E-2</v>
      </c>
      <c r="F519" s="75"/>
    </row>
    <row r="520" spans="1:6" ht="14.25" customHeight="1" x14ac:dyDescent="0.3">
      <c r="A520" s="73">
        <v>41302</v>
      </c>
      <c r="B520" s="74">
        <v>20103.349999999999</v>
      </c>
      <c r="C520" s="74">
        <v>270.64999999999998</v>
      </c>
      <c r="D520" s="74">
        <f t="shared" si="17"/>
        <v>-8.9536915075696103E-6</v>
      </c>
      <c r="E520" s="74">
        <f t="shared" si="18"/>
        <v>-1.3031293885227181E-2</v>
      </c>
      <c r="F520" s="75"/>
    </row>
    <row r="521" spans="1:6" ht="14.25" customHeight="1" x14ac:dyDescent="0.3">
      <c r="A521" s="73">
        <v>41303</v>
      </c>
      <c r="B521" s="74">
        <v>19990.900000000001</v>
      </c>
      <c r="C521" s="74">
        <v>269.8</v>
      </c>
      <c r="D521" s="74">
        <f t="shared" si="17"/>
        <v>-5.6092978342692232E-3</v>
      </c>
      <c r="E521" s="74">
        <f t="shared" si="18"/>
        <v>-3.1455294693313145E-3</v>
      </c>
      <c r="F521" s="75"/>
    </row>
    <row r="522" spans="1:6" ht="14.25" customHeight="1" x14ac:dyDescent="0.3">
      <c r="A522" s="73">
        <v>41304</v>
      </c>
      <c r="B522" s="74">
        <v>20005</v>
      </c>
      <c r="C522" s="74">
        <v>275.45</v>
      </c>
      <c r="D522" s="74">
        <f t="shared" si="17"/>
        <v>7.0507229911685179E-4</v>
      </c>
      <c r="E522" s="74">
        <f t="shared" si="18"/>
        <v>2.0725180145069907E-2</v>
      </c>
      <c r="F522" s="75"/>
    </row>
    <row r="523" spans="1:6" ht="14.25" customHeight="1" x14ac:dyDescent="0.3">
      <c r="A523" s="73">
        <v>41305</v>
      </c>
      <c r="B523" s="74">
        <v>19894.98</v>
      </c>
      <c r="C523" s="74">
        <v>279.55</v>
      </c>
      <c r="D523" s="74">
        <f t="shared" si="17"/>
        <v>-5.5148037085196704E-3</v>
      </c>
      <c r="E523" s="74">
        <f t="shared" si="18"/>
        <v>1.477504355392891E-2</v>
      </c>
      <c r="F523" s="75"/>
    </row>
    <row r="524" spans="1:6" ht="14.25" customHeight="1" x14ac:dyDescent="0.3">
      <c r="A524" s="73">
        <v>41306</v>
      </c>
      <c r="B524" s="74">
        <v>19781.189999999999</v>
      </c>
      <c r="C524" s="74">
        <v>285.8</v>
      </c>
      <c r="D524" s="74">
        <f t="shared" si="17"/>
        <v>-5.7359524361846551E-3</v>
      </c>
      <c r="E524" s="74">
        <f t="shared" si="18"/>
        <v>2.2111098023112685E-2</v>
      </c>
      <c r="F524" s="75"/>
    </row>
    <row r="525" spans="1:6" ht="14.25" customHeight="1" x14ac:dyDescent="0.3">
      <c r="A525" s="73">
        <v>41309</v>
      </c>
      <c r="B525" s="74">
        <v>19751.189999999999</v>
      </c>
      <c r="C525" s="74">
        <v>284.8</v>
      </c>
      <c r="D525" s="74">
        <f t="shared" si="17"/>
        <v>-1.5177434679552551E-3</v>
      </c>
      <c r="E525" s="74">
        <f t="shared" si="18"/>
        <v>-3.5050859579463488E-3</v>
      </c>
      <c r="F525" s="75"/>
    </row>
    <row r="526" spans="1:6" ht="14.25" customHeight="1" x14ac:dyDescent="0.3">
      <c r="A526" s="73">
        <v>41310</v>
      </c>
      <c r="B526" s="74">
        <v>19659.82</v>
      </c>
      <c r="C526" s="74">
        <v>277.3</v>
      </c>
      <c r="D526" s="74">
        <f t="shared" si="17"/>
        <v>-4.636783665413105E-3</v>
      </c>
      <c r="E526" s="74">
        <f t="shared" si="18"/>
        <v>-2.6687226916088293E-2</v>
      </c>
      <c r="F526" s="75"/>
    </row>
    <row r="527" spans="1:6" ht="14.25" customHeight="1" x14ac:dyDescent="0.3">
      <c r="A527" s="73">
        <v>41311</v>
      </c>
      <c r="B527" s="74">
        <v>19639.72</v>
      </c>
      <c r="C527" s="74">
        <v>277.14999999999998</v>
      </c>
      <c r="D527" s="74">
        <f t="shared" si="17"/>
        <v>-1.0229128255768744E-3</v>
      </c>
      <c r="E527" s="74">
        <f t="shared" si="18"/>
        <v>-5.4107675591873953E-4</v>
      </c>
      <c r="F527" s="75"/>
    </row>
    <row r="528" spans="1:6" ht="14.25" customHeight="1" x14ac:dyDescent="0.3">
      <c r="A528" s="73">
        <v>41312</v>
      </c>
      <c r="B528" s="74">
        <v>19580.32</v>
      </c>
      <c r="C528" s="74">
        <v>262.85000000000002</v>
      </c>
      <c r="D528" s="74">
        <f t="shared" si="17"/>
        <v>-3.0290660293786878E-3</v>
      </c>
      <c r="E528" s="74">
        <f t="shared" si="18"/>
        <v>-5.2975348600356492E-2</v>
      </c>
      <c r="F528" s="75"/>
    </row>
    <row r="529" spans="1:6" ht="14.25" customHeight="1" x14ac:dyDescent="0.3">
      <c r="A529" s="73">
        <v>41313</v>
      </c>
      <c r="B529" s="74">
        <v>19484.77</v>
      </c>
      <c r="C529" s="74">
        <v>264.14999999999998</v>
      </c>
      <c r="D529" s="74">
        <f t="shared" si="17"/>
        <v>-4.8918454069223349E-3</v>
      </c>
      <c r="E529" s="74">
        <f t="shared" si="18"/>
        <v>4.9335963448676494E-3</v>
      </c>
      <c r="F529" s="75"/>
    </row>
    <row r="530" spans="1:6" ht="14.25" customHeight="1" x14ac:dyDescent="0.3">
      <c r="A530" s="73">
        <v>41316</v>
      </c>
      <c r="B530" s="74">
        <v>19460.57</v>
      </c>
      <c r="C530" s="74">
        <v>267.3</v>
      </c>
      <c r="D530" s="74">
        <f t="shared" si="17"/>
        <v>-1.2427675873254716E-3</v>
      </c>
      <c r="E530" s="74">
        <f t="shared" si="18"/>
        <v>1.1854499534548599E-2</v>
      </c>
      <c r="F530" s="75"/>
    </row>
    <row r="531" spans="1:6" ht="14.25" customHeight="1" x14ac:dyDescent="0.3">
      <c r="A531" s="73">
        <v>41317</v>
      </c>
      <c r="B531" s="74">
        <v>19561.04</v>
      </c>
      <c r="C531" s="74">
        <v>271.05</v>
      </c>
      <c r="D531" s="74">
        <f t="shared" si="17"/>
        <v>5.149465745440251E-3</v>
      </c>
      <c r="E531" s="74">
        <f t="shared" si="18"/>
        <v>1.3931682561473976E-2</v>
      </c>
      <c r="F531" s="75"/>
    </row>
    <row r="532" spans="1:6" ht="14.25" customHeight="1" x14ac:dyDescent="0.3">
      <c r="A532" s="73">
        <v>41318</v>
      </c>
      <c r="B532" s="74">
        <v>19608.080000000002</v>
      </c>
      <c r="C532" s="74">
        <v>269.85000000000002</v>
      </c>
      <c r="D532" s="74">
        <f t="shared" si="17"/>
        <v>2.4018932574863552E-3</v>
      </c>
      <c r="E532" s="74">
        <f t="shared" si="18"/>
        <v>-4.4370566416953965E-3</v>
      </c>
      <c r="F532" s="75"/>
    </row>
    <row r="533" spans="1:6" ht="14.25" customHeight="1" x14ac:dyDescent="0.3">
      <c r="A533" s="73">
        <v>41319</v>
      </c>
      <c r="B533" s="74">
        <v>19497.18</v>
      </c>
      <c r="C533" s="74">
        <v>268.7</v>
      </c>
      <c r="D533" s="74">
        <f t="shared" si="17"/>
        <v>-5.671886457576044E-3</v>
      </c>
      <c r="E533" s="74">
        <f t="shared" si="18"/>
        <v>-4.2707334432063567E-3</v>
      </c>
      <c r="F533" s="75"/>
    </row>
    <row r="534" spans="1:6" ht="14.25" customHeight="1" x14ac:dyDescent="0.3">
      <c r="A534" s="73">
        <v>41320</v>
      </c>
      <c r="B534" s="74">
        <v>19468.150000000001</v>
      </c>
      <c r="C534" s="74">
        <v>267.35000000000002</v>
      </c>
      <c r="D534" s="74">
        <f t="shared" si="17"/>
        <v>-1.4900428340321322E-3</v>
      </c>
      <c r="E534" s="74">
        <f t="shared" si="18"/>
        <v>-5.0368542267048098E-3</v>
      </c>
      <c r="F534" s="75"/>
    </row>
    <row r="535" spans="1:6" ht="14.25" customHeight="1" x14ac:dyDescent="0.3">
      <c r="A535" s="73">
        <v>41323</v>
      </c>
      <c r="B535" s="74">
        <v>19501.080000000002</v>
      </c>
      <c r="C535" s="74">
        <v>264.64999999999998</v>
      </c>
      <c r="D535" s="74">
        <f t="shared" si="17"/>
        <v>1.6900517581740445E-3</v>
      </c>
      <c r="E535" s="74">
        <f t="shared" si="18"/>
        <v>-1.0150463090744232E-2</v>
      </c>
      <c r="F535" s="75"/>
    </row>
    <row r="536" spans="1:6" ht="14.25" customHeight="1" x14ac:dyDescent="0.3">
      <c r="A536" s="73">
        <v>41324</v>
      </c>
      <c r="B536" s="74">
        <v>19635.72</v>
      </c>
      <c r="C536" s="74">
        <v>263.89999999999998</v>
      </c>
      <c r="D536" s="74">
        <f t="shared" si="17"/>
        <v>6.8805079193989304E-3</v>
      </c>
      <c r="E536" s="74">
        <f t="shared" si="18"/>
        <v>-2.8379547947182011E-3</v>
      </c>
      <c r="F536" s="75"/>
    </row>
    <row r="537" spans="1:6" ht="14.25" customHeight="1" x14ac:dyDescent="0.3">
      <c r="A537" s="73">
        <v>41325</v>
      </c>
      <c r="B537" s="74">
        <v>19642.75</v>
      </c>
      <c r="C537" s="74">
        <v>258.95</v>
      </c>
      <c r="D537" s="74">
        <f t="shared" si="17"/>
        <v>3.5795692016847032E-4</v>
      </c>
      <c r="E537" s="74">
        <f t="shared" si="18"/>
        <v>-1.8935250639377916E-2</v>
      </c>
      <c r="F537" s="75"/>
    </row>
    <row r="538" spans="1:6" ht="14.25" customHeight="1" x14ac:dyDescent="0.3">
      <c r="A538" s="73">
        <v>41326</v>
      </c>
      <c r="B538" s="74">
        <v>19325.36</v>
      </c>
      <c r="C538" s="74">
        <v>257.2</v>
      </c>
      <c r="D538" s="74">
        <f t="shared" si="17"/>
        <v>-1.6290090471733264E-2</v>
      </c>
      <c r="E538" s="74">
        <f t="shared" si="18"/>
        <v>-6.7810005064361314E-3</v>
      </c>
      <c r="F538" s="75"/>
    </row>
    <row r="539" spans="1:6" ht="14.25" customHeight="1" x14ac:dyDescent="0.3">
      <c r="A539" s="73">
        <v>41327</v>
      </c>
      <c r="B539" s="74">
        <v>19317.009999999998</v>
      </c>
      <c r="C539" s="74">
        <v>255.65</v>
      </c>
      <c r="D539" s="74">
        <f t="shared" si="17"/>
        <v>-4.3216811649810985E-4</v>
      </c>
      <c r="E539" s="74">
        <f t="shared" si="18"/>
        <v>-6.0446708374560475E-3</v>
      </c>
      <c r="F539" s="75"/>
    </row>
    <row r="540" spans="1:6" ht="14.25" customHeight="1" x14ac:dyDescent="0.3">
      <c r="A540" s="73">
        <v>41330</v>
      </c>
      <c r="B540" s="74">
        <v>19331.689999999999</v>
      </c>
      <c r="C540" s="74">
        <v>252.15</v>
      </c>
      <c r="D540" s="74">
        <f t="shared" si="17"/>
        <v>7.5966336285420203E-4</v>
      </c>
      <c r="E540" s="74">
        <f t="shared" si="18"/>
        <v>-1.3785173003273891E-2</v>
      </c>
      <c r="F540" s="75"/>
    </row>
    <row r="541" spans="1:6" ht="14.25" customHeight="1" x14ac:dyDescent="0.3">
      <c r="A541" s="73">
        <v>41331</v>
      </c>
      <c r="B541" s="74">
        <v>19015.14</v>
      </c>
      <c r="C541" s="74">
        <v>250.05</v>
      </c>
      <c r="D541" s="74">
        <f t="shared" si="17"/>
        <v>-1.651021430401883E-2</v>
      </c>
      <c r="E541" s="74">
        <f t="shared" si="18"/>
        <v>-8.363250657821562E-3</v>
      </c>
      <c r="F541" s="75"/>
    </row>
    <row r="542" spans="1:6" ht="14.25" customHeight="1" x14ac:dyDescent="0.3">
      <c r="A542" s="73">
        <v>41332</v>
      </c>
      <c r="B542" s="74">
        <v>19152.41</v>
      </c>
      <c r="C542" s="74">
        <v>254.75</v>
      </c>
      <c r="D542" s="74">
        <f t="shared" si="17"/>
        <v>7.1930523107714426E-3</v>
      </c>
      <c r="E542" s="74">
        <f t="shared" si="18"/>
        <v>1.8621774237921468E-2</v>
      </c>
      <c r="F542" s="75"/>
    </row>
    <row r="543" spans="1:6" ht="14.25" customHeight="1" x14ac:dyDescent="0.3">
      <c r="A543" s="73">
        <v>41333</v>
      </c>
      <c r="B543" s="74">
        <v>18861.54</v>
      </c>
      <c r="C543" s="74">
        <v>260.35000000000002</v>
      </c>
      <c r="D543" s="74">
        <f t="shared" si="17"/>
        <v>-1.5303628105772592E-2</v>
      </c>
      <c r="E543" s="74">
        <f t="shared" si="18"/>
        <v>2.1744207506074024E-2</v>
      </c>
      <c r="F543" s="75"/>
    </row>
    <row r="544" spans="1:6" ht="14.25" customHeight="1" x14ac:dyDescent="0.3">
      <c r="A544" s="73">
        <v>41334</v>
      </c>
      <c r="B544" s="74">
        <v>18918.52</v>
      </c>
      <c r="C544" s="74">
        <v>273.64999999999998</v>
      </c>
      <c r="D544" s="74">
        <f t="shared" si="17"/>
        <v>3.0164082960029335E-3</v>
      </c>
      <c r="E544" s="74">
        <f t="shared" si="18"/>
        <v>4.9823037981018878E-2</v>
      </c>
      <c r="F544" s="75"/>
    </row>
    <row r="545" spans="1:6" ht="14.25" customHeight="1" x14ac:dyDescent="0.3">
      <c r="A545" s="73">
        <v>41337</v>
      </c>
      <c r="B545" s="74">
        <v>18877.96</v>
      </c>
      <c r="C545" s="74">
        <v>264.7</v>
      </c>
      <c r="D545" s="74">
        <f t="shared" si="17"/>
        <v>-2.1462324306041206E-3</v>
      </c>
      <c r="E545" s="74">
        <f t="shared" si="18"/>
        <v>-3.3252808356871513E-2</v>
      </c>
      <c r="F545" s="75"/>
    </row>
    <row r="546" spans="1:6" ht="14.25" customHeight="1" x14ac:dyDescent="0.3">
      <c r="A546" s="73">
        <v>41338</v>
      </c>
      <c r="B546" s="74">
        <v>19143.169999999998</v>
      </c>
      <c r="C546" s="74">
        <v>260.75</v>
      </c>
      <c r="D546" s="74">
        <f t="shared" si="17"/>
        <v>1.3950890013646388E-2</v>
      </c>
      <c r="E546" s="74">
        <f t="shared" si="18"/>
        <v>-1.5035015352173661E-2</v>
      </c>
      <c r="F546" s="75"/>
    </row>
    <row r="547" spans="1:6" ht="14.25" customHeight="1" x14ac:dyDescent="0.3">
      <c r="A547" s="73">
        <v>41339</v>
      </c>
      <c r="B547" s="74">
        <v>19252.61</v>
      </c>
      <c r="C547" s="74">
        <v>257.25</v>
      </c>
      <c r="D547" s="74">
        <f t="shared" si="17"/>
        <v>5.7006419130113967E-3</v>
      </c>
      <c r="E547" s="74">
        <f t="shared" si="18"/>
        <v>-1.351371916672282E-2</v>
      </c>
      <c r="F547" s="75"/>
    </row>
    <row r="548" spans="1:6" ht="14.25" customHeight="1" x14ac:dyDescent="0.3">
      <c r="A548" s="73">
        <v>41340</v>
      </c>
      <c r="B548" s="74">
        <v>19413.54</v>
      </c>
      <c r="C548" s="74">
        <v>253.85</v>
      </c>
      <c r="D548" s="74">
        <f t="shared" si="17"/>
        <v>8.3241248094109502E-3</v>
      </c>
      <c r="E548" s="74">
        <f t="shared" si="18"/>
        <v>-1.3304833320755721E-2</v>
      </c>
      <c r="F548" s="75"/>
    </row>
    <row r="549" spans="1:6" ht="14.25" customHeight="1" x14ac:dyDescent="0.3">
      <c r="A549" s="73">
        <v>41341</v>
      </c>
      <c r="B549" s="74">
        <v>19683.23</v>
      </c>
      <c r="C549" s="74">
        <v>258.05</v>
      </c>
      <c r="D549" s="74">
        <f t="shared" si="17"/>
        <v>1.3796243405113989E-2</v>
      </c>
      <c r="E549" s="74">
        <f t="shared" si="18"/>
        <v>1.6409823201332836E-2</v>
      </c>
      <c r="F549" s="75"/>
    </row>
    <row r="550" spans="1:6" ht="14.25" customHeight="1" x14ac:dyDescent="0.3">
      <c r="A550" s="73">
        <v>41344</v>
      </c>
      <c r="B550" s="74">
        <v>19646.21</v>
      </c>
      <c r="C550" s="74">
        <v>250.9</v>
      </c>
      <c r="D550" s="74">
        <f t="shared" si="17"/>
        <v>-1.8825597787985816E-3</v>
      </c>
      <c r="E550" s="74">
        <f t="shared" si="18"/>
        <v>-2.8098911222359531E-2</v>
      </c>
      <c r="F550" s="75"/>
    </row>
    <row r="551" spans="1:6" ht="14.25" customHeight="1" x14ac:dyDescent="0.3">
      <c r="A551" s="73">
        <v>41345</v>
      </c>
      <c r="B551" s="74">
        <v>19564.919999999998</v>
      </c>
      <c r="C551" s="74">
        <v>242.25</v>
      </c>
      <c r="D551" s="74">
        <f t="shared" si="17"/>
        <v>-4.1462776746733643E-3</v>
      </c>
      <c r="E551" s="74">
        <f t="shared" si="18"/>
        <v>-3.5084202601500997E-2</v>
      </c>
      <c r="F551" s="75"/>
    </row>
    <row r="552" spans="1:6" ht="14.25" customHeight="1" x14ac:dyDescent="0.3">
      <c r="A552" s="73">
        <v>41346</v>
      </c>
      <c r="B552" s="74">
        <v>19362.55</v>
      </c>
      <c r="C552" s="74">
        <v>236.35</v>
      </c>
      <c r="D552" s="74">
        <f t="shared" si="17"/>
        <v>-1.0397378668873129E-2</v>
      </c>
      <c r="E552" s="74">
        <f t="shared" si="18"/>
        <v>-2.4656493531630221E-2</v>
      </c>
      <c r="F552" s="75"/>
    </row>
    <row r="553" spans="1:6" ht="14.25" customHeight="1" x14ac:dyDescent="0.3">
      <c r="A553" s="73">
        <v>41347</v>
      </c>
      <c r="B553" s="74">
        <v>19570.439999999999</v>
      </c>
      <c r="C553" s="74">
        <v>229.15</v>
      </c>
      <c r="D553" s="74">
        <f t="shared" si="17"/>
        <v>1.0679476497364207E-2</v>
      </c>
      <c r="E553" s="74">
        <f t="shared" si="18"/>
        <v>-3.0936946284112272E-2</v>
      </c>
      <c r="F553" s="75"/>
    </row>
    <row r="554" spans="1:6" ht="14.25" customHeight="1" x14ac:dyDescent="0.3">
      <c r="A554" s="73">
        <v>41348</v>
      </c>
      <c r="B554" s="74">
        <v>19427.560000000001</v>
      </c>
      <c r="C554" s="74">
        <v>242.4</v>
      </c>
      <c r="D554" s="74">
        <f t="shared" si="17"/>
        <v>-7.3275880460837543E-3</v>
      </c>
      <c r="E554" s="74">
        <f t="shared" si="18"/>
        <v>5.6212443240026229E-2</v>
      </c>
      <c r="F554" s="75"/>
    </row>
    <row r="555" spans="1:6" ht="14.25" customHeight="1" x14ac:dyDescent="0.3">
      <c r="A555" s="73">
        <v>41351</v>
      </c>
      <c r="B555" s="74">
        <v>19293.2</v>
      </c>
      <c r="C555" s="74">
        <v>244.7</v>
      </c>
      <c r="D555" s="74">
        <f t="shared" si="17"/>
        <v>-6.9399742808428783E-3</v>
      </c>
      <c r="E555" s="74">
        <f t="shared" si="18"/>
        <v>9.4437162534664176E-3</v>
      </c>
      <c r="F555" s="75"/>
    </row>
    <row r="556" spans="1:6" ht="14.25" customHeight="1" x14ac:dyDescent="0.3">
      <c r="A556" s="73">
        <v>41352</v>
      </c>
      <c r="B556" s="74">
        <v>19008.099999999999</v>
      </c>
      <c r="C556" s="74">
        <v>242.3</v>
      </c>
      <c r="D556" s="74">
        <f t="shared" si="17"/>
        <v>-1.4887498112102346E-2</v>
      </c>
      <c r="E556" s="74">
        <f t="shared" si="18"/>
        <v>-9.8563426261458528E-3</v>
      </c>
      <c r="F556" s="75"/>
    </row>
    <row r="557" spans="1:6" ht="14.25" customHeight="1" x14ac:dyDescent="0.3">
      <c r="A557" s="73">
        <v>41353</v>
      </c>
      <c r="B557" s="74">
        <v>18884.189999999999</v>
      </c>
      <c r="C557" s="74">
        <v>244.05</v>
      </c>
      <c r="D557" s="74">
        <f t="shared" si="17"/>
        <v>-6.5401400480685091E-3</v>
      </c>
      <c r="E557" s="74">
        <f t="shared" si="18"/>
        <v>7.196494510676419E-3</v>
      </c>
      <c r="F557" s="75"/>
    </row>
    <row r="558" spans="1:6" ht="14.25" customHeight="1" x14ac:dyDescent="0.3">
      <c r="A558" s="73">
        <v>41354</v>
      </c>
      <c r="B558" s="74">
        <v>18792.87</v>
      </c>
      <c r="C558" s="74">
        <v>249.25</v>
      </c>
      <c r="D558" s="74">
        <f t="shared" si="17"/>
        <v>-4.8475214798206351E-3</v>
      </c>
      <c r="E558" s="74">
        <f t="shared" si="18"/>
        <v>2.1083286508791099E-2</v>
      </c>
      <c r="F558" s="75"/>
    </row>
    <row r="559" spans="1:6" ht="14.25" customHeight="1" x14ac:dyDescent="0.3">
      <c r="A559" s="73">
        <v>41355</v>
      </c>
      <c r="B559" s="74">
        <v>18735.599999999999</v>
      </c>
      <c r="C559" s="74">
        <v>242.6</v>
      </c>
      <c r="D559" s="74">
        <f t="shared" si="17"/>
        <v>-3.0520852279296391E-3</v>
      </c>
      <c r="E559" s="74">
        <f t="shared" si="18"/>
        <v>-2.7042412331997941E-2</v>
      </c>
      <c r="F559" s="75"/>
    </row>
    <row r="560" spans="1:6" ht="14.25" customHeight="1" x14ac:dyDescent="0.3">
      <c r="A560" s="73">
        <v>41358</v>
      </c>
      <c r="B560" s="74">
        <v>18681.419999999998</v>
      </c>
      <c r="C560" s="74">
        <v>245.45</v>
      </c>
      <c r="D560" s="74">
        <f t="shared" si="17"/>
        <v>-2.8960103111759848E-3</v>
      </c>
      <c r="E560" s="74">
        <f t="shared" si="18"/>
        <v>1.1679263994111802E-2</v>
      </c>
      <c r="F560" s="75"/>
    </row>
    <row r="561" spans="1:6" ht="14.25" customHeight="1" x14ac:dyDescent="0.3">
      <c r="A561" s="73">
        <v>41359</v>
      </c>
      <c r="B561" s="74">
        <v>18704.53</v>
      </c>
      <c r="C561" s="74">
        <v>251.7</v>
      </c>
      <c r="D561" s="74">
        <f t="shared" si="17"/>
        <v>1.2362934708618455E-3</v>
      </c>
      <c r="E561" s="74">
        <f t="shared" si="18"/>
        <v>2.5144641637208687E-2</v>
      </c>
      <c r="F561" s="75"/>
    </row>
    <row r="562" spans="1:6" ht="14.25" customHeight="1" x14ac:dyDescent="0.3">
      <c r="A562" s="73">
        <v>41361</v>
      </c>
      <c r="B562" s="74">
        <v>18835.77</v>
      </c>
      <c r="C562" s="74">
        <v>256.5</v>
      </c>
      <c r="D562" s="74">
        <f t="shared" si="17"/>
        <v>6.9919811332961766E-3</v>
      </c>
      <c r="E562" s="74">
        <f t="shared" si="18"/>
        <v>1.8890762469554026E-2</v>
      </c>
      <c r="F562" s="75"/>
    </row>
    <row r="563" spans="1:6" ht="14.25" customHeight="1" x14ac:dyDescent="0.3">
      <c r="A563" s="73">
        <v>41365</v>
      </c>
      <c r="B563" s="74">
        <v>18864.75</v>
      </c>
      <c r="C563" s="74">
        <v>255.45</v>
      </c>
      <c r="D563" s="74">
        <f t="shared" si="17"/>
        <v>1.5373796280761457E-3</v>
      </c>
      <c r="E563" s="74">
        <f t="shared" si="18"/>
        <v>-4.1019688340172963E-3</v>
      </c>
      <c r="F563" s="75"/>
    </row>
    <row r="564" spans="1:6" ht="14.25" customHeight="1" x14ac:dyDescent="0.3">
      <c r="A564" s="73">
        <v>41366</v>
      </c>
      <c r="B564" s="74">
        <v>19040.95</v>
      </c>
      <c r="C564" s="74">
        <v>260</v>
      </c>
      <c r="D564" s="74">
        <f t="shared" si="17"/>
        <v>9.2968218020942541E-3</v>
      </c>
      <c r="E564" s="74">
        <f t="shared" si="18"/>
        <v>1.7654935238720745E-2</v>
      </c>
      <c r="F564" s="75"/>
    </row>
    <row r="565" spans="1:6" ht="14.25" customHeight="1" x14ac:dyDescent="0.3">
      <c r="A565" s="73">
        <v>41367</v>
      </c>
      <c r="B565" s="74">
        <v>18801.64</v>
      </c>
      <c r="C565" s="74">
        <v>253.5</v>
      </c>
      <c r="D565" s="74">
        <f t="shared" si="17"/>
        <v>-1.2647823002701663E-2</v>
      </c>
      <c r="E565" s="74">
        <f t="shared" si="18"/>
        <v>-2.5317807984289897E-2</v>
      </c>
      <c r="F565" s="75"/>
    </row>
    <row r="566" spans="1:6" ht="14.25" customHeight="1" x14ac:dyDescent="0.3">
      <c r="A566" s="73">
        <v>41368</v>
      </c>
      <c r="B566" s="74">
        <v>18509.7</v>
      </c>
      <c r="C566" s="74">
        <v>249.25</v>
      </c>
      <c r="D566" s="74">
        <f t="shared" si="17"/>
        <v>-1.5649181075154454E-2</v>
      </c>
      <c r="E566" s="74">
        <f t="shared" si="18"/>
        <v>-1.6907414189290117E-2</v>
      </c>
      <c r="F566" s="75"/>
    </row>
    <row r="567" spans="1:6" ht="14.25" customHeight="1" x14ac:dyDescent="0.3">
      <c r="A567" s="73">
        <v>41369</v>
      </c>
      <c r="B567" s="74">
        <v>18450.23</v>
      </c>
      <c r="C567" s="74">
        <v>245.4</v>
      </c>
      <c r="D567" s="74">
        <f t="shared" si="17"/>
        <v>-3.2180824651385693E-3</v>
      </c>
      <c r="E567" s="74">
        <f t="shared" si="18"/>
        <v>-1.5566876565136665E-2</v>
      </c>
      <c r="F567" s="75"/>
    </row>
    <row r="568" spans="1:6" ht="14.25" customHeight="1" x14ac:dyDescent="0.3">
      <c r="A568" s="73">
        <v>41372</v>
      </c>
      <c r="B568" s="74">
        <v>18437.78</v>
      </c>
      <c r="C568" s="74">
        <v>252</v>
      </c>
      <c r="D568" s="74">
        <f t="shared" si="17"/>
        <v>-6.7501610809226893E-4</v>
      </c>
      <c r="E568" s="74">
        <f t="shared" si="18"/>
        <v>2.6539555234612312E-2</v>
      </c>
      <c r="F568" s="75"/>
    </row>
    <row r="569" spans="1:6" ht="14.25" customHeight="1" x14ac:dyDescent="0.3">
      <c r="A569" s="73">
        <v>41373</v>
      </c>
      <c r="B569" s="74">
        <v>18226.48</v>
      </c>
      <c r="C569" s="74">
        <v>249.5</v>
      </c>
      <c r="D569" s="74">
        <f t="shared" si="17"/>
        <v>-1.1526338694743623E-2</v>
      </c>
      <c r="E569" s="74">
        <f t="shared" si="18"/>
        <v>-9.970172319849915E-3</v>
      </c>
      <c r="F569" s="75"/>
    </row>
    <row r="570" spans="1:6" ht="14.25" customHeight="1" x14ac:dyDescent="0.3">
      <c r="A570" s="73">
        <v>41374</v>
      </c>
      <c r="B570" s="74">
        <v>18414.45</v>
      </c>
      <c r="C570" s="74">
        <v>252</v>
      </c>
      <c r="D570" s="74">
        <f t="shared" si="17"/>
        <v>1.0260200764056485E-2</v>
      </c>
      <c r="E570" s="74">
        <f t="shared" si="18"/>
        <v>9.9701723198498508E-3</v>
      </c>
      <c r="F570" s="75"/>
    </row>
    <row r="571" spans="1:6" ht="14.25" customHeight="1" x14ac:dyDescent="0.3">
      <c r="A571" s="73">
        <v>41375</v>
      </c>
      <c r="B571" s="74">
        <v>18542.2</v>
      </c>
      <c r="C571" s="74">
        <v>253.7</v>
      </c>
      <c r="D571" s="74">
        <f t="shared" si="17"/>
        <v>6.9135329548445298E-3</v>
      </c>
      <c r="E571" s="74">
        <f t="shared" si="18"/>
        <v>6.7233790938128592E-3</v>
      </c>
      <c r="F571" s="75"/>
    </row>
    <row r="572" spans="1:6" ht="14.25" customHeight="1" x14ac:dyDescent="0.3">
      <c r="A572" s="73">
        <v>41376</v>
      </c>
      <c r="B572" s="74">
        <v>18242.560000000001</v>
      </c>
      <c r="C572" s="74">
        <v>249.7</v>
      </c>
      <c r="D572" s="74">
        <f t="shared" si="17"/>
        <v>-1.6291889774445803E-2</v>
      </c>
      <c r="E572" s="74">
        <f t="shared" si="18"/>
        <v>-1.5892269319508649E-2</v>
      </c>
      <c r="F572" s="75"/>
    </row>
    <row r="573" spans="1:6" ht="14.25" customHeight="1" x14ac:dyDescent="0.3">
      <c r="A573" s="73">
        <v>41379</v>
      </c>
      <c r="B573" s="74">
        <v>18357.8</v>
      </c>
      <c r="C573" s="74">
        <v>238.8</v>
      </c>
      <c r="D573" s="74">
        <f t="shared" si="17"/>
        <v>6.2972266294941499E-3</v>
      </c>
      <c r="E573" s="74">
        <f t="shared" si="18"/>
        <v>-4.4633815767280371E-2</v>
      </c>
      <c r="F573" s="75"/>
    </row>
    <row r="574" spans="1:6" ht="14.25" customHeight="1" x14ac:dyDescent="0.3">
      <c r="A574" s="73">
        <v>41380</v>
      </c>
      <c r="B574" s="74">
        <v>18744.93</v>
      </c>
      <c r="C574" s="74">
        <v>244.65</v>
      </c>
      <c r="D574" s="74">
        <f t="shared" si="17"/>
        <v>2.0868763547138597E-2</v>
      </c>
      <c r="E574" s="74">
        <f t="shared" si="18"/>
        <v>2.4202236216685557E-2</v>
      </c>
      <c r="F574" s="75"/>
    </row>
    <row r="575" spans="1:6" ht="14.25" customHeight="1" x14ac:dyDescent="0.3">
      <c r="A575" s="73">
        <v>41381</v>
      </c>
      <c r="B575" s="74">
        <v>18731.16</v>
      </c>
      <c r="C575" s="74">
        <v>246</v>
      </c>
      <c r="D575" s="74">
        <f t="shared" si="17"/>
        <v>-7.3486858525997391E-4</v>
      </c>
      <c r="E575" s="74">
        <f t="shared" si="18"/>
        <v>5.5029181972302841E-3</v>
      </c>
      <c r="F575" s="75"/>
    </row>
    <row r="576" spans="1:6" ht="14.25" customHeight="1" x14ac:dyDescent="0.3">
      <c r="A576" s="73">
        <v>41382</v>
      </c>
      <c r="B576" s="74">
        <v>19016.46</v>
      </c>
      <c r="C576" s="74">
        <v>259.14999999999998</v>
      </c>
      <c r="D576" s="74">
        <f t="shared" si="17"/>
        <v>1.5116472654485763E-2</v>
      </c>
      <c r="E576" s="74">
        <f t="shared" si="18"/>
        <v>5.2075508703352764E-2</v>
      </c>
      <c r="F576" s="75"/>
    </row>
    <row r="577" spans="1:6" ht="14.25" customHeight="1" x14ac:dyDescent="0.3">
      <c r="A577" s="73">
        <v>41386</v>
      </c>
      <c r="B577" s="74">
        <v>19169.830000000002</v>
      </c>
      <c r="C577" s="74">
        <v>273.75</v>
      </c>
      <c r="D577" s="74">
        <f t="shared" si="17"/>
        <v>8.0327690743054216E-3</v>
      </c>
      <c r="E577" s="74">
        <f t="shared" si="18"/>
        <v>5.4808236494995159E-2</v>
      </c>
      <c r="F577" s="75"/>
    </row>
    <row r="578" spans="1:6" ht="14.25" customHeight="1" x14ac:dyDescent="0.3">
      <c r="A578" s="73">
        <v>41387</v>
      </c>
      <c r="B578" s="74">
        <v>19179.36</v>
      </c>
      <c r="C578" s="74">
        <v>267.89999999999998</v>
      </c>
      <c r="D578" s="74">
        <f t="shared" si="17"/>
        <v>4.9701181152320205E-4</v>
      </c>
      <c r="E578" s="74">
        <f t="shared" si="18"/>
        <v>-2.160150458014759E-2</v>
      </c>
      <c r="F578" s="75"/>
    </row>
    <row r="579" spans="1:6" ht="14.25" customHeight="1" x14ac:dyDescent="0.3">
      <c r="A579" s="73">
        <v>41389</v>
      </c>
      <c r="B579" s="74">
        <v>19406.849999999999</v>
      </c>
      <c r="C579" s="74">
        <v>264.64999999999998</v>
      </c>
      <c r="D579" s="74">
        <f t="shared" si="17"/>
        <v>1.1791395723397791E-2</v>
      </c>
      <c r="E579" s="74">
        <f t="shared" si="18"/>
        <v>-1.2205578246566444E-2</v>
      </c>
      <c r="F579" s="75"/>
    </row>
    <row r="580" spans="1:6" ht="14.25" customHeight="1" x14ac:dyDescent="0.3">
      <c r="A580" s="73">
        <v>41390</v>
      </c>
      <c r="B580" s="74">
        <v>19286.72</v>
      </c>
      <c r="C580" s="74">
        <v>264.25</v>
      </c>
      <c r="D580" s="74">
        <f t="shared" ref="D580:D643" si="19">LN(B580/B579)</f>
        <v>-6.2093203586036996E-3</v>
      </c>
      <c r="E580" s="74">
        <f t="shared" ref="E580:E643" si="20">LN(C580/C579)</f>
        <v>-1.512573553649492E-3</v>
      </c>
      <c r="F580" s="75"/>
    </row>
    <row r="581" spans="1:6" ht="14.25" customHeight="1" x14ac:dyDescent="0.3">
      <c r="A581" s="73">
        <v>41393</v>
      </c>
      <c r="B581" s="74">
        <v>19387.5</v>
      </c>
      <c r="C581" s="74">
        <v>273.45</v>
      </c>
      <c r="D581" s="74">
        <f t="shared" si="19"/>
        <v>5.2117523310601984E-3</v>
      </c>
      <c r="E581" s="74">
        <f t="shared" si="20"/>
        <v>3.4223165042434577E-2</v>
      </c>
      <c r="F581" s="75"/>
    </row>
    <row r="582" spans="1:6" ht="14.25" customHeight="1" x14ac:dyDescent="0.3">
      <c r="A582" s="73">
        <v>41394</v>
      </c>
      <c r="B582" s="74">
        <v>19504.18</v>
      </c>
      <c r="C582" s="74">
        <v>270.75</v>
      </c>
      <c r="D582" s="74">
        <f t="shared" si="19"/>
        <v>6.0002730698006258E-3</v>
      </c>
      <c r="E582" s="74">
        <f t="shared" si="20"/>
        <v>-9.9229039116816714E-3</v>
      </c>
      <c r="F582" s="75"/>
    </row>
    <row r="583" spans="1:6" ht="14.25" customHeight="1" x14ac:dyDescent="0.3">
      <c r="A583" s="73">
        <v>41396</v>
      </c>
      <c r="B583" s="74">
        <v>19735.77</v>
      </c>
      <c r="C583" s="74">
        <v>273.8</v>
      </c>
      <c r="D583" s="74">
        <f t="shared" si="19"/>
        <v>1.1803923756127783E-2</v>
      </c>
      <c r="E583" s="74">
        <f t="shared" si="20"/>
        <v>1.1202026973248591E-2</v>
      </c>
      <c r="F583" s="75"/>
    </row>
    <row r="584" spans="1:6" ht="14.25" customHeight="1" x14ac:dyDescent="0.3">
      <c r="A584" s="73">
        <v>41397</v>
      </c>
      <c r="B584" s="74">
        <v>19575.64</v>
      </c>
      <c r="C584" s="74">
        <v>270.60000000000002</v>
      </c>
      <c r="D584" s="74">
        <f t="shared" si="19"/>
        <v>-8.1467892224519143E-3</v>
      </c>
      <c r="E584" s="74">
        <f t="shared" si="20"/>
        <v>-1.1756197117660775E-2</v>
      </c>
      <c r="F584" s="75"/>
    </row>
    <row r="585" spans="1:6" ht="14.25" customHeight="1" x14ac:dyDescent="0.3">
      <c r="A585" s="73">
        <v>41400</v>
      </c>
      <c r="B585" s="74">
        <v>19673.64</v>
      </c>
      <c r="C585" s="74">
        <v>273.7</v>
      </c>
      <c r="D585" s="74">
        <f t="shared" si="19"/>
        <v>4.9937325553518807E-3</v>
      </c>
      <c r="E585" s="74">
        <f t="shared" si="20"/>
        <v>1.1390900309945525E-2</v>
      </c>
      <c r="F585" s="75"/>
    </row>
    <row r="586" spans="1:6" ht="14.25" customHeight="1" x14ac:dyDescent="0.3">
      <c r="A586" s="73">
        <v>41401</v>
      </c>
      <c r="B586" s="74">
        <v>19888.95</v>
      </c>
      <c r="C586" s="74">
        <v>278.25</v>
      </c>
      <c r="D586" s="74">
        <f t="shared" si="19"/>
        <v>1.088463246402761E-2</v>
      </c>
      <c r="E586" s="74">
        <f t="shared" si="20"/>
        <v>1.648737410902083E-2</v>
      </c>
      <c r="F586" s="75"/>
    </row>
    <row r="587" spans="1:6" ht="14.25" customHeight="1" x14ac:dyDescent="0.3">
      <c r="A587" s="73">
        <v>41402</v>
      </c>
      <c r="B587" s="74">
        <v>19990.18</v>
      </c>
      <c r="C587" s="74">
        <v>276.05</v>
      </c>
      <c r="D587" s="74">
        <f t="shared" si="19"/>
        <v>5.0768518485061614E-3</v>
      </c>
      <c r="E587" s="74">
        <f t="shared" si="20"/>
        <v>-7.9379814256005793E-3</v>
      </c>
      <c r="F587" s="75"/>
    </row>
    <row r="588" spans="1:6" ht="14.25" customHeight="1" x14ac:dyDescent="0.3">
      <c r="A588" s="73">
        <v>41403</v>
      </c>
      <c r="B588" s="74">
        <v>19939.04</v>
      </c>
      <c r="C588" s="74">
        <v>275.39999999999998</v>
      </c>
      <c r="D588" s="74">
        <f t="shared" si="19"/>
        <v>-2.5615340326075866E-3</v>
      </c>
      <c r="E588" s="74">
        <f t="shared" si="20"/>
        <v>-2.3574224354992695E-3</v>
      </c>
      <c r="F588" s="75"/>
    </row>
    <row r="589" spans="1:6" ht="14.25" customHeight="1" x14ac:dyDescent="0.3">
      <c r="A589" s="73">
        <v>41404</v>
      </c>
      <c r="B589" s="74">
        <v>20082.62</v>
      </c>
      <c r="C589" s="74">
        <v>287.39999999999998</v>
      </c>
      <c r="D589" s="74">
        <f t="shared" si="19"/>
        <v>7.1751454582405306E-3</v>
      </c>
      <c r="E589" s="74">
        <f t="shared" si="20"/>
        <v>4.2650387350370002E-2</v>
      </c>
      <c r="F589" s="75"/>
    </row>
    <row r="590" spans="1:6" ht="14.25" customHeight="1" x14ac:dyDescent="0.3">
      <c r="A590" s="73">
        <v>41405</v>
      </c>
      <c r="B590" s="74">
        <v>20122.32</v>
      </c>
      <c r="C590" s="74">
        <v>288.3</v>
      </c>
      <c r="D590" s="74">
        <f t="shared" si="19"/>
        <v>1.974882335505611E-3</v>
      </c>
      <c r="E590" s="74">
        <f t="shared" si="20"/>
        <v>3.1266309994321438E-3</v>
      </c>
      <c r="F590" s="75"/>
    </row>
    <row r="591" spans="1:6" ht="14.25" customHeight="1" x14ac:dyDescent="0.3">
      <c r="A591" s="73">
        <v>41407</v>
      </c>
      <c r="B591" s="74">
        <v>19691.669999999998</v>
      </c>
      <c r="C591" s="74">
        <v>284.75</v>
      </c>
      <c r="D591" s="74">
        <f t="shared" si="19"/>
        <v>-2.1633943053966945E-2</v>
      </c>
      <c r="E591" s="74">
        <f t="shared" si="20"/>
        <v>-1.2390002317064981E-2</v>
      </c>
      <c r="F591" s="75"/>
    </row>
    <row r="592" spans="1:6" ht="14.25" customHeight="1" x14ac:dyDescent="0.3">
      <c r="A592" s="73">
        <v>41408</v>
      </c>
      <c r="B592" s="74">
        <v>19722.29</v>
      </c>
      <c r="C592" s="74">
        <v>281.39999999999998</v>
      </c>
      <c r="D592" s="74">
        <f t="shared" si="19"/>
        <v>1.5537645118731303E-3</v>
      </c>
      <c r="E592" s="74">
        <f t="shared" si="20"/>
        <v>-1.1834457647002909E-2</v>
      </c>
      <c r="F592" s="75"/>
    </row>
    <row r="593" spans="1:6" ht="14.25" customHeight="1" x14ac:dyDescent="0.3">
      <c r="A593" s="73">
        <v>41409</v>
      </c>
      <c r="B593" s="74">
        <v>20212.96</v>
      </c>
      <c r="C593" s="74">
        <v>284.64999999999998</v>
      </c>
      <c r="D593" s="74">
        <f t="shared" si="19"/>
        <v>2.4574514645383957E-2</v>
      </c>
      <c r="E593" s="74">
        <f t="shared" si="20"/>
        <v>1.1483210716802285E-2</v>
      </c>
      <c r="F593" s="75"/>
    </row>
    <row r="594" spans="1:6" ht="14.25" customHeight="1" x14ac:dyDescent="0.3">
      <c r="A594" s="73">
        <v>41410</v>
      </c>
      <c r="B594" s="74">
        <v>20247.330000000002</v>
      </c>
      <c r="C594" s="74">
        <v>280.5</v>
      </c>
      <c r="D594" s="74">
        <f t="shared" si="19"/>
        <v>1.6989501690285924E-3</v>
      </c>
      <c r="E594" s="74">
        <f t="shared" si="20"/>
        <v>-1.4686630434339851E-2</v>
      </c>
      <c r="F594" s="75"/>
    </row>
    <row r="595" spans="1:6" ht="14.25" customHeight="1" x14ac:dyDescent="0.3">
      <c r="A595" s="73">
        <v>41411</v>
      </c>
      <c r="B595" s="74">
        <v>20286.12</v>
      </c>
      <c r="C595" s="74">
        <v>275.25</v>
      </c>
      <c r="D595" s="74">
        <f t="shared" si="19"/>
        <v>1.9139753384733059E-3</v>
      </c>
      <c r="E595" s="74">
        <f t="shared" si="20"/>
        <v>-1.8893949359961627E-2</v>
      </c>
      <c r="F595" s="75"/>
    </row>
    <row r="596" spans="1:6" ht="14.25" customHeight="1" x14ac:dyDescent="0.3">
      <c r="A596" s="73">
        <v>41414</v>
      </c>
      <c r="B596" s="74">
        <v>20223.98</v>
      </c>
      <c r="C596" s="74">
        <v>271.45</v>
      </c>
      <c r="D596" s="74">
        <f t="shared" si="19"/>
        <v>-3.0678793060427718E-3</v>
      </c>
      <c r="E596" s="74">
        <f t="shared" si="20"/>
        <v>-1.3901815251329344E-2</v>
      </c>
      <c r="F596" s="75"/>
    </row>
    <row r="597" spans="1:6" ht="14.25" customHeight="1" x14ac:dyDescent="0.3">
      <c r="A597" s="73">
        <v>41415</v>
      </c>
      <c r="B597" s="74">
        <v>20111.61</v>
      </c>
      <c r="C597" s="74">
        <v>275.10000000000002</v>
      </c>
      <c r="D597" s="74">
        <f t="shared" si="19"/>
        <v>-5.5717687881459994E-3</v>
      </c>
      <c r="E597" s="74">
        <f t="shared" si="20"/>
        <v>1.3356707579068943E-2</v>
      </c>
      <c r="F597" s="75"/>
    </row>
    <row r="598" spans="1:6" ht="14.25" customHeight="1" x14ac:dyDescent="0.3">
      <c r="A598" s="73">
        <v>41416</v>
      </c>
      <c r="B598" s="74">
        <v>20062.240000000002</v>
      </c>
      <c r="C598" s="74">
        <v>275.05</v>
      </c>
      <c r="D598" s="74">
        <f t="shared" si="19"/>
        <v>-2.4578189470592826E-3</v>
      </c>
      <c r="E598" s="74">
        <f t="shared" si="20"/>
        <v>-1.8176860906176607E-4</v>
      </c>
      <c r="F598" s="75"/>
    </row>
    <row r="599" spans="1:6" ht="14.25" customHeight="1" x14ac:dyDescent="0.3">
      <c r="A599" s="73">
        <v>41417</v>
      </c>
      <c r="B599" s="74">
        <v>19674.330000000002</v>
      </c>
      <c r="C599" s="74">
        <v>269.45</v>
      </c>
      <c r="D599" s="74">
        <f t="shared" si="19"/>
        <v>-1.9524700948281293E-2</v>
      </c>
      <c r="E599" s="74">
        <f t="shared" si="20"/>
        <v>-2.0570054941961478E-2</v>
      </c>
      <c r="F599" s="75"/>
    </row>
    <row r="600" spans="1:6" ht="14.25" customHeight="1" x14ac:dyDescent="0.3">
      <c r="A600" s="73">
        <v>41418</v>
      </c>
      <c r="B600" s="74">
        <v>19704.330000000002</v>
      </c>
      <c r="C600" s="74">
        <v>276.2</v>
      </c>
      <c r="D600" s="74">
        <f t="shared" si="19"/>
        <v>1.5236681900253539E-3</v>
      </c>
      <c r="E600" s="74">
        <f t="shared" si="20"/>
        <v>2.4742396595686132E-2</v>
      </c>
      <c r="F600" s="75"/>
    </row>
    <row r="601" spans="1:6" ht="14.25" customHeight="1" x14ac:dyDescent="0.3">
      <c r="A601" s="73">
        <v>41421</v>
      </c>
      <c r="B601" s="74">
        <v>20030.77</v>
      </c>
      <c r="C601" s="74">
        <v>288.85000000000002</v>
      </c>
      <c r="D601" s="74">
        <f t="shared" si="19"/>
        <v>1.6431182728888521E-2</v>
      </c>
      <c r="E601" s="74">
        <f t="shared" si="20"/>
        <v>4.4782281252082896E-2</v>
      </c>
      <c r="F601" s="75"/>
    </row>
    <row r="602" spans="1:6" ht="14.25" customHeight="1" x14ac:dyDescent="0.3">
      <c r="A602" s="73">
        <v>41422</v>
      </c>
      <c r="B602" s="74">
        <v>20160.82</v>
      </c>
      <c r="C602" s="74">
        <v>296.5</v>
      </c>
      <c r="D602" s="74">
        <f t="shared" si="19"/>
        <v>6.4715257038187599E-3</v>
      </c>
      <c r="E602" s="74">
        <f t="shared" si="20"/>
        <v>2.613969621050545E-2</v>
      </c>
      <c r="F602" s="75"/>
    </row>
    <row r="603" spans="1:6" ht="14.25" customHeight="1" x14ac:dyDescent="0.3">
      <c r="A603" s="73">
        <v>41423</v>
      </c>
      <c r="B603" s="74">
        <v>20147.64</v>
      </c>
      <c r="C603" s="74">
        <v>299.35000000000002</v>
      </c>
      <c r="D603" s="74">
        <f t="shared" si="19"/>
        <v>-6.5395703381939166E-4</v>
      </c>
      <c r="E603" s="74">
        <f t="shared" si="20"/>
        <v>9.5662389335808961E-3</v>
      </c>
      <c r="F603" s="75"/>
    </row>
    <row r="604" spans="1:6" ht="14.25" customHeight="1" x14ac:dyDescent="0.3">
      <c r="A604" s="73">
        <v>41424</v>
      </c>
      <c r="B604" s="74">
        <v>20215.400000000001</v>
      </c>
      <c r="C604" s="74">
        <v>300.89999999999998</v>
      </c>
      <c r="D604" s="74">
        <f t="shared" si="19"/>
        <v>3.3575302383030549E-3</v>
      </c>
      <c r="E604" s="74">
        <f t="shared" si="20"/>
        <v>5.1645262646382974E-3</v>
      </c>
      <c r="F604" s="75"/>
    </row>
    <row r="605" spans="1:6" ht="14.25" customHeight="1" x14ac:dyDescent="0.3">
      <c r="A605" s="73">
        <v>41425</v>
      </c>
      <c r="B605" s="74">
        <v>19760.3</v>
      </c>
      <c r="C605" s="74">
        <v>293.5</v>
      </c>
      <c r="D605" s="74">
        <f t="shared" si="19"/>
        <v>-2.2769815792928451E-2</v>
      </c>
      <c r="E605" s="74">
        <f t="shared" si="20"/>
        <v>-2.4900344367848281E-2</v>
      </c>
      <c r="F605" s="75"/>
    </row>
    <row r="606" spans="1:6" ht="14.25" customHeight="1" x14ac:dyDescent="0.3">
      <c r="A606" s="73">
        <v>41428</v>
      </c>
      <c r="B606" s="74">
        <v>19610.48</v>
      </c>
      <c r="C606" s="74">
        <v>289.60000000000002</v>
      </c>
      <c r="D606" s="74">
        <f t="shared" si="19"/>
        <v>-7.6107571745216967E-3</v>
      </c>
      <c r="E606" s="74">
        <f t="shared" si="20"/>
        <v>-1.3376978756589782E-2</v>
      </c>
      <c r="F606" s="75"/>
    </row>
    <row r="607" spans="1:6" ht="14.25" customHeight="1" x14ac:dyDescent="0.3">
      <c r="A607" s="73">
        <v>41429</v>
      </c>
      <c r="B607" s="74">
        <v>19545.78</v>
      </c>
      <c r="C607" s="74">
        <v>281.55</v>
      </c>
      <c r="D607" s="74">
        <f t="shared" si="19"/>
        <v>-3.3047108627328715E-3</v>
      </c>
      <c r="E607" s="74">
        <f t="shared" si="20"/>
        <v>-2.8190608810933809E-2</v>
      </c>
      <c r="F607" s="75"/>
    </row>
    <row r="608" spans="1:6" ht="14.25" customHeight="1" x14ac:dyDescent="0.3">
      <c r="A608" s="73">
        <v>41430</v>
      </c>
      <c r="B608" s="74">
        <v>19568.22</v>
      </c>
      <c r="C608" s="74">
        <v>279.2</v>
      </c>
      <c r="D608" s="74">
        <f t="shared" si="19"/>
        <v>1.1474153736244354E-3</v>
      </c>
      <c r="E608" s="74">
        <f t="shared" si="20"/>
        <v>-8.381680812410218E-3</v>
      </c>
      <c r="F608" s="75"/>
    </row>
    <row r="609" spans="1:6" ht="14.25" customHeight="1" x14ac:dyDescent="0.3">
      <c r="A609" s="73">
        <v>41431</v>
      </c>
      <c r="B609" s="74">
        <v>19519.490000000002</v>
      </c>
      <c r="C609" s="74">
        <v>277.39999999999998</v>
      </c>
      <c r="D609" s="74">
        <f t="shared" si="19"/>
        <v>-2.493368132629395E-3</v>
      </c>
      <c r="E609" s="74">
        <f t="shared" si="20"/>
        <v>-6.4678630074862355E-3</v>
      </c>
      <c r="F609" s="75"/>
    </row>
    <row r="610" spans="1:6" ht="14.25" customHeight="1" x14ac:dyDescent="0.3">
      <c r="A610" s="73">
        <v>41432</v>
      </c>
      <c r="B610" s="74">
        <v>19429.23</v>
      </c>
      <c r="C610" s="74">
        <v>272.35000000000002</v>
      </c>
      <c r="D610" s="74">
        <f t="shared" si="19"/>
        <v>-4.6348204293790163E-3</v>
      </c>
      <c r="E610" s="74">
        <f t="shared" si="20"/>
        <v>-1.8372504051047612E-2</v>
      </c>
      <c r="F610" s="75"/>
    </row>
    <row r="611" spans="1:6" ht="14.25" customHeight="1" x14ac:dyDescent="0.3">
      <c r="A611" s="73">
        <v>41435</v>
      </c>
      <c r="B611" s="74">
        <v>19441.07</v>
      </c>
      <c r="C611" s="74">
        <v>265.2</v>
      </c>
      <c r="D611" s="74">
        <f t="shared" si="19"/>
        <v>6.0920550477792511E-4</v>
      </c>
      <c r="E611" s="74">
        <f t="shared" si="20"/>
        <v>-2.6603745517976136E-2</v>
      </c>
      <c r="F611" s="75"/>
    </row>
    <row r="612" spans="1:6" ht="14.25" customHeight="1" x14ac:dyDescent="0.3">
      <c r="A612" s="73">
        <v>41436</v>
      </c>
      <c r="B612" s="74">
        <v>19143</v>
      </c>
      <c r="C612" s="74">
        <v>236.4</v>
      </c>
      <c r="D612" s="74">
        <f t="shared" si="19"/>
        <v>-1.5450725115528238E-2</v>
      </c>
      <c r="E612" s="74">
        <f t="shared" si="20"/>
        <v>-0.11495897277976425</v>
      </c>
      <c r="F612" s="75"/>
    </row>
    <row r="613" spans="1:6" ht="14.25" customHeight="1" x14ac:dyDescent="0.3">
      <c r="A613" s="73">
        <v>41437</v>
      </c>
      <c r="B613" s="74">
        <v>19041.13</v>
      </c>
      <c r="C613" s="74">
        <v>204.9</v>
      </c>
      <c r="D613" s="74">
        <f t="shared" si="19"/>
        <v>-5.3357372126712193E-3</v>
      </c>
      <c r="E613" s="74">
        <f t="shared" si="20"/>
        <v>-0.14300323028708906</v>
      </c>
      <c r="F613" s="75"/>
    </row>
    <row r="614" spans="1:6" ht="14.25" customHeight="1" x14ac:dyDescent="0.3">
      <c r="A614" s="73">
        <v>41438</v>
      </c>
      <c r="B614" s="74">
        <v>18827.16</v>
      </c>
      <c r="C614" s="74">
        <v>213.7</v>
      </c>
      <c r="D614" s="74">
        <f t="shared" si="19"/>
        <v>-1.1300868202083697E-2</v>
      </c>
      <c r="E614" s="74">
        <f t="shared" si="20"/>
        <v>4.2051107080247868E-2</v>
      </c>
      <c r="F614" s="75"/>
    </row>
    <row r="615" spans="1:6" ht="14.25" customHeight="1" x14ac:dyDescent="0.3">
      <c r="A615" s="73">
        <v>41439</v>
      </c>
      <c r="B615" s="74">
        <v>19177.93</v>
      </c>
      <c r="C615" s="74">
        <v>224.8</v>
      </c>
      <c r="D615" s="74">
        <f t="shared" si="19"/>
        <v>1.8459630569620505E-2</v>
      </c>
      <c r="E615" s="74">
        <f t="shared" si="20"/>
        <v>5.0637955694434175E-2</v>
      </c>
      <c r="F615" s="75"/>
    </row>
    <row r="616" spans="1:6" ht="14.25" customHeight="1" x14ac:dyDescent="0.3">
      <c r="A616" s="73">
        <v>41442</v>
      </c>
      <c r="B616" s="74">
        <v>19325.87</v>
      </c>
      <c r="C616" s="74">
        <v>229.85</v>
      </c>
      <c r="D616" s="74">
        <f t="shared" si="19"/>
        <v>7.684474155873363E-3</v>
      </c>
      <c r="E616" s="74">
        <f t="shared" si="20"/>
        <v>2.2215804232700871E-2</v>
      </c>
      <c r="F616" s="75"/>
    </row>
    <row r="617" spans="1:6" ht="14.25" customHeight="1" x14ac:dyDescent="0.3">
      <c r="A617" s="73">
        <v>41443</v>
      </c>
      <c r="B617" s="74">
        <v>19223.28</v>
      </c>
      <c r="C617" s="74">
        <v>223.9</v>
      </c>
      <c r="D617" s="74">
        <f t="shared" si="19"/>
        <v>-5.3225683157993448E-3</v>
      </c>
      <c r="E617" s="74">
        <f t="shared" si="20"/>
        <v>-2.6227398647527798E-2</v>
      </c>
      <c r="F617" s="75"/>
    </row>
    <row r="618" spans="1:6" ht="14.25" customHeight="1" x14ac:dyDescent="0.3">
      <c r="A618" s="73">
        <v>41444</v>
      </c>
      <c r="B618" s="74">
        <v>19245.7</v>
      </c>
      <c r="C618" s="74">
        <v>231.35</v>
      </c>
      <c r="D618" s="74">
        <f t="shared" si="19"/>
        <v>1.1656146088836505E-3</v>
      </c>
      <c r="E618" s="74">
        <f t="shared" si="20"/>
        <v>3.2732191748299382E-2</v>
      </c>
      <c r="F618" s="75"/>
    </row>
    <row r="619" spans="1:6" ht="14.25" customHeight="1" x14ac:dyDescent="0.3">
      <c r="A619" s="73">
        <v>41445</v>
      </c>
      <c r="B619" s="74">
        <v>18719.29</v>
      </c>
      <c r="C619" s="74">
        <v>224.7</v>
      </c>
      <c r="D619" s="74">
        <f t="shared" si="19"/>
        <v>-2.7733116178384247E-2</v>
      </c>
      <c r="E619" s="74">
        <f t="shared" si="20"/>
        <v>-2.9165536161725174E-2</v>
      </c>
      <c r="F619" s="75"/>
    </row>
    <row r="620" spans="1:6" ht="14.25" customHeight="1" x14ac:dyDescent="0.3">
      <c r="A620" s="73">
        <v>41446</v>
      </c>
      <c r="B620" s="74">
        <v>18774.240000000002</v>
      </c>
      <c r="C620" s="74">
        <v>222.85</v>
      </c>
      <c r="D620" s="74">
        <f t="shared" si="19"/>
        <v>2.9311744902763286E-3</v>
      </c>
      <c r="E620" s="74">
        <f t="shared" si="20"/>
        <v>-8.2672797987186838E-3</v>
      </c>
      <c r="F620" s="75"/>
    </row>
    <row r="621" spans="1:6" ht="14.25" customHeight="1" x14ac:dyDescent="0.3">
      <c r="A621" s="73">
        <v>41449</v>
      </c>
      <c r="B621" s="74">
        <v>18540.89</v>
      </c>
      <c r="C621" s="74">
        <v>221.8</v>
      </c>
      <c r="D621" s="74">
        <f t="shared" si="19"/>
        <v>-1.2507154169501477E-2</v>
      </c>
      <c r="E621" s="74">
        <f t="shared" si="20"/>
        <v>-4.7228244762981091E-3</v>
      </c>
      <c r="F621" s="75"/>
    </row>
    <row r="622" spans="1:6" ht="14.25" customHeight="1" x14ac:dyDescent="0.3">
      <c r="A622" s="73">
        <v>41450</v>
      </c>
      <c r="B622" s="74">
        <v>18629.150000000001</v>
      </c>
      <c r="C622" s="74">
        <v>228.65</v>
      </c>
      <c r="D622" s="74">
        <f t="shared" si="19"/>
        <v>4.7489949366160602E-3</v>
      </c>
      <c r="E622" s="74">
        <f t="shared" si="20"/>
        <v>3.0416375187797426E-2</v>
      </c>
      <c r="F622" s="75"/>
    </row>
    <row r="623" spans="1:6" ht="14.25" customHeight="1" x14ac:dyDescent="0.3">
      <c r="A623" s="73">
        <v>41451</v>
      </c>
      <c r="B623" s="74">
        <v>18552.12</v>
      </c>
      <c r="C623" s="74">
        <v>225.45</v>
      </c>
      <c r="D623" s="74">
        <f t="shared" si="19"/>
        <v>-4.1434899995343687E-3</v>
      </c>
      <c r="E623" s="74">
        <f t="shared" si="20"/>
        <v>-1.4094045236971038E-2</v>
      </c>
      <c r="F623" s="75"/>
    </row>
    <row r="624" spans="1:6" ht="14.25" customHeight="1" x14ac:dyDescent="0.3">
      <c r="A624" s="73">
        <v>41452</v>
      </c>
      <c r="B624" s="74">
        <v>18875.95</v>
      </c>
      <c r="C624" s="74">
        <v>223.1</v>
      </c>
      <c r="D624" s="74">
        <f t="shared" si="19"/>
        <v>1.7304556756732589E-2</v>
      </c>
      <c r="E624" s="74">
        <f t="shared" si="20"/>
        <v>-1.0478303428606376E-2</v>
      </c>
      <c r="F624" s="75"/>
    </row>
    <row r="625" spans="1:6" ht="14.25" customHeight="1" x14ac:dyDescent="0.3">
      <c r="A625" s="73">
        <v>41453</v>
      </c>
      <c r="B625" s="74">
        <v>19395.810000000001</v>
      </c>
      <c r="C625" s="74">
        <v>224.3</v>
      </c>
      <c r="D625" s="74">
        <f t="shared" si="19"/>
        <v>2.7168438366586129E-2</v>
      </c>
      <c r="E625" s="74">
        <f t="shared" si="20"/>
        <v>5.3643400876757759E-3</v>
      </c>
      <c r="F625" s="75"/>
    </row>
    <row r="626" spans="1:6" ht="14.25" customHeight="1" x14ac:dyDescent="0.3">
      <c r="A626" s="73">
        <v>41456</v>
      </c>
      <c r="B626" s="74">
        <v>19577.39</v>
      </c>
      <c r="C626" s="74">
        <v>227.4</v>
      </c>
      <c r="D626" s="74">
        <f t="shared" si="19"/>
        <v>9.3182655713065065E-3</v>
      </c>
      <c r="E626" s="74">
        <f t="shared" si="20"/>
        <v>1.3726139790272965E-2</v>
      </c>
      <c r="F626" s="75"/>
    </row>
    <row r="627" spans="1:6" ht="14.25" customHeight="1" x14ac:dyDescent="0.3">
      <c r="A627" s="73">
        <v>41457</v>
      </c>
      <c r="B627" s="74">
        <v>19463.82</v>
      </c>
      <c r="C627" s="74">
        <v>232.5</v>
      </c>
      <c r="D627" s="74">
        <f t="shared" si="19"/>
        <v>-5.8179713359506119E-3</v>
      </c>
      <c r="E627" s="74">
        <f t="shared" si="20"/>
        <v>2.2179643710975375E-2</v>
      </c>
      <c r="F627" s="75"/>
    </row>
    <row r="628" spans="1:6" ht="14.25" customHeight="1" x14ac:dyDescent="0.3">
      <c r="A628" s="73">
        <v>41458</v>
      </c>
      <c r="B628" s="74">
        <v>19177.759999999998</v>
      </c>
      <c r="C628" s="74">
        <v>225.6</v>
      </c>
      <c r="D628" s="74">
        <f t="shared" si="19"/>
        <v>-1.480608328245258E-2</v>
      </c>
      <c r="E628" s="74">
        <f t="shared" si="20"/>
        <v>-3.0126705403507158E-2</v>
      </c>
      <c r="F628" s="75"/>
    </row>
    <row r="629" spans="1:6" ht="14.25" customHeight="1" x14ac:dyDescent="0.3">
      <c r="A629" s="73">
        <v>41459</v>
      </c>
      <c r="B629" s="74">
        <v>19410.84</v>
      </c>
      <c r="C629" s="74">
        <v>230</v>
      </c>
      <c r="D629" s="74">
        <f t="shared" si="19"/>
        <v>1.2080398592188775E-2</v>
      </c>
      <c r="E629" s="74">
        <f t="shared" si="20"/>
        <v>1.9315789299291487E-2</v>
      </c>
      <c r="F629" s="75"/>
    </row>
    <row r="630" spans="1:6" ht="14.25" customHeight="1" x14ac:dyDescent="0.3">
      <c r="A630" s="73">
        <v>41460</v>
      </c>
      <c r="B630" s="74">
        <v>19495.82</v>
      </c>
      <c r="C630" s="74">
        <v>231.5</v>
      </c>
      <c r="D630" s="74">
        <f t="shared" si="19"/>
        <v>4.3684107111474323E-3</v>
      </c>
      <c r="E630" s="74">
        <f t="shared" si="20"/>
        <v>6.5005646030934627E-3</v>
      </c>
      <c r="F630" s="75"/>
    </row>
    <row r="631" spans="1:6" ht="14.25" customHeight="1" x14ac:dyDescent="0.3">
      <c r="A631" s="73">
        <v>41463</v>
      </c>
      <c r="B631" s="74">
        <v>19324.77</v>
      </c>
      <c r="C631" s="74">
        <v>232.85</v>
      </c>
      <c r="D631" s="74">
        <f t="shared" si="19"/>
        <v>-8.8123908962726809E-3</v>
      </c>
      <c r="E631" s="74">
        <f t="shared" si="20"/>
        <v>5.8145959020974311E-3</v>
      </c>
      <c r="F631" s="75"/>
    </row>
    <row r="632" spans="1:6" ht="14.25" customHeight="1" x14ac:dyDescent="0.3">
      <c r="A632" s="73">
        <v>41464</v>
      </c>
      <c r="B632" s="74">
        <v>19439.48</v>
      </c>
      <c r="C632" s="74">
        <v>239.15</v>
      </c>
      <c r="D632" s="74">
        <f t="shared" si="19"/>
        <v>5.9183569824387793E-3</v>
      </c>
      <c r="E632" s="74">
        <f t="shared" si="20"/>
        <v>2.6696500697919668E-2</v>
      </c>
      <c r="F632" s="75"/>
    </row>
    <row r="633" spans="1:6" ht="14.25" customHeight="1" x14ac:dyDescent="0.3">
      <c r="A633" s="73">
        <v>41465</v>
      </c>
      <c r="B633" s="74">
        <v>19294.12</v>
      </c>
      <c r="C633" s="74">
        <v>249.45</v>
      </c>
      <c r="D633" s="74">
        <f t="shared" si="19"/>
        <v>-7.5056634241997718E-3</v>
      </c>
      <c r="E633" s="74">
        <f t="shared" si="20"/>
        <v>4.2167524180740372E-2</v>
      </c>
      <c r="F633" s="75"/>
    </row>
    <row r="634" spans="1:6" ht="14.25" customHeight="1" x14ac:dyDescent="0.3">
      <c r="A634" s="73">
        <v>41466</v>
      </c>
      <c r="B634" s="74">
        <v>19676.060000000001</v>
      </c>
      <c r="C634" s="74">
        <v>249.7</v>
      </c>
      <c r="D634" s="74">
        <f t="shared" si="19"/>
        <v>1.9602282049588911E-2</v>
      </c>
      <c r="E634" s="74">
        <f t="shared" si="20"/>
        <v>1.0017029786811684E-3</v>
      </c>
      <c r="F634" s="75"/>
    </row>
    <row r="635" spans="1:6" ht="14.25" customHeight="1" x14ac:dyDescent="0.3">
      <c r="A635" s="73">
        <v>41467</v>
      </c>
      <c r="B635" s="74">
        <v>19958.47</v>
      </c>
      <c r="C635" s="74">
        <v>248.75</v>
      </c>
      <c r="D635" s="74">
        <f t="shared" si="19"/>
        <v>1.4250946309961323E-2</v>
      </c>
      <c r="E635" s="74">
        <f t="shared" si="20"/>
        <v>-3.8118212470253121E-3</v>
      </c>
      <c r="F635" s="75"/>
    </row>
    <row r="636" spans="1:6" ht="14.25" customHeight="1" x14ac:dyDescent="0.3">
      <c r="A636" s="73">
        <v>41470</v>
      </c>
      <c r="B636" s="74">
        <v>20034.48</v>
      </c>
      <c r="C636" s="74">
        <v>252.55</v>
      </c>
      <c r="D636" s="74">
        <f t="shared" si="19"/>
        <v>3.8011745331062263E-3</v>
      </c>
      <c r="E636" s="74">
        <f t="shared" si="20"/>
        <v>1.5160872875359522E-2</v>
      </c>
      <c r="F636" s="75"/>
    </row>
    <row r="637" spans="1:6" ht="14.25" customHeight="1" x14ac:dyDescent="0.3">
      <c r="A637" s="73">
        <v>41471</v>
      </c>
      <c r="B637" s="74">
        <v>19851.23</v>
      </c>
      <c r="C637" s="74">
        <v>249.9</v>
      </c>
      <c r="D637" s="74">
        <f t="shared" si="19"/>
        <v>-9.1888192228151283E-3</v>
      </c>
      <c r="E637" s="74">
        <f t="shared" si="20"/>
        <v>-1.0548411073154884E-2</v>
      </c>
      <c r="F637" s="75"/>
    </row>
    <row r="638" spans="1:6" ht="14.25" customHeight="1" x14ac:dyDescent="0.3">
      <c r="A638" s="73">
        <v>41472</v>
      </c>
      <c r="B638" s="74">
        <v>19948.73</v>
      </c>
      <c r="C638" s="74">
        <v>258.45</v>
      </c>
      <c r="D638" s="74">
        <f t="shared" si="19"/>
        <v>4.8995122126924322E-3</v>
      </c>
      <c r="E638" s="74">
        <f t="shared" si="20"/>
        <v>3.3641413801141627E-2</v>
      </c>
      <c r="F638" s="75"/>
    </row>
    <row r="639" spans="1:6" ht="14.25" customHeight="1" x14ac:dyDescent="0.3">
      <c r="A639" s="73">
        <v>41473</v>
      </c>
      <c r="B639" s="74">
        <v>20128.41</v>
      </c>
      <c r="C639" s="74">
        <v>264.05</v>
      </c>
      <c r="D639" s="74">
        <f t="shared" si="19"/>
        <v>8.9667677832388978E-3</v>
      </c>
      <c r="E639" s="74">
        <f t="shared" si="20"/>
        <v>2.1436227510893906E-2</v>
      </c>
      <c r="F639" s="75"/>
    </row>
    <row r="640" spans="1:6" ht="14.25" customHeight="1" x14ac:dyDescent="0.3">
      <c r="A640" s="73">
        <v>41474</v>
      </c>
      <c r="B640" s="74">
        <v>20149.849999999999</v>
      </c>
      <c r="C640" s="74">
        <v>260.89999999999998</v>
      </c>
      <c r="D640" s="74">
        <f t="shared" si="19"/>
        <v>1.0645942513373039E-3</v>
      </c>
      <c r="E640" s="74">
        <f t="shared" si="20"/>
        <v>-1.2001287010259589E-2</v>
      </c>
      <c r="F640" s="75"/>
    </row>
    <row r="641" spans="1:6" ht="14.25" customHeight="1" x14ac:dyDescent="0.3">
      <c r="A641" s="73">
        <v>41477</v>
      </c>
      <c r="B641" s="74">
        <v>20159.12</v>
      </c>
      <c r="C641" s="74">
        <v>260.05</v>
      </c>
      <c r="D641" s="74">
        <f t="shared" si="19"/>
        <v>4.5994726054387916E-4</v>
      </c>
      <c r="E641" s="74">
        <f t="shared" si="20"/>
        <v>-3.2632719236010983E-3</v>
      </c>
      <c r="F641" s="75"/>
    </row>
    <row r="642" spans="1:6" ht="14.25" customHeight="1" x14ac:dyDescent="0.3">
      <c r="A642" s="73">
        <v>41478</v>
      </c>
      <c r="B642" s="74">
        <v>20302.13</v>
      </c>
      <c r="C642" s="74">
        <v>275.25</v>
      </c>
      <c r="D642" s="74">
        <f t="shared" si="19"/>
        <v>7.0690151949635476E-3</v>
      </c>
      <c r="E642" s="74">
        <f t="shared" si="20"/>
        <v>5.6805855383707804E-2</v>
      </c>
      <c r="F642" s="75"/>
    </row>
    <row r="643" spans="1:6" ht="14.25" customHeight="1" x14ac:dyDescent="0.3">
      <c r="A643" s="73">
        <v>41479</v>
      </c>
      <c r="B643" s="74">
        <v>20090.68</v>
      </c>
      <c r="C643" s="74">
        <v>262.39999999999998</v>
      </c>
      <c r="D643" s="74">
        <f t="shared" si="19"/>
        <v>-1.0469780712318258E-2</v>
      </c>
      <c r="E643" s="74">
        <f t="shared" si="20"/>
        <v>-4.7809718532855511E-2</v>
      </c>
      <c r="F643" s="75"/>
    </row>
    <row r="644" spans="1:6" ht="14.25" customHeight="1" x14ac:dyDescent="0.3">
      <c r="A644" s="73">
        <v>41480</v>
      </c>
      <c r="B644" s="74">
        <v>19804.759999999998</v>
      </c>
      <c r="C644" s="74">
        <v>260.14999999999998</v>
      </c>
      <c r="D644" s="74">
        <f t="shared" ref="D644:D707" si="21">LN(B644/B643)</f>
        <v>-1.4333713090966003E-2</v>
      </c>
      <c r="E644" s="74">
        <f t="shared" ref="E644:E707" si="22">LN(C644/C643)</f>
        <v>-8.6116693336214314E-3</v>
      </c>
      <c r="F644" s="75"/>
    </row>
    <row r="645" spans="1:6" ht="14.25" customHeight="1" x14ac:dyDescent="0.3">
      <c r="A645" s="73">
        <v>41481</v>
      </c>
      <c r="B645" s="74">
        <v>19748.189999999999</v>
      </c>
      <c r="C645" s="74">
        <v>260.85000000000002</v>
      </c>
      <c r="D645" s="74">
        <f t="shared" si="21"/>
        <v>-2.860471270673895E-3</v>
      </c>
      <c r="E645" s="74">
        <f t="shared" si="22"/>
        <v>2.6871417320893823E-3</v>
      </c>
      <c r="F645" s="75"/>
    </row>
    <row r="646" spans="1:6" ht="14.25" customHeight="1" x14ac:dyDescent="0.3">
      <c r="A646" s="73">
        <v>41484</v>
      </c>
      <c r="B646" s="74">
        <v>19593.28</v>
      </c>
      <c r="C646" s="74">
        <v>259.95</v>
      </c>
      <c r="D646" s="74">
        <f t="shared" si="21"/>
        <v>-7.8751912731324335E-3</v>
      </c>
      <c r="E646" s="74">
        <f t="shared" si="22"/>
        <v>-3.4562246386771007E-3</v>
      </c>
      <c r="F646" s="75"/>
    </row>
    <row r="647" spans="1:6" ht="14.25" customHeight="1" x14ac:dyDescent="0.3">
      <c r="A647" s="73">
        <v>41485</v>
      </c>
      <c r="B647" s="74">
        <v>19348.34</v>
      </c>
      <c r="C647" s="74">
        <v>258.55</v>
      </c>
      <c r="D647" s="74">
        <f t="shared" si="21"/>
        <v>-1.2580022622581238E-2</v>
      </c>
      <c r="E647" s="74">
        <f t="shared" si="22"/>
        <v>-5.40020598749422E-3</v>
      </c>
      <c r="F647" s="75"/>
    </row>
    <row r="648" spans="1:6" ht="14.25" customHeight="1" x14ac:dyDescent="0.3">
      <c r="A648" s="73">
        <v>41486</v>
      </c>
      <c r="B648" s="74">
        <v>19345.7</v>
      </c>
      <c r="C648" s="74">
        <v>263.35000000000002</v>
      </c>
      <c r="D648" s="74">
        <f t="shared" si="21"/>
        <v>-1.3645512353302767E-4</v>
      </c>
      <c r="E648" s="74">
        <f t="shared" si="22"/>
        <v>1.8394847087167904E-2</v>
      </c>
      <c r="F648" s="75"/>
    </row>
    <row r="649" spans="1:6" ht="14.25" customHeight="1" x14ac:dyDescent="0.3">
      <c r="A649" s="73">
        <v>41487</v>
      </c>
      <c r="B649" s="74">
        <v>19317.189999999999</v>
      </c>
      <c r="C649" s="74">
        <v>259.5</v>
      </c>
      <c r="D649" s="74">
        <f t="shared" si="21"/>
        <v>-1.4747994869250406E-3</v>
      </c>
      <c r="E649" s="74">
        <f t="shared" si="22"/>
        <v>-1.4727243323455095E-2</v>
      </c>
      <c r="F649" s="75"/>
    </row>
    <row r="650" spans="1:6" ht="14.25" customHeight="1" x14ac:dyDescent="0.3">
      <c r="A650" s="73">
        <v>41488</v>
      </c>
      <c r="B650" s="74">
        <v>19164.02</v>
      </c>
      <c r="C650" s="74">
        <v>281.7</v>
      </c>
      <c r="D650" s="74">
        <f t="shared" si="21"/>
        <v>-7.9608104278351636E-3</v>
      </c>
      <c r="E650" s="74">
        <f t="shared" si="22"/>
        <v>8.2085972276383451E-2</v>
      </c>
      <c r="F650" s="75"/>
    </row>
    <row r="651" spans="1:6" ht="14.25" customHeight="1" x14ac:dyDescent="0.3">
      <c r="A651" s="73">
        <v>41491</v>
      </c>
      <c r="B651" s="74">
        <v>19182.259999999998</v>
      </c>
      <c r="C651" s="74">
        <v>280.60000000000002</v>
      </c>
      <c r="D651" s="74">
        <f t="shared" si="21"/>
        <v>9.513309439999893E-4</v>
      </c>
      <c r="E651" s="74">
        <f t="shared" si="22"/>
        <v>-3.9125072139662405E-3</v>
      </c>
      <c r="F651" s="75"/>
    </row>
    <row r="652" spans="1:6" ht="14.25" customHeight="1" x14ac:dyDescent="0.3">
      <c r="A652" s="73">
        <v>41492</v>
      </c>
      <c r="B652" s="74">
        <v>18733.04</v>
      </c>
      <c r="C652" s="74">
        <v>259.89999999999998</v>
      </c>
      <c r="D652" s="74">
        <f t="shared" si="21"/>
        <v>-2.3697083841838881E-2</v>
      </c>
      <c r="E652" s="74">
        <f t="shared" si="22"/>
        <v>-7.6633226020916198E-2</v>
      </c>
      <c r="F652" s="75"/>
    </row>
    <row r="653" spans="1:6" ht="14.25" customHeight="1" x14ac:dyDescent="0.3">
      <c r="A653" s="73">
        <v>41493</v>
      </c>
      <c r="B653" s="74">
        <v>18664.88</v>
      </c>
      <c r="C653" s="74">
        <v>263.10000000000002</v>
      </c>
      <c r="D653" s="74">
        <f t="shared" si="21"/>
        <v>-3.6451265455322516E-3</v>
      </c>
      <c r="E653" s="74">
        <f t="shared" si="22"/>
        <v>1.2237246398802701E-2</v>
      </c>
      <c r="F653" s="75"/>
    </row>
    <row r="654" spans="1:6" ht="14.25" customHeight="1" x14ac:dyDescent="0.3">
      <c r="A654" s="73">
        <v>41494</v>
      </c>
      <c r="B654" s="74">
        <v>18789.34</v>
      </c>
      <c r="C654" s="74">
        <v>264.39999999999998</v>
      </c>
      <c r="D654" s="74">
        <f t="shared" si="21"/>
        <v>6.6460045415288405E-3</v>
      </c>
      <c r="E654" s="74">
        <f t="shared" si="22"/>
        <v>4.9289199312839791E-3</v>
      </c>
      <c r="F654" s="75"/>
    </row>
    <row r="655" spans="1:6" ht="14.25" customHeight="1" x14ac:dyDescent="0.3">
      <c r="A655" s="73">
        <v>41498</v>
      </c>
      <c r="B655" s="74">
        <v>18946.98</v>
      </c>
      <c r="C655" s="74">
        <v>265.8</v>
      </c>
      <c r="D655" s="74">
        <f t="shared" si="21"/>
        <v>8.3548643316377867E-3</v>
      </c>
      <c r="E655" s="74">
        <f t="shared" si="22"/>
        <v>5.2810383016137861E-3</v>
      </c>
      <c r="F655" s="75"/>
    </row>
    <row r="656" spans="1:6" ht="14.25" customHeight="1" x14ac:dyDescent="0.3">
      <c r="A656" s="73">
        <v>41499</v>
      </c>
      <c r="B656" s="74">
        <v>19229.84</v>
      </c>
      <c r="C656" s="74">
        <v>262.89999999999998</v>
      </c>
      <c r="D656" s="74">
        <f t="shared" si="21"/>
        <v>1.4818687159673634E-2</v>
      </c>
      <c r="E656" s="74">
        <f t="shared" si="22"/>
        <v>-1.09704145433096E-2</v>
      </c>
      <c r="F656" s="75"/>
    </row>
    <row r="657" spans="1:6" ht="14.25" customHeight="1" x14ac:dyDescent="0.3">
      <c r="A657" s="73">
        <v>41500</v>
      </c>
      <c r="B657" s="74">
        <v>19367.59</v>
      </c>
      <c r="C657" s="74">
        <v>273.35000000000002</v>
      </c>
      <c r="D657" s="74">
        <f t="shared" si="21"/>
        <v>7.1378112399760624E-3</v>
      </c>
      <c r="E657" s="74">
        <f t="shared" si="22"/>
        <v>3.8979293605172986E-2</v>
      </c>
      <c r="F657" s="75"/>
    </row>
    <row r="658" spans="1:6" ht="14.25" customHeight="1" x14ac:dyDescent="0.3">
      <c r="A658" s="73">
        <v>41502</v>
      </c>
      <c r="B658" s="74">
        <v>18598.18</v>
      </c>
      <c r="C658" s="74">
        <v>240.6</v>
      </c>
      <c r="D658" s="74">
        <f t="shared" si="21"/>
        <v>-4.0537324004018056E-2</v>
      </c>
      <c r="E658" s="74">
        <f t="shared" si="22"/>
        <v>-0.12761722180042986</v>
      </c>
      <c r="F658" s="75"/>
    </row>
    <row r="659" spans="1:6" ht="14.25" customHeight="1" x14ac:dyDescent="0.3">
      <c r="A659" s="73">
        <v>41505</v>
      </c>
      <c r="B659" s="74">
        <v>18307.52</v>
      </c>
      <c r="C659" s="74">
        <v>233.9</v>
      </c>
      <c r="D659" s="74">
        <f t="shared" si="21"/>
        <v>-1.5751822068277858E-2</v>
      </c>
      <c r="E659" s="74">
        <f t="shared" si="22"/>
        <v>-2.8242129950445071E-2</v>
      </c>
      <c r="F659" s="75"/>
    </row>
    <row r="660" spans="1:6" ht="14.25" customHeight="1" x14ac:dyDescent="0.3">
      <c r="A660" s="73">
        <v>41506</v>
      </c>
      <c r="B660" s="74">
        <v>18246.04</v>
      </c>
      <c r="C660" s="74">
        <v>219.85</v>
      </c>
      <c r="D660" s="74">
        <f t="shared" si="21"/>
        <v>-3.3638342187439392E-3</v>
      </c>
      <c r="E660" s="74">
        <f t="shared" si="22"/>
        <v>-6.1948177963314248E-2</v>
      </c>
      <c r="F660" s="75"/>
    </row>
    <row r="661" spans="1:6" ht="14.25" customHeight="1" x14ac:dyDescent="0.3">
      <c r="A661" s="73">
        <v>41507</v>
      </c>
      <c r="B661" s="74">
        <v>17905.91</v>
      </c>
      <c r="C661" s="74">
        <v>222.6</v>
      </c>
      <c r="D661" s="74">
        <f t="shared" si="21"/>
        <v>-1.881724423104959E-2</v>
      </c>
      <c r="E661" s="74">
        <f t="shared" si="22"/>
        <v>1.2430943214625234E-2</v>
      </c>
      <c r="F661" s="75"/>
    </row>
    <row r="662" spans="1:6" ht="14.25" customHeight="1" x14ac:dyDescent="0.3">
      <c r="A662" s="73">
        <v>41508</v>
      </c>
      <c r="B662" s="74">
        <v>18312.939999999999</v>
      </c>
      <c r="C662" s="74">
        <v>225.75</v>
      </c>
      <c r="D662" s="74">
        <f t="shared" si="21"/>
        <v>2.2477087841241639E-2</v>
      </c>
      <c r="E662" s="74">
        <f t="shared" si="22"/>
        <v>1.4051753455650287E-2</v>
      </c>
      <c r="F662" s="75"/>
    </row>
    <row r="663" spans="1:6" ht="14.25" customHeight="1" x14ac:dyDescent="0.3">
      <c r="A663" s="73">
        <v>41509</v>
      </c>
      <c r="B663" s="74">
        <v>18519.439999999999</v>
      </c>
      <c r="C663" s="74">
        <v>228.45</v>
      </c>
      <c r="D663" s="74">
        <f t="shared" si="21"/>
        <v>1.1213077387485545E-2</v>
      </c>
      <c r="E663" s="74">
        <f t="shared" si="22"/>
        <v>1.1889175712185609E-2</v>
      </c>
      <c r="F663" s="75"/>
    </row>
    <row r="664" spans="1:6" ht="14.25" customHeight="1" x14ac:dyDescent="0.3">
      <c r="A664" s="73">
        <v>41512</v>
      </c>
      <c r="B664" s="74">
        <v>18558.13</v>
      </c>
      <c r="C664" s="74">
        <v>227.95</v>
      </c>
      <c r="D664" s="74">
        <f t="shared" si="21"/>
        <v>2.0869767917783811E-3</v>
      </c>
      <c r="E664" s="74">
        <f t="shared" si="22"/>
        <v>-2.1910613498300779E-3</v>
      </c>
      <c r="F664" s="75"/>
    </row>
    <row r="665" spans="1:6" ht="14.25" customHeight="1" x14ac:dyDescent="0.3">
      <c r="A665" s="73">
        <v>41513</v>
      </c>
      <c r="B665" s="74">
        <v>17968.080000000002</v>
      </c>
      <c r="C665" s="74">
        <v>221.45</v>
      </c>
      <c r="D665" s="74">
        <f t="shared" si="21"/>
        <v>-3.2311117625726818E-2</v>
      </c>
      <c r="E665" s="74">
        <f t="shared" si="22"/>
        <v>-2.8929476290243165E-2</v>
      </c>
      <c r="F665" s="75"/>
    </row>
    <row r="666" spans="1:6" ht="14.25" customHeight="1" x14ac:dyDescent="0.3">
      <c r="A666" s="73">
        <v>41514</v>
      </c>
      <c r="B666" s="74">
        <v>17996.150000000001</v>
      </c>
      <c r="C666" s="74">
        <v>212.3</v>
      </c>
      <c r="D666" s="74">
        <f t="shared" si="21"/>
        <v>1.5609957838588495E-3</v>
      </c>
      <c r="E666" s="74">
        <f t="shared" si="22"/>
        <v>-4.2196461659996701E-2</v>
      </c>
      <c r="F666" s="75"/>
    </row>
    <row r="667" spans="1:6" ht="14.25" customHeight="1" x14ac:dyDescent="0.3">
      <c r="A667" s="73">
        <v>41515</v>
      </c>
      <c r="B667" s="74">
        <v>18401.04</v>
      </c>
      <c r="C667" s="74">
        <v>216.65</v>
      </c>
      <c r="D667" s="74">
        <f t="shared" si="21"/>
        <v>2.2249338626991778E-2</v>
      </c>
      <c r="E667" s="74">
        <f t="shared" si="22"/>
        <v>2.0282779476708035E-2</v>
      </c>
      <c r="F667" s="75"/>
    </row>
    <row r="668" spans="1:6" ht="14.25" customHeight="1" x14ac:dyDescent="0.3">
      <c r="A668" s="73">
        <v>41516</v>
      </c>
      <c r="B668" s="74">
        <v>18619.72</v>
      </c>
      <c r="C668" s="74">
        <v>223.85</v>
      </c>
      <c r="D668" s="74">
        <f t="shared" si="21"/>
        <v>1.181404938509318E-2</v>
      </c>
      <c r="E668" s="74">
        <f t="shared" si="22"/>
        <v>3.2693036501056046E-2</v>
      </c>
      <c r="F668" s="75"/>
    </row>
    <row r="669" spans="1:6" ht="14.25" customHeight="1" x14ac:dyDescent="0.3">
      <c r="A669" s="73">
        <v>41519</v>
      </c>
      <c r="B669" s="74">
        <v>18886.13</v>
      </c>
      <c r="C669" s="74">
        <v>229.95</v>
      </c>
      <c r="D669" s="74">
        <f t="shared" si="21"/>
        <v>1.4206556081014033E-2</v>
      </c>
      <c r="E669" s="74">
        <f t="shared" si="22"/>
        <v>2.6885709298958279E-2</v>
      </c>
      <c r="F669" s="75"/>
    </row>
    <row r="670" spans="1:6" ht="14.25" customHeight="1" x14ac:dyDescent="0.3">
      <c r="A670" s="73">
        <v>41520</v>
      </c>
      <c r="B670" s="74">
        <v>18234.66</v>
      </c>
      <c r="C670" s="74">
        <v>213.7</v>
      </c>
      <c r="D670" s="74">
        <f t="shared" si="21"/>
        <v>-3.5103611598093137E-2</v>
      </c>
      <c r="E670" s="74">
        <f t="shared" si="22"/>
        <v>-7.3288731660830941E-2</v>
      </c>
      <c r="F670" s="75"/>
    </row>
    <row r="671" spans="1:6" ht="14.25" customHeight="1" x14ac:dyDescent="0.3">
      <c r="A671" s="73">
        <v>41521</v>
      </c>
      <c r="B671" s="74">
        <v>18567.55</v>
      </c>
      <c r="C671" s="74">
        <v>215.9</v>
      </c>
      <c r="D671" s="74">
        <f t="shared" si="21"/>
        <v>1.8091254810236823E-2</v>
      </c>
      <c r="E671" s="74">
        <f t="shared" si="22"/>
        <v>1.0242175195659778E-2</v>
      </c>
      <c r="F671" s="75"/>
    </row>
    <row r="672" spans="1:6" ht="14.25" customHeight="1" x14ac:dyDescent="0.3">
      <c r="A672" s="73">
        <v>41522</v>
      </c>
      <c r="B672" s="74">
        <v>18979.759999999998</v>
      </c>
      <c r="C672" s="74">
        <v>231.3</v>
      </c>
      <c r="D672" s="74">
        <f t="shared" si="21"/>
        <v>2.1957714777449216E-2</v>
      </c>
      <c r="E672" s="74">
        <f t="shared" si="22"/>
        <v>6.8900231716631899E-2</v>
      </c>
      <c r="F672" s="75"/>
    </row>
    <row r="673" spans="1:6" ht="14.25" customHeight="1" x14ac:dyDescent="0.3">
      <c r="A673" s="73">
        <v>41523</v>
      </c>
      <c r="B673" s="74">
        <v>19270.060000000001</v>
      </c>
      <c r="C673" s="74">
        <v>228.45</v>
      </c>
      <c r="D673" s="74">
        <f t="shared" si="21"/>
        <v>1.5179447857108213E-2</v>
      </c>
      <c r="E673" s="74">
        <f t="shared" si="22"/>
        <v>-1.2398201228113057E-2</v>
      </c>
      <c r="F673" s="75"/>
    </row>
    <row r="674" spans="1:6" ht="14.25" customHeight="1" x14ac:dyDescent="0.3">
      <c r="A674" s="73">
        <v>41527</v>
      </c>
      <c r="B674" s="74">
        <v>19997.09</v>
      </c>
      <c r="C674" s="74">
        <v>242.55</v>
      </c>
      <c r="D674" s="74">
        <f t="shared" si="21"/>
        <v>3.7034166898253576E-2</v>
      </c>
      <c r="E674" s="74">
        <f t="shared" si="22"/>
        <v>5.989050668194508E-2</v>
      </c>
      <c r="F674" s="75"/>
    </row>
    <row r="675" spans="1:6" ht="14.25" customHeight="1" x14ac:dyDescent="0.3">
      <c r="A675" s="73">
        <v>41528</v>
      </c>
      <c r="B675" s="74">
        <v>19997.45</v>
      </c>
      <c r="C675" s="74">
        <v>238</v>
      </c>
      <c r="D675" s="74">
        <f t="shared" si="21"/>
        <v>1.8002457336022464E-5</v>
      </c>
      <c r="E675" s="74">
        <f t="shared" si="22"/>
        <v>-1.8937201019750844E-2</v>
      </c>
      <c r="F675" s="75"/>
    </row>
    <row r="676" spans="1:6" ht="14.25" customHeight="1" x14ac:dyDescent="0.3">
      <c r="A676" s="73">
        <v>41529</v>
      </c>
      <c r="B676" s="74">
        <v>19781.88</v>
      </c>
      <c r="C676" s="74">
        <v>232.05</v>
      </c>
      <c r="D676" s="74">
        <f t="shared" si="21"/>
        <v>-1.0838398246640797E-2</v>
      </c>
      <c r="E676" s="74">
        <f t="shared" si="22"/>
        <v>-2.5317807984289783E-2</v>
      </c>
      <c r="F676" s="75"/>
    </row>
    <row r="677" spans="1:6" ht="14.25" customHeight="1" x14ac:dyDescent="0.3">
      <c r="A677" s="73">
        <v>41530</v>
      </c>
      <c r="B677" s="74">
        <v>19732.759999999998</v>
      </c>
      <c r="C677" s="74">
        <v>226.1</v>
      </c>
      <c r="D677" s="74">
        <f t="shared" si="21"/>
        <v>-2.4861684328153456E-3</v>
      </c>
      <c r="E677" s="74">
        <f t="shared" si="22"/>
        <v>-2.5975486403260677E-2</v>
      </c>
      <c r="F677" s="75"/>
    </row>
    <row r="678" spans="1:6" ht="14.25" customHeight="1" x14ac:dyDescent="0.3">
      <c r="A678" s="73">
        <v>41533</v>
      </c>
      <c r="B678" s="74">
        <v>19742.47</v>
      </c>
      <c r="C678" s="74">
        <v>224</v>
      </c>
      <c r="D678" s="74">
        <f t="shared" si="21"/>
        <v>4.919540783339157E-4</v>
      </c>
      <c r="E678" s="74">
        <f t="shared" si="22"/>
        <v>-9.3313274288843052E-3</v>
      </c>
      <c r="F678" s="75"/>
    </row>
    <row r="679" spans="1:6" ht="14.25" customHeight="1" x14ac:dyDescent="0.3">
      <c r="A679" s="73">
        <v>41534</v>
      </c>
      <c r="B679" s="74">
        <v>19804.03</v>
      </c>
      <c r="C679" s="74">
        <v>221.9</v>
      </c>
      <c r="D679" s="74">
        <f t="shared" si="21"/>
        <v>3.1132995194618996E-3</v>
      </c>
      <c r="E679" s="74">
        <f t="shared" si="22"/>
        <v>-9.4192219164916397E-3</v>
      </c>
      <c r="F679" s="75"/>
    </row>
    <row r="680" spans="1:6" ht="14.25" customHeight="1" x14ac:dyDescent="0.3">
      <c r="A680" s="73">
        <v>41535</v>
      </c>
      <c r="B680" s="74">
        <v>19962.16</v>
      </c>
      <c r="C680" s="74">
        <v>222.9</v>
      </c>
      <c r="D680" s="74">
        <f t="shared" si="21"/>
        <v>7.9530291176929512E-3</v>
      </c>
      <c r="E680" s="74">
        <f t="shared" si="22"/>
        <v>4.4964104532750357E-3</v>
      </c>
      <c r="F680" s="75"/>
    </row>
    <row r="681" spans="1:6" ht="14.25" customHeight="1" x14ac:dyDescent="0.3">
      <c r="A681" s="73">
        <v>41536</v>
      </c>
      <c r="B681" s="74">
        <v>20646.64</v>
      </c>
      <c r="C681" s="74">
        <v>228.85</v>
      </c>
      <c r="D681" s="74">
        <f t="shared" si="21"/>
        <v>3.3714112842415524E-2</v>
      </c>
      <c r="E681" s="74">
        <f t="shared" si="22"/>
        <v>2.6343526707827868E-2</v>
      </c>
      <c r="F681" s="75"/>
    </row>
    <row r="682" spans="1:6" ht="14.25" customHeight="1" x14ac:dyDescent="0.3">
      <c r="A682" s="73">
        <v>41537</v>
      </c>
      <c r="B682" s="74">
        <v>20263.71</v>
      </c>
      <c r="C682" s="74">
        <v>232.35</v>
      </c>
      <c r="D682" s="74">
        <f t="shared" si="21"/>
        <v>-1.872099280021898E-2</v>
      </c>
      <c r="E682" s="74">
        <f t="shared" si="22"/>
        <v>1.5178088431336178E-2</v>
      </c>
      <c r="F682" s="75"/>
    </row>
    <row r="683" spans="1:6" ht="14.25" customHeight="1" x14ac:dyDescent="0.3">
      <c r="A683" s="73">
        <v>41540</v>
      </c>
      <c r="B683" s="74">
        <v>19900.96</v>
      </c>
      <c r="C683" s="74">
        <v>241.5</v>
      </c>
      <c r="D683" s="74">
        <f t="shared" si="21"/>
        <v>-1.806362973049716E-2</v>
      </c>
      <c r="E683" s="74">
        <f t="shared" si="22"/>
        <v>3.8624617561640116E-2</v>
      </c>
      <c r="F683" s="75"/>
    </row>
    <row r="684" spans="1:6" ht="14.25" customHeight="1" x14ac:dyDescent="0.3">
      <c r="A684" s="73">
        <v>41541</v>
      </c>
      <c r="B684" s="74">
        <v>19920.21</v>
      </c>
      <c r="C684" s="74">
        <v>243.65</v>
      </c>
      <c r="D684" s="74">
        <f t="shared" si="21"/>
        <v>9.6682249665140327E-4</v>
      </c>
      <c r="E684" s="74">
        <f t="shared" si="22"/>
        <v>8.8632961968878755E-3</v>
      </c>
      <c r="F684" s="75"/>
    </row>
    <row r="685" spans="1:6" ht="14.25" customHeight="1" x14ac:dyDescent="0.3">
      <c r="A685" s="73">
        <v>41542</v>
      </c>
      <c r="B685" s="74">
        <v>19856.240000000002</v>
      </c>
      <c r="C685" s="74">
        <v>244.35</v>
      </c>
      <c r="D685" s="74">
        <f t="shared" si="21"/>
        <v>-3.2164788537631748E-3</v>
      </c>
      <c r="E685" s="74">
        <f t="shared" si="22"/>
        <v>2.8688544266485361E-3</v>
      </c>
      <c r="F685" s="75"/>
    </row>
    <row r="686" spans="1:6" ht="14.25" customHeight="1" x14ac:dyDescent="0.3">
      <c r="A686" s="73">
        <v>41543</v>
      </c>
      <c r="B686" s="74">
        <v>19893.849999999999</v>
      </c>
      <c r="C686" s="74">
        <v>240.95</v>
      </c>
      <c r="D686" s="74">
        <f t="shared" si="21"/>
        <v>1.8923233242036121E-3</v>
      </c>
      <c r="E686" s="74">
        <f t="shared" si="22"/>
        <v>-1.4012180629822117E-2</v>
      </c>
      <c r="F686" s="75"/>
    </row>
    <row r="687" spans="1:6" ht="14.25" customHeight="1" x14ac:dyDescent="0.3">
      <c r="A687" s="73">
        <v>41544</v>
      </c>
      <c r="B687" s="74">
        <v>19727.27</v>
      </c>
      <c r="C687" s="74">
        <v>234.85</v>
      </c>
      <c r="D687" s="74">
        <f t="shared" si="21"/>
        <v>-8.4086962467673776E-3</v>
      </c>
      <c r="E687" s="74">
        <f t="shared" si="22"/>
        <v>-2.564243061333767E-2</v>
      </c>
      <c r="F687" s="75"/>
    </row>
    <row r="688" spans="1:6" ht="14.25" customHeight="1" x14ac:dyDescent="0.3">
      <c r="A688" s="73">
        <v>41547</v>
      </c>
      <c r="B688" s="74">
        <v>19379.77</v>
      </c>
      <c r="C688" s="74">
        <v>232.1</v>
      </c>
      <c r="D688" s="74">
        <f t="shared" si="21"/>
        <v>-1.7772204006092258E-2</v>
      </c>
      <c r="E688" s="74">
        <f t="shared" si="22"/>
        <v>-1.1778699192612763E-2</v>
      </c>
      <c r="F688" s="75"/>
    </row>
    <row r="689" spans="1:6" ht="14.25" customHeight="1" x14ac:dyDescent="0.3">
      <c r="A689" s="73">
        <v>41548</v>
      </c>
      <c r="B689" s="74">
        <v>19517.150000000001</v>
      </c>
      <c r="C689" s="74">
        <v>234.85</v>
      </c>
      <c r="D689" s="74">
        <f t="shared" si="21"/>
        <v>7.0638277398106181E-3</v>
      </c>
      <c r="E689" s="74">
        <f t="shared" si="22"/>
        <v>1.1778699192612705E-2</v>
      </c>
      <c r="F689" s="75"/>
    </row>
    <row r="690" spans="1:6" ht="14.25" customHeight="1" x14ac:dyDescent="0.3">
      <c r="A690" s="73">
        <v>41550</v>
      </c>
      <c r="B690" s="74">
        <v>19902.07</v>
      </c>
      <c r="C690" s="74">
        <v>239.6</v>
      </c>
      <c r="D690" s="74">
        <f t="shared" si="21"/>
        <v>1.953018019428384E-2</v>
      </c>
      <c r="E690" s="74">
        <f t="shared" si="22"/>
        <v>2.002385376829028E-2</v>
      </c>
      <c r="F690" s="75"/>
    </row>
    <row r="691" spans="1:6" ht="14.25" customHeight="1" x14ac:dyDescent="0.3">
      <c r="A691" s="73">
        <v>41551</v>
      </c>
      <c r="B691" s="74">
        <v>19915.95</v>
      </c>
      <c r="C691" s="74">
        <v>240.45</v>
      </c>
      <c r="D691" s="74">
        <f t="shared" si="21"/>
        <v>6.9717181126529801E-4</v>
      </c>
      <c r="E691" s="74">
        <f t="shared" si="22"/>
        <v>3.5413014823772984E-3</v>
      </c>
      <c r="F691" s="75"/>
    </row>
    <row r="692" spans="1:6" ht="14.25" customHeight="1" x14ac:dyDescent="0.3">
      <c r="A692" s="73">
        <v>41554</v>
      </c>
      <c r="B692" s="74">
        <v>19895.099999999999</v>
      </c>
      <c r="C692" s="74">
        <v>239</v>
      </c>
      <c r="D692" s="74">
        <f t="shared" si="21"/>
        <v>-1.047447977699401E-3</v>
      </c>
      <c r="E692" s="74">
        <f t="shared" si="22"/>
        <v>-6.0486157921608979E-3</v>
      </c>
      <c r="F692" s="75"/>
    </row>
    <row r="693" spans="1:6" ht="14.25" customHeight="1" x14ac:dyDescent="0.3">
      <c r="A693" s="73">
        <v>41555</v>
      </c>
      <c r="B693" s="74">
        <v>19983.61</v>
      </c>
      <c r="C693" s="74">
        <v>240.85</v>
      </c>
      <c r="D693" s="74">
        <f t="shared" si="21"/>
        <v>4.4389673255003865E-3</v>
      </c>
      <c r="E693" s="74">
        <f t="shared" si="22"/>
        <v>7.710781144719004E-3</v>
      </c>
      <c r="F693" s="75"/>
    </row>
    <row r="694" spans="1:6" ht="14.25" customHeight="1" x14ac:dyDescent="0.3">
      <c r="A694" s="73">
        <v>41556</v>
      </c>
      <c r="B694" s="74">
        <v>20249.259999999998</v>
      </c>
      <c r="C694" s="74">
        <v>240.35</v>
      </c>
      <c r="D694" s="74">
        <f t="shared" si="21"/>
        <v>1.3205812094652261E-2</v>
      </c>
      <c r="E694" s="74">
        <f t="shared" si="22"/>
        <v>-2.0781387362601004E-3</v>
      </c>
      <c r="F694" s="75"/>
    </row>
    <row r="695" spans="1:6" ht="14.25" customHeight="1" x14ac:dyDescent="0.3">
      <c r="A695" s="73">
        <v>41557</v>
      </c>
      <c r="B695" s="74">
        <v>20272.91</v>
      </c>
      <c r="C695" s="74">
        <v>239.05</v>
      </c>
      <c r="D695" s="74">
        <f t="shared" si="21"/>
        <v>1.1672623990899827E-3</v>
      </c>
      <c r="E695" s="74">
        <f t="shared" si="22"/>
        <v>-5.4234592678572479E-3</v>
      </c>
      <c r="F695" s="75"/>
    </row>
    <row r="696" spans="1:6" ht="14.25" customHeight="1" x14ac:dyDescent="0.3">
      <c r="A696" s="73">
        <v>41558</v>
      </c>
      <c r="B696" s="74">
        <v>20528.59</v>
      </c>
      <c r="C696" s="74">
        <v>237.85</v>
      </c>
      <c r="D696" s="74">
        <f t="shared" si="21"/>
        <v>1.2533036617705903E-2</v>
      </c>
      <c r="E696" s="74">
        <f t="shared" si="22"/>
        <v>-5.032512193821983E-3</v>
      </c>
      <c r="F696" s="75"/>
    </row>
    <row r="697" spans="1:6" ht="14.25" customHeight="1" x14ac:dyDescent="0.3">
      <c r="A697" s="73">
        <v>41561</v>
      </c>
      <c r="B697" s="74">
        <v>20607.54</v>
      </c>
      <c r="C697" s="74">
        <v>237.2</v>
      </c>
      <c r="D697" s="74">
        <f t="shared" si="21"/>
        <v>3.8384795524968114E-3</v>
      </c>
      <c r="E697" s="74">
        <f t="shared" si="22"/>
        <v>-2.7365557547201348E-3</v>
      </c>
      <c r="F697" s="75"/>
    </row>
    <row r="698" spans="1:6" ht="14.25" customHeight="1" x14ac:dyDescent="0.3">
      <c r="A698" s="73">
        <v>41562</v>
      </c>
      <c r="B698" s="74">
        <v>20547.62</v>
      </c>
      <c r="C698" s="74">
        <v>234.05</v>
      </c>
      <c r="D698" s="74">
        <f t="shared" si="21"/>
        <v>-2.9119090942443747E-3</v>
      </c>
      <c r="E698" s="74">
        <f t="shared" si="22"/>
        <v>-1.3368899377490711E-2</v>
      </c>
      <c r="F698" s="75"/>
    </row>
    <row r="699" spans="1:6" ht="14.25" customHeight="1" x14ac:dyDescent="0.3">
      <c r="A699" s="73">
        <v>41564</v>
      </c>
      <c r="B699" s="74">
        <v>20415.509999999998</v>
      </c>
      <c r="C699" s="74">
        <v>241.45</v>
      </c>
      <c r="D699" s="74">
        <f t="shared" si="21"/>
        <v>-6.4502130593437311E-3</v>
      </c>
      <c r="E699" s="74">
        <f t="shared" si="22"/>
        <v>3.1127644573471308E-2</v>
      </c>
      <c r="F699" s="75"/>
    </row>
    <row r="700" spans="1:6" ht="14.25" customHeight="1" x14ac:dyDescent="0.3">
      <c r="A700" s="73">
        <v>41565</v>
      </c>
      <c r="B700" s="74">
        <v>20882.89</v>
      </c>
      <c r="C700" s="74">
        <v>242.15</v>
      </c>
      <c r="D700" s="74">
        <f t="shared" si="21"/>
        <v>2.2635257307691968E-2</v>
      </c>
      <c r="E700" s="74">
        <f t="shared" si="22"/>
        <v>2.8949565296873181E-3</v>
      </c>
      <c r="F700" s="75"/>
    </row>
    <row r="701" spans="1:6" ht="14.25" customHeight="1" x14ac:dyDescent="0.3">
      <c r="A701" s="73">
        <v>41568</v>
      </c>
      <c r="B701" s="74">
        <v>20893.89</v>
      </c>
      <c r="C701" s="74">
        <v>240.8</v>
      </c>
      <c r="D701" s="74">
        <f t="shared" si="21"/>
        <v>5.2660833382591106E-4</v>
      </c>
      <c r="E701" s="74">
        <f t="shared" si="22"/>
        <v>-5.5906554145721699E-3</v>
      </c>
      <c r="F701" s="75"/>
    </row>
    <row r="702" spans="1:6" ht="14.25" customHeight="1" x14ac:dyDescent="0.3">
      <c r="A702" s="73">
        <v>41569</v>
      </c>
      <c r="B702" s="74">
        <v>20864.97</v>
      </c>
      <c r="C702" s="74">
        <v>238.2</v>
      </c>
      <c r="D702" s="74">
        <f t="shared" si="21"/>
        <v>-1.3850955042143099E-3</v>
      </c>
      <c r="E702" s="74">
        <f t="shared" si="22"/>
        <v>-1.0856056513466342E-2</v>
      </c>
      <c r="F702" s="75"/>
    </row>
    <row r="703" spans="1:6" ht="14.25" customHeight="1" x14ac:dyDescent="0.3">
      <c r="A703" s="73">
        <v>41570</v>
      </c>
      <c r="B703" s="74">
        <v>20767.88</v>
      </c>
      <c r="C703" s="74">
        <v>239.6</v>
      </c>
      <c r="D703" s="74">
        <f t="shared" si="21"/>
        <v>-4.6641138431591364E-3</v>
      </c>
      <c r="E703" s="74">
        <f t="shared" si="22"/>
        <v>5.8602093200946634E-3</v>
      </c>
      <c r="F703" s="75"/>
    </row>
    <row r="704" spans="1:6" ht="14.25" customHeight="1" x14ac:dyDescent="0.3">
      <c r="A704" s="73">
        <v>41571</v>
      </c>
      <c r="B704" s="74">
        <v>20725.43</v>
      </c>
      <c r="C704" s="74">
        <v>241.05</v>
      </c>
      <c r="D704" s="74">
        <f t="shared" si="21"/>
        <v>-2.0461136896541333E-3</v>
      </c>
      <c r="E704" s="74">
        <f t="shared" si="22"/>
        <v>6.0335146103371422E-3</v>
      </c>
      <c r="F704" s="75"/>
    </row>
    <row r="705" spans="1:6" ht="14.25" customHeight="1" x14ac:dyDescent="0.3">
      <c r="A705" s="73">
        <v>41572</v>
      </c>
      <c r="B705" s="74">
        <v>20683.52</v>
      </c>
      <c r="C705" s="74">
        <v>243.9</v>
      </c>
      <c r="D705" s="74">
        <f t="shared" si="21"/>
        <v>-2.0242007735104721E-3</v>
      </c>
      <c r="E705" s="74">
        <f t="shared" si="22"/>
        <v>1.175392437024333E-2</v>
      </c>
      <c r="F705" s="75"/>
    </row>
    <row r="706" spans="1:6" ht="14.25" customHeight="1" x14ac:dyDescent="0.3">
      <c r="A706" s="73">
        <v>41575</v>
      </c>
      <c r="B706" s="74">
        <v>20570.28</v>
      </c>
      <c r="C706" s="74">
        <v>249.95</v>
      </c>
      <c r="D706" s="74">
        <f t="shared" si="21"/>
        <v>-5.4899322930212421E-3</v>
      </c>
      <c r="E706" s="74">
        <f t="shared" si="22"/>
        <v>2.4502592637704764E-2</v>
      </c>
      <c r="F706" s="75"/>
    </row>
    <row r="707" spans="1:6" ht="14.25" customHeight="1" x14ac:dyDescent="0.3">
      <c r="A707" s="73">
        <v>41576</v>
      </c>
      <c r="B707" s="74">
        <v>20929.009999999998</v>
      </c>
      <c r="C707" s="74">
        <v>255.05</v>
      </c>
      <c r="D707" s="74">
        <f t="shared" si="21"/>
        <v>1.7288919185026383E-2</v>
      </c>
      <c r="E707" s="74">
        <f t="shared" si="22"/>
        <v>2.0198706509356363E-2</v>
      </c>
      <c r="F707" s="75"/>
    </row>
    <row r="708" spans="1:6" ht="14.25" customHeight="1" x14ac:dyDescent="0.3">
      <c r="A708" s="73">
        <v>41577</v>
      </c>
      <c r="B708" s="74">
        <v>21033.97</v>
      </c>
      <c r="C708" s="74">
        <v>255.7</v>
      </c>
      <c r="D708" s="74">
        <f t="shared" ref="D708:D771" si="23">LN(B708/B707)</f>
        <v>5.0025150209358762E-3</v>
      </c>
      <c r="E708" s="74">
        <f t="shared" ref="E708:E771" si="24">LN(C708/C707)</f>
        <v>2.5452779282052139E-3</v>
      </c>
      <c r="F708" s="75"/>
    </row>
    <row r="709" spans="1:6" ht="14.25" customHeight="1" x14ac:dyDescent="0.3">
      <c r="A709" s="73">
        <v>41578</v>
      </c>
      <c r="B709" s="74">
        <v>21164.52</v>
      </c>
      <c r="C709" s="74">
        <v>266.3</v>
      </c>
      <c r="D709" s="74">
        <f t="shared" si="23"/>
        <v>6.1874449300396888E-3</v>
      </c>
      <c r="E709" s="74">
        <f t="shared" si="24"/>
        <v>4.0618610522745686E-2</v>
      </c>
      <c r="F709" s="75"/>
    </row>
    <row r="710" spans="1:6" ht="14.25" customHeight="1" x14ac:dyDescent="0.3">
      <c r="A710" s="73">
        <v>41579</v>
      </c>
      <c r="B710" s="74">
        <v>21196.81</v>
      </c>
      <c r="C710" s="74">
        <v>261.55</v>
      </c>
      <c r="D710" s="74">
        <f t="shared" si="23"/>
        <v>1.5245038932345679E-3</v>
      </c>
      <c r="E710" s="74">
        <f t="shared" si="24"/>
        <v>-1.7998023003266438E-2</v>
      </c>
      <c r="F710" s="75"/>
    </row>
    <row r="711" spans="1:6" ht="14.25" customHeight="1" x14ac:dyDescent="0.3">
      <c r="A711" s="73">
        <v>41581</v>
      </c>
      <c r="B711" s="74">
        <v>21239.360000000001</v>
      </c>
      <c r="C711" s="74">
        <v>262.2</v>
      </c>
      <c r="D711" s="74">
        <f t="shared" si="23"/>
        <v>2.0053654351715414E-3</v>
      </c>
      <c r="E711" s="74">
        <f t="shared" si="24"/>
        <v>2.4821015129793717E-3</v>
      </c>
      <c r="F711" s="75"/>
    </row>
    <row r="712" spans="1:6" ht="14.25" customHeight="1" x14ac:dyDescent="0.3">
      <c r="A712" s="73">
        <v>41583</v>
      </c>
      <c r="B712" s="74">
        <v>20974.79</v>
      </c>
      <c r="C712" s="74">
        <v>258.39999999999998</v>
      </c>
      <c r="D712" s="74">
        <f t="shared" si="23"/>
        <v>-1.2534823708824304E-2</v>
      </c>
      <c r="E712" s="74">
        <f t="shared" si="24"/>
        <v>-1.4598799421152749E-2</v>
      </c>
      <c r="F712" s="75"/>
    </row>
    <row r="713" spans="1:6" ht="14.25" customHeight="1" x14ac:dyDescent="0.3">
      <c r="A713" s="73">
        <v>41584</v>
      </c>
      <c r="B713" s="74">
        <v>20894.939999999999</v>
      </c>
      <c r="C713" s="74">
        <v>249</v>
      </c>
      <c r="D713" s="74">
        <f t="shared" si="23"/>
        <v>-3.8142159888021935E-3</v>
      </c>
      <c r="E713" s="74">
        <f t="shared" si="24"/>
        <v>-3.7055875443739027E-2</v>
      </c>
      <c r="F713" s="75"/>
    </row>
    <row r="714" spans="1:6" ht="14.25" customHeight="1" x14ac:dyDescent="0.3">
      <c r="A714" s="73">
        <v>41585</v>
      </c>
      <c r="B714" s="74">
        <v>20822.77</v>
      </c>
      <c r="C714" s="74">
        <v>242.05</v>
      </c>
      <c r="D714" s="74">
        <f t="shared" si="23"/>
        <v>-3.4599249093997253E-3</v>
      </c>
      <c r="E714" s="74">
        <f t="shared" si="24"/>
        <v>-2.8308580079004244E-2</v>
      </c>
      <c r="F714" s="75"/>
    </row>
    <row r="715" spans="1:6" ht="14.25" customHeight="1" x14ac:dyDescent="0.3">
      <c r="A715" s="73">
        <v>41586</v>
      </c>
      <c r="B715" s="74">
        <v>20666.150000000001</v>
      </c>
      <c r="C715" s="74">
        <v>234.4</v>
      </c>
      <c r="D715" s="74">
        <f t="shared" si="23"/>
        <v>-7.550003421520477E-3</v>
      </c>
      <c r="E715" s="74">
        <f t="shared" si="24"/>
        <v>-3.2115258682845815E-2</v>
      </c>
      <c r="F715" s="75"/>
    </row>
    <row r="716" spans="1:6" ht="14.25" customHeight="1" x14ac:dyDescent="0.3">
      <c r="A716" s="73">
        <v>41589</v>
      </c>
      <c r="B716" s="74">
        <v>20490.96</v>
      </c>
      <c r="C716" s="74">
        <v>231.85</v>
      </c>
      <c r="D716" s="74">
        <f t="shared" si="23"/>
        <v>-8.5132827882079386E-3</v>
      </c>
      <c r="E716" s="74">
        <f t="shared" si="24"/>
        <v>-1.0938446865387808E-2</v>
      </c>
      <c r="F716" s="75"/>
    </row>
    <row r="717" spans="1:6" ht="14.25" customHeight="1" x14ac:dyDescent="0.3">
      <c r="A717" s="73">
        <v>41590</v>
      </c>
      <c r="B717" s="74">
        <v>20281.91</v>
      </c>
      <c r="C717" s="74">
        <v>232.1</v>
      </c>
      <c r="D717" s="74">
        <f t="shared" si="23"/>
        <v>-1.0254457528515476E-2</v>
      </c>
      <c r="E717" s="74">
        <f t="shared" si="24"/>
        <v>1.0777024429215435E-3</v>
      </c>
      <c r="F717" s="75"/>
    </row>
    <row r="718" spans="1:6" ht="14.25" customHeight="1" x14ac:dyDescent="0.3">
      <c r="A718" s="73">
        <v>41591</v>
      </c>
      <c r="B718" s="74">
        <v>20194.400000000001</v>
      </c>
      <c r="C718" s="74">
        <v>233.25</v>
      </c>
      <c r="D718" s="74">
        <f t="shared" si="23"/>
        <v>-4.3240174980751066E-3</v>
      </c>
      <c r="E718" s="74">
        <f t="shared" si="24"/>
        <v>4.9425264470618971E-3</v>
      </c>
      <c r="F718" s="75"/>
    </row>
    <row r="719" spans="1:6" ht="14.25" customHeight="1" x14ac:dyDescent="0.3">
      <c r="A719" s="73">
        <v>41592</v>
      </c>
      <c r="B719" s="74">
        <v>20399.419999999998</v>
      </c>
      <c r="C719" s="74">
        <v>233.55</v>
      </c>
      <c r="D719" s="74">
        <f t="shared" si="23"/>
        <v>1.0101130823764364E-2</v>
      </c>
      <c r="E719" s="74">
        <f t="shared" si="24"/>
        <v>1.2853472206639412E-3</v>
      </c>
      <c r="F719" s="75"/>
    </row>
    <row r="720" spans="1:6" ht="14.25" customHeight="1" x14ac:dyDescent="0.3">
      <c r="A720" s="73">
        <v>41596</v>
      </c>
      <c r="B720" s="74">
        <v>20850.740000000002</v>
      </c>
      <c r="C720" s="74">
        <v>236.25</v>
      </c>
      <c r="D720" s="74">
        <f t="shared" si="23"/>
        <v>2.1882970148270522E-2</v>
      </c>
      <c r="E720" s="74">
        <f t="shared" si="24"/>
        <v>1.1494379425734991E-2</v>
      </c>
      <c r="F720" s="75"/>
    </row>
    <row r="721" spans="1:6" ht="14.25" customHeight="1" x14ac:dyDescent="0.3">
      <c r="A721" s="73">
        <v>41597</v>
      </c>
      <c r="B721" s="74">
        <v>20890.82</v>
      </c>
      <c r="C721" s="74">
        <v>234.2</v>
      </c>
      <c r="D721" s="74">
        <f t="shared" si="23"/>
        <v>1.9203888075845291E-3</v>
      </c>
      <c r="E721" s="74">
        <f t="shared" si="24"/>
        <v>-8.7151152102352188E-3</v>
      </c>
      <c r="F721" s="75"/>
    </row>
    <row r="722" spans="1:6" ht="14.25" customHeight="1" x14ac:dyDescent="0.3">
      <c r="A722" s="73">
        <v>41598</v>
      </c>
      <c r="B722" s="74">
        <v>20635.13</v>
      </c>
      <c r="C722" s="74">
        <v>227.85</v>
      </c>
      <c r="D722" s="74">
        <f t="shared" si="23"/>
        <v>-1.2314864868827885E-2</v>
      </c>
      <c r="E722" s="74">
        <f t="shared" si="24"/>
        <v>-2.7487933453725369E-2</v>
      </c>
      <c r="F722" s="75"/>
    </row>
    <row r="723" spans="1:6" ht="14.25" customHeight="1" x14ac:dyDescent="0.3">
      <c r="A723" s="73">
        <v>41599</v>
      </c>
      <c r="B723" s="74">
        <v>20229.05</v>
      </c>
      <c r="C723" s="74">
        <v>223.65</v>
      </c>
      <c r="D723" s="74">
        <f t="shared" si="23"/>
        <v>-1.987527304392394E-2</v>
      </c>
      <c r="E723" s="74">
        <f t="shared" si="24"/>
        <v>-1.8605187831034358E-2</v>
      </c>
      <c r="F723" s="75"/>
    </row>
    <row r="724" spans="1:6" ht="14.25" customHeight="1" x14ac:dyDescent="0.3">
      <c r="A724" s="73">
        <v>41600</v>
      </c>
      <c r="B724" s="74">
        <v>20217.39</v>
      </c>
      <c r="C724" s="74">
        <v>226.85</v>
      </c>
      <c r="D724" s="74">
        <f t="shared" si="23"/>
        <v>-5.7656497447030339E-4</v>
      </c>
      <c r="E724" s="74">
        <f t="shared" si="24"/>
        <v>1.4206676231115711E-2</v>
      </c>
      <c r="F724" s="75"/>
    </row>
    <row r="725" spans="1:6" ht="14.25" customHeight="1" x14ac:dyDescent="0.3">
      <c r="A725" s="73">
        <v>41603</v>
      </c>
      <c r="B725" s="74">
        <v>20605.080000000002</v>
      </c>
      <c r="C725" s="74">
        <v>228.4</v>
      </c>
      <c r="D725" s="74">
        <f t="shared" si="23"/>
        <v>1.8994522193946629E-2</v>
      </c>
      <c r="E725" s="74">
        <f t="shared" si="24"/>
        <v>6.8094716718821984E-3</v>
      </c>
      <c r="F725" s="75"/>
    </row>
    <row r="726" spans="1:6" ht="14.25" customHeight="1" x14ac:dyDescent="0.3">
      <c r="A726" s="73">
        <v>41604</v>
      </c>
      <c r="B726" s="74">
        <v>20425.02</v>
      </c>
      <c r="C726" s="74">
        <v>225.1</v>
      </c>
      <c r="D726" s="74">
        <f t="shared" si="23"/>
        <v>-8.7770273982684267E-3</v>
      </c>
      <c r="E726" s="74">
        <f t="shared" si="24"/>
        <v>-1.4553729869168672E-2</v>
      </c>
      <c r="F726" s="75"/>
    </row>
    <row r="727" spans="1:6" ht="14.25" customHeight="1" x14ac:dyDescent="0.3">
      <c r="A727" s="73">
        <v>41605</v>
      </c>
      <c r="B727" s="74">
        <v>20420.259999999998</v>
      </c>
      <c r="C727" s="74">
        <v>227.8</v>
      </c>
      <c r="D727" s="74">
        <f t="shared" si="23"/>
        <v>-2.3307466721004584E-4</v>
      </c>
      <c r="E727" s="74">
        <f t="shared" si="24"/>
        <v>1.1923303100395207E-2</v>
      </c>
      <c r="F727" s="75"/>
    </row>
    <row r="728" spans="1:6" ht="14.25" customHeight="1" x14ac:dyDescent="0.3">
      <c r="A728" s="73">
        <v>41606</v>
      </c>
      <c r="B728" s="74">
        <v>20534.91</v>
      </c>
      <c r="C728" s="74">
        <v>227.3</v>
      </c>
      <c r="D728" s="74">
        <f t="shared" si="23"/>
        <v>5.5988193672343372E-3</v>
      </c>
      <c r="E728" s="74">
        <f t="shared" si="24"/>
        <v>-2.1973201545841979E-3</v>
      </c>
      <c r="F728" s="75"/>
    </row>
    <row r="729" spans="1:6" ht="14.25" customHeight="1" x14ac:dyDescent="0.3">
      <c r="A729" s="73">
        <v>41607</v>
      </c>
      <c r="B729" s="74">
        <v>20791.93</v>
      </c>
      <c r="C729" s="74">
        <v>229</v>
      </c>
      <c r="D729" s="74">
        <f t="shared" si="23"/>
        <v>1.243856601625162E-2</v>
      </c>
      <c r="E729" s="74">
        <f t="shared" si="24"/>
        <v>7.4512726957420604E-3</v>
      </c>
      <c r="F729" s="75"/>
    </row>
    <row r="730" spans="1:6" ht="14.25" customHeight="1" x14ac:dyDescent="0.3">
      <c r="A730" s="73">
        <v>41610</v>
      </c>
      <c r="B730" s="74">
        <v>20898.009999999998</v>
      </c>
      <c r="C730" s="74">
        <v>228.3</v>
      </c>
      <c r="D730" s="74">
        <f t="shared" si="23"/>
        <v>5.0890084724651606E-3</v>
      </c>
      <c r="E730" s="74">
        <f t="shared" si="24"/>
        <v>-3.0614500184897118E-3</v>
      </c>
      <c r="F730" s="75"/>
    </row>
    <row r="731" spans="1:6" ht="14.25" customHeight="1" x14ac:dyDescent="0.3">
      <c r="A731" s="73">
        <v>41611</v>
      </c>
      <c r="B731" s="74">
        <v>20854.919999999998</v>
      </c>
      <c r="C731" s="74">
        <v>225.35</v>
      </c>
      <c r="D731" s="74">
        <f t="shared" si="23"/>
        <v>-2.0640474954929907E-3</v>
      </c>
      <c r="E731" s="74">
        <f t="shared" si="24"/>
        <v>-1.3005804399092642E-2</v>
      </c>
      <c r="F731" s="75"/>
    </row>
    <row r="732" spans="1:6" ht="14.25" customHeight="1" x14ac:dyDescent="0.3">
      <c r="A732" s="73">
        <v>41612</v>
      </c>
      <c r="B732" s="74">
        <v>20708.71</v>
      </c>
      <c r="C732" s="74">
        <v>225.05</v>
      </c>
      <c r="D732" s="74">
        <f t="shared" si="23"/>
        <v>-7.0355069129303836E-3</v>
      </c>
      <c r="E732" s="74">
        <f t="shared" si="24"/>
        <v>-1.3321493977155089E-3</v>
      </c>
      <c r="F732" s="75"/>
    </row>
    <row r="733" spans="1:6" ht="14.25" customHeight="1" x14ac:dyDescent="0.3">
      <c r="A733" s="73">
        <v>41613</v>
      </c>
      <c r="B733" s="74">
        <v>20957.810000000001</v>
      </c>
      <c r="C733" s="74">
        <v>226.55</v>
      </c>
      <c r="D733" s="74">
        <f t="shared" si="23"/>
        <v>1.1956984543035461E-2</v>
      </c>
      <c r="E733" s="74">
        <f t="shared" si="24"/>
        <v>6.643071374205398E-3</v>
      </c>
      <c r="F733" s="75"/>
    </row>
    <row r="734" spans="1:6" ht="14.25" customHeight="1" x14ac:dyDescent="0.3">
      <c r="A734" s="73">
        <v>41614</v>
      </c>
      <c r="B734" s="74">
        <v>20996.53</v>
      </c>
      <c r="C734" s="74">
        <v>231</v>
      </c>
      <c r="D734" s="74">
        <f t="shared" si="23"/>
        <v>1.8458167137595316E-3</v>
      </c>
      <c r="E734" s="74">
        <f t="shared" si="24"/>
        <v>1.9452039408646381E-2</v>
      </c>
      <c r="F734" s="75"/>
    </row>
    <row r="735" spans="1:6" ht="14.25" customHeight="1" x14ac:dyDescent="0.3">
      <c r="A735" s="73">
        <v>41617</v>
      </c>
      <c r="B735" s="74">
        <v>21326.42</v>
      </c>
      <c r="C735" s="74">
        <v>229.65</v>
      </c>
      <c r="D735" s="74">
        <f t="shared" si="23"/>
        <v>1.5589493697096715E-2</v>
      </c>
      <c r="E735" s="74">
        <f t="shared" si="24"/>
        <v>-5.8612997499911182E-3</v>
      </c>
      <c r="F735" s="75"/>
    </row>
    <row r="736" spans="1:6" ht="14.25" customHeight="1" x14ac:dyDescent="0.3">
      <c r="A736" s="73">
        <v>41618</v>
      </c>
      <c r="B736" s="74">
        <v>21255.26</v>
      </c>
      <c r="C736" s="74">
        <v>226.75</v>
      </c>
      <c r="D736" s="74">
        <f t="shared" si="23"/>
        <v>-3.3422855201233172E-3</v>
      </c>
      <c r="E736" s="74">
        <f t="shared" si="24"/>
        <v>-1.2708321776556479E-2</v>
      </c>
      <c r="F736" s="75"/>
    </row>
    <row r="737" spans="1:6" ht="14.25" customHeight="1" x14ac:dyDescent="0.3">
      <c r="A737" s="73">
        <v>41619</v>
      </c>
      <c r="B737" s="74">
        <v>21171.41</v>
      </c>
      <c r="C737" s="74">
        <v>224.95</v>
      </c>
      <c r="D737" s="74">
        <f t="shared" si="23"/>
        <v>-3.9527075385341597E-3</v>
      </c>
      <c r="E737" s="74">
        <f t="shared" si="24"/>
        <v>-7.9699337080647824E-3</v>
      </c>
      <c r="F737" s="75"/>
    </row>
    <row r="738" spans="1:6" ht="14.25" customHeight="1" x14ac:dyDescent="0.3">
      <c r="A738" s="73">
        <v>41620</v>
      </c>
      <c r="B738" s="74">
        <v>20925.61</v>
      </c>
      <c r="C738" s="74">
        <v>222.4</v>
      </c>
      <c r="D738" s="74">
        <f t="shared" si="23"/>
        <v>-1.1677918930292908E-2</v>
      </c>
      <c r="E738" s="74">
        <f t="shared" si="24"/>
        <v>-1.1400592910753869E-2</v>
      </c>
      <c r="F738" s="75"/>
    </row>
    <row r="739" spans="1:6" ht="14.25" customHeight="1" x14ac:dyDescent="0.3">
      <c r="A739" s="73">
        <v>41621</v>
      </c>
      <c r="B739" s="74">
        <v>20715.580000000002</v>
      </c>
      <c r="C739" s="74">
        <v>220.1</v>
      </c>
      <c r="D739" s="74">
        <f t="shared" si="23"/>
        <v>-1.0087693511097425E-2</v>
      </c>
      <c r="E739" s="74">
        <f t="shared" si="24"/>
        <v>-1.039557384401143E-2</v>
      </c>
      <c r="F739" s="75"/>
    </row>
    <row r="740" spans="1:6" ht="14.25" customHeight="1" x14ac:dyDescent="0.3">
      <c r="A740" s="73">
        <v>41624</v>
      </c>
      <c r="B740" s="74">
        <v>20659.52</v>
      </c>
      <c r="C740" s="74">
        <v>225.05</v>
      </c>
      <c r="D740" s="74">
        <f t="shared" si="23"/>
        <v>-2.7098440513852753E-3</v>
      </c>
      <c r="E740" s="74">
        <f t="shared" si="24"/>
        <v>2.2240611206525762E-2</v>
      </c>
      <c r="F740" s="75"/>
    </row>
    <row r="741" spans="1:6" ht="14.25" customHeight="1" x14ac:dyDescent="0.3">
      <c r="A741" s="73">
        <v>41625</v>
      </c>
      <c r="B741" s="74">
        <v>20612.14</v>
      </c>
      <c r="C741" s="74">
        <v>229.7</v>
      </c>
      <c r="D741" s="74">
        <f t="shared" si="23"/>
        <v>-2.2960075177122885E-3</v>
      </c>
      <c r="E741" s="74">
        <f t="shared" si="24"/>
        <v>2.0451509956110715E-2</v>
      </c>
      <c r="F741" s="75"/>
    </row>
    <row r="742" spans="1:6" ht="14.25" customHeight="1" x14ac:dyDescent="0.3">
      <c r="A742" s="73">
        <v>41626</v>
      </c>
      <c r="B742" s="74">
        <v>20859.86</v>
      </c>
      <c r="C742" s="74">
        <v>235.45</v>
      </c>
      <c r="D742" s="74">
        <f t="shared" si="23"/>
        <v>1.1946515537890874E-2</v>
      </c>
      <c r="E742" s="74">
        <f t="shared" si="24"/>
        <v>2.4724466994510953E-2</v>
      </c>
      <c r="F742" s="75"/>
    </row>
    <row r="743" spans="1:6" ht="14.25" customHeight="1" x14ac:dyDescent="0.3">
      <c r="A743" s="73">
        <v>41627</v>
      </c>
      <c r="B743" s="74">
        <v>20708.62</v>
      </c>
      <c r="C743" s="74">
        <v>232.6</v>
      </c>
      <c r="D743" s="74">
        <f t="shared" si="23"/>
        <v>-7.2766994294898935E-3</v>
      </c>
      <c r="E743" s="74">
        <f t="shared" si="24"/>
        <v>-1.2178336604999566E-2</v>
      </c>
      <c r="F743" s="75"/>
    </row>
    <row r="744" spans="1:6" ht="14.25" customHeight="1" x14ac:dyDescent="0.3">
      <c r="A744" s="73">
        <v>41628</v>
      </c>
      <c r="B744" s="74">
        <v>21079.72</v>
      </c>
      <c r="C744" s="74">
        <v>228.7</v>
      </c>
      <c r="D744" s="74">
        <f t="shared" si="23"/>
        <v>1.7761402141278575E-2</v>
      </c>
      <c r="E744" s="74">
        <f t="shared" si="24"/>
        <v>-1.6909139055828595E-2</v>
      </c>
      <c r="F744" s="75"/>
    </row>
    <row r="745" spans="1:6" ht="14.25" customHeight="1" x14ac:dyDescent="0.3">
      <c r="A745" s="73">
        <v>41631</v>
      </c>
      <c r="B745" s="74">
        <v>21101.03</v>
      </c>
      <c r="C745" s="74">
        <v>229.05</v>
      </c>
      <c r="D745" s="74">
        <f t="shared" si="23"/>
        <v>1.0104136039785991E-3</v>
      </c>
      <c r="E745" s="74">
        <f t="shared" si="24"/>
        <v>1.5292193040158033E-3</v>
      </c>
      <c r="F745" s="75"/>
    </row>
    <row r="746" spans="1:6" ht="14.25" customHeight="1" x14ac:dyDescent="0.3">
      <c r="A746" s="73">
        <v>41632</v>
      </c>
      <c r="B746" s="74">
        <v>21032.71</v>
      </c>
      <c r="C746" s="74">
        <v>228.15</v>
      </c>
      <c r="D746" s="74">
        <f t="shared" si="23"/>
        <v>-3.2430095157660673E-3</v>
      </c>
      <c r="E746" s="74">
        <f t="shared" si="24"/>
        <v>-3.9370129593396426E-3</v>
      </c>
      <c r="F746" s="75"/>
    </row>
    <row r="747" spans="1:6" ht="14.25" customHeight="1" x14ac:dyDescent="0.3">
      <c r="A747" s="73">
        <v>41634</v>
      </c>
      <c r="B747" s="74">
        <v>21074.59</v>
      </c>
      <c r="C747" s="74">
        <v>229.95</v>
      </c>
      <c r="D747" s="74">
        <f t="shared" si="23"/>
        <v>1.9892044281966427E-3</v>
      </c>
      <c r="E747" s="74">
        <f t="shared" si="24"/>
        <v>7.8585866125210901E-3</v>
      </c>
      <c r="F747" s="75"/>
    </row>
    <row r="748" spans="1:6" ht="14.25" customHeight="1" x14ac:dyDescent="0.3">
      <c r="A748" s="73">
        <v>41635</v>
      </c>
      <c r="B748" s="74">
        <v>21193.58</v>
      </c>
      <c r="C748" s="74">
        <v>229.3</v>
      </c>
      <c r="D748" s="74">
        <f t="shared" si="23"/>
        <v>5.6302562580602027E-3</v>
      </c>
      <c r="E748" s="74">
        <f t="shared" si="24"/>
        <v>-2.8307041220740113E-3</v>
      </c>
      <c r="F748" s="75"/>
    </row>
    <row r="749" spans="1:6" ht="14.25" customHeight="1" x14ac:dyDescent="0.3">
      <c r="A749" s="73">
        <v>41638</v>
      </c>
      <c r="B749" s="74">
        <v>21143.01</v>
      </c>
      <c r="C749" s="74">
        <v>228.8</v>
      </c>
      <c r="D749" s="74">
        <f t="shared" si="23"/>
        <v>-2.388951214569732E-3</v>
      </c>
      <c r="E749" s="74">
        <f t="shared" si="24"/>
        <v>-2.1829303582158793E-3</v>
      </c>
      <c r="F749" s="75"/>
    </row>
    <row r="750" spans="1:6" ht="14.25" customHeight="1" x14ac:dyDescent="0.3">
      <c r="A750" s="73">
        <v>41639</v>
      </c>
      <c r="B750" s="74">
        <v>21170.68</v>
      </c>
      <c r="C750" s="74">
        <v>229.4</v>
      </c>
      <c r="D750" s="74">
        <f t="shared" si="23"/>
        <v>1.3078511443493923E-3</v>
      </c>
      <c r="E750" s="74">
        <f t="shared" si="24"/>
        <v>2.6189451896273517E-3</v>
      </c>
      <c r="F750" s="75"/>
    </row>
    <row r="751" spans="1:6" ht="14.25" customHeight="1" x14ac:dyDescent="0.3">
      <c r="A751" s="73">
        <v>41640</v>
      </c>
      <c r="B751" s="74">
        <v>21140.48</v>
      </c>
      <c r="C751" s="74">
        <v>230.8</v>
      </c>
      <c r="D751" s="74">
        <f t="shared" si="23"/>
        <v>-1.4275196013768048E-3</v>
      </c>
      <c r="E751" s="74">
        <f t="shared" si="24"/>
        <v>6.0843299386742471E-3</v>
      </c>
      <c r="F751" s="75"/>
    </row>
    <row r="752" spans="1:6" ht="14.25" customHeight="1" x14ac:dyDescent="0.3">
      <c r="A752" s="73">
        <v>41641</v>
      </c>
      <c r="B752" s="74">
        <v>20888.330000000002</v>
      </c>
      <c r="C752" s="74">
        <v>226.3</v>
      </c>
      <c r="D752" s="74">
        <f t="shared" si="23"/>
        <v>-1.1999056138718552E-2</v>
      </c>
      <c r="E752" s="74">
        <f t="shared" si="24"/>
        <v>-1.9689981994452752E-2</v>
      </c>
      <c r="F752" s="75"/>
    </row>
    <row r="753" spans="1:6" ht="14.25" customHeight="1" x14ac:dyDescent="0.3">
      <c r="A753" s="73">
        <v>41642</v>
      </c>
      <c r="B753" s="74">
        <v>20851.330000000002</v>
      </c>
      <c r="C753" s="74">
        <v>227.2</v>
      </c>
      <c r="D753" s="74">
        <f t="shared" si="23"/>
        <v>-1.7728946374453425E-3</v>
      </c>
      <c r="E753" s="74">
        <f t="shared" si="24"/>
        <v>3.9691342075044806E-3</v>
      </c>
      <c r="F753" s="75"/>
    </row>
    <row r="754" spans="1:6" ht="14.25" customHeight="1" x14ac:dyDescent="0.3">
      <c r="A754" s="73">
        <v>41645</v>
      </c>
      <c r="B754" s="74">
        <v>20787.3</v>
      </c>
      <c r="C754" s="74">
        <v>227.55</v>
      </c>
      <c r="D754" s="74">
        <f t="shared" si="23"/>
        <v>-3.0755118730098376E-3</v>
      </c>
      <c r="E754" s="74">
        <f t="shared" si="24"/>
        <v>1.5393076156546806E-3</v>
      </c>
      <c r="F754" s="75"/>
    </row>
    <row r="755" spans="1:6" ht="14.25" customHeight="1" x14ac:dyDescent="0.3">
      <c r="A755" s="73">
        <v>41646</v>
      </c>
      <c r="B755" s="74">
        <v>20693.240000000002</v>
      </c>
      <c r="C755" s="74">
        <v>225.55</v>
      </c>
      <c r="D755" s="74">
        <f t="shared" si="23"/>
        <v>-4.5351464187920474E-3</v>
      </c>
      <c r="E755" s="74">
        <f t="shared" si="24"/>
        <v>-8.8281306082459814E-3</v>
      </c>
      <c r="F755" s="75"/>
    </row>
    <row r="756" spans="1:6" ht="14.25" customHeight="1" x14ac:dyDescent="0.3">
      <c r="A756" s="73">
        <v>41647</v>
      </c>
      <c r="B756" s="74">
        <v>20729.38</v>
      </c>
      <c r="C756" s="74">
        <v>222.85</v>
      </c>
      <c r="D756" s="74">
        <f t="shared" si="23"/>
        <v>1.7449407676278226E-3</v>
      </c>
      <c r="E756" s="74">
        <f t="shared" si="24"/>
        <v>-1.204296446184013E-2</v>
      </c>
      <c r="F756" s="75"/>
    </row>
    <row r="757" spans="1:6" ht="14.25" customHeight="1" x14ac:dyDescent="0.3">
      <c r="A757" s="73">
        <v>41648</v>
      </c>
      <c r="B757" s="74">
        <v>20713.37</v>
      </c>
      <c r="C757" s="74">
        <v>223.7</v>
      </c>
      <c r="D757" s="74">
        <f t="shared" si="23"/>
        <v>-7.7263216347593969E-4</v>
      </c>
      <c r="E757" s="74">
        <f t="shared" si="24"/>
        <v>3.8069691035189771E-3</v>
      </c>
      <c r="F757" s="75"/>
    </row>
    <row r="758" spans="1:6" ht="14.25" customHeight="1" x14ac:dyDescent="0.3">
      <c r="A758" s="73">
        <v>41649</v>
      </c>
      <c r="B758" s="74">
        <v>20758.490000000002</v>
      </c>
      <c r="C758" s="74">
        <v>220.25</v>
      </c>
      <c r="D758" s="74">
        <f t="shared" si="23"/>
        <v>2.1759341299103902E-3</v>
      </c>
      <c r="E758" s="74">
        <f t="shared" si="24"/>
        <v>-1.5542603679795012E-2</v>
      </c>
      <c r="F758" s="75"/>
    </row>
    <row r="759" spans="1:6" ht="14.25" customHeight="1" x14ac:dyDescent="0.3">
      <c r="A759" s="73">
        <v>41652</v>
      </c>
      <c r="B759" s="74">
        <v>21134.21</v>
      </c>
      <c r="C759" s="74">
        <v>221.1</v>
      </c>
      <c r="D759" s="74">
        <f t="shared" si="23"/>
        <v>1.7937734943065321E-2</v>
      </c>
      <c r="E759" s="74">
        <f t="shared" si="24"/>
        <v>3.8518230471117272E-3</v>
      </c>
      <c r="F759" s="75"/>
    </row>
    <row r="760" spans="1:6" ht="14.25" customHeight="1" x14ac:dyDescent="0.3">
      <c r="A760" s="73">
        <v>41653</v>
      </c>
      <c r="B760" s="74">
        <v>21032.880000000001</v>
      </c>
      <c r="C760" s="74">
        <v>220.7</v>
      </c>
      <c r="D760" s="74">
        <f t="shared" si="23"/>
        <v>-4.8061270080775884E-3</v>
      </c>
      <c r="E760" s="74">
        <f t="shared" si="24"/>
        <v>-1.810774600709887E-3</v>
      </c>
      <c r="F760" s="75"/>
    </row>
    <row r="761" spans="1:6" ht="14.25" customHeight="1" x14ac:dyDescent="0.3">
      <c r="A761" s="73">
        <v>41654</v>
      </c>
      <c r="B761" s="74">
        <v>21289.49</v>
      </c>
      <c r="C761" s="74">
        <v>217.95</v>
      </c>
      <c r="D761" s="74">
        <f t="shared" si="23"/>
        <v>1.2126596153603323E-2</v>
      </c>
      <c r="E761" s="74">
        <f t="shared" si="24"/>
        <v>-1.2538634578289156E-2</v>
      </c>
      <c r="F761" s="75"/>
    </row>
    <row r="762" spans="1:6" ht="14.25" customHeight="1" x14ac:dyDescent="0.3">
      <c r="A762" s="73">
        <v>41655</v>
      </c>
      <c r="B762" s="74">
        <v>21265.18</v>
      </c>
      <c r="C762" s="74">
        <v>218.05</v>
      </c>
      <c r="D762" s="74">
        <f t="shared" si="23"/>
        <v>-1.142530427070622E-3</v>
      </c>
      <c r="E762" s="74">
        <f t="shared" si="24"/>
        <v>4.5871560437403937E-4</v>
      </c>
      <c r="F762" s="75"/>
    </row>
    <row r="763" spans="1:6" ht="14.25" customHeight="1" x14ac:dyDescent="0.3">
      <c r="A763" s="73">
        <v>41656</v>
      </c>
      <c r="B763" s="74">
        <v>21063.62</v>
      </c>
      <c r="C763" s="74">
        <v>216.85</v>
      </c>
      <c r="D763" s="74">
        <f t="shared" si="23"/>
        <v>-9.5236115099661678E-3</v>
      </c>
      <c r="E763" s="74">
        <f t="shared" si="24"/>
        <v>-5.5185240074002995E-3</v>
      </c>
      <c r="F763" s="75"/>
    </row>
    <row r="764" spans="1:6" ht="14.25" customHeight="1" x14ac:dyDescent="0.3">
      <c r="A764" s="73">
        <v>41659</v>
      </c>
      <c r="B764" s="74">
        <v>21205.05</v>
      </c>
      <c r="C764" s="74">
        <v>216.45</v>
      </c>
      <c r="D764" s="74">
        <f t="shared" si="23"/>
        <v>6.6919790852031707E-3</v>
      </c>
      <c r="E764" s="74">
        <f t="shared" si="24"/>
        <v>-1.8462963933856766E-3</v>
      </c>
      <c r="F764" s="75"/>
    </row>
    <row r="765" spans="1:6" ht="14.25" customHeight="1" x14ac:dyDescent="0.3">
      <c r="A765" s="73">
        <v>41660</v>
      </c>
      <c r="B765" s="74">
        <v>21251.119999999999</v>
      </c>
      <c r="C765" s="74">
        <v>217.8</v>
      </c>
      <c r="D765" s="74">
        <f t="shared" si="23"/>
        <v>2.1702390056489228E-3</v>
      </c>
      <c r="E765" s="74">
        <f t="shared" si="24"/>
        <v>6.2176366108705819E-3</v>
      </c>
      <c r="F765" s="75"/>
    </row>
    <row r="766" spans="1:6" ht="14.25" customHeight="1" x14ac:dyDescent="0.3">
      <c r="A766" s="73">
        <v>41661</v>
      </c>
      <c r="B766" s="74">
        <v>21337.67</v>
      </c>
      <c r="C766" s="74">
        <v>216.85</v>
      </c>
      <c r="D766" s="74">
        <f t="shared" si="23"/>
        <v>4.0644554188558881E-3</v>
      </c>
      <c r="E766" s="74">
        <f t="shared" si="24"/>
        <v>-4.3713402174849073E-3</v>
      </c>
      <c r="F766" s="75"/>
    </row>
    <row r="767" spans="1:6" ht="14.25" customHeight="1" x14ac:dyDescent="0.3">
      <c r="A767" s="73">
        <v>41662</v>
      </c>
      <c r="B767" s="74">
        <v>21373.66</v>
      </c>
      <c r="C767" s="74">
        <v>225.05</v>
      </c>
      <c r="D767" s="74">
        <f t="shared" si="23"/>
        <v>1.6852675165121651E-3</v>
      </c>
      <c r="E767" s="74">
        <f t="shared" si="24"/>
        <v>3.7116729457566534E-2</v>
      </c>
      <c r="F767" s="75"/>
    </row>
    <row r="768" spans="1:6" ht="14.25" customHeight="1" x14ac:dyDescent="0.3">
      <c r="A768" s="73">
        <v>41663</v>
      </c>
      <c r="B768" s="74">
        <v>21133.56</v>
      </c>
      <c r="C768" s="74">
        <v>218.6</v>
      </c>
      <c r="D768" s="74">
        <f t="shared" si="23"/>
        <v>-1.1297024529637822E-2</v>
      </c>
      <c r="E768" s="74">
        <f t="shared" si="24"/>
        <v>-2.9079023996503583E-2</v>
      </c>
      <c r="F768" s="75"/>
    </row>
    <row r="769" spans="1:6" ht="14.25" customHeight="1" x14ac:dyDescent="0.3">
      <c r="A769" s="73">
        <v>41666</v>
      </c>
      <c r="B769" s="74">
        <v>20707.45</v>
      </c>
      <c r="C769" s="74">
        <v>215.8</v>
      </c>
      <c r="D769" s="74">
        <f t="shared" si="23"/>
        <v>-2.0368759366323645E-2</v>
      </c>
      <c r="E769" s="74">
        <f t="shared" si="24"/>
        <v>-1.2891522918403822E-2</v>
      </c>
      <c r="F769" s="75"/>
    </row>
    <row r="770" spans="1:6" ht="14.25" customHeight="1" x14ac:dyDescent="0.3">
      <c r="A770" s="73">
        <v>41667</v>
      </c>
      <c r="B770" s="74">
        <v>20683.509999999998</v>
      </c>
      <c r="C770" s="74">
        <v>216.85</v>
      </c>
      <c r="D770" s="74">
        <f t="shared" si="23"/>
        <v>-1.1567744584598026E-3</v>
      </c>
      <c r="E770" s="74">
        <f t="shared" si="24"/>
        <v>4.853817457340882E-3</v>
      </c>
      <c r="F770" s="75"/>
    </row>
    <row r="771" spans="1:6" ht="14.25" customHeight="1" x14ac:dyDescent="0.3">
      <c r="A771" s="73">
        <v>41668</v>
      </c>
      <c r="B771" s="74">
        <v>20647.3</v>
      </c>
      <c r="C771" s="74">
        <v>214.55</v>
      </c>
      <c r="D771" s="74">
        <f t="shared" si="23"/>
        <v>-1.75220419171007E-3</v>
      </c>
      <c r="E771" s="74">
        <f t="shared" si="24"/>
        <v>-1.0663058843841442E-2</v>
      </c>
      <c r="F771" s="75"/>
    </row>
    <row r="772" spans="1:6" ht="14.25" customHeight="1" x14ac:dyDescent="0.3">
      <c r="A772" s="73">
        <v>41669</v>
      </c>
      <c r="B772" s="74">
        <v>20498.25</v>
      </c>
      <c r="C772" s="74">
        <v>222.45</v>
      </c>
      <c r="D772" s="74">
        <f t="shared" ref="D772:D835" si="25">LN(B772/B771)</f>
        <v>-7.2450436062771757E-3</v>
      </c>
      <c r="E772" s="74">
        <f t="shared" ref="E772:E835" si="26">LN(C772/C771)</f>
        <v>3.6159545814516907E-2</v>
      </c>
      <c r="F772" s="75"/>
    </row>
    <row r="773" spans="1:6" ht="14.25" customHeight="1" x14ac:dyDescent="0.3">
      <c r="A773" s="73">
        <v>41670</v>
      </c>
      <c r="B773" s="74">
        <v>20513.849999999999</v>
      </c>
      <c r="C773" s="74">
        <v>221.55</v>
      </c>
      <c r="D773" s="74">
        <f t="shared" si="25"/>
        <v>7.6075113209824797E-4</v>
      </c>
      <c r="E773" s="74">
        <f t="shared" si="26"/>
        <v>-4.0540596065521562E-3</v>
      </c>
      <c r="F773" s="75"/>
    </row>
    <row r="774" spans="1:6" ht="14.25" customHeight="1" x14ac:dyDescent="0.3">
      <c r="A774" s="73">
        <v>41673</v>
      </c>
      <c r="B774" s="74">
        <v>20209.259999999998</v>
      </c>
      <c r="C774" s="74">
        <v>220.3</v>
      </c>
      <c r="D774" s="74">
        <f t="shared" si="25"/>
        <v>-1.4959352570628828E-2</v>
      </c>
      <c r="E774" s="74">
        <f t="shared" si="26"/>
        <v>-5.6580438372010279E-3</v>
      </c>
      <c r="F774" s="75"/>
    </row>
    <row r="775" spans="1:6" ht="14.25" customHeight="1" x14ac:dyDescent="0.3">
      <c r="A775" s="73">
        <v>41674</v>
      </c>
      <c r="B775" s="74">
        <v>20211.93</v>
      </c>
      <c r="C775" s="74">
        <v>221.85</v>
      </c>
      <c r="D775" s="74">
        <f t="shared" si="25"/>
        <v>1.3210892622821438E-4</v>
      </c>
      <c r="E775" s="74">
        <f t="shared" si="26"/>
        <v>7.0112240166209996E-3</v>
      </c>
      <c r="F775" s="75"/>
    </row>
    <row r="776" spans="1:6" ht="14.25" customHeight="1" x14ac:dyDescent="0.3">
      <c r="A776" s="73">
        <v>41675</v>
      </c>
      <c r="B776" s="74">
        <v>20261.03</v>
      </c>
      <c r="C776" s="74">
        <v>220.95</v>
      </c>
      <c r="D776" s="74">
        <f t="shared" si="25"/>
        <v>2.4263124855510992E-3</v>
      </c>
      <c r="E776" s="74">
        <f t="shared" si="26"/>
        <v>-4.0650462481695562E-3</v>
      </c>
      <c r="F776" s="75"/>
    </row>
    <row r="777" spans="1:6" ht="14.25" customHeight="1" x14ac:dyDescent="0.3">
      <c r="A777" s="73">
        <v>41676</v>
      </c>
      <c r="B777" s="74">
        <v>20310.740000000002</v>
      </c>
      <c r="C777" s="74">
        <v>225.5</v>
      </c>
      <c r="D777" s="74">
        <f t="shared" si="25"/>
        <v>2.4504735620343959E-3</v>
      </c>
      <c r="E777" s="74">
        <f t="shared" si="26"/>
        <v>2.0383727365984185E-2</v>
      </c>
      <c r="F777" s="75"/>
    </row>
    <row r="778" spans="1:6" ht="14.25" customHeight="1" x14ac:dyDescent="0.3">
      <c r="A778" s="73">
        <v>41677</v>
      </c>
      <c r="B778" s="74">
        <v>20376.560000000001</v>
      </c>
      <c r="C778" s="74">
        <v>225.7</v>
      </c>
      <c r="D778" s="74">
        <f t="shared" si="25"/>
        <v>3.2354104310836486E-3</v>
      </c>
      <c r="E778" s="74">
        <f t="shared" si="26"/>
        <v>8.8652488075683018E-4</v>
      </c>
      <c r="F778" s="75"/>
    </row>
    <row r="779" spans="1:6" ht="14.25" customHeight="1" x14ac:dyDescent="0.3">
      <c r="A779" s="73">
        <v>41680</v>
      </c>
      <c r="B779" s="74">
        <v>20334.27</v>
      </c>
      <c r="C779" s="74">
        <v>230.95</v>
      </c>
      <c r="D779" s="74">
        <f t="shared" si="25"/>
        <v>-2.0775805952129387E-3</v>
      </c>
      <c r="E779" s="74">
        <f t="shared" si="26"/>
        <v>2.2994553053124367E-2</v>
      </c>
      <c r="F779" s="75"/>
    </row>
    <row r="780" spans="1:6" ht="14.25" customHeight="1" x14ac:dyDescent="0.3">
      <c r="A780" s="73">
        <v>41681</v>
      </c>
      <c r="B780" s="74">
        <v>20363.37</v>
      </c>
      <c r="C780" s="74">
        <v>231.75</v>
      </c>
      <c r="D780" s="74">
        <f t="shared" si="25"/>
        <v>1.4300585959916528E-3</v>
      </c>
      <c r="E780" s="74">
        <f t="shared" si="26"/>
        <v>3.4579675693502364E-3</v>
      </c>
      <c r="F780" s="75"/>
    </row>
    <row r="781" spans="1:6" ht="14.25" customHeight="1" x14ac:dyDescent="0.3">
      <c r="A781" s="73">
        <v>41682</v>
      </c>
      <c r="B781" s="74">
        <v>20448.490000000002</v>
      </c>
      <c r="C781" s="74">
        <v>230.3</v>
      </c>
      <c r="D781" s="74">
        <f t="shared" si="25"/>
        <v>4.171342517820328E-3</v>
      </c>
      <c r="E781" s="74">
        <f t="shared" si="26"/>
        <v>-6.2763976193249841E-3</v>
      </c>
      <c r="F781" s="75"/>
    </row>
    <row r="782" spans="1:6" ht="14.25" customHeight="1" x14ac:dyDescent="0.3">
      <c r="A782" s="73">
        <v>41683</v>
      </c>
      <c r="B782" s="74">
        <v>20193.349999999999</v>
      </c>
      <c r="C782" s="74">
        <v>229.25</v>
      </c>
      <c r="D782" s="74">
        <f t="shared" si="25"/>
        <v>-1.2555698846254586E-2</v>
      </c>
      <c r="E782" s="74">
        <f t="shared" si="26"/>
        <v>-4.5696956900652969E-3</v>
      </c>
      <c r="F782" s="75"/>
    </row>
    <row r="783" spans="1:6" ht="14.25" customHeight="1" x14ac:dyDescent="0.3">
      <c r="A783" s="73">
        <v>41684</v>
      </c>
      <c r="B783" s="74">
        <v>20366.82</v>
      </c>
      <c r="C783" s="74">
        <v>231.6</v>
      </c>
      <c r="D783" s="74">
        <f t="shared" si="25"/>
        <v>8.5537638371276249E-3</v>
      </c>
      <c r="E783" s="74">
        <f t="shared" si="26"/>
        <v>1.0198634562265906E-2</v>
      </c>
      <c r="F783" s="75"/>
    </row>
    <row r="784" spans="1:6" ht="14.25" customHeight="1" x14ac:dyDescent="0.3">
      <c r="A784" s="73">
        <v>41687</v>
      </c>
      <c r="B784" s="74">
        <v>20464.060000000001</v>
      </c>
      <c r="C784" s="74">
        <v>228.75</v>
      </c>
      <c r="D784" s="74">
        <f t="shared" si="25"/>
        <v>4.7630706876255662E-3</v>
      </c>
      <c r="E784" s="74">
        <f t="shared" si="26"/>
        <v>-1.2382041543209415E-2</v>
      </c>
      <c r="F784" s="75"/>
    </row>
    <row r="785" spans="1:6" ht="14.25" customHeight="1" x14ac:dyDescent="0.3">
      <c r="A785" s="73">
        <v>41688</v>
      </c>
      <c r="B785" s="74">
        <v>20634.21</v>
      </c>
      <c r="C785" s="74">
        <v>228.55</v>
      </c>
      <c r="D785" s="74">
        <f t="shared" si="25"/>
        <v>8.2802011932429226E-3</v>
      </c>
      <c r="E785" s="74">
        <f t="shared" si="26"/>
        <v>-8.7469937787731933E-4</v>
      </c>
      <c r="F785" s="75"/>
    </row>
    <row r="786" spans="1:6" ht="14.25" customHeight="1" x14ac:dyDescent="0.3">
      <c r="A786" s="73">
        <v>41689</v>
      </c>
      <c r="B786" s="74">
        <v>20722.97</v>
      </c>
      <c r="C786" s="74">
        <v>232.55</v>
      </c>
      <c r="D786" s="74">
        <f t="shared" si="25"/>
        <v>4.2923688839197616E-3</v>
      </c>
      <c r="E786" s="74">
        <f t="shared" si="26"/>
        <v>1.7350250892352734E-2</v>
      </c>
      <c r="F786" s="75"/>
    </row>
    <row r="787" spans="1:6" ht="14.25" customHeight="1" x14ac:dyDescent="0.3">
      <c r="A787" s="73">
        <v>41690</v>
      </c>
      <c r="B787" s="74">
        <v>20536.64</v>
      </c>
      <c r="C787" s="74">
        <v>234.15</v>
      </c>
      <c r="D787" s="74">
        <f t="shared" si="25"/>
        <v>-9.0321390204373929E-3</v>
      </c>
      <c r="E787" s="74">
        <f t="shared" si="26"/>
        <v>6.856679959444752E-3</v>
      </c>
      <c r="F787" s="75"/>
    </row>
    <row r="788" spans="1:6" ht="14.25" customHeight="1" x14ac:dyDescent="0.3">
      <c r="A788" s="73">
        <v>41691</v>
      </c>
      <c r="B788" s="74">
        <v>20700.75</v>
      </c>
      <c r="C788" s="74">
        <v>233.95</v>
      </c>
      <c r="D788" s="74">
        <f t="shared" si="25"/>
        <v>7.9593236320006124E-3</v>
      </c>
      <c r="E788" s="74">
        <f t="shared" si="26"/>
        <v>-8.5451831732551273E-4</v>
      </c>
      <c r="F788" s="75"/>
    </row>
    <row r="789" spans="1:6" ht="14.25" customHeight="1" x14ac:dyDescent="0.3">
      <c r="A789" s="73">
        <v>41694</v>
      </c>
      <c r="B789" s="74">
        <v>20811.439999999999</v>
      </c>
      <c r="C789" s="74">
        <v>235.15</v>
      </c>
      <c r="D789" s="74">
        <f t="shared" si="25"/>
        <v>5.3329040136852824E-3</v>
      </c>
      <c r="E789" s="74">
        <f t="shared" si="26"/>
        <v>5.1161910788317241E-3</v>
      </c>
      <c r="F789" s="75"/>
    </row>
    <row r="790" spans="1:6" ht="14.25" customHeight="1" x14ac:dyDescent="0.3">
      <c r="A790" s="73">
        <v>41695</v>
      </c>
      <c r="B790" s="74">
        <v>20852.47</v>
      </c>
      <c r="C790" s="74">
        <v>243.15</v>
      </c>
      <c r="D790" s="74">
        <f t="shared" si="25"/>
        <v>1.9695709434696175E-3</v>
      </c>
      <c r="E790" s="74">
        <f t="shared" si="26"/>
        <v>3.3454928458737813E-2</v>
      </c>
      <c r="F790" s="75"/>
    </row>
    <row r="791" spans="1:6" ht="14.25" customHeight="1" x14ac:dyDescent="0.3">
      <c r="A791" s="73">
        <v>41696</v>
      </c>
      <c r="B791" s="74">
        <v>20986.99</v>
      </c>
      <c r="C791" s="74">
        <v>245.35</v>
      </c>
      <c r="D791" s="74">
        <f t="shared" si="25"/>
        <v>6.4303154735499968E-3</v>
      </c>
      <c r="E791" s="74">
        <f t="shared" si="26"/>
        <v>9.0072256861175072E-3</v>
      </c>
      <c r="F791" s="75"/>
    </row>
    <row r="792" spans="1:6" ht="14.25" customHeight="1" x14ac:dyDescent="0.3">
      <c r="A792" s="73">
        <v>41698</v>
      </c>
      <c r="B792" s="74">
        <v>21120.12</v>
      </c>
      <c r="C792" s="74">
        <v>242.2</v>
      </c>
      <c r="D792" s="74">
        <f t="shared" si="25"/>
        <v>6.3234187103736409E-3</v>
      </c>
      <c r="E792" s="74">
        <f t="shared" si="26"/>
        <v>-1.2921931416920562E-2</v>
      </c>
      <c r="F792" s="75"/>
    </row>
    <row r="793" spans="1:6" ht="14.25" customHeight="1" x14ac:dyDescent="0.3">
      <c r="A793" s="73">
        <v>41701</v>
      </c>
      <c r="B793" s="74">
        <v>20946.650000000001</v>
      </c>
      <c r="C793" s="74">
        <v>248.95</v>
      </c>
      <c r="D793" s="74">
        <f t="shared" si="25"/>
        <v>-8.2474115926535491E-3</v>
      </c>
      <c r="E793" s="74">
        <f t="shared" si="26"/>
        <v>2.7488241969199894E-2</v>
      </c>
      <c r="F793" s="75"/>
    </row>
    <row r="794" spans="1:6" ht="14.25" customHeight="1" x14ac:dyDescent="0.3">
      <c r="A794" s="73">
        <v>41702</v>
      </c>
      <c r="B794" s="74">
        <v>21209.73</v>
      </c>
      <c r="C794" s="74">
        <v>254.8</v>
      </c>
      <c r="D794" s="74">
        <f t="shared" si="25"/>
        <v>1.2481309603705465E-2</v>
      </c>
      <c r="E794" s="74">
        <f t="shared" si="26"/>
        <v>2.3226850609816555E-2</v>
      </c>
      <c r="F794" s="75"/>
    </row>
    <row r="795" spans="1:6" ht="14.25" customHeight="1" x14ac:dyDescent="0.3">
      <c r="A795" s="73">
        <v>41703</v>
      </c>
      <c r="B795" s="74">
        <v>21276.86</v>
      </c>
      <c r="C795" s="74">
        <v>245.6</v>
      </c>
      <c r="D795" s="74">
        <f t="shared" si="25"/>
        <v>3.1600585437980048E-3</v>
      </c>
      <c r="E795" s="74">
        <f t="shared" si="26"/>
        <v>-3.6774727425020901E-2</v>
      </c>
      <c r="F795" s="75"/>
    </row>
    <row r="796" spans="1:6" ht="14.25" customHeight="1" x14ac:dyDescent="0.3">
      <c r="A796" s="73">
        <v>41704</v>
      </c>
      <c r="B796" s="74">
        <v>21513.87</v>
      </c>
      <c r="C796" s="74">
        <v>247.1</v>
      </c>
      <c r="D796" s="74">
        <f t="shared" si="25"/>
        <v>1.1077746219679547E-2</v>
      </c>
      <c r="E796" s="74">
        <f t="shared" si="26"/>
        <v>6.0889167215769386E-3</v>
      </c>
      <c r="F796" s="75"/>
    </row>
    <row r="797" spans="1:6" ht="14.25" customHeight="1" x14ac:dyDescent="0.3">
      <c r="A797" s="73">
        <v>41705</v>
      </c>
      <c r="B797" s="74">
        <v>21919.79</v>
      </c>
      <c r="C797" s="74">
        <v>254.35</v>
      </c>
      <c r="D797" s="74">
        <f t="shared" si="25"/>
        <v>1.8692038327322177E-2</v>
      </c>
      <c r="E797" s="74">
        <f t="shared" si="26"/>
        <v>2.8918158274209592E-2</v>
      </c>
      <c r="F797" s="75"/>
    </row>
    <row r="798" spans="1:6" ht="14.25" customHeight="1" x14ac:dyDescent="0.3">
      <c r="A798" s="73">
        <v>41708</v>
      </c>
      <c r="B798" s="74">
        <v>21934.83</v>
      </c>
      <c r="C798" s="74">
        <v>250.5</v>
      </c>
      <c r="D798" s="74">
        <f t="shared" si="25"/>
        <v>6.8590267523231869E-4</v>
      </c>
      <c r="E798" s="74">
        <f t="shared" si="26"/>
        <v>-1.525235074385446E-2</v>
      </c>
      <c r="F798" s="75"/>
    </row>
    <row r="799" spans="1:6" ht="14.25" customHeight="1" x14ac:dyDescent="0.3">
      <c r="A799" s="73">
        <v>41709</v>
      </c>
      <c r="B799" s="74">
        <v>21826.42</v>
      </c>
      <c r="C799" s="74">
        <v>249.1</v>
      </c>
      <c r="D799" s="74">
        <f t="shared" si="25"/>
        <v>-4.9546218068789076E-3</v>
      </c>
      <c r="E799" s="74">
        <f t="shared" si="26"/>
        <v>-5.604498256784789E-3</v>
      </c>
      <c r="F799" s="75"/>
    </row>
    <row r="800" spans="1:6" ht="14.25" customHeight="1" x14ac:dyDescent="0.3">
      <c r="A800" s="73">
        <v>41710</v>
      </c>
      <c r="B800" s="74">
        <v>21856.22</v>
      </c>
      <c r="C800" s="74">
        <v>252.05</v>
      </c>
      <c r="D800" s="74">
        <f t="shared" si="25"/>
        <v>1.3643866132108436E-3</v>
      </c>
      <c r="E800" s="74">
        <f t="shared" si="26"/>
        <v>1.1773058260505145E-2</v>
      </c>
      <c r="F800" s="75"/>
    </row>
    <row r="801" spans="1:6" ht="14.25" customHeight="1" x14ac:dyDescent="0.3">
      <c r="A801" s="73">
        <v>41711</v>
      </c>
      <c r="B801" s="74">
        <v>21774.61</v>
      </c>
      <c r="C801" s="74">
        <v>251.95</v>
      </c>
      <c r="D801" s="74">
        <f t="shared" si="25"/>
        <v>-3.7409370931054992E-3</v>
      </c>
      <c r="E801" s="74">
        <f t="shared" si="26"/>
        <v>-3.968254020328243E-4</v>
      </c>
      <c r="F801" s="75"/>
    </row>
    <row r="802" spans="1:6" ht="14.25" customHeight="1" x14ac:dyDescent="0.3">
      <c r="A802" s="73">
        <v>41712</v>
      </c>
      <c r="B802" s="74">
        <v>21809.8</v>
      </c>
      <c r="C802" s="74">
        <v>252.8</v>
      </c>
      <c r="D802" s="74">
        <f t="shared" si="25"/>
        <v>1.6147979356245102E-3</v>
      </c>
      <c r="E802" s="74">
        <f t="shared" si="26"/>
        <v>3.3680071460953716E-3</v>
      </c>
      <c r="F802" s="75"/>
    </row>
    <row r="803" spans="1:6" ht="14.25" customHeight="1" x14ac:dyDescent="0.3">
      <c r="A803" s="73">
        <v>41716</v>
      </c>
      <c r="B803" s="74">
        <v>21832.61</v>
      </c>
      <c r="C803" s="74">
        <v>255.1</v>
      </c>
      <c r="D803" s="74">
        <f t="shared" si="25"/>
        <v>1.0453135872653737E-3</v>
      </c>
      <c r="E803" s="74">
        <f t="shared" si="26"/>
        <v>9.0569628750632371E-3</v>
      </c>
      <c r="F803" s="75"/>
    </row>
    <row r="804" spans="1:6" ht="14.25" customHeight="1" x14ac:dyDescent="0.3">
      <c r="A804" s="73">
        <v>41717</v>
      </c>
      <c r="B804" s="74">
        <v>21832.86</v>
      </c>
      <c r="C804" s="74">
        <v>254.7</v>
      </c>
      <c r="D804" s="74">
        <f t="shared" si="25"/>
        <v>1.1450695481013087E-5</v>
      </c>
      <c r="E804" s="74">
        <f t="shared" si="26"/>
        <v>-1.5692431623543625E-3</v>
      </c>
      <c r="F804" s="75"/>
    </row>
    <row r="805" spans="1:6" ht="14.25" customHeight="1" x14ac:dyDescent="0.3">
      <c r="A805" s="73">
        <v>41718</v>
      </c>
      <c r="B805" s="74">
        <v>21740.09</v>
      </c>
      <c r="C805" s="74">
        <v>253.4</v>
      </c>
      <c r="D805" s="74">
        <f t="shared" si="25"/>
        <v>-4.2581528298813462E-3</v>
      </c>
      <c r="E805" s="74">
        <f t="shared" si="26"/>
        <v>-5.1171140983726085E-3</v>
      </c>
      <c r="F805" s="75"/>
    </row>
    <row r="806" spans="1:6" ht="14.25" customHeight="1" x14ac:dyDescent="0.3">
      <c r="A806" s="73">
        <v>41719</v>
      </c>
      <c r="B806" s="74">
        <v>21753.75</v>
      </c>
      <c r="C806" s="74">
        <v>255.05</v>
      </c>
      <c r="D806" s="74">
        <f t="shared" si="25"/>
        <v>6.2813494734569964E-4</v>
      </c>
      <c r="E806" s="74">
        <f t="shared" si="26"/>
        <v>6.4903364818968785E-3</v>
      </c>
      <c r="F806" s="75"/>
    </row>
    <row r="807" spans="1:6" ht="14.25" customHeight="1" x14ac:dyDescent="0.3">
      <c r="A807" s="73">
        <v>41720</v>
      </c>
      <c r="B807" s="74">
        <v>21755.32</v>
      </c>
      <c r="C807" s="74">
        <v>254.95</v>
      </c>
      <c r="D807" s="74">
        <f t="shared" si="25"/>
        <v>7.2168860455216414E-5</v>
      </c>
      <c r="E807" s="74">
        <f t="shared" si="26"/>
        <v>-3.921568677709121E-4</v>
      </c>
      <c r="F807" s="75"/>
    </row>
    <row r="808" spans="1:6" ht="14.25" customHeight="1" x14ac:dyDescent="0.3">
      <c r="A808" s="73">
        <v>41722</v>
      </c>
      <c r="B808" s="74">
        <v>22055.48</v>
      </c>
      <c r="C808" s="74">
        <v>252.65</v>
      </c>
      <c r="D808" s="74">
        <f t="shared" si="25"/>
        <v>1.3702771765760881E-2</v>
      </c>
      <c r="E808" s="74">
        <f t="shared" si="26"/>
        <v>-9.0623157632470641E-3</v>
      </c>
      <c r="F808" s="75"/>
    </row>
    <row r="809" spans="1:6" ht="14.25" customHeight="1" x14ac:dyDescent="0.3">
      <c r="A809" s="73">
        <v>41723</v>
      </c>
      <c r="B809" s="74">
        <v>22055.21</v>
      </c>
      <c r="C809" s="74">
        <v>255.55</v>
      </c>
      <c r="D809" s="74">
        <f t="shared" si="25"/>
        <v>-1.2241930470955449E-5</v>
      </c>
      <c r="E809" s="74">
        <f t="shared" si="26"/>
        <v>1.1412953476371062E-2</v>
      </c>
      <c r="F809" s="75"/>
    </row>
    <row r="810" spans="1:6" ht="14.25" customHeight="1" x14ac:dyDescent="0.3">
      <c r="A810" s="73">
        <v>41724</v>
      </c>
      <c r="B810" s="74">
        <v>22095.3</v>
      </c>
      <c r="C810" s="74">
        <v>248.75</v>
      </c>
      <c r="D810" s="74">
        <f t="shared" si="25"/>
        <v>1.8160610610535837E-3</v>
      </c>
      <c r="E810" s="74">
        <f t="shared" si="26"/>
        <v>-2.6969709175586505E-2</v>
      </c>
      <c r="F810" s="75"/>
    </row>
    <row r="811" spans="1:6" ht="14.25" customHeight="1" x14ac:dyDescent="0.3">
      <c r="A811" s="73">
        <v>41725</v>
      </c>
      <c r="B811" s="74">
        <v>22214.37</v>
      </c>
      <c r="C811" s="74">
        <v>253.75</v>
      </c>
      <c r="D811" s="74">
        <f t="shared" si="25"/>
        <v>5.3744605459507154E-3</v>
      </c>
      <c r="E811" s="74">
        <f t="shared" si="26"/>
        <v>1.9901154317295021E-2</v>
      </c>
      <c r="F811" s="75"/>
    </row>
    <row r="812" spans="1:6" ht="14.25" customHeight="1" x14ac:dyDescent="0.3">
      <c r="A812" s="73">
        <v>41726</v>
      </c>
      <c r="B812" s="74">
        <v>22339.97</v>
      </c>
      <c r="C812" s="74">
        <v>253.1</v>
      </c>
      <c r="D812" s="74">
        <f t="shared" si="25"/>
        <v>5.6380739884353001E-3</v>
      </c>
      <c r="E812" s="74">
        <f t="shared" si="26"/>
        <v>-2.5648628049187113E-3</v>
      </c>
      <c r="F812" s="75"/>
    </row>
    <row r="813" spans="1:6" ht="14.25" customHeight="1" x14ac:dyDescent="0.3">
      <c r="A813" s="73">
        <v>41729</v>
      </c>
      <c r="B813" s="74">
        <v>22386.27</v>
      </c>
      <c r="C813" s="74">
        <v>262.45</v>
      </c>
      <c r="D813" s="74">
        <f t="shared" si="25"/>
        <v>2.0703737465318198E-3</v>
      </c>
      <c r="E813" s="74">
        <f t="shared" si="26"/>
        <v>3.6275920147230419E-2</v>
      </c>
      <c r="F813" s="75"/>
    </row>
    <row r="814" spans="1:6" ht="14.25" customHeight="1" x14ac:dyDescent="0.3">
      <c r="A814" s="73">
        <v>41730</v>
      </c>
      <c r="B814" s="74">
        <v>22446.44</v>
      </c>
      <c r="C814" s="74">
        <v>264.75</v>
      </c>
      <c r="D814" s="74">
        <f t="shared" si="25"/>
        <v>2.6842024997721604E-3</v>
      </c>
      <c r="E814" s="74">
        <f t="shared" si="26"/>
        <v>8.7253967832070217E-3</v>
      </c>
      <c r="F814" s="75"/>
    </row>
    <row r="815" spans="1:6" ht="14.25" customHeight="1" x14ac:dyDescent="0.3">
      <c r="A815" s="73">
        <v>41731</v>
      </c>
      <c r="B815" s="74">
        <v>22551.49</v>
      </c>
      <c r="C815" s="74">
        <v>265.10000000000002</v>
      </c>
      <c r="D815" s="74">
        <f t="shared" si="25"/>
        <v>4.6691121500963117E-3</v>
      </c>
      <c r="E815" s="74">
        <f t="shared" si="26"/>
        <v>1.3211288134641203E-3</v>
      </c>
      <c r="F815" s="75"/>
    </row>
    <row r="816" spans="1:6" ht="14.25" customHeight="1" x14ac:dyDescent="0.3">
      <c r="A816" s="73">
        <v>41732</v>
      </c>
      <c r="B816" s="74">
        <v>22509.07</v>
      </c>
      <c r="C816" s="74">
        <v>268.39999999999998</v>
      </c>
      <c r="D816" s="74">
        <f t="shared" si="25"/>
        <v>-1.8828000598017354E-3</v>
      </c>
      <c r="E816" s="74">
        <f t="shared" si="26"/>
        <v>1.2371291802546609E-2</v>
      </c>
      <c r="F816" s="75"/>
    </row>
    <row r="817" spans="1:6" ht="14.25" customHeight="1" x14ac:dyDescent="0.3">
      <c r="A817" s="73">
        <v>41733</v>
      </c>
      <c r="B817" s="74">
        <v>22359.5</v>
      </c>
      <c r="C817" s="74">
        <v>269.95</v>
      </c>
      <c r="D817" s="74">
        <f t="shared" si="25"/>
        <v>-6.6670524167211686E-3</v>
      </c>
      <c r="E817" s="74">
        <f t="shared" si="26"/>
        <v>5.7583515667693286E-3</v>
      </c>
      <c r="F817" s="75"/>
    </row>
    <row r="818" spans="1:6" ht="14.25" customHeight="1" x14ac:dyDescent="0.3">
      <c r="A818" s="73">
        <v>41736</v>
      </c>
      <c r="B818" s="74">
        <v>22343.45</v>
      </c>
      <c r="C818" s="74">
        <v>262.64999999999998</v>
      </c>
      <c r="D818" s="74">
        <f t="shared" si="25"/>
        <v>-7.1807344659145734E-4</v>
      </c>
      <c r="E818" s="74">
        <f t="shared" si="26"/>
        <v>-2.74144092643255E-2</v>
      </c>
      <c r="F818" s="75"/>
    </row>
    <row r="819" spans="1:6" ht="14.25" customHeight="1" x14ac:dyDescent="0.3">
      <c r="A819" s="73">
        <v>41738</v>
      </c>
      <c r="B819" s="74">
        <v>22702.34</v>
      </c>
      <c r="C819" s="74">
        <v>264.2</v>
      </c>
      <c r="D819" s="74">
        <f t="shared" si="25"/>
        <v>1.593478964432055E-2</v>
      </c>
      <c r="E819" s="74">
        <f t="shared" si="26"/>
        <v>5.8840446882545009E-3</v>
      </c>
      <c r="F819" s="75"/>
    </row>
    <row r="820" spans="1:6" ht="14.25" customHeight="1" x14ac:dyDescent="0.3">
      <c r="A820" s="73">
        <v>41739</v>
      </c>
      <c r="B820" s="74">
        <v>22715.33</v>
      </c>
      <c r="C820" s="74">
        <v>262.60000000000002</v>
      </c>
      <c r="D820" s="74">
        <f t="shared" si="25"/>
        <v>5.7202407583681488E-4</v>
      </c>
      <c r="E820" s="74">
        <f t="shared" si="26"/>
        <v>-6.074430219528971E-3</v>
      </c>
      <c r="F820" s="75"/>
    </row>
    <row r="821" spans="1:6" ht="14.25" customHeight="1" x14ac:dyDescent="0.3">
      <c r="A821" s="73">
        <v>41740</v>
      </c>
      <c r="B821" s="74">
        <v>22628.959999999999</v>
      </c>
      <c r="C821" s="74">
        <v>262.60000000000002</v>
      </c>
      <c r="D821" s="74">
        <f t="shared" si="25"/>
        <v>-3.8095250561232699E-3</v>
      </c>
      <c r="E821" s="74">
        <f t="shared" si="26"/>
        <v>0</v>
      </c>
      <c r="F821" s="75"/>
    </row>
    <row r="822" spans="1:6" ht="14.25" customHeight="1" x14ac:dyDescent="0.3">
      <c r="A822" s="73">
        <v>41744</v>
      </c>
      <c r="B822" s="74">
        <v>22484.93</v>
      </c>
      <c r="C822" s="74">
        <v>257.45</v>
      </c>
      <c r="D822" s="74">
        <f t="shared" si="25"/>
        <v>-6.3851948634956607E-3</v>
      </c>
      <c r="E822" s="74">
        <f t="shared" si="26"/>
        <v>-1.9806435376545587E-2</v>
      </c>
      <c r="F822" s="75"/>
    </row>
    <row r="823" spans="1:6" ht="14.25" customHeight="1" x14ac:dyDescent="0.3">
      <c r="A823" s="73">
        <v>41745</v>
      </c>
      <c r="B823" s="74">
        <v>22277.23</v>
      </c>
      <c r="C823" s="74">
        <v>255.4</v>
      </c>
      <c r="D823" s="74">
        <f t="shared" si="25"/>
        <v>-9.2802264518326346E-3</v>
      </c>
      <c r="E823" s="74">
        <f t="shared" si="26"/>
        <v>-7.9945828937114244E-3</v>
      </c>
      <c r="F823" s="75"/>
    </row>
    <row r="824" spans="1:6" ht="14.25" customHeight="1" x14ac:dyDescent="0.3">
      <c r="A824" s="73">
        <v>41746</v>
      </c>
      <c r="B824" s="74">
        <v>22628.84</v>
      </c>
      <c r="C824" s="74">
        <v>257.10000000000002</v>
      </c>
      <c r="D824" s="74">
        <f t="shared" si="25"/>
        <v>1.5660118362025115E-2</v>
      </c>
      <c r="E824" s="74">
        <f t="shared" si="26"/>
        <v>6.6341706734049577E-3</v>
      </c>
      <c r="F824" s="75"/>
    </row>
    <row r="825" spans="1:6" ht="14.25" customHeight="1" x14ac:dyDescent="0.3">
      <c r="A825" s="73">
        <v>41750</v>
      </c>
      <c r="B825" s="74">
        <v>22764.83</v>
      </c>
      <c r="C825" s="74">
        <v>259.3</v>
      </c>
      <c r="D825" s="74">
        <f t="shared" si="25"/>
        <v>5.9916022136364501E-3</v>
      </c>
      <c r="E825" s="74">
        <f t="shared" si="26"/>
        <v>8.5205782727747811E-3</v>
      </c>
      <c r="F825" s="75"/>
    </row>
    <row r="826" spans="1:6" ht="14.25" customHeight="1" x14ac:dyDescent="0.3">
      <c r="A826" s="73">
        <v>41751</v>
      </c>
      <c r="B826" s="74">
        <v>22758.37</v>
      </c>
      <c r="C826" s="74">
        <v>260.89999999999998</v>
      </c>
      <c r="D826" s="74">
        <f t="shared" si="25"/>
        <v>-2.8381133327025907E-4</v>
      </c>
      <c r="E826" s="74">
        <f t="shared" si="26"/>
        <v>6.15149959806388E-3</v>
      </c>
      <c r="F826" s="75"/>
    </row>
    <row r="827" spans="1:6" ht="14.25" customHeight="1" x14ac:dyDescent="0.3">
      <c r="A827" s="73">
        <v>41752</v>
      </c>
      <c r="B827" s="74">
        <v>22876.54</v>
      </c>
      <c r="C827" s="74">
        <v>255.9</v>
      </c>
      <c r="D827" s="74">
        <f t="shared" si="25"/>
        <v>5.1789414780903844E-3</v>
      </c>
      <c r="E827" s="74">
        <f t="shared" si="26"/>
        <v>-1.9350448976939487E-2</v>
      </c>
      <c r="F827" s="75"/>
    </row>
    <row r="828" spans="1:6" ht="14.25" customHeight="1" x14ac:dyDescent="0.3">
      <c r="A828" s="73">
        <v>41754</v>
      </c>
      <c r="B828" s="74">
        <v>22688.07</v>
      </c>
      <c r="C828" s="74">
        <v>257.64999999999998</v>
      </c>
      <c r="D828" s="74">
        <f t="shared" si="25"/>
        <v>-8.2726956234952069E-3</v>
      </c>
      <c r="E828" s="74">
        <f t="shared" si="26"/>
        <v>6.8153316084901515E-3</v>
      </c>
      <c r="F828" s="75"/>
    </row>
    <row r="829" spans="1:6" ht="14.25" customHeight="1" x14ac:dyDescent="0.3">
      <c r="A829" s="73">
        <v>41757</v>
      </c>
      <c r="B829" s="74">
        <v>22631.61</v>
      </c>
      <c r="C829" s="74">
        <v>258.10000000000002</v>
      </c>
      <c r="D829" s="74">
        <f t="shared" si="25"/>
        <v>-2.4916340631605063E-3</v>
      </c>
      <c r="E829" s="74">
        <f t="shared" si="26"/>
        <v>1.7450319503350005E-3</v>
      </c>
      <c r="F829" s="75"/>
    </row>
    <row r="830" spans="1:6" ht="14.25" customHeight="1" x14ac:dyDescent="0.3">
      <c r="A830" s="73">
        <v>41758</v>
      </c>
      <c r="B830" s="74">
        <v>22466.19</v>
      </c>
      <c r="C830" s="74">
        <v>260</v>
      </c>
      <c r="D830" s="74">
        <f t="shared" si="25"/>
        <v>-7.3360892053842457E-3</v>
      </c>
      <c r="E830" s="74">
        <f t="shared" si="26"/>
        <v>7.3345242909594217E-3</v>
      </c>
      <c r="F830" s="75"/>
    </row>
    <row r="831" spans="1:6" ht="14.25" customHeight="1" x14ac:dyDescent="0.3">
      <c r="A831" s="73">
        <v>41759</v>
      </c>
      <c r="B831" s="74">
        <v>22417.8</v>
      </c>
      <c r="C831" s="74">
        <v>254.75</v>
      </c>
      <c r="D831" s="74">
        <f t="shared" si="25"/>
        <v>-2.1562262512021214E-3</v>
      </c>
      <c r="E831" s="74">
        <f t="shared" si="26"/>
        <v>-2.0398958912693575E-2</v>
      </c>
      <c r="F831" s="75"/>
    </row>
    <row r="832" spans="1:6" ht="14.25" customHeight="1" x14ac:dyDescent="0.3">
      <c r="A832" s="73">
        <v>41761</v>
      </c>
      <c r="B832" s="74">
        <v>22403.89</v>
      </c>
      <c r="C832" s="74">
        <v>258.05</v>
      </c>
      <c r="D832" s="74">
        <f t="shared" si="25"/>
        <v>-6.2068165865965881E-4</v>
      </c>
      <c r="E832" s="74">
        <f t="shared" si="26"/>
        <v>1.2870692491902022E-2</v>
      </c>
      <c r="F832" s="75"/>
    </row>
    <row r="833" spans="1:6" ht="14.25" customHeight="1" x14ac:dyDescent="0.3">
      <c r="A833" s="73">
        <v>41764</v>
      </c>
      <c r="B833" s="74">
        <v>22445.119999999999</v>
      </c>
      <c r="C833" s="74">
        <v>261.95</v>
      </c>
      <c r="D833" s="74">
        <f t="shared" si="25"/>
        <v>1.8386141239166009E-3</v>
      </c>
      <c r="E833" s="74">
        <f t="shared" si="26"/>
        <v>1.5000281259492378E-2</v>
      </c>
      <c r="F833" s="75"/>
    </row>
    <row r="834" spans="1:6" ht="14.25" customHeight="1" x14ac:dyDescent="0.3">
      <c r="A834" s="73">
        <v>41765</v>
      </c>
      <c r="B834" s="74">
        <v>22508.42</v>
      </c>
      <c r="C834" s="74">
        <v>271.05</v>
      </c>
      <c r="D834" s="74">
        <f t="shared" si="25"/>
        <v>2.8162428070046203E-3</v>
      </c>
      <c r="E834" s="74">
        <f t="shared" si="26"/>
        <v>3.4149659852118569E-2</v>
      </c>
      <c r="F834" s="75"/>
    </row>
    <row r="835" spans="1:6" ht="14.25" customHeight="1" x14ac:dyDescent="0.3">
      <c r="A835" s="73">
        <v>41766</v>
      </c>
      <c r="B835" s="74">
        <v>22323.9</v>
      </c>
      <c r="C835" s="74">
        <v>272.25</v>
      </c>
      <c r="D835" s="74">
        <f t="shared" si="25"/>
        <v>-8.2316079967340063E-3</v>
      </c>
      <c r="E835" s="74">
        <f t="shared" si="26"/>
        <v>4.4174561067226673E-3</v>
      </c>
      <c r="F835" s="75"/>
    </row>
    <row r="836" spans="1:6" ht="14.25" customHeight="1" x14ac:dyDescent="0.3">
      <c r="A836" s="73">
        <v>41767</v>
      </c>
      <c r="B836" s="74">
        <v>22344.04</v>
      </c>
      <c r="C836" s="74">
        <v>276.89999999999998</v>
      </c>
      <c r="D836" s="74">
        <f t="shared" ref="D836:D899" si="27">LN(B836/B835)</f>
        <v>9.0176539884267363E-4</v>
      </c>
      <c r="E836" s="74">
        <f t="shared" ref="E836:E899" si="28">LN(C836/C835)</f>
        <v>1.6935668363846242E-2</v>
      </c>
      <c r="F836" s="75"/>
    </row>
    <row r="837" spans="1:6" ht="14.25" customHeight="1" x14ac:dyDescent="0.3">
      <c r="A837" s="73">
        <v>41768</v>
      </c>
      <c r="B837" s="74">
        <v>22994.23</v>
      </c>
      <c r="C837" s="74">
        <v>277.10000000000002</v>
      </c>
      <c r="D837" s="74">
        <f t="shared" si="27"/>
        <v>2.8683696059865555E-2</v>
      </c>
      <c r="E837" s="74">
        <f t="shared" si="28"/>
        <v>7.2202169201664417E-4</v>
      </c>
      <c r="F837" s="75"/>
    </row>
    <row r="838" spans="1:6" ht="14.25" customHeight="1" x14ac:dyDescent="0.3">
      <c r="A838" s="73">
        <v>41771</v>
      </c>
      <c r="B838" s="74">
        <v>23551</v>
      </c>
      <c r="C838" s="74">
        <v>284.64999999999998</v>
      </c>
      <c r="D838" s="74">
        <f t="shared" si="27"/>
        <v>2.3924967515017263E-2</v>
      </c>
      <c r="E838" s="74">
        <f t="shared" si="28"/>
        <v>2.6881903528157992E-2</v>
      </c>
      <c r="F838" s="75"/>
    </row>
    <row r="839" spans="1:6" ht="14.25" customHeight="1" x14ac:dyDescent="0.3">
      <c r="A839" s="73">
        <v>41772</v>
      </c>
      <c r="B839" s="74">
        <v>23871.23</v>
      </c>
      <c r="C839" s="74">
        <v>296.35000000000002</v>
      </c>
      <c r="D839" s="74">
        <f t="shared" si="27"/>
        <v>1.3505685733288347E-2</v>
      </c>
      <c r="E839" s="74">
        <f t="shared" si="28"/>
        <v>4.028083283675641E-2</v>
      </c>
      <c r="F839" s="75"/>
    </row>
    <row r="840" spans="1:6" ht="14.25" customHeight="1" x14ac:dyDescent="0.3">
      <c r="A840" s="73">
        <v>41773</v>
      </c>
      <c r="B840" s="74">
        <v>23815.119999999999</v>
      </c>
      <c r="C840" s="74">
        <v>303.8</v>
      </c>
      <c r="D840" s="74">
        <f t="shared" si="27"/>
        <v>-2.3532950580093838E-3</v>
      </c>
      <c r="E840" s="74">
        <f t="shared" si="28"/>
        <v>2.4828401927825247E-2</v>
      </c>
      <c r="F840" s="75"/>
    </row>
    <row r="841" spans="1:6" ht="14.25" customHeight="1" x14ac:dyDescent="0.3">
      <c r="A841" s="73">
        <v>41774</v>
      </c>
      <c r="B841" s="74">
        <v>23905.599999999999</v>
      </c>
      <c r="C841" s="74">
        <v>316.05</v>
      </c>
      <c r="D841" s="74">
        <f t="shared" si="27"/>
        <v>3.7920680334879663E-3</v>
      </c>
      <c r="E841" s="74">
        <f t="shared" si="28"/>
        <v>3.9530838756635218E-2</v>
      </c>
      <c r="F841" s="75"/>
    </row>
    <row r="842" spans="1:6" ht="14.25" customHeight="1" x14ac:dyDescent="0.3">
      <c r="A842" s="73">
        <v>41775</v>
      </c>
      <c r="B842" s="74">
        <v>24121.74</v>
      </c>
      <c r="C842" s="74">
        <v>306.85000000000002</v>
      </c>
      <c r="D842" s="74">
        <f t="shared" si="27"/>
        <v>9.0007674458697229E-3</v>
      </c>
      <c r="E842" s="74">
        <f t="shared" si="28"/>
        <v>-2.9541400083201653E-2</v>
      </c>
      <c r="F842" s="75"/>
    </row>
    <row r="843" spans="1:6" ht="14.25" customHeight="1" x14ac:dyDescent="0.3">
      <c r="A843" s="73">
        <v>41778</v>
      </c>
      <c r="B843" s="74">
        <v>24363.05</v>
      </c>
      <c r="C843" s="74">
        <v>307.55</v>
      </c>
      <c r="D843" s="74">
        <f t="shared" si="27"/>
        <v>9.9541316981351709E-3</v>
      </c>
      <c r="E843" s="74">
        <f t="shared" si="28"/>
        <v>2.2786468192712624E-3</v>
      </c>
      <c r="F843" s="75"/>
    </row>
    <row r="844" spans="1:6" ht="14.25" customHeight="1" x14ac:dyDescent="0.3">
      <c r="A844" s="73">
        <v>41779</v>
      </c>
      <c r="B844" s="74">
        <v>24376.880000000001</v>
      </c>
      <c r="C844" s="74">
        <v>314.14999999999998</v>
      </c>
      <c r="D844" s="74">
        <f t="shared" si="27"/>
        <v>5.6750185612391448E-4</v>
      </c>
      <c r="E844" s="74">
        <f t="shared" si="28"/>
        <v>2.123290319457858E-2</v>
      </c>
      <c r="F844" s="75"/>
    </row>
    <row r="845" spans="1:6" ht="14.25" customHeight="1" x14ac:dyDescent="0.3">
      <c r="A845" s="73">
        <v>41780</v>
      </c>
      <c r="B845" s="74">
        <v>24298.02</v>
      </c>
      <c r="C845" s="74">
        <v>310.14999999999998</v>
      </c>
      <c r="D845" s="74">
        <f t="shared" si="27"/>
        <v>-3.2402765695869608E-3</v>
      </c>
      <c r="E845" s="74">
        <f t="shared" si="28"/>
        <v>-1.2814527429829458E-2</v>
      </c>
      <c r="F845" s="75"/>
    </row>
    <row r="846" spans="1:6" ht="14.25" customHeight="1" x14ac:dyDescent="0.3">
      <c r="A846" s="73">
        <v>41781</v>
      </c>
      <c r="B846" s="74">
        <v>24374.400000000001</v>
      </c>
      <c r="C846" s="74">
        <v>330.45</v>
      </c>
      <c r="D846" s="74">
        <f t="shared" si="27"/>
        <v>3.1385356511068616E-3</v>
      </c>
      <c r="E846" s="74">
        <f t="shared" si="28"/>
        <v>6.3399310497335354E-2</v>
      </c>
      <c r="F846" s="75"/>
    </row>
    <row r="847" spans="1:6" ht="14.25" customHeight="1" x14ac:dyDescent="0.3">
      <c r="A847" s="73">
        <v>41782</v>
      </c>
      <c r="B847" s="74">
        <v>24693.35</v>
      </c>
      <c r="C847" s="74">
        <v>325.35000000000002</v>
      </c>
      <c r="D847" s="74">
        <f t="shared" si="27"/>
        <v>1.300057541925871E-2</v>
      </c>
      <c r="E847" s="74">
        <f t="shared" si="28"/>
        <v>-1.5553835975468628E-2</v>
      </c>
      <c r="F847" s="75"/>
    </row>
    <row r="848" spans="1:6" ht="14.25" customHeight="1" x14ac:dyDescent="0.3">
      <c r="A848" s="73">
        <v>41785</v>
      </c>
      <c r="B848" s="74">
        <v>24716.880000000001</v>
      </c>
      <c r="C848" s="74">
        <v>320.45</v>
      </c>
      <c r="D848" s="74">
        <f t="shared" si="27"/>
        <v>9.5243441606063879E-4</v>
      </c>
      <c r="E848" s="74">
        <f t="shared" si="28"/>
        <v>-1.5175267990757323E-2</v>
      </c>
      <c r="F848" s="75"/>
    </row>
    <row r="849" spans="1:6" ht="14.25" customHeight="1" x14ac:dyDescent="0.3">
      <c r="A849" s="73">
        <v>41786</v>
      </c>
      <c r="B849" s="74">
        <v>24549.51</v>
      </c>
      <c r="C849" s="74">
        <v>319.10000000000002</v>
      </c>
      <c r="D849" s="74">
        <f t="shared" si="27"/>
        <v>-6.7945162571130552E-3</v>
      </c>
      <c r="E849" s="74">
        <f t="shared" si="28"/>
        <v>-4.221724666037964E-3</v>
      </c>
      <c r="F849" s="75"/>
    </row>
    <row r="850" spans="1:6" ht="14.25" customHeight="1" x14ac:dyDescent="0.3">
      <c r="A850" s="73">
        <v>41787</v>
      </c>
      <c r="B850" s="74">
        <v>24556.09</v>
      </c>
      <c r="C850" s="74">
        <v>315.60000000000002</v>
      </c>
      <c r="D850" s="74">
        <f t="shared" si="27"/>
        <v>2.6799387602979586E-4</v>
      </c>
      <c r="E850" s="74">
        <f t="shared" si="28"/>
        <v>-1.1028944312478675E-2</v>
      </c>
      <c r="F850" s="75"/>
    </row>
    <row r="851" spans="1:6" ht="14.25" customHeight="1" x14ac:dyDescent="0.3">
      <c r="A851" s="73">
        <v>41788</v>
      </c>
      <c r="B851" s="74">
        <v>24234.15</v>
      </c>
      <c r="C851" s="74">
        <v>313.75</v>
      </c>
      <c r="D851" s="74">
        <f t="shared" si="27"/>
        <v>-1.3197093209489284E-2</v>
      </c>
      <c r="E851" s="74">
        <f t="shared" si="28"/>
        <v>-5.8790985257255908E-3</v>
      </c>
      <c r="F851" s="75"/>
    </row>
    <row r="852" spans="1:6" ht="14.25" customHeight="1" x14ac:dyDescent="0.3">
      <c r="A852" s="73">
        <v>41789</v>
      </c>
      <c r="B852" s="74">
        <v>24217.34</v>
      </c>
      <c r="C852" s="74">
        <v>310.75</v>
      </c>
      <c r="D852" s="74">
        <f t="shared" si="27"/>
        <v>-6.9388993710945031E-4</v>
      </c>
      <c r="E852" s="74">
        <f t="shared" si="28"/>
        <v>-9.6077600551731836E-3</v>
      </c>
      <c r="F852" s="75"/>
    </row>
    <row r="853" spans="1:6" ht="14.25" customHeight="1" x14ac:dyDescent="0.3">
      <c r="A853" s="73">
        <v>41792</v>
      </c>
      <c r="B853" s="74">
        <v>24684.85</v>
      </c>
      <c r="C853" s="74">
        <v>314.25</v>
      </c>
      <c r="D853" s="74">
        <f t="shared" si="27"/>
        <v>1.9120789623679097E-2</v>
      </c>
      <c r="E853" s="74">
        <f t="shared" si="28"/>
        <v>1.1200117079536328E-2</v>
      </c>
      <c r="F853" s="75"/>
    </row>
    <row r="854" spans="1:6" ht="14.25" customHeight="1" x14ac:dyDescent="0.3">
      <c r="A854" s="73">
        <v>41793</v>
      </c>
      <c r="B854" s="74">
        <v>24858.59</v>
      </c>
      <c r="C854" s="74">
        <v>319.89999999999998</v>
      </c>
      <c r="D854" s="74">
        <f t="shared" si="27"/>
        <v>7.0136717277472886E-3</v>
      </c>
      <c r="E854" s="74">
        <f t="shared" si="28"/>
        <v>1.7819599485115425E-2</v>
      </c>
      <c r="F854" s="75"/>
    </row>
    <row r="855" spans="1:6" ht="14.25" customHeight="1" x14ac:dyDescent="0.3">
      <c r="A855" s="73">
        <v>41794</v>
      </c>
      <c r="B855" s="74">
        <v>24805.83</v>
      </c>
      <c r="C855" s="74">
        <v>320.25</v>
      </c>
      <c r="D855" s="74">
        <f t="shared" si="27"/>
        <v>-2.124660666422916E-3</v>
      </c>
      <c r="E855" s="74">
        <f t="shared" si="28"/>
        <v>1.0934938213712896E-3</v>
      </c>
      <c r="F855" s="75"/>
    </row>
    <row r="856" spans="1:6" ht="14.25" customHeight="1" x14ac:dyDescent="0.3">
      <c r="A856" s="73">
        <v>41795</v>
      </c>
      <c r="B856" s="74">
        <v>25019.51</v>
      </c>
      <c r="C856" s="74">
        <v>322.64999999999998</v>
      </c>
      <c r="D856" s="74">
        <f t="shared" si="27"/>
        <v>8.5772143254828574E-3</v>
      </c>
      <c r="E856" s="74">
        <f t="shared" si="28"/>
        <v>7.4662036050049977E-3</v>
      </c>
      <c r="F856" s="75"/>
    </row>
    <row r="857" spans="1:6" ht="14.25" customHeight="1" x14ac:dyDescent="0.3">
      <c r="A857" s="73">
        <v>41796</v>
      </c>
      <c r="B857" s="74">
        <v>25396.46</v>
      </c>
      <c r="C857" s="74">
        <v>326.55</v>
      </c>
      <c r="D857" s="74">
        <f t="shared" si="27"/>
        <v>1.4953873718383312E-2</v>
      </c>
      <c r="E857" s="74">
        <f t="shared" si="28"/>
        <v>1.2014931966817457E-2</v>
      </c>
      <c r="F857" s="75"/>
    </row>
    <row r="858" spans="1:6" ht="14.25" customHeight="1" x14ac:dyDescent="0.3">
      <c r="A858" s="73">
        <v>41799</v>
      </c>
      <c r="B858" s="74">
        <v>25580.21</v>
      </c>
      <c r="C858" s="74">
        <v>326.39999999999998</v>
      </c>
      <c r="D858" s="74">
        <f t="shared" si="27"/>
        <v>7.209211422861829E-3</v>
      </c>
      <c r="E858" s="74">
        <f t="shared" si="28"/>
        <v>-4.5945325871434722E-4</v>
      </c>
      <c r="F858" s="75"/>
    </row>
    <row r="859" spans="1:6" ht="14.25" customHeight="1" x14ac:dyDescent="0.3">
      <c r="A859" s="73">
        <v>41800</v>
      </c>
      <c r="B859" s="74">
        <v>25583.69</v>
      </c>
      <c r="C859" s="74">
        <v>341.2</v>
      </c>
      <c r="D859" s="74">
        <f t="shared" si="27"/>
        <v>1.3603341439441131E-4</v>
      </c>
      <c r="E859" s="74">
        <f t="shared" si="28"/>
        <v>4.4345192527572165E-2</v>
      </c>
      <c r="F859" s="75"/>
    </row>
    <row r="860" spans="1:6" ht="14.25" customHeight="1" x14ac:dyDescent="0.3">
      <c r="A860" s="73">
        <v>41801</v>
      </c>
      <c r="B860" s="74">
        <v>25473.89</v>
      </c>
      <c r="C860" s="74">
        <v>329</v>
      </c>
      <c r="D860" s="74">
        <f t="shared" si="27"/>
        <v>-4.3010330401381403E-3</v>
      </c>
      <c r="E860" s="74">
        <f t="shared" si="28"/>
        <v>-3.6411064852152099E-2</v>
      </c>
      <c r="F860" s="75"/>
    </row>
    <row r="861" spans="1:6" ht="14.25" customHeight="1" x14ac:dyDescent="0.3">
      <c r="A861" s="73">
        <v>41802</v>
      </c>
      <c r="B861" s="74">
        <v>25576.21</v>
      </c>
      <c r="C861" s="74">
        <v>329.25</v>
      </c>
      <c r="D861" s="74">
        <f t="shared" si="27"/>
        <v>4.0086165165209003E-3</v>
      </c>
      <c r="E861" s="74">
        <f t="shared" si="28"/>
        <v>7.5958985801855157E-4</v>
      </c>
      <c r="F861" s="75"/>
    </row>
    <row r="862" spans="1:6" ht="14.25" customHeight="1" x14ac:dyDescent="0.3">
      <c r="A862" s="73">
        <v>41803</v>
      </c>
      <c r="B862" s="74">
        <v>25228.17</v>
      </c>
      <c r="C862" s="74">
        <v>319</v>
      </c>
      <c r="D862" s="74">
        <f t="shared" si="27"/>
        <v>-1.3701395223302716E-2</v>
      </c>
      <c r="E862" s="74">
        <f t="shared" si="28"/>
        <v>-3.1626237838545894E-2</v>
      </c>
      <c r="F862" s="75"/>
    </row>
    <row r="863" spans="1:6" ht="14.25" customHeight="1" x14ac:dyDescent="0.3">
      <c r="A863" s="73">
        <v>41806</v>
      </c>
      <c r="B863" s="74">
        <v>25190.48</v>
      </c>
      <c r="C863" s="74">
        <v>322.64999999999998</v>
      </c>
      <c r="D863" s="74">
        <f t="shared" si="27"/>
        <v>-1.4950819595768649E-3</v>
      </c>
      <c r="E863" s="74">
        <f t="shared" si="28"/>
        <v>1.1377041597004055E-2</v>
      </c>
      <c r="F863" s="75"/>
    </row>
    <row r="864" spans="1:6" ht="14.25" customHeight="1" x14ac:dyDescent="0.3">
      <c r="A864" s="73">
        <v>41807</v>
      </c>
      <c r="B864" s="74">
        <v>25521.19</v>
      </c>
      <c r="C864" s="74">
        <v>323.25</v>
      </c>
      <c r="D864" s="74">
        <f t="shared" si="27"/>
        <v>1.304294211988543E-2</v>
      </c>
      <c r="E864" s="74">
        <f t="shared" si="28"/>
        <v>1.8578732701181914E-3</v>
      </c>
      <c r="F864" s="75"/>
    </row>
    <row r="865" spans="1:6" ht="14.25" customHeight="1" x14ac:dyDescent="0.3">
      <c r="A865" s="73">
        <v>41808</v>
      </c>
      <c r="B865" s="74">
        <v>25246.25</v>
      </c>
      <c r="C865" s="74">
        <v>315.3</v>
      </c>
      <c r="D865" s="74">
        <f t="shared" si="27"/>
        <v>-1.0831457643022832E-2</v>
      </c>
      <c r="E865" s="74">
        <f t="shared" si="28"/>
        <v>-2.4901451100951728E-2</v>
      </c>
      <c r="F865" s="75"/>
    </row>
    <row r="866" spans="1:6" ht="14.25" customHeight="1" x14ac:dyDescent="0.3">
      <c r="A866" s="73">
        <v>41809</v>
      </c>
      <c r="B866" s="74">
        <v>25201.8</v>
      </c>
      <c r="C866" s="74">
        <v>320.3</v>
      </c>
      <c r="D866" s="74">
        <f t="shared" si="27"/>
        <v>-1.7622093025538763E-3</v>
      </c>
      <c r="E866" s="74">
        <f t="shared" si="28"/>
        <v>1.5733490064097373E-2</v>
      </c>
      <c r="F866" s="75"/>
    </row>
    <row r="867" spans="1:6" ht="14.25" customHeight="1" x14ac:dyDescent="0.3">
      <c r="A867" s="73">
        <v>41810</v>
      </c>
      <c r="B867" s="74">
        <v>25105.51</v>
      </c>
      <c r="C867" s="74">
        <v>333.05</v>
      </c>
      <c r="D867" s="74">
        <f t="shared" si="27"/>
        <v>-3.8280765792278494E-3</v>
      </c>
      <c r="E867" s="74">
        <f t="shared" si="28"/>
        <v>3.903457224407602E-2</v>
      </c>
      <c r="F867" s="75"/>
    </row>
    <row r="868" spans="1:6" ht="14.25" customHeight="1" x14ac:dyDescent="0.3">
      <c r="A868" s="73">
        <v>41813</v>
      </c>
      <c r="B868" s="74">
        <v>25031.32</v>
      </c>
      <c r="C868" s="74">
        <v>326.64999999999998</v>
      </c>
      <c r="D868" s="74">
        <f t="shared" si="27"/>
        <v>-2.9595031895874248E-3</v>
      </c>
      <c r="E868" s="74">
        <f t="shared" si="28"/>
        <v>-1.940336757242914E-2</v>
      </c>
      <c r="F868" s="75"/>
    </row>
    <row r="869" spans="1:6" ht="14.25" customHeight="1" x14ac:dyDescent="0.3">
      <c r="A869" s="73">
        <v>41814</v>
      </c>
      <c r="B869" s="74">
        <v>25368.9</v>
      </c>
      <c r="C869" s="74">
        <v>337.65</v>
      </c>
      <c r="D869" s="74">
        <f t="shared" si="27"/>
        <v>1.3396173604899069E-2</v>
      </c>
      <c r="E869" s="74">
        <f t="shared" si="28"/>
        <v>3.3120594734091659E-2</v>
      </c>
      <c r="F869" s="75"/>
    </row>
    <row r="870" spans="1:6" ht="14.25" customHeight="1" x14ac:dyDescent="0.3">
      <c r="A870" s="73">
        <v>41815</v>
      </c>
      <c r="B870" s="74">
        <v>25313.74</v>
      </c>
      <c r="C870" s="74">
        <v>342.35</v>
      </c>
      <c r="D870" s="74">
        <f t="shared" si="27"/>
        <v>-2.1766830527680499E-3</v>
      </c>
      <c r="E870" s="74">
        <f t="shared" si="28"/>
        <v>1.3823749546221144E-2</v>
      </c>
      <c r="F870" s="75"/>
    </row>
    <row r="871" spans="1:6" ht="14.25" customHeight="1" x14ac:dyDescent="0.3">
      <c r="A871" s="73">
        <v>41816</v>
      </c>
      <c r="B871" s="74">
        <v>25062.67</v>
      </c>
      <c r="C871" s="74">
        <v>346.2</v>
      </c>
      <c r="D871" s="74">
        <f t="shared" si="27"/>
        <v>-9.9678432350458618E-3</v>
      </c>
      <c r="E871" s="74">
        <f t="shared" si="28"/>
        <v>1.1183037175036891E-2</v>
      </c>
      <c r="F871" s="75"/>
    </row>
    <row r="872" spans="1:6" ht="14.25" customHeight="1" x14ac:dyDescent="0.3">
      <c r="A872" s="73">
        <v>41817</v>
      </c>
      <c r="B872" s="74">
        <v>25099.919999999998</v>
      </c>
      <c r="C872" s="74">
        <v>352.8</v>
      </c>
      <c r="D872" s="74">
        <f t="shared" si="27"/>
        <v>1.4851707954856939E-3</v>
      </c>
      <c r="E872" s="74">
        <f t="shared" si="28"/>
        <v>1.888468139052742E-2</v>
      </c>
      <c r="F872" s="75"/>
    </row>
    <row r="873" spans="1:6" ht="14.25" customHeight="1" x14ac:dyDescent="0.3">
      <c r="A873" s="73">
        <v>41820</v>
      </c>
      <c r="B873" s="74">
        <v>25413.78</v>
      </c>
      <c r="C873" s="74">
        <v>352.65</v>
      </c>
      <c r="D873" s="74">
        <f t="shared" si="27"/>
        <v>1.2426887717267594E-2</v>
      </c>
      <c r="E873" s="74">
        <f t="shared" si="28"/>
        <v>-4.2526047844815415E-4</v>
      </c>
      <c r="F873" s="75"/>
    </row>
    <row r="874" spans="1:6" ht="14.25" customHeight="1" x14ac:dyDescent="0.3">
      <c r="A874" s="73">
        <v>41821</v>
      </c>
      <c r="B874" s="74">
        <v>25516.35</v>
      </c>
      <c r="C874" s="74">
        <v>355.8</v>
      </c>
      <c r="D874" s="74">
        <f t="shared" si="27"/>
        <v>4.0278765702267639E-3</v>
      </c>
      <c r="E874" s="74">
        <f t="shared" si="28"/>
        <v>8.8927115775467181E-3</v>
      </c>
      <c r="F874" s="75"/>
    </row>
    <row r="875" spans="1:6" ht="14.25" customHeight="1" x14ac:dyDescent="0.3">
      <c r="A875" s="73">
        <v>41822</v>
      </c>
      <c r="B875" s="74">
        <v>25841.21</v>
      </c>
      <c r="C875" s="74">
        <v>358.4</v>
      </c>
      <c r="D875" s="74">
        <f t="shared" si="27"/>
        <v>1.2651081274298663E-2</v>
      </c>
      <c r="E875" s="74">
        <f t="shared" si="28"/>
        <v>7.2809058690405095E-3</v>
      </c>
      <c r="F875" s="75"/>
    </row>
    <row r="876" spans="1:6" ht="14.25" customHeight="1" x14ac:dyDescent="0.3">
      <c r="A876" s="73">
        <v>41823</v>
      </c>
      <c r="B876" s="74">
        <v>25823.75</v>
      </c>
      <c r="C876" s="74">
        <v>360.55</v>
      </c>
      <c r="D876" s="74">
        <f t="shared" si="27"/>
        <v>-6.7589331975440395E-4</v>
      </c>
      <c r="E876" s="74">
        <f t="shared" si="28"/>
        <v>5.9809622619933136E-3</v>
      </c>
      <c r="F876" s="75"/>
    </row>
    <row r="877" spans="1:6" ht="14.25" customHeight="1" x14ac:dyDescent="0.3">
      <c r="A877" s="73">
        <v>41824</v>
      </c>
      <c r="B877" s="74">
        <v>25962.06</v>
      </c>
      <c r="C877" s="74">
        <v>357.1</v>
      </c>
      <c r="D877" s="74">
        <f t="shared" si="27"/>
        <v>5.341630414456163E-3</v>
      </c>
      <c r="E877" s="74">
        <f t="shared" si="28"/>
        <v>-9.6147887623657634E-3</v>
      </c>
      <c r="F877" s="75"/>
    </row>
    <row r="878" spans="1:6" ht="14.25" customHeight="1" x14ac:dyDescent="0.3">
      <c r="A878" s="73">
        <v>41827</v>
      </c>
      <c r="B878" s="74">
        <v>26100.080000000002</v>
      </c>
      <c r="C878" s="74">
        <v>356.9</v>
      </c>
      <c r="D878" s="74">
        <f t="shared" si="27"/>
        <v>5.3021379198922598E-3</v>
      </c>
      <c r="E878" s="74">
        <f t="shared" si="28"/>
        <v>-5.6022410428824775E-4</v>
      </c>
      <c r="F878" s="75"/>
    </row>
    <row r="879" spans="1:6" ht="14.25" customHeight="1" x14ac:dyDescent="0.3">
      <c r="A879" s="73">
        <v>41828</v>
      </c>
      <c r="B879" s="74">
        <v>25582.11</v>
      </c>
      <c r="C879" s="74">
        <v>341.3</v>
      </c>
      <c r="D879" s="74">
        <f t="shared" si="27"/>
        <v>-2.0045100391727008E-2</v>
      </c>
      <c r="E879" s="74">
        <f t="shared" si="28"/>
        <v>-4.4693774583453187E-2</v>
      </c>
      <c r="F879" s="75"/>
    </row>
    <row r="880" spans="1:6" ht="14.25" customHeight="1" x14ac:dyDescent="0.3">
      <c r="A880" s="73">
        <v>41829</v>
      </c>
      <c r="B880" s="74">
        <v>25444.81</v>
      </c>
      <c r="C880" s="74">
        <v>347.85</v>
      </c>
      <c r="D880" s="74">
        <f t="shared" si="27"/>
        <v>-5.3814861392772395E-3</v>
      </c>
      <c r="E880" s="74">
        <f t="shared" si="28"/>
        <v>1.900949645698911E-2</v>
      </c>
      <c r="F880" s="75"/>
    </row>
    <row r="881" spans="1:6" ht="14.25" customHeight="1" x14ac:dyDescent="0.3">
      <c r="A881" s="73">
        <v>41830</v>
      </c>
      <c r="B881" s="74">
        <v>25372.75</v>
      </c>
      <c r="C881" s="74">
        <v>327.8</v>
      </c>
      <c r="D881" s="74">
        <f t="shared" si="27"/>
        <v>-2.8360294472456961E-3</v>
      </c>
      <c r="E881" s="74">
        <f t="shared" si="28"/>
        <v>-5.9367686059921085E-2</v>
      </c>
      <c r="F881" s="75"/>
    </row>
    <row r="882" spans="1:6" ht="14.25" customHeight="1" x14ac:dyDescent="0.3">
      <c r="A882" s="73">
        <v>41831</v>
      </c>
      <c r="B882" s="74">
        <v>25024.35</v>
      </c>
      <c r="C882" s="74">
        <v>330.25</v>
      </c>
      <c r="D882" s="74">
        <f t="shared" si="27"/>
        <v>-1.3826412641820635E-2</v>
      </c>
      <c r="E882" s="74">
        <f t="shared" si="28"/>
        <v>7.4462770927054217E-3</v>
      </c>
      <c r="F882" s="75"/>
    </row>
    <row r="883" spans="1:6" ht="14.25" customHeight="1" x14ac:dyDescent="0.3">
      <c r="A883" s="73">
        <v>41834</v>
      </c>
      <c r="B883" s="74">
        <v>25006.98</v>
      </c>
      <c r="C883" s="74">
        <v>321.75</v>
      </c>
      <c r="D883" s="74">
        <f t="shared" si="27"/>
        <v>-6.9436493884537888E-4</v>
      </c>
      <c r="E883" s="74">
        <f t="shared" si="28"/>
        <v>-2.6075096926198613E-2</v>
      </c>
      <c r="F883" s="75"/>
    </row>
    <row r="884" spans="1:6" ht="14.25" customHeight="1" x14ac:dyDescent="0.3">
      <c r="A884" s="73">
        <v>41835</v>
      </c>
      <c r="B884" s="74">
        <v>25228.65</v>
      </c>
      <c r="C884" s="74">
        <v>327.64999999999998</v>
      </c>
      <c r="D884" s="74">
        <f t="shared" si="27"/>
        <v>8.8252675933487082E-3</v>
      </c>
      <c r="E884" s="74">
        <f t="shared" si="28"/>
        <v>1.8171119009269845E-2</v>
      </c>
      <c r="F884" s="75"/>
    </row>
    <row r="885" spans="1:6" ht="14.25" customHeight="1" x14ac:dyDescent="0.3">
      <c r="A885" s="73">
        <v>41836</v>
      </c>
      <c r="B885" s="74">
        <v>25549.72</v>
      </c>
      <c r="C885" s="74">
        <v>327.39999999999998</v>
      </c>
      <c r="D885" s="74">
        <f t="shared" si="27"/>
        <v>1.2646104193072069E-2</v>
      </c>
      <c r="E885" s="74">
        <f t="shared" si="28"/>
        <v>-7.6330054847131542E-4</v>
      </c>
      <c r="F885" s="75"/>
    </row>
    <row r="886" spans="1:6" ht="14.25" customHeight="1" x14ac:dyDescent="0.3">
      <c r="A886" s="73">
        <v>41837</v>
      </c>
      <c r="B886" s="74">
        <v>25561.16</v>
      </c>
      <c r="C886" s="74">
        <v>334.1</v>
      </c>
      <c r="D886" s="74">
        <f t="shared" si="27"/>
        <v>4.476542055640955E-4</v>
      </c>
      <c r="E886" s="74">
        <f t="shared" si="28"/>
        <v>2.0257684425676402E-2</v>
      </c>
      <c r="F886" s="75"/>
    </row>
    <row r="887" spans="1:6" ht="14.25" customHeight="1" x14ac:dyDescent="0.3">
      <c r="A887" s="73">
        <v>41838</v>
      </c>
      <c r="B887" s="74">
        <v>25641.56</v>
      </c>
      <c r="C887" s="74">
        <v>329.65</v>
      </c>
      <c r="D887" s="74">
        <f t="shared" si="27"/>
        <v>3.1404607442220294E-3</v>
      </c>
      <c r="E887" s="74">
        <f t="shared" si="28"/>
        <v>-1.3408863803402369E-2</v>
      </c>
      <c r="F887" s="75"/>
    </row>
    <row r="888" spans="1:6" ht="14.25" customHeight="1" x14ac:dyDescent="0.3">
      <c r="A888" s="73">
        <v>41841</v>
      </c>
      <c r="B888" s="74">
        <v>25715.17</v>
      </c>
      <c r="C888" s="74">
        <v>330.9</v>
      </c>
      <c r="D888" s="74">
        <f t="shared" si="27"/>
        <v>2.8666174971606435E-3</v>
      </c>
      <c r="E888" s="74">
        <f t="shared" si="28"/>
        <v>3.7847293682578618E-3</v>
      </c>
      <c r="F888" s="75"/>
    </row>
    <row r="889" spans="1:6" ht="14.25" customHeight="1" x14ac:dyDescent="0.3">
      <c r="A889" s="73">
        <v>41842</v>
      </c>
      <c r="B889" s="74">
        <v>26025.8</v>
      </c>
      <c r="C889" s="74">
        <v>337.5</v>
      </c>
      <c r="D889" s="74">
        <f t="shared" si="27"/>
        <v>1.2007263569467798E-2</v>
      </c>
      <c r="E889" s="74">
        <f t="shared" si="28"/>
        <v>1.974929538501807E-2</v>
      </c>
      <c r="F889" s="75"/>
    </row>
    <row r="890" spans="1:6" ht="14.25" customHeight="1" x14ac:dyDescent="0.3">
      <c r="A890" s="73">
        <v>41843</v>
      </c>
      <c r="B890" s="74">
        <v>26147.33</v>
      </c>
      <c r="C890" s="74">
        <v>340.5</v>
      </c>
      <c r="D890" s="74">
        <f t="shared" si="27"/>
        <v>4.6587283455928712E-3</v>
      </c>
      <c r="E890" s="74">
        <f t="shared" si="28"/>
        <v>8.8496152769826E-3</v>
      </c>
      <c r="F890" s="75"/>
    </row>
    <row r="891" spans="1:6" ht="14.25" customHeight="1" x14ac:dyDescent="0.3">
      <c r="A891" s="73">
        <v>41844</v>
      </c>
      <c r="B891" s="74">
        <v>26271.85</v>
      </c>
      <c r="C891" s="74">
        <v>336.05</v>
      </c>
      <c r="D891" s="74">
        <f t="shared" si="27"/>
        <v>4.7509417055472472E-3</v>
      </c>
      <c r="E891" s="74">
        <f t="shared" si="28"/>
        <v>-1.3155167173592197E-2</v>
      </c>
      <c r="F891" s="75"/>
    </row>
    <row r="892" spans="1:6" ht="14.25" customHeight="1" x14ac:dyDescent="0.3">
      <c r="A892" s="73">
        <v>41845</v>
      </c>
      <c r="B892" s="74">
        <v>26126.75</v>
      </c>
      <c r="C892" s="74">
        <v>332.65</v>
      </c>
      <c r="D892" s="74">
        <f t="shared" si="27"/>
        <v>-5.5383300656394801E-3</v>
      </c>
      <c r="E892" s="74">
        <f t="shared" si="28"/>
        <v>-1.0169072228078458E-2</v>
      </c>
      <c r="F892" s="75"/>
    </row>
    <row r="893" spans="1:6" ht="14.25" customHeight="1" x14ac:dyDescent="0.3">
      <c r="A893" s="73">
        <v>41848</v>
      </c>
      <c r="B893" s="74">
        <v>25991.23</v>
      </c>
      <c r="C893" s="74">
        <v>334.7</v>
      </c>
      <c r="D893" s="74">
        <f t="shared" si="27"/>
        <v>-5.2005202593309856E-3</v>
      </c>
      <c r="E893" s="74">
        <f t="shared" si="28"/>
        <v>6.1437220293843351E-3</v>
      </c>
      <c r="F893" s="75"/>
    </row>
    <row r="894" spans="1:6" ht="14.25" customHeight="1" x14ac:dyDescent="0.3">
      <c r="A894" s="73">
        <v>41850</v>
      </c>
      <c r="B894" s="74">
        <v>26087.42</v>
      </c>
      <c r="C894" s="74">
        <v>342.8</v>
      </c>
      <c r="D894" s="74">
        <f t="shared" si="27"/>
        <v>3.6940323676991128E-3</v>
      </c>
      <c r="E894" s="74">
        <f t="shared" si="28"/>
        <v>2.3912578506343814E-2</v>
      </c>
      <c r="F894" s="75"/>
    </row>
    <row r="895" spans="1:6" ht="14.25" customHeight="1" x14ac:dyDescent="0.3">
      <c r="A895" s="73">
        <v>41851</v>
      </c>
      <c r="B895" s="74">
        <v>25894.97</v>
      </c>
      <c r="C895" s="74">
        <v>341.05</v>
      </c>
      <c r="D895" s="74">
        <f t="shared" si="27"/>
        <v>-7.4044644454659041E-3</v>
      </c>
      <c r="E895" s="74">
        <f t="shared" si="28"/>
        <v>-5.1180926228963737E-3</v>
      </c>
      <c r="F895" s="75"/>
    </row>
    <row r="896" spans="1:6" ht="14.25" customHeight="1" x14ac:dyDescent="0.3">
      <c r="A896" s="73">
        <v>41852</v>
      </c>
      <c r="B896" s="74">
        <v>25480.84</v>
      </c>
      <c r="C896" s="74">
        <v>326.14999999999998</v>
      </c>
      <c r="D896" s="74">
        <f t="shared" si="27"/>
        <v>-1.6121944156843065E-2</v>
      </c>
      <c r="E896" s="74">
        <f t="shared" si="28"/>
        <v>-4.4671695858623447E-2</v>
      </c>
      <c r="F896" s="75"/>
    </row>
    <row r="897" spans="1:6" ht="14.25" customHeight="1" x14ac:dyDescent="0.3">
      <c r="A897" s="73">
        <v>41855</v>
      </c>
      <c r="B897" s="74">
        <v>25723.16</v>
      </c>
      <c r="C897" s="74">
        <v>342.3</v>
      </c>
      <c r="D897" s="74">
        <f t="shared" si="27"/>
        <v>9.4649562153372637E-3</v>
      </c>
      <c r="E897" s="74">
        <f t="shared" si="28"/>
        <v>4.8330147294034814E-2</v>
      </c>
      <c r="F897" s="75"/>
    </row>
    <row r="898" spans="1:6" ht="14.25" customHeight="1" x14ac:dyDescent="0.3">
      <c r="A898" s="73">
        <v>41856</v>
      </c>
      <c r="B898" s="74">
        <v>25908.01</v>
      </c>
      <c r="C898" s="74">
        <v>344</v>
      </c>
      <c r="D898" s="74">
        <f t="shared" si="27"/>
        <v>7.1604338928940138E-3</v>
      </c>
      <c r="E898" s="74">
        <f t="shared" si="28"/>
        <v>4.9541118372587612E-3</v>
      </c>
      <c r="F898" s="75"/>
    </row>
    <row r="899" spans="1:6" ht="14.25" customHeight="1" x14ac:dyDescent="0.3">
      <c r="A899" s="73">
        <v>41857</v>
      </c>
      <c r="B899" s="74">
        <v>25665.27</v>
      </c>
      <c r="C899" s="74">
        <v>343.55</v>
      </c>
      <c r="D899" s="74">
        <f t="shared" si="27"/>
        <v>-9.4134711811831567E-3</v>
      </c>
      <c r="E899" s="74">
        <f t="shared" si="28"/>
        <v>-1.3089958963133951E-3</v>
      </c>
      <c r="F899" s="75"/>
    </row>
    <row r="900" spans="1:6" ht="14.25" customHeight="1" x14ac:dyDescent="0.3">
      <c r="A900" s="73">
        <v>41858</v>
      </c>
      <c r="B900" s="74">
        <v>25589.01</v>
      </c>
      <c r="C900" s="74">
        <v>346.8</v>
      </c>
      <c r="D900" s="74">
        <f t="shared" ref="D900:D963" si="29">LN(B900/B899)</f>
        <v>-2.975753684344766E-3</v>
      </c>
      <c r="E900" s="74">
        <f t="shared" ref="E900:E963" si="30">LN(C900/C899)</f>
        <v>9.415583429301733E-3</v>
      </c>
      <c r="F900" s="75"/>
    </row>
    <row r="901" spans="1:6" ht="14.25" customHeight="1" x14ac:dyDescent="0.3">
      <c r="A901" s="73">
        <v>41859</v>
      </c>
      <c r="B901" s="74">
        <v>25329.14</v>
      </c>
      <c r="C901" s="74">
        <v>342.05</v>
      </c>
      <c r="D901" s="74">
        <f t="shared" si="29"/>
        <v>-1.0207450834792854E-2</v>
      </c>
      <c r="E901" s="74">
        <f t="shared" si="30"/>
        <v>-1.3791319699379773E-2</v>
      </c>
      <c r="F901" s="75"/>
    </row>
    <row r="902" spans="1:6" ht="14.25" customHeight="1" x14ac:dyDescent="0.3">
      <c r="A902" s="73">
        <v>41862</v>
      </c>
      <c r="B902" s="74">
        <v>25519.24</v>
      </c>
      <c r="C902" s="74">
        <v>341.75</v>
      </c>
      <c r="D902" s="74">
        <f t="shared" si="29"/>
        <v>7.4771658674366876E-3</v>
      </c>
      <c r="E902" s="74">
        <f t="shared" si="30"/>
        <v>-8.7744960294807101E-4</v>
      </c>
      <c r="F902" s="75"/>
    </row>
    <row r="903" spans="1:6" ht="14.25" customHeight="1" x14ac:dyDescent="0.3">
      <c r="A903" s="73">
        <v>41863</v>
      </c>
      <c r="B903" s="74">
        <v>25880.77</v>
      </c>
      <c r="C903" s="74">
        <v>349.2</v>
      </c>
      <c r="D903" s="74">
        <f t="shared" si="29"/>
        <v>1.4067544426012258E-2</v>
      </c>
      <c r="E903" s="74">
        <f t="shared" si="30"/>
        <v>2.1565348361388112E-2</v>
      </c>
      <c r="F903" s="75"/>
    </row>
    <row r="904" spans="1:6" ht="14.25" customHeight="1" x14ac:dyDescent="0.3">
      <c r="A904" s="73">
        <v>41864</v>
      </c>
      <c r="B904" s="74">
        <v>25918.95</v>
      </c>
      <c r="C904" s="74">
        <v>343.4</v>
      </c>
      <c r="D904" s="74">
        <f t="shared" si="29"/>
        <v>1.474139509404324E-3</v>
      </c>
      <c r="E904" s="74">
        <f t="shared" si="30"/>
        <v>-1.6748875502072037E-2</v>
      </c>
      <c r="F904" s="75"/>
    </row>
    <row r="905" spans="1:6" ht="14.25" customHeight="1" x14ac:dyDescent="0.3">
      <c r="A905" s="73">
        <v>41865</v>
      </c>
      <c r="B905" s="74">
        <v>26103.23</v>
      </c>
      <c r="C905" s="74">
        <v>350.9</v>
      </c>
      <c r="D905" s="74">
        <f t="shared" si="29"/>
        <v>7.0847000566349192E-3</v>
      </c>
      <c r="E905" s="74">
        <f t="shared" si="30"/>
        <v>2.160533412579432E-2</v>
      </c>
      <c r="F905" s="75"/>
    </row>
    <row r="906" spans="1:6" ht="14.25" customHeight="1" x14ac:dyDescent="0.3">
      <c r="A906" s="73">
        <v>41869</v>
      </c>
      <c r="B906" s="74">
        <v>26390.959999999999</v>
      </c>
      <c r="C906" s="74">
        <v>349.75</v>
      </c>
      <c r="D906" s="74">
        <f t="shared" si="29"/>
        <v>1.0962465808350742E-2</v>
      </c>
      <c r="E906" s="74">
        <f t="shared" si="30"/>
        <v>-3.2826690435787753E-3</v>
      </c>
      <c r="F906" s="75"/>
    </row>
    <row r="907" spans="1:6" ht="14.25" customHeight="1" x14ac:dyDescent="0.3">
      <c r="A907" s="73">
        <v>41870</v>
      </c>
      <c r="B907" s="74">
        <v>26420.67</v>
      </c>
      <c r="C907" s="74">
        <v>348.9</v>
      </c>
      <c r="D907" s="74">
        <f t="shared" si="29"/>
        <v>1.1251310794311248E-3</v>
      </c>
      <c r="E907" s="74">
        <f t="shared" si="30"/>
        <v>-2.4332653528622047E-3</v>
      </c>
      <c r="F907" s="75"/>
    </row>
    <row r="908" spans="1:6" ht="14.25" customHeight="1" x14ac:dyDescent="0.3">
      <c r="A908" s="73">
        <v>41871</v>
      </c>
      <c r="B908" s="74">
        <v>26314.29</v>
      </c>
      <c r="C908" s="74">
        <v>346.25</v>
      </c>
      <c r="D908" s="74">
        <f t="shared" si="29"/>
        <v>-4.0345207163798589E-3</v>
      </c>
      <c r="E908" s="74">
        <f t="shared" si="30"/>
        <v>-7.6242906911800886E-3</v>
      </c>
      <c r="F908" s="75"/>
    </row>
    <row r="909" spans="1:6" ht="14.25" customHeight="1" x14ac:dyDescent="0.3">
      <c r="A909" s="73">
        <v>41872</v>
      </c>
      <c r="B909" s="74">
        <v>26360.11</v>
      </c>
      <c r="C909" s="74">
        <v>367.15</v>
      </c>
      <c r="D909" s="74">
        <f t="shared" si="29"/>
        <v>1.7397449826479431E-3</v>
      </c>
      <c r="E909" s="74">
        <f t="shared" si="30"/>
        <v>5.8609426396071078E-2</v>
      </c>
      <c r="F909" s="75"/>
    </row>
    <row r="910" spans="1:6" ht="14.25" customHeight="1" x14ac:dyDescent="0.3">
      <c r="A910" s="73">
        <v>41873</v>
      </c>
      <c r="B910" s="74">
        <v>26419.55</v>
      </c>
      <c r="C910" s="74">
        <v>363.4</v>
      </c>
      <c r="D910" s="74">
        <f t="shared" si="29"/>
        <v>2.2523837830485862E-3</v>
      </c>
      <c r="E910" s="74">
        <f t="shared" si="30"/>
        <v>-1.0266327935548689E-2</v>
      </c>
      <c r="F910" s="75"/>
    </row>
    <row r="911" spans="1:6" ht="14.25" customHeight="1" x14ac:dyDescent="0.3">
      <c r="A911" s="73">
        <v>41876</v>
      </c>
      <c r="B911" s="74">
        <v>26437.02</v>
      </c>
      <c r="C911" s="74">
        <v>361.75</v>
      </c>
      <c r="D911" s="74">
        <f t="shared" si="29"/>
        <v>6.6103421527926817E-4</v>
      </c>
      <c r="E911" s="74">
        <f t="shared" si="30"/>
        <v>-4.5507904504774712E-3</v>
      </c>
      <c r="F911" s="75"/>
    </row>
    <row r="912" spans="1:6" ht="14.25" customHeight="1" x14ac:dyDescent="0.3">
      <c r="A912" s="73">
        <v>41877</v>
      </c>
      <c r="B912" s="74">
        <v>26442.81</v>
      </c>
      <c r="C912" s="74">
        <v>361.3</v>
      </c>
      <c r="D912" s="74">
        <f t="shared" si="29"/>
        <v>2.1898708914683843E-4</v>
      </c>
      <c r="E912" s="74">
        <f t="shared" si="30"/>
        <v>-1.2447273579986485E-3</v>
      </c>
      <c r="F912" s="75"/>
    </row>
    <row r="913" spans="1:6" ht="14.25" customHeight="1" x14ac:dyDescent="0.3">
      <c r="A913" s="73">
        <v>41878</v>
      </c>
      <c r="B913" s="74">
        <v>26560.15</v>
      </c>
      <c r="C913" s="74">
        <v>363.25</v>
      </c>
      <c r="D913" s="74">
        <f t="shared" si="29"/>
        <v>4.4276844801949908E-3</v>
      </c>
      <c r="E913" s="74">
        <f t="shared" si="30"/>
        <v>5.3826642967977918E-3</v>
      </c>
      <c r="F913" s="75"/>
    </row>
    <row r="914" spans="1:6" ht="14.25" customHeight="1" x14ac:dyDescent="0.3">
      <c r="A914" s="73">
        <v>41879</v>
      </c>
      <c r="B914" s="74">
        <v>26638.11</v>
      </c>
      <c r="C914" s="74">
        <v>362.95</v>
      </c>
      <c r="D914" s="74">
        <f t="shared" si="29"/>
        <v>2.9309250268128627E-3</v>
      </c>
      <c r="E914" s="74">
        <f t="shared" si="30"/>
        <v>-8.262187195426905E-4</v>
      </c>
      <c r="F914" s="75"/>
    </row>
    <row r="915" spans="1:6" ht="14.25" customHeight="1" x14ac:dyDescent="0.3">
      <c r="A915" s="73">
        <v>41883</v>
      </c>
      <c r="B915" s="74">
        <v>26867.55</v>
      </c>
      <c r="C915" s="74">
        <v>371.9</v>
      </c>
      <c r="D915" s="74">
        <f t="shared" si="29"/>
        <v>8.5763415064406753E-3</v>
      </c>
      <c r="E915" s="74">
        <f t="shared" si="30"/>
        <v>2.4359917200174733E-2</v>
      </c>
      <c r="F915" s="75"/>
    </row>
    <row r="916" spans="1:6" ht="14.25" customHeight="1" x14ac:dyDescent="0.3">
      <c r="A916" s="73">
        <v>41884</v>
      </c>
      <c r="B916" s="74">
        <v>27019.39</v>
      </c>
      <c r="C916" s="74">
        <v>385.3</v>
      </c>
      <c r="D916" s="74">
        <f t="shared" si="29"/>
        <v>5.6355176915874163E-3</v>
      </c>
      <c r="E916" s="74">
        <f t="shared" si="30"/>
        <v>3.5397250701087665E-2</v>
      </c>
      <c r="F916" s="75"/>
    </row>
    <row r="917" spans="1:6" ht="14.25" customHeight="1" x14ac:dyDescent="0.3">
      <c r="A917" s="73">
        <v>41885</v>
      </c>
      <c r="B917" s="74">
        <v>27139.94</v>
      </c>
      <c r="C917" s="74">
        <v>383.9</v>
      </c>
      <c r="D917" s="74">
        <f t="shared" si="29"/>
        <v>4.4516872377641029E-3</v>
      </c>
      <c r="E917" s="74">
        <f t="shared" si="30"/>
        <v>-3.6401496253599679E-3</v>
      </c>
      <c r="F917" s="75"/>
    </row>
    <row r="918" spans="1:6" ht="14.25" customHeight="1" x14ac:dyDescent="0.3">
      <c r="A918" s="73">
        <v>41886</v>
      </c>
      <c r="B918" s="74">
        <v>27085.93</v>
      </c>
      <c r="C918" s="74">
        <v>388.15</v>
      </c>
      <c r="D918" s="74">
        <f t="shared" si="29"/>
        <v>-1.9920387763363275E-3</v>
      </c>
      <c r="E918" s="74">
        <f t="shared" si="30"/>
        <v>1.1009760844937351E-2</v>
      </c>
      <c r="F918" s="75"/>
    </row>
    <row r="919" spans="1:6" ht="14.25" customHeight="1" x14ac:dyDescent="0.3">
      <c r="A919" s="73">
        <v>41887</v>
      </c>
      <c r="B919" s="74">
        <v>27026.7</v>
      </c>
      <c r="C919" s="74">
        <v>387.35</v>
      </c>
      <c r="D919" s="74">
        <f t="shared" si="29"/>
        <v>-2.1891386042086785E-3</v>
      </c>
      <c r="E919" s="74">
        <f t="shared" si="30"/>
        <v>-2.0631857737777536E-3</v>
      </c>
      <c r="F919" s="75"/>
    </row>
    <row r="920" spans="1:6" ht="14.25" customHeight="1" x14ac:dyDescent="0.3">
      <c r="A920" s="73">
        <v>41890</v>
      </c>
      <c r="B920" s="74">
        <v>27319.85</v>
      </c>
      <c r="C920" s="74">
        <v>385.9</v>
      </c>
      <c r="D920" s="74">
        <f t="shared" si="29"/>
        <v>1.0788277939646852E-2</v>
      </c>
      <c r="E920" s="74">
        <f t="shared" si="30"/>
        <v>-3.7504085343385255E-3</v>
      </c>
      <c r="F920" s="75"/>
    </row>
    <row r="921" spans="1:6" ht="14.25" customHeight="1" x14ac:dyDescent="0.3">
      <c r="A921" s="73">
        <v>41891</v>
      </c>
      <c r="B921" s="74">
        <v>27265.32</v>
      </c>
      <c r="C921" s="74">
        <v>396.85</v>
      </c>
      <c r="D921" s="74">
        <f t="shared" si="29"/>
        <v>-1.9979792364831295E-3</v>
      </c>
      <c r="E921" s="74">
        <f t="shared" si="30"/>
        <v>2.7980106993311587E-2</v>
      </c>
      <c r="F921" s="75"/>
    </row>
    <row r="922" spans="1:6" ht="14.25" customHeight="1" x14ac:dyDescent="0.3">
      <c r="A922" s="73">
        <v>41892</v>
      </c>
      <c r="B922" s="74">
        <v>27057.41</v>
      </c>
      <c r="C922" s="74">
        <v>385.35</v>
      </c>
      <c r="D922" s="74">
        <f t="shared" si="29"/>
        <v>-7.6546600358919368E-3</v>
      </c>
      <c r="E922" s="74">
        <f t="shared" si="30"/>
        <v>-2.9406363312882294E-2</v>
      </c>
      <c r="F922" s="75"/>
    </row>
    <row r="923" spans="1:6" ht="14.25" customHeight="1" x14ac:dyDescent="0.3">
      <c r="A923" s="73">
        <v>41893</v>
      </c>
      <c r="B923" s="74">
        <v>26995.87</v>
      </c>
      <c r="C923" s="74">
        <v>382.05</v>
      </c>
      <c r="D923" s="74">
        <f t="shared" si="29"/>
        <v>-2.2770135906400018E-3</v>
      </c>
      <c r="E923" s="74">
        <f t="shared" si="30"/>
        <v>-8.6005221304266011E-3</v>
      </c>
      <c r="F923" s="75"/>
    </row>
    <row r="924" spans="1:6" ht="14.25" customHeight="1" x14ac:dyDescent="0.3">
      <c r="A924" s="73">
        <v>41894</v>
      </c>
      <c r="B924" s="74">
        <v>27061.040000000001</v>
      </c>
      <c r="C924" s="74">
        <v>387.25</v>
      </c>
      <c r="D924" s="74">
        <f t="shared" si="29"/>
        <v>2.4111637743739049E-3</v>
      </c>
      <c r="E924" s="74">
        <f t="shared" si="30"/>
        <v>1.351898920340228E-2</v>
      </c>
      <c r="F924" s="75"/>
    </row>
    <row r="925" spans="1:6" ht="14.25" customHeight="1" x14ac:dyDescent="0.3">
      <c r="A925" s="73">
        <v>41897</v>
      </c>
      <c r="B925" s="74">
        <v>26816.560000000001</v>
      </c>
      <c r="C925" s="74">
        <v>382</v>
      </c>
      <c r="D925" s="74">
        <f t="shared" si="29"/>
        <v>-9.0754479791954959E-3</v>
      </c>
      <c r="E925" s="74">
        <f t="shared" si="30"/>
        <v>-1.3649870690402841E-2</v>
      </c>
      <c r="F925" s="75"/>
    </row>
    <row r="926" spans="1:6" ht="14.25" customHeight="1" x14ac:dyDescent="0.3">
      <c r="A926" s="73">
        <v>41898</v>
      </c>
      <c r="B926" s="74">
        <v>26492.51</v>
      </c>
      <c r="C926" s="74">
        <v>376.05</v>
      </c>
      <c r="D926" s="74">
        <f t="shared" si="29"/>
        <v>-1.2157555604414163E-2</v>
      </c>
      <c r="E926" s="74">
        <f t="shared" si="30"/>
        <v>-1.5698495334163072E-2</v>
      </c>
      <c r="F926" s="75"/>
    </row>
    <row r="927" spans="1:6" ht="14.25" customHeight="1" x14ac:dyDescent="0.3">
      <c r="A927" s="73">
        <v>41899</v>
      </c>
      <c r="B927" s="74">
        <v>26631.29</v>
      </c>
      <c r="C927" s="74">
        <v>370.05</v>
      </c>
      <c r="D927" s="74">
        <f t="shared" si="29"/>
        <v>5.2247887276910161E-3</v>
      </c>
      <c r="E927" s="74">
        <f t="shared" si="30"/>
        <v>-1.6083981628936719E-2</v>
      </c>
      <c r="F927" s="75"/>
    </row>
    <row r="928" spans="1:6" ht="14.25" customHeight="1" x14ac:dyDescent="0.3">
      <c r="A928" s="73">
        <v>41900</v>
      </c>
      <c r="B928" s="74">
        <v>27112.21</v>
      </c>
      <c r="C928" s="74">
        <v>387.55</v>
      </c>
      <c r="D928" s="74">
        <f t="shared" si="29"/>
        <v>1.7897339662642515E-2</v>
      </c>
      <c r="E928" s="74">
        <f t="shared" si="30"/>
        <v>4.6206741084045037E-2</v>
      </c>
      <c r="F928" s="75"/>
    </row>
    <row r="929" spans="1:6" ht="14.25" customHeight="1" x14ac:dyDescent="0.3">
      <c r="A929" s="73">
        <v>41901</v>
      </c>
      <c r="B929" s="74">
        <v>27090.42</v>
      </c>
      <c r="C929" s="74">
        <v>388.05</v>
      </c>
      <c r="D929" s="74">
        <f t="shared" si="29"/>
        <v>-8.0402006964761148E-4</v>
      </c>
      <c r="E929" s="74">
        <f t="shared" si="30"/>
        <v>1.2893245726273942E-3</v>
      </c>
      <c r="F929" s="75"/>
    </row>
    <row r="930" spans="1:6" ht="14.25" customHeight="1" x14ac:dyDescent="0.3">
      <c r="A930" s="73">
        <v>41904</v>
      </c>
      <c r="B930" s="74">
        <v>27206.74</v>
      </c>
      <c r="C930" s="74">
        <v>397.1</v>
      </c>
      <c r="D930" s="74">
        <f t="shared" si="29"/>
        <v>4.2845768709182143E-3</v>
      </c>
      <c r="E930" s="74">
        <f t="shared" si="30"/>
        <v>2.3053940837058036E-2</v>
      </c>
      <c r="F930" s="75"/>
    </row>
    <row r="931" spans="1:6" ht="14.25" customHeight="1" x14ac:dyDescent="0.3">
      <c r="A931" s="73">
        <v>41905</v>
      </c>
      <c r="B931" s="74">
        <v>26775.69</v>
      </c>
      <c r="C931" s="74">
        <v>390.25</v>
      </c>
      <c r="D931" s="74">
        <f t="shared" si="29"/>
        <v>-1.5970350413820087E-2</v>
      </c>
      <c r="E931" s="74">
        <f t="shared" si="30"/>
        <v>-1.7400578741664351E-2</v>
      </c>
      <c r="F931" s="75"/>
    </row>
    <row r="932" spans="1:6" ht="14.25" customHeight="1" x14ac:dyDescent="0.3">
      <c r="A932" s="73">
        <v>41906</v>
      </c>
      <c r="B932" s="74">
        <v>26744.69</v>
      </c>
      <c r="C932" s="74">
        <v>392.55</v>
      </c>
      <c r="D932" s="74">
        <f t="shared" si="29"/>
        <v>-1.1584373454289825E-3</v>
      </c>
      <c r="E932" s="74">
        <f t="shared" si="30"/>
        <v>5.876358248723108E-3</v>
      </c>
      <c r="F932" s="75"/>
    </row>
    <row r="933" spans="1:6" ht="14.25" customHeight="1" x14ac:dyDescent="0.3">
      <c r="A933" s="73">
        <v>41907</v>
      </c>
      <c r="B933" s="74">
        <v>26468.36</v>
      </c>
      <c r="C933" s="74">
        <v>388.85</v>
      </c>
      <c r="D933" s="74">
        <f t="shared" si="29"/>
        <v>-1.0385891577234456E-2</v>
      </c>
      <c r="E933" s="74">
        <f t="shared" si="30"/>
        <v>-9.4702525033122549E-3</v>
      </c>
      <c r="F933" s="75"/>
    </row>
    <row r="934" spans="1:6" ht="14.25" customHeight="1" x14ac:dyDescent="0.3">
      <c r="A934" s="73">
        <v>41908</v>
      </c>
      <c r="B934" s="74">
        <v>26626.32</v>
      </c>
      <c r="C934" s="74">
        <v>389.65</v>
      </c>
      <c r="D934" s="74">
        <f t="shared" si="29"/>
        <v>5.9501428782323144E-3</v>
      </c>
      <c r="E934" s="74">
        <f t="shared" si="30"/>
        <v>2.0552351486174845E-3</v>
      </c>
      <c r="F934" s="75"/>
    </row>
    <row r="935" spans="1:6" ht="14.25" customHeight="1" x14ac:dyDescent="0.3">
      <c r="A935" s="73">
        <v>41911</v>
      </c>
      <c r="B935" s="74">
        <v>26597.11</v>
      </c>
      <c r="C935" s="74">
        <v>397.9</v>
      </c>
      <c r="D935" s="74">
        <f t="shared" si="29"/>
        <v>-1.0976369968151419E-3</v>
      </c>
      <c r="E935" s="74">
        <f t="shared" si="30"/>
        <v>2.0951817143312953E-2</v>
      </c>
      <c r="F935" s="75"/>
    </row>
    <row r="936" spans="1:6" ht="14.25" customHeight="1" x14ac:dyDescent="0.3">
      <c r="A936" s="73">
        <v>41912</v>
      </c>
      <c r="B936" s="74">
        <v>26630.51</v>
      </c>
      <c r="C936" s="74">
        <v>407.65</v>
      </c>
      <c r="D936" s="74">
        <f t="shared" si="29"/>
        <v>1.2549877068985314E-3</v>
      </c>
      <c r="E936" s="74">
        <f t="shared" si="30"/>
        <v>2.4208245676036948E-2</v>
      </c>
      <c r="F936" s="75"/>
    </row>
    <row r="937" spans="1:6" ht="14.25" customHeight="1" x14ac:dyDescent="0.3">
      <c r="A937" s="73">
        <v>41913</v>
      </c>
      <c r="B937" s="74">
        <v>26567.99</v>
      </c>
      <c r="C937" s="74">
        <v>404.3</v>
      </c>
      <c r="D937" s="74">
        <f t="shared" si="29"/>
        <v>-2.3504432938174689E-3</v>
      </c>
      <c r="E937" s="74">
        <f t="shared" si="30"/>
        <v>-8.2517864621945106E-3</v>
      </c>
      <c r="F937" s="75"/>
    </row>
    <row r="938" spans="1:6" ht="14.25" customHeight="1" x14ac:dyDescent="0.3">
      <c r="A938" s="73">
        <v>41919</v>
      </c>
      <c r="B938" s="74">
        <v>26271.97</v>
      </c>
      <c r="C938" s="74">
        <v>397.15</v>
      </c>
      <c r="D938" s="74">
        <f t="shared" si="29"/>
        <v>-1.1204516312477908E-2</v>
      </c>
      <c r="E938" s="74">
        <f t="shared" si="30"/>
        <v>-1.7843133567584168E-2</v>
      </c>
      <c r="F938" s="75"/>
    </row>
    <row r="939" spans="1:6" ht="14.25" customHeight="1" x14ac:dyDescent="0.3">
      <c r="A939" s="73">
        <v>41920</v>
      </c>
      <c r="B939" s="74">
        <v>26246.79</v>
      </c>
      <c r="C939" s="74">
        <v>401.8</v>
      </c>
      <c r="D939" s="74">
        <f t="shared" si="29"/>
        <v>-9.5889552340453334E-4</v>
      </c>
      <c r="E939" s="74">
        <f t="shared" si="30"/>
        <v>1.1640409301692977E-2</v>
      </c>
      <c r="F939" s="75"/>
    </row>
    <row r="940" spans="1:6" ht="14.25" customHeight="1" x14ac:dyDescent="0.3">
      <c r="A940" s="73">
        <v>41921</v>
      </c>
      <c r="B940" s="74">
        <v>26637.279999999999</v>
      </c>
      <c r="C940" s="74">
        <v>401</v>
      </c>
      <c r="D940" s="74">
        <f t="shared" si="29"/>
        <v>1.4768042511472264E-2</v>
      </c>
      <c r="E940" s="74">
        <f t="shared" si="30"/>
        <v>-1.9930250742648532E-3</v>
      </c>
      <c r="F940" s="75"/>
    </row>
    <row r="941" spans="1:6" ht="14.25" customHeight="1" x14ac:dyDescent="0.3">
      <c r="A941" s="73">
        <v>41922</v>
      </c>
      <c r="B941" s="74">
        <v>26297.38</v>
      </c>
      <c r="C941" s="74">
        <v>398.35</v>
      </c>
      <c r="D941" s="74">
        <f t="shared" si="29"/>
        <v>-1.2842423907835012E-2</v>
      </c>
      <c r="E941" s="74">
        <f t="shared" si="30"/>
        <v>-6.6304114801940392E-3</v>
      </c>
      <c r="F941" s="75"/>
    </row>
    <row r="942" spans="1:6" ht="14.25" customHeight="1" x14ac:dyDescent="0.3">
      <c r="A942" s="73">
        <v>41925</v>
      </c>
      <c r="B942" s="74">
        <v>26384.07</v>
      </c>
      <c r="C942" s="74">
        <v>394.3</v>
      </c>
      <c r="D942" s="74">
        <f t="shared" si="29"/>
        <v>3.2911044873516321E-3</v>
      </c>
      <c r="E942" s="74">
        <f t="shared" si="30"/>
        <v>-1.0218974942793628E-2</v>
      </c>
      <c r="F942" s="75"/>
    </row>
    <row r="943" spans="1:6" ht="14.25" customHeight="1" x14ac:dyDescent="0.3">
      <c r="A943" s="73">
        <v>41926</v>
      </c>
      <c r="B943" s="74">
        <v>26349.33</v>
      </c>
      <c r="C943" s="74">
        <v>388.45</v>
      </c>
      <c r="D943" s="74">
        <f t="shared" si="29"/>
        <v>-1.3175712176989025E-3</v>
      </c>
      <c r="E943" s="74">
        <f t="shared" si="30"/>
        <v>-1.4947579487151716E-2</v>
      </c>
      <c r="F943" s="75"/>
    </row>
    <row r="944" spans="1:6" ht="14.25" customHeight="1" x14ac:dyDescent="0.3">
      <c r="A944" s="73">
        <v>41928</v>
      </c>
      <c r="B944" s="74">
        <v>25999.34</v>
      </c>
      <c r="C944" s="74">
        <v>368.55</v>
      </c>
      <c r="D944" s="74">
        <f t="shared" si="29"/>
        <v>-1.3371694635227034E-2</v>
      </c>
      <c r="E944" s="74">
        <f t="shared" si="30"/>
        <v>-5.2588073761131927E-2</v>
      </c>
      <c r="F944" s="75"/>
    </row>
    <row r="945" spans="1:6" ht="14.25" customHeight="1" x14ac:dyDescent="0.3">
      <c r="A945" s="73">
        <v>41929</v>
      </c>
      <c r="B945" s="74">
        <v>26108.53</v>
      </c>
      <c r="C945" s="74">
        <v>379.65</v>
      </c>
      <c r="D945" s="74">
        <f t="shared" si="29"/>
        <v>4.1909277741186846E-3</v>
      </c>
      <c r="E945" s="74">
        <f t="shared" si="30"/>
        <v>2.9673388023944761E-2</v>
      </c>
      <c r="F945" s="75"/>
    </row>
    <row r="946" spans="1:6" ht="14.25" customHeight="1" x14ac:dyDescent="0.3">
      <c r="A946" s="73">
        <v>41932</v>
      </c>
      <c r="B946" s="74">
        <v>26429.85</v>
      </c>
      <c r="C946" s="74">
        <v>382.6</v>
      </c>
      <c r="D946" s="74">
        <f t="shared" si="29"/>
        <v>1.2231972373172558E-2</v>
      </c>
      <c r="E946" s="74">
        <f t="shared" si="30"/>
        <v>7.740281346909828E-3</v>
      </c>
      <c r="F946" s="75"/>
    </row>
    <row r="947" spans="1:6" ht="14.25" customHeight="1" x14ac:dyDescent="0.3">
      <c r="A947" s="73">
        <v>41933</v>
      </c>
      <c r="B947" s="74">
        <v>26575.65</v>
      </c>
      <c r="C947" s="74">
        <v>389.6</v>
      </c>
      <c r="D947" s="74">
        <f t="shared" si="29"/>
        <v>5.5013297757804504E-3</v>
      </c>
      <c r="E947" s="74">
        <f t="shared" si="30"/>
        <v>1.8130514762227434E-2</v>
      </c>
      <c r="F947" s="75"/>
    </row>
    <row r="948" spans="1:6" ht="14.25" customHeight="1" x14ac:dyDescent="0.3">
      <c r="A948" s="73">
        <v>41934</v>
      </c>
      <c r="B948" s="74">
        <v>26787.23</v>
      </c>
      <c r="C948" s="74">
        <v>393.9</v>
      </c>
      <c r="D948" s="74">
        <f t="shared" si="29"/>
        <v>7.9298984138796106E-3</v>
      </c>
      <c r="E948" s="74">
        <f t="shared" si="30"/>
        <v>1.0976498208480108E-2</v>
      </c>
      <c r="F948" s="75"/>
    </row>
    <row r="949" spans="1:6" ht="14.25" customHeight="1" x14ac:dyDescent="0.3">
      <c r="A949" s="73">
        <v>41935</v>
      </c>
      <c r="B949" s="74">
        <v>26851.05</v>
      </c>
      <c r="C949" s="74">
        <v>395.4</v>
      </c>
      <c r="D949" s="74">
        <f t="shared" si="29"/>
        <v>2.3796449146458363E-3</v>
      </c>
      <c r="E949" s="74">
        <f t="shared" si="30"/>
        <v>3.8008407596563962E-3</v>
      </c>
      <c r="F949" s="75"/>
    </row>
    <row r="950" spans="1:6" ht="14.25" customHeight="1" x14ac:dyDescent="0.3">
      <c r="A950" s="73">
        <v>41939</v>
      </c>
      <c r="B950" s="74">
        <v>26752.9</v>
      </c>
      <c r="C950" s="74">
        <v>400.2</v>
      </c>
      <c r="D950" s="74">
        <f t="shared" si="29"/>
        <v>-3.6620476546018813E-3</v>
      </c>
      <c r="E950" s="74">
        <f t="shared" si="30"/>
        <v>1.2066511413116486E-2</v>
      </c>
      <c r="F950" s="75"/>
    </row>
    <row r="951" spans="1:6" ht="14.25" customHeight="1" x14ac:dyDescent="0.3">
      <c r="A951" s="73">
        <v>41940</v>
      </c>
      <c r="B951" s="74">
        <v>26880.82</v>
      </c>
      <c r="C951" s="74">
        <v>405.85</v>
      </c>
      <c r="D951" s="74">
        <f t="shared" si="29"/>
        <v>4.7701424611349191E-3</v>
      </c>
      <c r="E951" s="74">
        <f t="shared" si="30"/>
        <v>1.401921105755179E-2</v>
      </c>
      <c r="F951" s="75"/>
    </row>
    <row r="952" spans="1:6" ht="14.25" customHeight="1" x14ac:dyDescent="0.3">
      <c r="A952" s="73">
        <v>41941</v>
      </c>
      <c r="B952" s="74">
        <v>27098.17</v>
      </c>
      <c r="C952" s="74">
        <v>411.1</v>
      </c>
      <c r="D952" s="74">
        <f t="shared" si="29"/>
        <v>8.0531767882496309E-3</v>
      </c>
      <c r="E952" s="74">
        <f t="shared" si="30"/>
        <v>1.2852860696647973E-2</v>
      </c>
      <c r="F952" s="75"/>
    </row>
    <row r="953" spans="1:6" ht="14.25" customHeight="1" x14ac:dyDescent="0.3">
      <c r="A953" s="73">
        <v>41942</v>
      </c>
      <c r="B953" s="74">
        <v>27346.33</v>
      </c>
      <c r="C953" s="74">
        <v>420.05</v>
      </c>
      <c r="D953" s="74">
        <f t="shared" si="29"/>
        <v>9.1161354622342414E-3</v>
      </c>
      <c r="E953" s="74">
        <f t="shared" si="30"/>
        <v>2.1537257907023339E-2</v>
      </c>
      <c r="F953" s="75"/>
    </row>
    <row r="954" spans="1:6" ht="14.25" customHeight="1" x14ac:dyDescent="0.3">
      <c r="A954" s="73">
        <v>41943</v>
      </c>
      <c r="B954" s="74">
        <v>27865.83</v>
      </c>
      <c r="C954" s="74">
        <v>393.2</v>
      </c>
      <c r="D954" s="74">
        <f t="shared" si="29"/>
        <v>1.881887365585783E-2</v>
      </c>
      <c r="E954" s="74">
        <f t="shared" si="30"/>
        <v>-6.6055363537844677E-2</v>
      </c>
      <c r="F954" s="75"/>
    </row>
    <row r="955" spans="1:6" ht="14.25" customHeight="1" x14ac:dyDescent="0.3">
      <c r="A955" s="73">
        <v>41946</v>
      </c>
      <c r="B955" s="74">
        <v>27860.38</v>
      </c>
      <c r="C955" s="74">
        <v>382.5</v>
      </c>
      <c r="D955" s="74">
        <f t="shared" si="29"/>
        <v>-1.9559916302850115E-4</v>
      </c>
      <c r="E955" s="74">
        <f t="shared" si="30"/>
        <v>-2.7589735006420955E-2</v>
      </c>
      <c r="F955" s="75"/>
    </row>
    <row r="956" spans="1:6" ht="14.25" customHeight="1" x14ac:dyDescent="0.3">
      <c r="A956" s="73">
        <v>41948</v>
      </c>
      <c r="B956" s="74">
        <v>27915.88</v>
      </c>
      <c r="C956" s="74">
        <v>376.15</v>
      </c>
      <c r="D956" s="74">
        <f t="shared" si="29"/>
        <v>1.9900946502043539E-3</v>
      </c>
      <c r="E956" s="74">
        <f t="shared" si="30"/>
        <v>-1.6740653260360033E-2</v>
      </c>
      <c r="F956" s="75"/>
    </row>
    <row r="957" spans="1:6" ht="14.25" customHeight="1" x14ac:dyDescent="0.3">
      <c r="A957" s="73">
        <v>41950</v>
      </c>
      <c r="B957" s="74">
        <v>27868.63</v>
      </c>
      <c r="C957" s="74">
        <v>378.25</v>
      </c>
      <c r="D957" s="74">
        <f t="shared" si="29"/>
        <v>-1.6940190493542064E-3</v>
      </c>
      <c r="E957" s="74">
        <f t="shared" si="30"/>
        <v>5.5673526622347369E-3</v>
      </c>
      <c r="F957" s="75"/>
    </row>
    <row r="958" spans="1:6" ht="14.25" customHeight="1" x14ac:dyDescent="0.3">
      <c r="A958" s="73">
        <v>41953</v>
      </c>
      <c r="B958" s="74">
        <v>27874.73</v>
      </c>
      <c r="C958" s="74">
        <v>378.75</v>
      </c>
      <c r="D958" s="74">
        <f t="shared" si="29"/>
        <v>2.1886014852173593E-4</v>
      </c>
      <c r="E958" s="74">
        <f t="shared" si="30"/>
        <v>1.3210041551135364E-3</v>
      </c>
      <c r="F958" s="75"/>
    </row>
    <row r="959" spans="1:6" ht="14.25" customHeight="1" x14ac:dyDescent="0.3">
      <c r="A959" s="73">
        <v>41954</v>
      </c>
      <c r="B959" s="74">
        <v>27910.06</v>
      </c>
      <c r="C959" s="74">
        <v>373.05</v>
      </c>
      <c r="D959" s="74">
        <f t="shared" si="29"/>
        <v>1.2666536783111785E-3</v>
      </c>
      <c r="E959" s="74">
        <f t="shared" si="30"/>
        <v>-1.5163897906055547E-2</v>
      </c>
      <c r="F959" s="75"/>
    </row>
    <row r="960" spans="1:6" ht="14.25" customHeight="1" x14ac:dyDescent="0.3">
      <c r="A960" s="73">
        <v>41955</v>
      </c>
      <c r="B960" s="74">
        <v>28008.9</v>
      </c>
      <c r="C960" s="74">
        <v>377.8</v>
      </c>
      <c r="D960" s="74">
        <f t="shared" si="29"/>
        <v>3.535119499152957E-3</v>
      </c>
      <c r="E960" s="74">
        <f t="shared" si="30"/>
        <v>1.2652496149885721E-2</v>
      </c>
      <c r="F960" s="75"/>
    </row>
    <row r="961" spans="1:6" ht="14.25" customHeight="1" x14ac:dyDescent="0.3">
      <c r="A961" s="73">
        <v>41956</v>
      </c>
      <c r="B961" s="74">
        <v>27940.639999999999</v>
      </c>
      <c r="C961" s="74">
        <v>376.5</v>
      </c>
      <c r="D961" s="74">
        <f t="shared" si="29"/>
        <v>-2.4400570180789197E-3</v>
      </c>
      <c r="E961" s="74">
        <f t="shared" si="30"/>
        <v>-3.4469078274608957E-3</v>
      </c>
      <c r="F961" s="75"/>
    </row>
    <row r="962" spans="1:6" ht="14.25" customHeight="1" x14ac:dyDescent="0.3">
      <c r="A962" s="73">
        <v>41957</v>
      </c>
      <c r="B962" s="74">
        <v>28046.66</v>
      </c>
      <c r="C962" s="74">
        <v>374.4</v>
      </c>
      <c r="D962" s="74">
        <f t="shared" si="29"/>
        <v>3.7872920010611406E-3</v>
      </c>
      <c r="E962" s="74">
        <f t="shared" si="30"/>
        <v>-5.5933026365113259E-3</v>
      </c>
      <c r="F962" s="75"/>
    </row>
    <row r="963" spans="1:6" ht="14.25" customHeight="1" x14ac:dyDescent="0.3">
      <c r="A963" s="73">
        <v>41960</v>
      </c>
      <c r="B963" s="74">
        <v>28177.88</v>
      </c>
      <c r="C963" s="74">
        <v>376.85</v>
      </c>
      <c r="D963" s="74">
        <f t="shared" si="29"/>
        <v>4.6677211853596284E-3</v>
      </c>
      <c r="E963" s="74">
        <f t="shared" si="30"/>
        <v>6.522485686041947E-3</v>
      </c>
      <c r="F963" s="75"/>
    </row>
    <row r="964" spans="1:6" ht="14.25" customHeight="1" x14ac:dyDescent="0.3">
      <c r="A964" s="73">
        <v>41961</v>
      </c>
      <c r="B964" s="74">
        <v>28163.29</v>
      </c>
      <c r="C964" s="74">
        <v>372.95</v>
      </c>
      <c r="D964" s="74">
        <f t="shared" ref="D964:D1027" si="31">LN(B964/B963)</f>
        <v>-5.1791612869002011E-4</v>
      </c>
      <c r="E964" s="74">
        <f t="shared" ref="E964:E1027" si="32">LN(C964/C963)</f>
        <v>-1.040286788830674E-2</v>
      </c>
      <c r="F964" s="75"/>
    </row>
    <row r="965" spans="1:6" ht="14.25" customHeight="1" x14ac:dyDescent="0.3">
      <c r="A965" s="73">
        <v>41962</v>
      </c>
      <c r="B965" s="74">
        <v>28032.85</v>
      </c>
      <c r="C965" s="74">
        <v>365.9</v>
      </c>
      <c r="D965" s="74">
        <f t="shared" si="31"/>
        <v>-4.6423200689855969E-3</v>
      </c>
      <c r="E965" s="74">
        <f t="shared" si="32"/>
        <v>-1.9084290376011143E-2</v>
      </c>
      <c r="F965" s="75"/>
    </row>
    <row r="966" spans="1:6" ht="14.25" customHeight="1" x14ac:dyDescent="0.3">
      <c r="A966" s="73">
        <v>41963</v>
      </c>
      <c r="B966" s="74">
        <v>28067.56</v>
      </c>
      <c r="C966" s="74">
        <v>361.2</v>
      </c>
      <c r="D966" s="74">
        <f t="shared" si="31"/>
        <v>1.2374242694145068E-3</v>
      </c>
      <c r="E966" s="74">
        <f t="shared" si="32"/>
        <v>-1.2928250482330761E-2</v>
      </c>
      <c r="F966" s="75"/>
    </row>
    <row r="967" spans="1:6" ht="14.25" customHeight="1" x14ac:dyDescent="0.3">
      <c r="A967" s="73">
        <v>41964</v>
      </c>
      <c r="B967" s="74">
        <v>28334.63</v>
      </c>
      <c r="C967" s="74">
        <v>366.85</v>
      </c>
      <c r="D967" s="74">
        <f t="shared" si="31"/>
        <v>9.4702704286544169E-3</v>
      </c>
      <c r="E967" s="74">
        <f t="shared" si="32"/>
        <v>1.5521223617172911E-2</v>
      </c>
      <c r="F967" s="75"/>
    </row>
    <row r="968" spans="1:6" ht="14.25" customHeight="1" x14ac:dyDescent="0.3">
      <c r="A968" s="73">
        <v>41967</v>
      </c>
      <c r="B968" s="74">
        <v>28499.54</v>
      </c>
      <c r="C968" s="74">
        <v>371.7</v>
      </c>
      <c r="D968" s="74">
        <f t="shared" si="31"/>
        <v>5.8032153125538314E-3</v>
      </c>
      <c r="E968" s="74">
        <f t="shared" si="32"/>
        <v>1.3134032143203163E-2</v>
      </c>
      <c r="F968" s="75"/>
    </row>
    <row r="969" spans="1:6" ht="14.25" customHeight="1" x14ac:dyDescent="0.3">
      <c r="A969" s="73">
        <v>41968</v>
      </c>
      <c r="B969" s="74">
        <v>28338.05</v>
      </c>
      <c r="C969" s="74">
        <v>368.55</v>
      </c>
      <c r="D969" s="74">
        <f t="shared" si="31"/>
        <v>-5.6825222377196172E-3</v>
      </c>
      <c r="E969" s="74">
        <f t="shared" si="32"/>
        <v>-8.5106896679086191E-3</v>
      </c>
      <c r="F969" s="75"/>
    </row>
    <row r="970" spans="1:6" ht="14.25" customHeight="1" x14ac:dyDescent="0.3">
      <c r="A970" s="73">
        <v>41969</v>
      </c>
      <c r="B970" s="74">
        <v>28386.19</v>
      </c>
      <c r="C970" s="74">
        <v>370.5</v>
      </c>
      <c r="D970" s="74">
        <f t="shared" si="31"/>
        <v>1.6973347393421543E-3</v>
      </c>
      <c r="E970" s="74">
        <f t="shared" si="32"/>
        <v>5.2770571008438193E-3</v>
      </c>
      <c r="F970" s="75"/>
    </row>
    <row r="971" spans="1:6" ht="14.25" customHeight="1" x14ac:dyDescent="0.3">
      <c r="A971" s="73">
        <v>41970</v>
      </c>
      <c r="B971" s="74">
        <v>28438.91</v>
      </c>
      <c r="C971" s="74">
        <v>365.1</v>
      </c>
      <c r="D971" s="74">
        <f t="shared" si="31"/>
        <v>1.8555186044907105E-3</v>
      </c>
      <c r="E971" s="74">
        <f t="shared" si="32"/>
        <v>-1.4682156074550357E-2</v>
      </c>
      <c r="F971" s="75"/>
    </row>
    <row r="972" spans="1:6" ht="14.25" customHeight="1" x14ac:dyDescent="0.3">
      <c r="A972" s="73">
        <v>41971</v>
      </c>
      <c r="B972" s="74">
        <v>28693.99</v>
      </c>
      <c r="C972" s="74">
        <v>370.05</v>
      </c>
      <c r="D972" s="74">
        <f t="shared" si="31"/>
        <v>8.9294152716395819E-3</v>
      </c>
      <c r="E972" s="74">
        <f t="shared" si="32"/>
        <v>1.3466842981884081E-2</v>
      </c>
      <c r="F972" s="75"/>
    </row>
    <row r="973" spans="1:6" ht="14.25" customHeight="1" x14ac:dyDescent="0.3">
      <c r="A973" s="73">
        <v>41974</v>
      </c>
      <c r="B973" s="74">
        <v>28559.62</v>
      </c>
      <c r="C973" s="74">
        <v>389.65</v>
      </c>
      <c r="D973" s="74">
        <f t="shared" si="31"/>
        <v>-4.693861110485433E-3</v>
      </c>
      <c r="E973" s="74">
        <f t="shared" si="32"/>
        <v>5.1610768646094471E-2</v>
      </c>
      <c r="F973" s="75"/>
    </row>
    <row r="974" spans="1:6" ht="14.25" customHeight="1" x14ac:dyDescent="0.3">
      <c r="A974" s="73">
        <v>41975</v>
      </c>
      <c r="B974" s="74">
        <v>28444.01</v>
      </c>
      <c r="C974" s="74">
        <v>387.95</v>
      </c>
      <c r="D974" s="74">
        <f t="shared" si="31"/>
        <v>-4.0562384715352668E-3</v>
      </c>
      <c r="E974" s="74">
        <f t="shared" si="32"/>
        <v>-4.3724349496116017E-3</v>
      </c>
      <c r="F974" s="75"/>
    </row>
    <row r="975" spans="1:6" ht="14.25" customHeight="1" x14ac:dyDescent="0.3">
      <c r="A975" s="73">
        <v>41976</v>
      </c>
      <c r="B975" s="74">
        <v>28442.71</v>
      </c>
      <c r="C975" s="74">
        <v>386.45</v>
      </c>
      <c r="D975" s="74">
        <f t="shared" si="31"/>
        <v>-4.5704867506010605E-5</v>
      </c>
      <c r="E975" s="74">
        <f t="shared" si="32"/>
        <v>-3.8739717870782181E-3</v>
      </c>
      <c r="F975" s="75"/>
    </row>
    <row r="976" spans="1:6" ht="14.25" customHeight="1" x14ac:dyDescent="0.3">
      <c r="A976" s="73">
        <v>41977</v>
      </c>
      <c r="B976" s="74">
        <v>28562.82</v>
      </c>
      <c r="C976" s="74">
        <v>384.7</v>
      </c>
      <c r="D976" s="74">
        <f t="shared" si="31"/>
        <v>4.2139833710619443E-3</v>
      </c>
      <c r="E976" s="74">
        <f t="shared" si="32"/>
        <v>-4.5386837946305948E-3</v>
      </c>
      <c r="F976" s="75"/>
    </row>
    <row r="977" spans="1:6" ht="14.25" customHeight="1" x14ac:dyDescent="0.3">
      <c r="A977" s="73">
        <v>41978</v>
      </c>
      <c r="B977" s="74">
        <v>28458.1</v>
      </c>
      <c r="C977" s="74">
        <v>386.65</v>
      </c>
      <c r="D977" s="74">
        <f t="shared" si="31"/>
        <v>-3.6730420250500242E-3</v>
      </c>
      <c r="E977" s="74">
        <f t="shared" si="32"/>
        <v>5.0560812967949554E-3</v>
      </c>
      <c r="F977" s="75"/>
    </row>
    <row r="978" spans="1:6" ht="14.25" customHeight="1" x14ac:dyDescent="0.3">
      <c r="A978" s="73">
        <v>41981</v>
      </c>
      <c r="B978" s="74">
        <v>28119.4</v>
      </c>
      <c r="C978" s="74">
        <v>381.35</v>
      </c>
      <c r="D978" s="74">
        <f t="shared" si="31"/>
        <v>-1.1973100479484499E-2</v>
      </c>
      <c r="E978" s="74">
        <f t="shared" si="32"/>
        <v>-1.3802302444796754E-2</v>
      </c>
      <c r="F978" s="75"/>
    </row>
    <row r="979" spans="1:6" ht="14.25" customHeight="1" x14ac:dyDescent="0.3">
      <c r="A979" s="73">
        <v>41982</v>
      </c>
      <c r="B979" s="74">
        <v>27797.01</v>
      </c>
      <c r="C979" s="74">
        <v>370.9</v>
      </c>
      <c r="D979" s="74">
        <f t="shared" si="31"/>
        <v>-1.1531268632809018E-2</v>
      </c>
      <c r="E979" s="74">
        <f t="shared" si="32"/>
        <v>-2.7785104114702582E-2</v>
      </c>
      <c r="F979" s="75"/>
    </row>
    <row r="980" spans="1:6" ht="14.25" customHeight="1" x14ac:dyDescent="0.3">
      <c r="A980" s="73">
        <v>41983</v>
      </c>
      <c r="B980" s="74">
        <v>27831.1</v>
      </c>
      <c r="C980" s="74">
        <v>385.7</v>
      </c>
      <c r="D980" s="74">
        <f t="shared" si="31"/>
        <v>1.225639492964218E-3</v>
      </c>
      <c r="E980" s="74">
        <f t="shared" si="32"/>
        <v>3.9127380718637042E-2</v>
      </c>
      <c r="F980" s="75"/>
    </row>
    <row r="981" spans="1:6" ht="14.25" customHeight="1" x14ac:dyDescent="0.3">
      <c r="A981" s="73">
        <v>41984</v>
      </c>
      <c r="B981" s="74">
        <v>27602.01</v>
      </c>
      <c r="C981" s="74">
        <v>384.6</v>
      </c>
      <c r="D981" s="74">
        <f t="shared" si="31"/>
        <v>-8.2655042900092873E-3</v>
      </c>
      <c r="E981" s="74">
        <f t="shared" si="32"/>
        <v>-2.8560320595026074E-3</v>
      </c>
      <c r="F981" s="75"/>
    </row>
    <row r="982" spans="1:6" ht="14.25" customHeight="1" x14ac:dyDescent="0.3">
      <c r="A982" s="73">
        <v>41985</v>
      </c>
      <c r="B982" s="74">
        <v>27350.68</v>
      </c>
      <c r="C982" s="74">
        <v>373.7</v>
      </c>
      <c r="D982" s="74">
        <f t="shared" si="31"/>
        <v>-9.1472047109736644E-3</v>
      </c>
      <c r="E982" s="74">
        <f t="shared" si="32"/>
        <v>-2.8750496663241185E-2</v>
      </c>
      <c r="F982" s="75"/>
    </row>
    <row r="983" spans="1:6" ht="14.25" customHeight="1" x14ac:dyDescent="0.3">
      <c r="A983" s="73">
        <v>41988</v>
      </c>
      <c r="B983" s="74">
        <v>27319.56</v>
      </c>
      <c r="C983" s="74">
        <v>365.6</v>
      </c>
      <c r="D983" s="74">
        <f t="shared" si="31"/>
        <v>-1.1384622917773491E-3</v>
      </c>
      <c r="E983" s="74">
        <f t="shared" si="32"/>
        <v>-2.1913496911443162E-2</v>
      </c>
      <c r="F983" s="75"/>
    </row>
    <row r="984" spans="1:6" ht="14.25" customHeight="1" x14ac:dyDescent="0.3">
      <c r="A984" s="73">
        <v>41989</v>
      </c>
      <c r="B984" s="74">
        <v>26781.439999999999</v>
      </c>
      <c r="C984" s="74">
        <v>359.8</v>
      </c>
      <c r="D984" s="74">
        <f t="shared" si="31"/>
        <v>-1.9893818866979184E-2</v>
      </c>
      <c r="E984" s="74">
        <f t="shared" si="32"/>
        <v>-1.5991518063562197E-2</v>
      </c>
      <c r="F984" s="75"/>
    </row>
    <row r="985" spans="1:6" ht="14.25" customHeight="1" x14ac:dyDescent="0.3">
      <c r="A985" s="73">
        <v>41990</v>
      </c>
      <c r="B985" s="74">
        <v>26710.13</v>
      </c>
      <c r="C985" s="74">
        <v>354.55</v>
      </c>
      <c r="D985" s="74">
        <f t="shared" si="31"/>
        <v>-2.6662160876373712E-3</v>
      </c>
      <c r="E985" s="74">
        <f t="shared" si="32"/>
        <v>-1.4698941766426984E-2</v>
      </c>
      <c r="F985" s="75"/>
    </row>
    <row r="986" spans="1:6" ht="14.25" customHeight="1" x14ac:dyDescent="0.3">
      <c r="A986" s="73">
        <v>41991</v>
      </c>
      <c r="B986" s="74">
        <v>27126.57</v>
      </c>
      <c r="C986" s="74">
        <v>377.35</v>
      </c>
      <c r="D986" s="74">
        <f t="shared" si="31"/>
        <v>1.5470796168959813E-2</v>
      </c>
      <c r="E986" s="74">
        <f t="shared" si="32"/>
        <v>6.2323758980871689E-2</v>
      </c>
      <c r="F986" s="75"/>
    </row>
    <row r="987" spans="1:6" ht="14.25" customHeight="1" x14ac:dyDescent="0.3">
      <c r="A987" s="73">
        <v>41992</v>
      </c>
      <c r="B987" s="74">
        <v>27371.84</v>
      </c>
      <c r="C987" s="74">
        <v>376.2</v>
      </c>
      <c r="D987" s="74">
        <f t="shared" si="31"/>
        <v>9.0010573137557243E-3</v>
      </c>
      <c r="E987" s="74">
        <f t="shared" si="32"/>
        <v>-3.0522218639474396E-3</v>
      </c>
      <c r="F987" s="75"/>
    </row>
    <row r="988" spans="1:6" ht="14.25" customHeight="1" x14ac:dyDescent="0.3">
      <c r="A988" s="73">
        <v>41995</v>
      </c>
      <c r="B988" s="74">
        <v>27701.79</v>
      </c>
      <c r="C988" s="74">
        <v>381.05</v>
      </c>
      <c r="D988" s="74">
        <f t="shared" si="31"/>
        <v>1.1982284360360243E-2</v>
      </c>
      <c r="E988" s="74">
        <f t="shared" si="32"/>
        <v>1.2809683245196591E-2</v>
      </c>
      <c r="F988" s="75"/>
    </row>
    <row r="989" spans="1:6" ht="14.25" customHeight="1" x14ac:dyDescent="0.3">
      <c r="A989" s="73">
        <v>41996</v>
      </c>
      <c r="B989" s="74">
        <v>27506.46</v>
      </c>
      <c r="C989" s="74">
        <v>374.6</v>
      </c>
      <c r="D989" s="74">
        <f t="shared" si="31"/>
        <v>-7.0761458674637829E-3</v>
      </c>
      <c r="E989" s="74">
        <f t="shared" si="32"/>
        <v>-1.7071810102138263E-2</v>
      </c>
      <c r="F989" s="75"/>
    </row>
    <row r="990" spans="1:6" ht="14.25" customHeight="1" x14ac:dyDescent="0.3">
      <c r="A990" s="73">
        <v>41997</v>
      </c>
      <c r="B990" s="74">
        <v>27208.61</v>
      </c>
      <c r="C990" s="74">
        <v>370.25</v>
      </c>
      <c r="D990" s="74">
        <f t="shared" si="31"/>
        <v>-1.0887418846534744E-2</v>
      </c>
      <c r="E990" s="74">
        <f t="shared" si="32"/>
        <v>-1.1680336862080063E-2</v>
      </c>
      <c r="F990" s="75"/>
    </row>
    <row r="991" spans="1:6" ht="14.25" customHeight="1" x14ac:dyDescent="0.3">
      <c r="A991" s="73">
        <v>41999</v>
      </c>
      <c r="B991" s="74">
        <v>27241.78</v>
      </c>
      <c r="C991" s="74">
        <v>367.45</v>
      </c>
      <c r="D991" s="74">
        <f t="shared" si="31"/>
        <v>1.2183568970987547E-3</v>
      </c>
      <c r="E991" s="74">
        <f t="shared" si="32"/>
        <v>-7.5911981730279353E-3</v>
      </c>
      <c r="F991" s="75"/>
    </row>
    <row r="992" spans="1:6" ht="14.25" customHeight="1" x14ac:dyDescent="0.3">
      <c r="A992" s="73">
        <v>42002</v>
      </c>
      <c r="B992" s="74">
        <v>27395.73</v>
      </c>
      <c r="C992" s="74">
        <v>373.75</v>
      </c>
      <c r="D992" s="74">
        <f t="shared" si="31"/>
        <v>5.6353376065643532E-3</v>
      </c>
      <c r="E992" s="74">
        <f t="shared" si="32"/>
        <v>1.6999869730015996E-2</v>
      </c>
      <c r="F992" s="75"/>
    </row>
    <row r="993" spans="1:6" ht="14.25" customHeight="1" x14ac:dyDescent="0.3">
      <c r="A993" s="73">
        <v>42003</v>
      </c>
      <c r="B993" s="74">
        <v>27403.54</v>
      </c>
      <c r="C993" s="74">
        <v>377.1</v>
      </c>
      <c r="D993" s="74">
        <f t="shared" si="31"/>
        <v>2.8504029534981667E-4</v>
      </c>
      <c r="E993" s="74">
        <f t="shared" si="32"/>
        <v>8.9232795594152946E-3</v>
      </c>
      <c r="F993" s="75"/>
    </row>
    <row r="994" spans="1:6" ht="14.25" customHeight="1" x14ac:dyDescent="0.3">
      <c r="A994" s="73">
        <v>42004</v>
      </c>
      <c r="B994" s="74">
        <v>27499.42</v>
      </c>
      <c r="C994" s="74">
        <v>381.25</v>
      </c>
      <c r="D994" s="74">
        <f t="shared" si="31"/>
        <v>3.4927114119257456E-3</v>
      </c>
      <c r="E994" s="74">
        <f t="shared" si="32"/>
        <v>1.0944923657309938E-2</v>
      </c>
      <c r="F994" s="75"/>
    </row>
    <row r="995" spans="1:6" ht="14.25" customHeight="1" x14ac:dyDescent="0.3">
      <c r="A995" s="73">
        <v>42005</v>
      </c>
      <c r="B995" s="74">
        <v>27507.54</v>
      </c>
      <c r="C995" s="74">
        <v>379.1</v>
      </c>
      <c r="D995" s="74">
        <f t="shared" si="31"/>
        <v>2.9523536872361921E-4</v>
      </c>
      <c r="E995" s="74">
        <f t="shared" si="32"/>
        <v>-5.6553053993322073E-3</v>
      </c>
      <c r="F995" s="75"/>
    </row>
    <row r="996" spans="1:6" ht="14.25" customHeight="1" x14ac:dyDescent="0.3">
      <c r="A996" s="73">
        <v>42006</v>
      </c>
      <c r="B996" s="74">
        <v>27887.9</v>
      </c>
      <c r="C996" s="74">
        <v>382.15</v>
      </c>
      <c r="D996" s="74">
        <f t="shared" si="31"/>
        <v>1.3732754089836324E-2</v>
      </c>
      <c r="E996" s="74">
        <f t="shared" si="32"/>
        <v>8.0131791666039048E-3</v>
      </c>
      <c r="F996" s="75"/>
    </row>
    <row r="997" spans="1:6" ht="14.25" customHeight="1" x14ac:dyDescent="0.3">
      <c r="A997" s="73">
        <v>42009</v>
      </c>
      <c r="B997" s="74">
        <v>27842.32</v>
      </c>
      <c r="C997" s="74">
        <v>385.15</v>
      </c>
      <c r="D997" s="74">
        <f t="shared" si="31"/>
        <v>-1.6357376720552881E-3</v>
      </c>
      <c r="E997" s="74">
        <f t="shared" si="32"/>
        <v>7.8196671100817117E-3</v>
      </c>
      <c r="F997" s="75"/>
    </row>
    <row r="998" spans="1:6" ht="14.25" customHeight="1" x14ac:dyDescent="0.3">
      <c r="A998" s="73">
        <v>42010</v>
      </c>
      <c r="B998" s="74">
        <v>26987.46</v>
      </c>
      <c r="C998" s="74">
        <v>372.6</v>
      </c>
      <c r="D998" s="74">
        <f t="shared" si="31"/>
        <v>-3.1184851655365754E-2</v>
      </c>
      <c r="E998" s="74">
        <f t="shared" si="32"/>
        <v>-3.3127410631486588E-2</v>
      </c>
      <c r="F998" s="75"/>
    </row>
    <row r="999" spans="1:6" ht="14.25" customHeight="1" x14ac:dyDescent="0.3">
      <c r="A999" s="73">
        <v>42011</v>
      </c>
      <c r="B999" s="74">
        <v>26908.82</v>
      </c>
      <c r="C999" s="74">
        <v>374.55</v>
      </c>
      <c r="D999" s="74">
        <f t="shared" si="31"/>
        <v>-2.9181997647131741E-3</v>
      </c>
      <c r="E999" s="74">
        <f t="shared" si="32"/>
        <v>5.219847226403858E-3</v>
      </c>
      <c r="F999" s="75"/>
    </row>
    <row r="1000" spans="1:6" ht="14.25" customHeight="1" x14ac:dyDescent="0.3">
      <c r="A1000" s="73">
        <v>42012</v>
      </c>
      <c r="B1000" s="74">
        <v>27274.71</v>
      </c>
      <c r="C1000" s="74">
        <v>373.25</v>
      </c>
      <c r="D1000" s="74">
        <f t="shared" si="31"/>
        <v>1.3505785307869674E-2</v>
      </c>
      <c r="E1000" s="74">
        <f t="shared" si="32"/>
        <v>-3.4768689745922178E-3</v>
      </c>
      <c r="F1000" s="75"/>
    </row>
    <row r="1001" spans="1:6" ht="14.25" customHeight="1" x14ac:dyDescent="0.3">
      <c r="A1001" s="73">
        <v>42013</v>
      </c>
      <c r="B1001" s="74">
        <v>27458.38</v>
      </c>
      <c r="C1001" s="74">
        <v>372.9</v>
      </c>
      <c r="D1001" s="74">
        <f t="shared" si="31"/>
        <v>6.7115044825686899E-3</v>
      </c>
      <c r="E1001" s="74">
        <f t="shared" si="32"/>
        <v>-9.3814923452472537E-4</v>
      </c>
      <c r="F1001" s="75"/>
    </row>
    <row r="1002" spans="1:6" ht="14.25" customHeight="1" x14ac:dyDescent="0.3">
      <c r="A1002" s="73">
        <v>42016</v>
      </c>
      <c r="B1002" s="74">
        <v>27585.27</v>
      </c>
      <c r="C1002" s="74">
        <v>376.65</v>
      </c>
      <c r="D1002" s="74">
        <f t="shared" si="31"/>
        <v>4.61053090683232E-3</v>
      </c>
      <c r="E1002" s="74">
        <f t="shared" si="32"/>
        <v>1.0006087086928494E-2</v>
      </c>
      <c r="F1002" s="75"/>
    </row>
    <row r="1003" spans="1:6" ht="14.25" customHeight="1" x14ac:dyDescent="0.3">
      <c r="A1003" s="73">
        <v>42017</v>
      </c>
      <c r="B1003" s="74">
        <v>27425.73</v>
      </c>
      <c r="C1003" s="74">
        <v>372.1</v>
      </c>
      <c r="D1003" s="74">
        <f t="shared" si="31"/>
        <v>-5.8003107484493948E-3</v>
      </c>
      <c r="E1003" s="74">
        <f t="shared" si="32"/>
        <v>-1.2153738919126753E-2</v>
      </c>
      <c r="F1003" s="75"/>
    </row>
    <row r="1004" spans="1:6" ht="14.25" customHeight="1" x14ac:dyDescent="0.3">
      <c r="A1004" s="73">
        <v>42018</v>
      </c>
      <c r="B1004" s="74">
        <v>27346.82</v>
      </c>
      <c r="C1004" s="74">
        <v>372.4</v>
      </c>
      <c r="D1004" s="74">
        <f t="shared" si="31"/>
        <v>-2.8813723149487967E-3</v>
      </c>
      <c r="E1004" s="74">
        <f t="shared" si="32"/>
        <v>8.0591005033497421E-4</v>
      </c>
      <c r="F1004" s="75"/>
    </row>
    <row r="1005" spans="1:6" ht="14.25" customHeight="1" x14ac:dyDescent="0.3">
      <c r="A1005" s="73">
        <v>42019</v>
      </c>
      <c r="B1005" s="74">
        <v>28075.55</v>
      </c>
      <c r="C1005" s="74">
        <v>376.1</v>
      </c>
      <c r="D1005" s="74">
        <f t="shared" si="31"/>
        <v>2.6298839274204452E-2</v>
      </c>
      <c r="E1005" s="74">
        <f t="shared" si="32"/>
        <v>9.8865200733788596E-3</v>
      </c>
      <c r="F1005" s="75"/>
    </row>
    <row r="1006" spans="1:6" ht="14.25" customHeight="1" x14ac:dyDescent="0.3">
      <c r="A1006" s="73">
        <v>42020</v>
      </c>
      <c r="B1006" s="74">
        <v>28121.89</v>
      </c>
      <c r="C1006" s="74">
        <v>387.4</v>
      </c>
      <c r="D1006" s="74">
        <f t="shared" si="31"/>
        <v>1.6491858171125541E-3</v>
      </c>
      <c r="E1006" s="74">
        <f t="shared" si="32"/>
        <v>2.9602685496604643E-2</v>
      </c>
      <c r="F1006" s="75"/>
    </row>
    <row r="1007" spans="1:6" ht="14.25" customHeight="1" x14ac:dyDescent="0.3">
      <c r="A1007" s="73">
        <v>42023</v>
      </c>
      <c r="B1007" s="74">
        <v>28262.01</v>
      </c>
      <c r="C1007" s="74">
        <v>394.6</v>
      </c>
      <c r="D1007" s="74">
        <f t="shared" si="31"/>
        <v>4.9702233598591947E-3</v>
      </c>
      <c r="E1007" s="74">
        <f t="shared" si="32"/>
        <v>1.8414842615619577E-2</v>
      </c>
      <c r="F1007" s="75"/>
    </row>
    <row r="1008" spans="1:6" ht="14.25" customHeight="1" x14ac:dyDescent="0.3">
      <c r="A1008" s="73">
        <v>42024</v>
      </c>
      <c r="B1008" s="74">
        <v>28784.67</v>
      </c>
      <c r="C1008" s="74">
        <v>393.15</v>
      </c>
      <c r="D1008" s="74">
        <f t="shared" si="31"/>
        <v>1.8324453765239671E-2</v>
      </c>
      <c r="E1008" s="74">
        <f t="shared" si="32"/>
        <v>-3.6813751509900891E-3</v>
      </c>
      <c r="F1008" s="75"/>
    </row>
    <row r="1009" spans="1:6" ht="14.25" customHeight="1" x14ac:dyDescent="0.3">
      <c r="A1009" s="73">
        <v>42025</v>
      </c>
      <c r="B1009" s="74">
        <v>28888.86</v>
      </c>
      <c r="C1009" s="74">
        <v>406.45</v>
      </c>
      <c r="D1009" s="74">
        <f t="shared" si="31"/>
        <v>3.6130999210763717E-3</v>
      </c>
      <c r="E1009" s="74">
        <f t="shared" si="32"/>
        <v>3.3269701755056266E-2</v>
      </c>
      <c r="F1009" s="75"/>
    </row>
    <row r="1010" spans="1:6" ht="14.25" customHeight="1" x14ac:dyDescent="0.3">
      <c r="A1010" s="73">
        <v>42026</v>
      </c>
      <c r="B1010" s="74">
        <v>29006.02</v>
      </c>
      <c r="C1010" s="74">
        <v>399.8</v>
      </c>
      <c r="D1010" s="74">
        <f t="shared" si="31"/>
        <v>4.0473409715268702E-3</v>
      </c>
      <c r="E1010" s="74">
        <f t="shared" si="32"/>
        <v>-1.6496498126281529E-2</v>
      </c>
      <c r="F1010" s="75"/>
    </row>
    <row r="1011" spans="1:6" ht="14.25" customHeight="1" x14ac:dyDescent="0.3">
      <c r="A1011" s="73">
        <v>42027</v>
      </c>
      <c r="B1011" s="74">
        <v>29278.84</v>
      </c>
      <c r="C1011" s="74">
        <v>398.4</v>
      </c>
      <c r="D1011" s="74">
        <f t="shared" si="31"/>
        <v>9.3616761716433412E-3</v>
      </c>
      <c r="E1011" s="74">
        <f t="shared" si="32"/>
        <v>-3.5078963558566054E-3</v>
      </c>
      <c r="F1011" s="75"/>
    </row>
    <row r="1012" spans="1:6" ht="14.25" customHeight="1" x14ac:dyDescent="0.3">
      <c r="A1012" s="73">
        <v>42031</v>
      </c>
      <c r="B1012" s="74">
        <v>29571.040000000001</v>
      </c>
      <c r="C1012" s="74">
        <v>400.3</v>
      </c>
      <c r="D1012" s="74">
        <f t="shared" si="31"/>
        <v>9.9304332051269335E-3</v>
      </c>
      <c r="E1012" s="74">
        <f t="shared" si="32"/>
        <v>4.7577402880849334E-3</v>
      </c>
      <c r="F1012" s="75"/>
    </row>
    <row r="1013" spans="1:6" ht="14.25" customHeight="1" x14ac:dyDescent="0.3">
      <c r="A1013" s="73">
        <v>42032</v>
      </c>
      <c r="B1013" s="74">
        <v>29559.18</v>
      </c>
      <c r="C1013" s="74">
        <v>433.15</v>
      </c>
      <c r="D1013" s="74">
        <f t="shared" si="31"/>
        <v>-4.0114852131591599E-4</v>
      </c>
      <c r="E1013" s="74">
        <f t="shared" si="32"/>
        <v>7.8869822337621201E-2</v>
      </c>
      <c r="F1013" s="75"/>
    </row>
    <row r="1014" spans="1:6" ht="14.25" customHeight="1" x14ac:dyDescent="0.3">
      <c r="A1014" s="73">
        <v>42033</v>
      </c>
      <c r="B1014" s="74">
        <v>29681.77</v>
      </c>
      <c r="C1014" s="74">
        <v>440.05</v>
      </c>
      <c r="D1014" s="74">
        <f t="shared" si="31"/>
        <v>4.1386971338258005E-3</v>
      </c>
      <c r="E1014" s="74">
        <f t="shared" si="32"/>
        <v>1.5804268483671467E-2</v>
      </c>
      <c r="F1014" s="75"/>
    </row>
    <row r="1015" spans="1:6" ht="14.25" customHeight="1" x14ac:dyDescent="0.3">
      <c r="A1015" s="73">
        <v>42034</v>
      </c>
      <c r="B1015" s="74">
        <v>29182.95</v>
      </c>
      <c r="C1015" s="74">
        <v>430.55</v>
      </c>
      <c r="D1015" s="74">
        <f t="shared" si="31"/>
        <v>-1.6948418013361635E-2</v>
      </c>
      <c r="E1015" s="74">
        <f t="shared" si="32"/>
        <v>-2.1824895677646561E-2</v>
      </c>
      <c r="F1015" s="75"/>
    </row>
    <row r="1016" spans="1:6" ht="14.25" customHeight="1" x14ac:dyDescent="0.3">
      <c r="A1016" s="73">
        <v>42037</v>
      </c>
      <c r="B1016" s="74">
        <v>29122.27</v>
      </c>
      <c r="C1016" s="74">
        <v>432.35</v>
      </c>
      <c r="D1016" s="74">
        <f t="shared" si="31"/>
        <v>-2.0814610392656855E-3</v>
      </c>
      <c r="E1016" s="74">
        <f t="shared" si="32"/>
        <v>4.1719842642650006E-3</v>
      </c>
      <c r="F1016" s="75"/>
    </row>
    <row r="1017" spans="1:6" ht="14.25" customHeight="1" x14ac:dyDescent="0.3">
      <c r="A1017" s="73">
        <v>42038</v>
      </c>
      <c r="B1017" s="74">
        <v>29000.14</v>
      </c>
      <c r="C1017" s="74">
        <v>432.85</v>
      </c>
      <c r="D1017" s="74">
        <f t="shared" si="31"/>
        <v>-4.202516025960004E-3</v>
      </c>
      <c r="E1017" s="74">
        <f t="shared" si="32"/>
        <v>1.1558022553436345E-3</v>
      </c>
      <c r="F1017" s="75"/>
    </row>
    <row r="1018" spans="1:6" ht="14.25" customHeight="1" x14ac:dyDescent="0.3">
      <c r="A1018" s="73">
        <v>42039</v>
      </c>
      <c r="B1018" s="74">
        <v>28883.11</v>
      </c>
      <c r="C1018" s="74">
        <v>430.3</v>
      </c>
      <c r="D1018" s="74">
        <f t="shared" si="31"/>
        <v>-4.0436623536198868E-3</v>
      </c>
      <c r="E1018" s="74">
        <f t="shared" si="32"/>
        <v>-5.9086078172289041E-3</v>
      </c>
      <c r="F1018" s="75"/>
    </row>
    <row r="1019" spans="1:6" ht="14.25" customHeight="1" x14ac:dyDescent="0.3">
      <c r="A1019" s="73">
        <v>42040</v>
      </c>
      <c r="B1019" s="74">
        <v>28850.97</v>
      </c>
      <c r="C1019" s="74">
        <v>417.05</v>
      </c>
      <c r="D1019" s="74">
        <f t="shared" si="31"/>
        <v>-1.1133806348037295E-3</v>
      </c>
      <c r="E1019" s="74">
        <f t="shared" si="32"/>
        <v>-3.1276521156933093E-2</v>
      </c>
      <c r="F1019" s="75"/>
    </row>
    <row r="1020" spans="1:6" ht="14.25" customHeight="1" x14ac:dyDescent="0.3">
      <c r="A1020" s="73">
        <v>42041</v>
      </c>
      <c r="B1020" s="74">
        <v>28717.91</v>
      </c>
      <c r="C1020" s="74">
        <v>416.3</v>
      </c>
      <c r="D1020" s="74">
        <f t="shared" si="31"/>
        <v>-4.6226446283052745E-3</v>
      </c>
      <c r="E1020" s="74">
        <f t="shared" si="32"/>
        <v>-1.7999644866910729E-3</v>
      </c>
      <c r="F1020" s="75"/>
    </row>
    <row r="1021" spans="1:6" ht="14.25" customHeight="1" x14ac:dyDescent="0.3">
      <c r="A1021" s="73">
        <v>42044</v>
      </c>
      <c r="B1021" s="74">
        <v>28227.39</v>
      </c>
      <c r="C1021" s="74">
        <v>412.3</v>
      </c>
      <c r="D1021" s="74">
        <f t="shared" si="31"/>
        <v>-1.7228186788394641E-2</v>
      </c>
      <c r="E1021" s="74">
        <f t="shared" si="32"/>
        <v>-9.6549144880754556E-3</v>
      </c>
      <c r="F1021" s="75"/>
    </row>
    <row r="1022" spans="1:6" ht="14.25" customHeight="1" x14ac:dyDescent="0.3">
      <c r="A1022" s="73">
        <v>42045</v>
      </c>
      <c r="B1022" s="74">
        <v>28355.62</v>
      </c>
      <c r="C1022" s="74">
        <v>424.65</v>
      </c>
      <c r="D1022" s="74">
        <f t="shared" si="31"/>
        <v>4.5324637032009485E-3</v>
      </c>
      <c r="E1022" s="74">
        <f t="shared" si="32"/>
        <v>2.9514060513163791E-2</v>
      </c>
      <c r="F1022" s="75"/>
    </row>
    <row r="1023" spans="1:6" ht="14.25" customHeight="1" x14ac:dyDescent="0.3">
      <c r="A1023" s="73">
        <v>42046</v>
      </c>
      <c r="B1023" s="74">
        <v>28533.97</v>
      </c>
      <c r="C1023" s="74">
        <v>426</v>
      </c>
      <c r="D1023" s="74">
        <f t="shared" si="31"/>
        <v>6.2700604556603411E-3</v>
      </c>
      <c r="E1023" s="74">
        <f t="shared" si="32"/>
        <v>3.1740460433520661E-3</v>
      </c>
      <c r="F1023" s="75"/>
    </row>
    <row r="1024" spans="1:6" ht="14.25" customHeight="1" x14ac:dyDescent="0.3">
      <c r="A1024" s="73">
        <v>42047</v>
      </c>
      <c r="B1024" s="74">
        <v>28805.1</v>
      </c>
      <c r="C1024" s="74">
        <v>425.55</v>
      </c>
      <c r="D1024" s="74">
        <f t="shared" si="31"/>
        <v>9.4571474830650072E-3</v>
      </c>
      <c r="E1024" s="74">
        <f t="shared" si="32"/>
        <v>-1.0568963464003187E-3</v>
      </c>
      <c r="F1024" s="75"/>
    </row>
    <row r="1025" spans="1:6" ht="14.25" customHeight="1" x14ac:dyDescent="0.3">
      <c r="A1025" s="73">
        <v>42048</v>
      </c>
      <c r="B1025" s="74">
        <v>29094.93</v>
      </c>
      <c r="C1025" s="74">
        <v>427.1</v>
      </c>
      <c r="D1025" s="74">
        <f t="shared" si="31"/>
        <v>1.0011477396239527E-2</v>
      </c>
      <c r="E1025" s="74">
        <f t="shared" si="32"/>
        <v>3.6357279244506918E-3</v>
      </c>
      <c r="F1025" s="75"/>
    </row>
    <row r="1026" spans="1:6" ht="14.25" customHeight="1" x14ac:dyDescent="0.3">
      <c r="A1026" s="73">
        <v>42051</v>
      </c>
      <c r="B1026" s="74">
        <v>29135.88</v>
      </c>
      <c r="C1026" s="74">
        <v>418.05</v>
      </c>
      <c r="D1026" s="74">
        <f t="shared" si="31"/>
        <v>1.4064721665551945E-3</v>
      </c>
      <c r="E1026" s="74">
        <f t="shared" si="32"/>
        <v>-2.1417135251353945E-2</v>
      </c>
      <c r="F1026" s="75"/>
    </row>
    <row r="1027" spans="1:6" ht="14.25" customHeight="1" x14ac:dyDescent="0.3">
      <c r="A1027" s="73">
        <v>42053</v>
      </c>
      <c r="B1027" s="74">
        <v>29320.26</v>
      </c>
      <c r="C1027" s="74">
        <v>430.2</v>
      </c>
      <c r="D1027" s="74">
        <f t="shared" si="31"/>
        <v>6.3083402856289892E-3</v>
      </c>
      <c r="E1027" s="74">
        <f t="shared" si="32"/>
        <v>2.8649174237562709E-2</v>
      </c>
      <c r="F1027" s="75"/>
    </row>
    <row r="1028" spans="1:6" ht="14.25" customHeight="1" x14ac:dyDescent="0.3">
      <c r="A1028" s="73">
        <v>42054</v>
      </c>
      <c r="B1028" s="74">
        <v>29462.27</v>
      </c>
      <c r="C1028" s="74">
        <v>432.6</v>
      </c>
      <c r="D1028" s="74">
        <f t="shared" ref="D1028:D1091" si="33">LN(B1028/B1027)</f>
        <v>4.8317170517943736E-3</v>
      </c>
      <c r="E1028" s="74">
        <f t="shared" ref="E1028:E1091" si="34">LN(C1028/C1027)</f>
        <v>5.5632966853287318E-3</v>
      </c>
      <c r="F1028" s="75"/>
    </row>
    <row r="1029" spans="1:6" ht="14.25" customHeight="1" x14ac:dyDescent="0.3">
      <c r="A1029" s="73">
        <v>42055</v>
      </c>
      <c r="B1029" s="74">
        <v>29231.41</v>
      </c>
      <c r="C1029" s="74">
        <v>435</v>
      </c>
      <c r="D1029" s="74">
        <f t="shared" si="33"/>
        <v>-7.866645626785556E-3</v>
      </c>
      <c r="E1029" s="74">
        <f t="shared" si="34"/>
        <v>5.5325175697256979E-3</v>
      </c>
      <c r="F1029" s="75"/>
    </row>
    <row r="1030" spans="1:6" ht="14.25" customHeight="1" x14ac:dyDescent="0.3">
      <c r="A1030" s="73">
        <v>42058</v>
      </c>
      <c r="B1030" s="74">
        <v>28975.11</v>
      </c>
      <c r="C1030" s="74">
        <v>420.2</v>
      </c>
      <c r="D1030" s="74">
        <f t="shared" si="33"/>
        <v>-8.8066304764679998E-3</v>
      </c>
      <c r="E1030" s="74">
        <f t="shared" si="34"/>
        <v>-3.4615242677784069E-2</v>
      </c>
      <c r="F1030" s="75"/>
    </row>
    <row r="1031" spans="1:6" ht="14.25" customHeight="1" x14ac:dyDescent="0.3">
      <c r="A1031" s="73">
        <v>42059</v>
      </c>
      <c r="B1031" s="74">
        <v>29004.66</v>
      </c>
      <c r="C1031" s="74">
        <v>422.4</v>
      </c>
      <c r="D1031" s="74">
        <f t="shared" si="33"/>
        <v>1.0193211376512145E-3</v>
      </c>
      <c r="E1031" s="74">
        <f t="shared" si="34"/>
        <v>5.2219439811516249E-3</v>
      </c>
      <c r="F1031" s="75"/>
    </row>
    <row r="1032" spans="1:6" ht="14.25" customHeight="1" x14ac:dyDescent="0.3">
      <c r="A1032" s="73">
        <v>42060</v>
      </c>
      <c r="B1032" s="74">
        <v>29007.99</v>
      </c>
      <c r="C1032" s="74">
        <v>422.2</v>
      </c>
      <c r="D1032" s="74">
        <f t="shared" si="33"/>
        <v>1.1480254750159026E-4</v>
      </c>
      <c r="E1032" s="74">
        <f t="shared" si="34"/>
        <v>-4.7359697783149569E-4</v>
      </c>
      <c r="F1032" s="75"/>
    </row>
    <row r="1033" spans="1:6" ht="14.25" customHeight="1" x14ac:dyDescent="0.3">
      <c r="A1033" s="73">
        <v>42061</v>
      </c>
      <c r="B1033" s="74">
        <v>28746.65</v>
      </c>
      <c r="C1033" s="74">
        <v>423.05</v>
      </c>
      <c r="D1033" s="74">
        <f t="shared" si="33"/>
        <v>-9.0500705649044846E-3</v>
      </c>
      <c r="E1033" s="74">
        <f t="shared" si="34"/>
        <v>2.0112399562896691E-3</v>
      </c>
      <c r="F1033" s="75"/>
    </row>
    <row r="1034" spans="1:6" ht="14.25" customHeight="1" x14ac:dyDescent="0.3">
      <c r="A1034" s="73">
        <v>42062</v>
      </c>
      <c r="B1034" s="74">
        <v>29220.12</v>
      </c>
      <c r="C1034" s="74">
        <v>434.95</v>
      </c>
      <c r="D1034" s="74">
        <f t="shared" si="33"/>
        <v>1.6336274375257573E-2</v>
      </c>
      <c r="E1034" s="74">
        <f t="shared" si="34"/>
        <v>2.7740706583039794E-2</v>
      </c>
      <c r="F1034" s="75"/>
    </row>
    <row r="1035" spans="1:6" ht="14.25" customHeight="1" x14ac:dyDescent="0.3">
      <c r="A1035" s="73">
        <v>42063</v>
      </c>
      <c r="B1035" s="74">
        <v>29361.5</v>
      </c>
      <c r="C1035" s="74">
        <v>420.5</v>
      </c>
      <c r="D1035" s="74">
        <f t="shared" si="33"/>
        <v>4.826779269224226E-3</v>
      </c>
      <c r="E1035" s="74">
        <f t="shared" si="34"/>
        <v>-3.378660254054696E-2</v>
      </c>
      <c r="F1035" s="75"/>
    </row>
    <row r="1036" spans="1:6" ht="14.25" customHeight="1" x14ac:dyDescent="0.3">
      <c r="A1036" s="73">
        <v>42065</v>
      </c>
      <c r="B1036" s="74">
        <v>29459.14</v>
      </c>
      <c r="C1036" s="74">
        <v>412.1</v>
      </c>
      <c r="D1036" s="74">
        <f t="shared" si="33"/>
        <v>3.3199261239452451E-3</v>
      </c>
      <c r="E1036" s="74">
        <f t="shared" si="34"/>
        <v>-2.0178441068230982E-2</v>
      </c>
      <c r="F1036" s="75"/>
    </row>
    <row r="1037" spans="1:6" ht="14.25" customHeight="1" x14ac:dyDescent="0.3">
      <c r="A1037" s="73">
        <v>42066</v>
      </c>
      <c r="B1037" s="74">
        <v>29593.73</v>
      </c>
      <c r="C1037" s="74">
        <v>415.65</v>
      </c>
      <c r="D1037" s="74">
        <f t="shared" si="33"/>
        <v>4.5582960842787687E-3</v>
      </c>
      <c r="E1037" s="74">
        <f t="shared" si="34"/>
        <v>8.5775216323254275E-3</v>
      </c>
      <c r="F1037" s="75"/>
    </row>
    <row r="1038" spans="1:6" ht="14.25" customHeight="1" x14ac:dyDescent="0.3">
      <c r="A1038" s="73">
        <v>42067</v>
      </c>
      <c r="B1038" s="74">
        <v>29380.73</v>
      </c>
      <c r="C1038" s="74">
        <v>410.85</v>
      </c>
      <c r="D1038" s="74">
        <f t="shared" si="33"/>
        <v>-7.2234972961144443E-3</v>
      </c>
      <c r="E1038" s="74">
        <f t="shared" si="34"/>
        <v>-1.1615375599900161E-2</v>
      </c>
      <c r="F1038" s="75"/>
    </row>
    <row r="1039" spans="1:6" ht="14.25" customHeight="1" x14ac:dyDescent="0.3">
      <c r="A1039" s="73">
        <v>42068</v>
      </c>
      <c r="B1039" s="74">
        <v>29448.95</v>
      </c>
      <c r="C1039" s="74">
        <v>405.45</v>
      </c>
      <c r="D1039" s="74">
        <f t="shared" si="33"/>
        <v>2.3192385400994894E-3</v>
      </c>
      <c r="E1039" s="74">
        <f t="shared" si="34"/>
        <v>-1.3230622986630627E-2</v>
      </c>
      <c r="F1039" s="75"/>
    </row>
    <row r="1040" spans="1:6" ht="14.25" customHeight="1" x14ac:dyDescent="0.3">
      <c r="A1040" s="73">
        <v>42072</v>
      </c>
      <c r="B1040" s="74">
        <v>28844.78</v>
      </c>
      <c r="C1040" s="74">
        <v>399.45</v>
      </c>
      <c r="D1040" s="74">
        <f t="shared" si="33"/>
        <v>-2.072921510371285E-2</v>
      </c>
      <c r="E1040" s="74">
        <f t="shared" si="34"/>
        <v>-1.4908960462515398E-2</v>
      </c>
      <c r="F1040" s="75"/>
    </row>
    <row r="1041" spans="1:6" ht="14.25" customHeight="1" x14ac:dyDescent="0.3">
      <c r="A1041" s="73">
        <v>42073</v>
      </c>
      <c r="B1041" s="74">
        <v>28709.87</v>
      </c>
      <c r="C1041" s="74">
        <v>404.2</v>
      </c>
      <c r="D1041" s="74">
        <f t="shared" si="33"/>
        <v>-4.6880746243114649E-3</v>
      </c>
      <c r="E1041" s="74">
        <f t="shared" si="34"/>
        <v>1.1821204041469758E-2</v>
      </c>
      <c r="F1041" s="75"/>
    </row>
    <row r="1042" spans="1:6" ht="14.25" customHeight="1" x14ac:dyDescent="0.3">
      <c r="A1042" s="73">
        <v>42074</v>
      </c>
      <c r="B1042" s="74">
        <v>28659.17</v>
      </c>
      <c r="C1042" s="74">
        <v>399.75</v>
      </c>
      <c r="D1042" s="74">
        <f t="shared" si="33"/>
        <v>-1.7675043263475376E-3</v>
      </c>
      <c r="E1042" s="74">
        <f t="shared" si="34"/>
        <v>-1.1070453255457047E-2</v>
      </c>
      <c r="F1042" s="75"/>
    </row>
    <row r="1043" spans="1:6" ht="14.25" customHeight="1" x14ac:dyDescent="0.3">
      <c r="A1043" s="73">
        <v>42075</v>
      </c>
      <c r="B1043" s="74">
        <v>28930.41</v>
      </c>
      <c r="C1043" s="74">
        <v>404</v>
      </c>
      <c r="D1043" s="74">
        <f t="shared" si="33"/>
        <v>9.419829269904683E-3</v>
      </c>
      <c r="E1043" s="74">
        <f t="shared" si="34"/>
        <v>1.0575526247086388E-2</v>
      </c>
      <c r="F1043" s="75"/>
    </row>
    <row r="1044" spans="1:6" ht="14.25" customHeight="1" x14ac:dyDescent="0.3">
      <c r="A1044" s="73">
        <v>42076</v>
      </c>
      <c r="B1044" s="74">
        <v>28503.3</v>
      </c>
      <c r="C1044" s="74">
        <v>399.55</v>
      </c>
      <c r="D1044" s="74">
        <f t="shared" si="33"/>
        <v>-1.4873420982061937E-2</v>
      </c>
      <c r="E1044" s="74">
        <f t="shared" si="34"/>
        <v>-1.1075964140678223E-2</v>
      </c>
      <c r="F1044" s="75"/>
    </row>
    <row r="1045" spans="1:6" ht="14.25" customHeight="1" x14ac:dyDescent="0.3">
      <c r="A1045" s="73">
        <v>42079</v>
      </c>
      <c r="B1045" s="74">
        <v>28437.71</v>
      </c>
      <c r="C1045" s="74">
        <v>396.9</v>
      </c>
      <c r="D1045" s="74">
        <f t="shared" si="33"/>
        <v>-2.3037887459177245E-3</v>
      </c>
      <c r="E1045" s="74">
        <f t="shared" si="34"/>
        <v>-6.6545540314521517E-3</v>
      </c>
      <c r="F1045" s="75"/>
    </row>
    <row r="1046" spans="1:6" ht="14.25" customHeight="1" x14ac:dyDescent="0.3">
      <c r="A1046" s="73">
        <v>42080</v>
      </c>
      <c r="B1046" s="74">
        <v>28736.38</v>
      </c>
      <c r="C1046" s="74">
        <v>404.25</v>
      </c>
      <c r="D1046" s="74">
        <f t="shared" si="33"/>
        <v>1.0447834563802424E-2</v>
      </c>
      <c r="E1046" s="74">
        <f t="shared" si="34"/>
        <v>1.8349138668196617E-2</v>
      </c>
      <c r="F1046" s="75"/>
    </row>
    <row r="1047" spans="1:6" ht="14.25" customHeight="1" x14ac:dyDescent="0.3">
      <c r="A1047" s="73">
        <v>42081</v>
      </c>
      <c r="B1047" s="74">
        <v>28622.12</v>
      </c>
      <c r="C1047" s="74">
        <v>401.7</v>
      </c>
      <c r="D1047" s="74">
        <f t="shared" si="33"/>
        <v>-3.9840704040599115E-3</v>
      </c>
      <c r="E1047" s="74">
        <f t="shared" si="34"/>
        <v>-6.3279570919797783E-3</v>
      </c>
      <c r="F1047" s="75"/>
    </row>
    <row r="1048" spans="1:6" ht="14.25" customHeight="1" x14ac:dyDescent="0.3">
      <c r="A1048" s="73">
        <v>42082</v>
      </c>
      <c r="B1048" s="74">
        <v>28469.67</v>
      </c>
      <c r="C1048" s="74">
        <v>404.45</v>
      </c>
      <c r="D1048" s="74">
        <f t="shared" si="33"/>
        <v>-5.3405353848393726E-3</v>
      </c>
      <c r="E1048" s="74">
        <f t="shared" si="34"/>
        <v>6.8225780987251463E-3</v>
      </c>
      <c r="F1048" s="75"/>
    </row>
    <row r="1049" spans="1:6" ht="14.25" customHeight="1" x14ac:dyDescent="0.3">
      <c r="A1049" s="73">
        <v>42083</v>
      </c>
      <c r="B1049" s="74">
        <v>28261.08</v>
      </c>
      <c r="C1049" s="74">
        <v>392.8</v>
      </c>
      <c r="D1049" s="74">
        <f t="shared" si="33"/>
        <v>-7.353716987533971E-3</v>
      </c>
      <c r="E1049" s="74">
        <f t="shared" si="34"/>
        <v>-2.9227542983650701E-2</v>
      </c>
      <c r="F1049" s="75"/>
    </row>
    <row r="1050" spans="1:6" ht="14.25" customHeight="1" x14ac:dyDescent="0.3">
      <c r="A1050" s="73">
        <v>42086</v>
      </c>
      <c r="B1050" s="74">
        <v>28192.02</v>
      </c>
      <c r="C1050" s="74">
        <v>390.1</v>
      </c>
      <c r="D1050" s="74">
        <f t="shared" si="33"/>
        <v>-2.4466339120270859E-3</v>
      </c>
      <c r="E1050" s="74">
        <f t="shared" si="34"/>
        <v>-6.8974599677000085E-3</v>
      </c>
      <c r="F1050" s="75"/>
    </row>
    <row r="1051" spans="1:6" ht="14.25" customHeight="1" x14ac:dyDescent="0.3">
      <c r="A1051" s="73">
        <v>42087</v>
      </c>
      <c r="B1051" s="74">
        <v>28161.72</v>
      </c>
      <c r="C1051" s="74">
        <v>387.6</v>
      </c>
      <c r="D1051" s="74">
        <f t="shared" si="33"/>
        <v>-1.0753502046130525E-3</v>
      </c>
      <c r="E1051" s="74">
        <f t="shared" si="34"/>
        <v>-6.4292364959996047E-3</v>
      </c>
      <c r="F1051" s="75"/>
    </row>
    <row r="1052" spans="1:6" ht="14.25" customHeight="1" x14ac:dyDescent="0.3">
      <c r="A1052" s="73">
        <v>42088</v>
      </c>
      <c r="B1052" s="74">
        <v>28111.83</v>
      </c>
      <c r="C1052" s="74">
        <v>390.8</v>
      </c>
      <c r="D1052" s="74">
        <f t="shared" si="33"/>
        <v>-1.773124783172909E-3</v>
      </c>
      <c r="E1052" s="74">
        <f t="shared" si="34"/>
        <v>8.2220401520164566E-3</v>
      </c>
      <c r="F1052" s="75"/>
    </row>
    <row r="1053" spans="1:6" ht="14.25" customHeight="1" x14ac:dyDescent="0.3">
      <c r="A1053" s="73">
        <v>42089</v>
      </c>
      <c r="B1053" s="74">
        <v>27457.58</v>
      </c>
      <c r="C1053" s="74">
        <v>389.6</v>
      </c>
      <c r="D1053" s="74">
        <f t="shared" si="33"/>
        <v>-2.3548215916988614E-2</v>
      </c>
      <c r="E1053" s="74">
        <f t="shared" si="34"/>
        <v>-3.0753484002476487E-3</v>
      </c>
      <c r="F1053" s="75"/>
    </row>
    <row r="1054" spans="1:6" ht="14.25" customHeight="1" x14ac:dyDescent="0.3">
      <c r="A1054" s="73">
        <v>42090</v>
      </c>
      <c r="B1054" s="74">
        <v>27458.639999999999</v>
      </c>
      <c r="C1054" s="74">
        <v>392.75</v>
      </c>
      <c r="D1054" s="74">
        <f t="shared" si="33"/>
        <v>3.8604259365567013E-5</v>
      </c>
      <c r="E1054" s="74">
        <f t="shared" si="34"/>
        <v>8.0527053673503917E-3</v>
      </c>
      <c r="F1054" s="75"/>
    </row>
    <row r="1055" spans="1:6" ht="14.25" customHeight="1" x14ac:dyDescent="0.3">
      <c r="A1055" s="73">
        <v>42093</v>
      </c>
      <c r="B1055" s="74">
        <v>27975.86</v>
      </c>
      <c r="C1055" s="74">
        <v>390.45</v>
      </c>
      <c r="D1055" s="74">
        <f t="shared" si="33"/>
        <v>1.8661122929941511E-2</v>
      </c>
      <c r="E1055" s="74">
        <f t="shared" si="34"/>
        <v>-5.8733570270464762E-3</v>
      </c>
      <c r="F1055" s="75"/>
    </row>
    <row r="1056" spans="1:6" ht="14.25" customHeight="1" x14ac:dyDescent="0.3">
      <c r="A1056" s="73">
        <v>42094</v>
      </c>
      <c r="B1056" s="74">
        <v>27957.49</v>
      </c>
      <c r="C1056" s="74">
        <v>392</v>
      </c>
      <c r="D1056" s="74">
        <f t="shared" si="33"/>
        <v>-6.5685322479295204E-4</v>
      </c>
      <c r="E1056" s="74">
        <f t="shared" si="34"/>
        <v>3.9619196817784665E-3</v>
      </c>
      <c r="F1056" s="75"/>
    </row>
    <row r="1057" spans="1:6" ht="14.25" customHeight="1" x14ac:dyDescent="0.3">
      <c r="A1057" s="73">
        <v>42095</v>
      </c>
      <c r="B1057" s="74">
        <v>28260.14</v>
      </c>
      <c r="C1057" s="74">
        <v>390.4</v>
      </c>
      <c r="D1057" s="74">
        <f t="shared" si="33"/>
        <v>1.0767189008325592E-2</v>
      </c>
      <c r="E1057" s="74">
        <f t="shared" si="34"/>
        <v>-4.0899852515251661E-3</v>
      </c>
      <c r="F1057" s="75"/>
    </row>
    <row r="1058" spans="1:6" ht="14.25" customHeight="1" x14ac:dyDescent="0.3">
      <c r="A1058" s="73">
        <v>42100</v>
      </c>
      <c r="B1058" s="74">
        <v>28504.46</v>
      </c>
      <c r="C1058" s="74">
        <v>402.95</v>
      </c>
      <c r="D1058" s="74">
        <f t="shared" si="33"/>
        <v>8.6082350165050635E-3</v>
      </c>
      <c r="E1058" s="74">
        <f t="shared" si="34"/>
        <v>3.1640630231582964E-2</v>
      </c>
      <c r="F1058" s="75"/>
    </row>
    <row r="1059" spans="1:6" ht="14.25" customHeight="1" x14ac:dyDescent="0.3">
      <c r="A1059" s="73">
        <v>42101</v>
      </c>
      <c r="B1059" s="74">
        <v>28516.59</v>
      </c>
      <c r="C1059" s="74">
        <v>405.45</v>
      </c>
      <c r="D1059" s="74">
        <f t="shared" si="33"/>
        <v>4.2545692101350239E-4</v>
      </c>
      <c r="E1059" s="74">
        <f t="shared" si="34"/>
        <v>6.1850766200459055E-3</v>
      </c>
      <c r="F1059" s="75"/>
    </row>
    <row r="1060" spans="1:6" ht="14.25" customHeight="1" x14ac:dyDescent="0.3">
      <c r="A1060" s="73">
        <v>42102</v>
      </c>
      <c r="B1060" s="74">
        <v>28707.75</v>
      </c>
      <c r="C1060" s="74">
        <v>406.8</v>
      </c>
      <c r="D1060" s="74">
        <f t="shared" si="33"/>
        <v>6.6810979757215274E-3</v>
      </c>
      <c r="E1060" s="74">
        <f t="shared" si="34"/>
        <v>3.324102783838621E-3</v>
      </c>
      <c r="F1060" s="75"/>
    </row>
    <row r="1061" spans="1:6" ht="14.25" customHeight="1" x14ac:dyDescent="0.3">
      <c r="A1061" s="73">
        <v>42103</v>
      </c>
      <c r="B1061" s="74">
        <v>28885.21</v>
      </c>
      <c r="C1061" s="74">
        <v>400</v>
      </c>
      <c r="D1061" s="74">
        <f t="shared" si="33"/>
        <v>6.1625782603172549E-3</v>
      </c>
      <c r="E1061" s="74">
        <f t="shared" si="34"/>
        <v>-1.6857117066422952E-2</v>
      </c>
      <c r="F1061" s="75"/>
    </row>
    <row r="1062" spans="1:6" ht="14.25" customHeight="1" x14ac:dyDescent="0.3">
      <c r="A1062" s="73">
        <v>42104</v>
      </c>
      <c r="B1062" s="74">
        <v>28879.38</v>
      </c>
      <c r="C1062" s="74">
        <v>400.65</v>
      </c>
      <c r="D1062" s="74">
        <f t="shared" si="33"/>
        <v>-2.0185376611499135E-4</v>
      </c>
      <c r="E1062" s="74">
        <f t="shared" si="34"/>
        <v>1.6236811160975672E-3</v>
      </c>
      <c r="F1062" s="75"/>
    </row>
    <row r="1063" spans="1:6" ht="14.25" customHeight="1" x14ac:dyDescent="0.3">
      <c r="A1063" s="73">
        <v>42107</v>
      </c>
      <c r="B1063" s="74">
        <v>29044.44</v>
      </c>
      <c r="C1063" s="74">
        <v>414.4</v>
      </c>
      <c r="D1063" s="74">
        <f t="shared" si="33"/>
        <v>5.6992251815648348E-3</v>
      </c>
      <c r="E1063" s="74">
        <f t="shared" si="34"/>
        <v>3.3743462721193704E-2</v>
      </c>
      <c r="F1063" s="75"/>
    </row>
    <row r="1064" spans="1:6" ht="14.25" customHeight="1" x14ac:dyDescent="0.3">
      <c r="A1064" s="73">
        <v>42109</v>
      </c>
      <c r="B1064" s="74">
        <v>28799.69</v>
      </c>
      <c r="C1064" s="74">
        <v>411.7</v>
      </c>
      <c r="D1064" s="74">
        <f t="shared" si="33"/>
        <v>-8.4624476366219458E-3</v>
      </c>
      <c r="E1064" s="74">
        <f t="shared" si="34"/>
        <v>-6.5367621694143009E-3</v>
      </c>
      <c r="F1064" s="75"/>
    </row>
    <row r="1065" spans="1:6" ht="14.25" customHeight="1" x14ac:dyDescent="0.3">
      <c r="A1065" s="73">
        <v>42110</v>
      </c>
      <c r="B1065" s="74">
        <v>28666.04</v>
      </c>
      <c r="C1065" s="74">
        <v>405.6</v>
      </c>
      <c r="D1065" s="74">
        <f t="shared" si="33"/>
        <v>-4.6514763137419273E-3</v>
      </c>
      <c r="E1065" s="74">
        <f t="shared" si="34"/>
        <v>-1.4927476498885529E-2</v>
      </c>
      <c r="F1065" s="75"/>
    </row>
    <row r="1066" spans="1:6" ht="14.25" customHeight="1" x14ac:dyDescent="0.3">
      <c r="A1066" s="73">
        <v>42111</v>
      </c>
      <c r="B1066" s="74">
        <v>28442.1</v>
      </c>
      <c r="C1066" s="74">
        <v>394.65</v>
      </c>
      <c r="D1066" s="74">
        <f t="shared" si="33"/>
        <v>-7.842705009864644E-3</v>
      </c>
      <c r="E1066" s="74">
        <f t="shared" si="34"/>
        <v>-2.7368156122562135E-2</v>
      </c>
      <c r="F1066" s="75"/>
    </row>
    <row r="1067" spans="1:6" ht="14.25" customHeight="1" x14ac:dyDescent="0.3">
      <c r="A1067" s="73">
        <v>42114</v>
      </c>
      <c r="B1067" s="74">
        <v>27886.21</v>
      </c>
      <c r="C1067" s="74">
        <v>394.65</v>
      </c>
      <c r="D1067" s="74">
        <f t="shared" si="33"/>
        <v>-1.9738140466453148E-2</v>
      </c>
      <c r="E1067" s="74">
        <f t="shared" si="34"/>
        <v>0</v>
      </c>
      <c r="F1067" s="75"/>
    </row>
    <row r="1068" spans="1:6" ht="14.25" customHeight="1" x14ac:dyDescent="0.3">
      <c r="A1068" s="73">
        <v>42115</v>
      </c>
      <c r="B1068" s="74">
        <v>27676.04</v>
      </c>
      <c r="C1068" s="74">
        <v>391.85</v>
      </c>
      <c r="D1068" s="74">
        <f t="shared" si="33"/>
        <v>-7.5652444739372805E-3</v>
      </c>
      <c r="E1068" s="74">
        <f t="shared" si="34"/>
        <v>-7.1201826555376537E-3</v>
      </c>
      <c r="F1068" s="75"/>
    </row>
    <row r="1069" spans="1:6" ht="14.25" customHeight="1" x14ac:dyDescent="0.3">
      <c r="A1069" s="73">
        <v>42116</v>
      </c>
      <c r="B1069" s="74">
        <v>27890.13</v>
      </c>
      <c r="C1069" s="74">
        <v>395.45</v>
      </c>
      <c r="D1069" s="74">
        <f t="shared" si="33"/>
        <v>7.7058058663289127E-3</v>
      </c>
      <c r="E1069" s="74">
        <f t="shared" si="34"/>
        <v>9.145243466552589E-3</v>
      </c>
      <c r="F1069" s="75"/>
    </row>
    <row r="1070" spans="1:6" ht="14.25" customHeight="1" x14ac:dyDescent="0.3">
      <c r="A1070" s="73">
        <v>42117</v>
      </c>
      <c r="B1070" s="74">
        <v>27735.02</v>
      </c>
      <c r="C1070" s="74">
        <v>402.4</v>
      </c>
      <c r="D1070" s="74">
        <f t="shared" si="33"/>
        <v>-5.5769881799640555E-3</v>
      </c>
      <c r="E1070" s="74">
        <f t="shared" si="34"/>
        <v>1.7422261820103258E-2</v>
      </c>
      <c r="F1070" s="75"/>
    </row>
    <row r="1071" spans="1:6" ht="14.25" customHeight="1" x14ac:dyDescent="0.3">
      <c r="A1071" s="73">
        <v>42118</v>
      </c>
      <c r="B1071" s="74">
        <v>27437.94</v>
      </c>
      <c r="C1071" s="74">
        <v>395.5</v>
      </c>
      <c r="D1071" s="74">
        <f t="shared" si="33"/>
        <v>-1.0769147464171165E-2</v>
      </c>
      <c r="E1071" s="74">
        <f t="shared" si="34"/>
        <v>-1.7295831577820869E-2</v>
      </c>
      <c r="F1071" s="75"/>
    </row>
    <row r="1072" spans="1:6" ht="14.25" customHeight="1" x14ac:dyDescent="0.3">
      <c r="A1072" s="73">
        <v>42121</v>
      </c>
      <c r="B1072" s="74">
        <v>27176.99</v>
      </c>
      <c r="C1072" s="74">
        <v>387.15</v>
      </c>
      <c r="D1072" s="74">
        <f t="shared" si="33"/>
        <v>-9.5560677562840212E-3</v>
      </c>
      <c r="E1072" s="74">
        <f t="shared" si="34"/>
        <v>-2.1338572374976109E-2</v>
      </c>
      <c r="F1072" s="75"/>
    </row>
    <row r="1073" spans="1:6" ht="14.25" customHeight="1" x14ac:dyDescent="0.3">
      <c r="A1073" s="73">
        <v>42122</v>
      </c>
      <c r="B1073" s="74">
        <v>27396.38</v>
      </c>
      <c r="C1073" s="74">
        <v>386.2</v>
      </c>
      <c r="D1073" s="74">
        <f t="shared" si="33"/>
        <v>8.0402284805189961E-3</v>
      </c>
      <c r="E1073" s="74">
        <f t="shared" si="34"/>
        <v>-2.4568448383184907E-3</v>
      </c>
      <c r="F1073" s="75"/>
    </row>
    <row r="1074" spans="1:6" ht="14.25" customHeight="1" x14ac:dyDescent="0.3">
      <c r="A1074" s="73">
        <v>42123</v>
      </c>
      <c r="B1074" s="74">
        <v>27225.93</v>
      </c>
      <c r="C1074" s="74">
        <v>382.25</v>
      </c>
      <c r="D1074" s="74">
        <f t="shared" si="33"/>
        <v>-6.2410598623052864E-3</v>
      </c>
      <c r="E1074" s="74">
        <f t="shared" si="34"/>
        <v>-1.0280525185242329E-2</v>
      </c>
      <c r="F1074" s="75"/>
    </row>
    <row r="1075" spans="1:6" ht="14.25" customHeight="1" x14ac:dyDescent="0.3">
      <c r="A1075" s="73">
        <v>42124</v>
      </c>
      <c r="B1075" s="74">
        <v>27011.31</v>
      </c>
      <c r="C1075" s="74">
        <v>382.8</v>
      </c>
      <c r="D1075" s="74">
        <f t="shared" si="33"/>
        <v>-7.914160831446344E-3</v>
      </c>
      <c r="E1075" s="74">
        <f t="shared" si="34"/>
        <v>1.4378147696276391E-3</v>
      </c>
      <c r="F1075" s="75"/>
    </row>
    <row r="1076" spans="1:6" ht="14.25" customHeight="1" x14ac:dyDescent="0.3">
      <c r="A1076" s="73">
        <v>42128</v>
      </c>
      <c r="B1076" s="74">
        <v>27490.59</v>
      </c>
      <c r="C1076" s="74">
        <v>385.95</v>
      </c>
      <c r="D1076" s="74">
        <f t="shared" si="33"/>
        <v>1.7588097113026585E-2</v>
      </c>
      <c r="E1076" s="74">
        <f t="shared" si="34"/>
        <v>8.1951678170636439E-3</v>
      </c>
      <c r="F1076" s="75"/>
    </row>
    <row r="1077" spans="1:6" ht="14.25" customHeight="1" x14ac:dyDescent="0.3">
      <c r="A1077" s="73">
        <v>42129</v>
      </c>
      <c r="B1077" s="74">
        <v>27440.14</v>
      </c>
      <c r="C1077" s="74">
        <v>385.5</v>
      </c>
      <c r="D1077" s="74">
        <f t="shared" si="33"/>
        <v>-1.836859411301416E-3</v>
      </c>
      <c r="E1077" s="74">
        <f t="shared" si="34"/>
        <v>-1.1666343924786084E-3</v>
      </c>
      <c r="F1077" s="75"/>
    </row>
    <row r="1078" spans="1:6" ht="14.25" customHeight="1" x14ac:dyDescent="0.3">
      <c r="A1078" s="73">
        <v>42130</v>
      </c>
      <c r="B1078" s="74">
        <v>26717.37</v>
      </c>
      <c r="C1078" s="74">
        <v>382.25</v>
      </c>
      <c r="D1078" s="74">
        <f t="shared" si="33"/>
        <v>-2.6692989205120692E-2</v>
      </c>
      <c r="E1078" s="74">
        <f t="shared" si="34"/>
        <v>-8.4663481942124676E-3</v>
      </c>
      <c r="F1078" s="75"/>
    </row>
    <row r="1079" spans="1:6" ht="14.25" customHeight="1" x14ac:dyDescent="0.3">
      <c r="A1079" s="73">
        <v>42131</v>
      </c>
      <c r="B1079" s="74">
        <v>26599.11</v>
      </c>
      <c r="C1079" s="74">
        <v>370.05</v>
      </c>
      <c r="D1079" s="74">
        <f t="shared" si="33"/>
        <v>-4.4361590990808462E-3</v>
      </c>
      <c r="E1079" s="74">
        <f t="shared" si="34"/>
        <v>-3.2436713165696213E-2</v>
      </c>
      <c r="F1079" s="75"/>
    </row>
    <row r="1080" spans="1:6" ht="14.25" customHeight="1" x14ac:dyDescent="0.3">
      <c r="A1080" s="73">
        <v>42132</v>
      </c>
      <c r="B1080" s="74">
        <v>27105.39</v>
      </c>
      <c r="C1080" s="74">
        <v>353.6</v>
      </c>
      <c r="D1080" s="74">
        <f t="shared" si="33"/>
        <v>1.8854844516713001E-2</v>
      </c>
      <c r="E1080" s="74">
        <f t="shared" si="34"/>
        <v>-4.5471800879986965E-2</v>
      </c>
      <c r="F1080" s="75"/>
    </row>
    <row r="1081" spans="1:6" ht="14.25" customHeight="1" x14ac:dyDescent="0.3">
      <c r="A1081" s="73">
        <v>42135</v>
      </c>
      <c r="B1081" s="74">
        <v>27507.3</v>
      </c>
      <c r="C1081" s="74">
        <v>367.05</v>
      </c>
      <c r="D1081" s="74">
        <f t="shared" si="33"/>
        <v>1.4718822893159521E-2</v>
      </c>
      <c r="E1081" s="74">
        <f t="shared" si="34"/>
        <v>3.7331747793301964E-2</v>
      </c>
      <c r="F1081" s="75"/>
    </row>
    <row r="1082" spans="1:6" ht="14.25" customHeight="1" x14ac:dyDescent="0.3">
      <c r="A1082" s="73">
        <v>42136</v>
      </c>
      <c r="B1082" s="74">
        <v>26877.48</v>
      </c>
      <c r="C1082" s="74">
        <v>361.8</v>
      </c>
      <c r="D1082" s="74">
        <f t="shared" si="33"/>
        <v>-2.3162662731013382E-2</v>
      </c>
      <c r="E1082" s="74">
        <f t="shared" si="34"/>
        <v>-1.4406505595595549E-2</v>
      </c>
      <c r="F1082" s="75"/>
    </row>
    <row r="1083" spans="1:6" ht="14.25" customHeight="1" x14ac:dyDescent="0.3">
      <c r="A1083" s="73">
        <v>42137</v>
      </c>
      <c r="B1083" s="74">
        <v>27251.1</v>
      </c>
      <c r="C1083" s="74">
        <v>367.3</v>
      </c>
      <c r="D1083" s="74">
        <f t="shared" si="33"/>
        <v>1.3805126006862926E-2</v>
      </c>
      <c r="E1083" s="74">
        <f t="shared" si="34"/>
        <v>1.5087379864426964E-2</v>
      </c>
      <c r="F1083" s="75"/>
    </row>
    <row r="1084" spans="1:6" ht="14.25" customHeight="1" x14ac:dyDescent="0.3">
      <c r="A1084" s="73">
        <v>42138</v>
      </c>
      <c r="B1084" s="74">
        <v>27206.06</v>
      </c>
      <c r="C1084" s="74">
        <v>363.3</v>
      </c>
      <c r="D1084" s="74">
        <f t="shared" si="33"/>
        <v>-1.6541446623308434E-3</v>
      </c>
      <c r="E1084" s="74">
        <f t="shared" si="34"/>
        <v>-1.0950013598465386E-2</v>
      </c>
      <c r="F1084" s="75"/>
    </row>
    <row r="1085" spans="1:6" ht="14.25" customHeight="1" x14ac:dyDescent="0.3">
      <c r="A1085" s="73">
        <v>42139</v>
      </c>
      <c r="B1085" s="74">
        <v>27324</v>
      </c>
      <c r="C1085" s="74">
        <v>366.95</v>
      </c>
      <c r="D1085" s="74">
        <f t="shared" si="33"/>
        <v>4.3256942649278901E-3</v>
      </c>
      <c r="E1085" s="74">
        <f t="shared" si="34"/>
        <v>9.9966597639155903E-3</v>
      </c>
      <c r="F1085" s="75"/>
    </row>
    <row r="1086" spans="1:6" ht="14.25" customHeight="1" x14ac:dyDescent="0.3">
      <c r="A1086" s="73">
        <v>42142</v>
      </c>
      <c r="B1086" s="74">
        <v>27687.3</v>
      </c>
      <c r="C1086" s="74">
        <v>376.75</v>
      </c>
      <c r="D1086" s="74">
        <f t="shared" si="33"/>
        <v>1.320838743336419E-2</v>
      </c>
      <c r="E1086" s="74">
        <f t="shared" si="34"/>
        <v>2.6356238515533034E-2</v>
      </c>
      <c r="F1086" s="75"/>
    </row>
    <row r="1087" spans="1:6" ht="14.25" customHeight="1" x14ac:dyDescent="0.3">
      <c r="A1087" s="73">
        <v>42143</v>
      </c>
      <c r="B1087" s="74">
        <v>27645.53</v>
      </c>
      <c r="C1087" s="74">
        <v>379.45</v>
      </c>
      <c r="D1087" s="74">
        <f t="shared" si="33"/>
        <v>-1.5097730564029377E-3</v>
      </c>
      <c r="E1087" s="74">
        <f t="shared" si="34"/>
        <v>7.1409983433170267E-3</v>
      </c>
      <c r="F1087" s="75"/>
    </row>
    <row r="1088" spans="1:6" ht="14.25" customHeight="1" x14ac:dyDescent="0.3">
      <c r="A1088" s="73">
        <v>42144</v>
      </c>
      <c r="B1088" s="74">
        <v>27837.21</v>
      </c>
      <c r="C1088" s="74">
        <v>377.15</v>
      </c>
      <c r="D1088" s="74">
        <f t="shared" si="33"/>
        <v>6.9095636805030017E-3</v>
      </c>
      <c r="E1088" s="74">
        <f t="shared" si="34"/>
        <v>-6.0798495502819615E-3</v>
      </c>
      <c r="F1088" s="75"/>
    </row>
    <row r="1089" spans="1:6" ht="14.25" customHeight="1" x14ac:dyDescent="0.3">
      <c r="A1089" s="73">
        <v>42145</v>
      </c>
      <c r="B1089" s="74">
        <v>27809.35</v>
      </c>
      <c r="C1089" s="74">
        <v>375.85</v>
      </c>
      <c r="D1089" s="74">
        <f t="shared" si="33"/>
        <v>-1.0013198417943051E-3</v>
      </c>
      <c r="E1089" s="74">
        <f t="shared" si="34"/>
        <v>-3.4528586761618518E-3</v>
      </c>
      <c r="F1089" s="75"/>
    </row>
    <row r="1090" spans="1:6" ht="14.25" customHeight="1" x14ac:dyDescent="0.3">
      <c r="A1090" s="73">
        <v>42146</v>
      </c>
      <c r="B1090" s="74">
        <v>27957.5</v>
      </c>
      <c r="C1090" s="74">
        <v>370.05</v>
      </c>
      <c r="D1090" s="74">
        <f t="shared" si="33"/>
        <v>5.3132048349336424E-3</v>
      </c>
      <c r="E1090" s="74">
        <f t="shared" si="34"/>
        <v>-1.5551995980002547E-2</v>
      </c>
      <c r="F1090" s="75"/>
    </row>
    <row r="1091" spans="1:6" ht="14.25" customHeight="1" x14ac:dyDescent="0.3">
      <c r="A1091" s="73">
        <v>42149</v>
      </c>
      <c r="B1091" s="74">
        <v>27643.88</v>
      </c>
      <c r="C1091" s="74">
        <v>370.85</v>
      </c>
      <c r="D1091" s="74">
        <f t="shared" si="33"/>
        <v>-1.1281134606282503E-2</v>
      </c>
      <c r="E1091" s="74">
        <f t="shared" si="34"/>
        <v>2.1595365390916694E-3</v>
      </c>
      <c r="F1091" s="75"/>
    </row>
    <row r="1092" spans="1:6" ht="14.25" customHeight="1" x14ac:dyDescent="0.3">
      <c r="A1092" s="73">
        <v>42150</v>
      </c>
      <c r="B1092" s="74">
        <v>27531.41</v>
      </c>
      <c r="C1092" s="74">
        <v>370.25</v>
      </c>
      <c r="D1092" s="74">
        <f t="shared" ref="D1092:D1155" si="35">LN(B1092/B1091)</f>
        <v>-4.0768306166055071E-3</v>
      </c>
      <c r="E1092" s="74">
        <f t="shared" ref="E1092:E1155" si="36">LN(C1092/C1091)</f>
        <v>-1.6192150346589409E-3</v>
      </c>
      <c r="F1092" s="75"/>
    </row>
    <row r="1093" spans="1:6" ht="14.25" customHeight="1" x14ac:dyDescent="0.3">
      <c r="A1093" s="73">
        <v>42151</v>
      </c>
      <c r="B1093" s="74">
        <v>27564.66</v>
      </c>
      <c r="C1093" s="74">
        <v>372.05</v>
      </c>
      <c r="D1093" s="74">
        <f t="shared" si="35"/>
        <v>1.2069827861249983E-3</v>
      </c>
      <c r="E1093" s="74">
        <f t="shared" si="36"/>
        <v>4.8498006953620288E-3</v>
      </c>
      <c r="F1093" s="75"/>
    </row>
    <row r="1094" spans="1:6" ht="14.25" customHeight="1" x14ac:dyDescent="0.3">
      <c r="A1094" s="73">
        <v>42152</v>
      </c>
      <c r="B1094" s="74">
        <v>27506.71</v>
      </c>
      <c r="C1094" s="74">
        <v>379.95</v>
      </c>
      <c r="D1094" s="74">
        <f t="shared" si="35"/>
        <v>-2.1045425740764774E-3</v>
      </c>
      <c r="E1094" s="74">
        <f t="shared" si="36"/>
        <v>2.101141127252365E-2</v>
      </c>
      <c r="F1094" s="75"/>
    </row>
    <row r="1095" spans="1:6" ht="14.25" customHeight="1" x14ac:dyDescent="0.3">
      <c r="A1095" s="73">
        <v>42153</v>
      </c>
      <c r="B1095" s="74">
        <v>27828.44</v>
      </c>
      <c r="C1095" s="74">
        <v>377.5</v>
      </c>
      <c r="D1095" s="74">
        <f t="shared" si="35"/>
        <v>1.1628544439994245E-2</v>
      </c>
      <c r="E1095" s="74">
        <f t="shared" si="36"/>
        <v>-6.4690964267145505E-3</v>
      </c>
      <c r="F1095" s="75"/>
    </row>
    <row r="1096" spans="1:6" ht="14.25" customHeight="1" x14ac:dyDescent="0.3">
      <c r="A1096" s="73">
        <v>42156</v>
      </c>
      <c r="B1096" s="74">
        <v>27848.99</v>
      </c>
      <c r="C1096" s="74">
        <v>376.2</v>
      </c>
      <c r="D1096" s="74">
        <f t="shared" si="35"/>
        <v>7.3818065715902572E-4</v>
      </c>
      <c r="E1096" s="74">
        <f t="shared" si="36"/>
        <v>-3.449651822149426E-3</v>
      </c>
      <c r="F1096" s="75"/>
    </row>
    <row r="1097" spans="1:6" ht="14.25" customHeight="1" x14ac:dyDescent="0.3">
      <c r="A1097" s="73">
        <v>42157</v>
      </c>
      <c r="B1097" s="74">
        <v>27188.38</v>
      </c>
      <c r="C1097" s="74">
        <v>369.35</v>
      </c>
      <c r="D1097" s="74">
        <f t="shared" si="35"/>
        <v>-2.400702386535173E-2</v>
      </c>
      <c r="E1097" s="74">
        <f t="shared" si="36"/>
        <v>-1.8376212892183205E-2</v>
      </c>
      <c r="F1097" s="75"/>
    </row>
    <row r="1098" spans="1:6" ht="14.25" customHeight="1" x14ac:dyDescent="0.3">
      <c r="A1098" s="73">
        <v>42158</v>
      </c>
      <c r="B1098" s="74">
        <v>26837.200000000001</v>
      </c>
      <c r="C1098" s="74">
        <v>366.75</v>
      </c>
      <c r="D1098" s="74">
        <f t="shared" si="35"/>
        <v>-1.3000691387196551E-2</v>
      </c>
      <c r="E1098" s="74">
        <f t="shared" si="36"/>
        <v>-7.064286951655732E-3</v>
      </c>
      <c r="F1098" s="75"/>
    </row>
    <row r="1099" spans="1:6" ht="14.25" customHeight="1" x14ac:dyDescent="0.3">
      <c r="A1099" s="73">
        <v>42159</v>
      </c>
      <c r="B1099" s="74">
        <v>26813.42</v>
      </c>
      <c r="C1099" s="74">
        <v>360.5</v>
      </c>
      <c r="D1099" s="74">
        <f t="shared" si="35"/>
        <v>-8.8647630007914835E-4</v>
      </c>
      <c r="E1099" s="74">
        <f t="shared" si="36"/>
        <v>-1.7188460298087294E-2</v>
      </c>
      <c r="F1099" s="75"/>
    </row>
    <row r="1100" spans="1:6" ht="14.25" customHeight="1" x14ac:dyDescent="0.3">
      <c r="A1100" s="73">
        <v>42160</v>
      </c>
      <c r="B1100" s="74">
        <v>26768.49</v>
      </c>
      <c r="C1100" s="74">
        <v>363.6</v>
      </c>
      <c r="D1100" s="74">
        <f t="shared" si="35"/>
        <v>-1.677058937636376E-3</v>
      </c>
      <c r="E1100" s="74">
        <f t="shared" si="36"/>
        <v>8.5624055783200415E-3</v>
      </c>
      <c r="F1100" s="75"/>
    </row>
    <row r="1101" spans="1:6" ht="14.25" customHeight="1" x14ac:dyDescent="0.3">
      <c r="A1101" s="73">
        <v>42163</v>
      </c>
      <c r="B1101" s="74">
        <v>26523.09</v>
      </c>
      <c r="C1101" s="74">
        <v>353.7</v>
      </c>
      <c r="D1101" s="74">
        <f t="shared" si="35"/>
        <v>-9.2097751489333465E-3</v>
      </c>
      <c r="E1101" s="74">
        <f t="shared" si="36"/>
        <v>-2.7605266091888972E-2</v>
      </c>
      <c r="F1101" s="75"/>
    </row>
    <row r="1102" spans="1:6" ht="14.25" customHeight="1" x14ac:dyDescent="0.3">
      <c r="A1102" s="73">
        <v>42164</v>
      </c>
      <c r="B1102" s="74">
        <v>26481.25</v>
      </c>
      <c r="C1102" s="74">
        <v>358.7</v>
      </c>
      <c r="D1102" s="74">
        <f t="shared" si="35"/>
        <v>-1.5787389745906195E-3</v>
      </c>
      <c r="E1102" s="74">
        <f t="shared" si="36"/>
        <v>1.4037288326801973E-2</v>
      </c>
      <c r="F1102" s="75"/>
    </row>
    <row r="1103" spans="1:6" ht="14.25" customHeight="1" x14ac:dyDescent="0.3">
      <c r="A1103" s="73">
        <v>42165</v>
      </c>
      <c r="B1103" s="74">
        <v>26840.5</v>
      </c>
      <c r="C1103" s="74">
        <v>363.6</v>
      </c>
      <c r="D1103" s="74">
        <f t="shared" si="35"/>
        <v>1.347500544930434E-2</v>
      </c>
      <c r="E1103" s="74">
        <f t="shared" si="36"/>
        <v>1.3567977765087074E-2</v>
      </c>
      <c r="F1103" s="75"/>
    </row>
    <row r="1104" spans="1:6" ht="14.25" customHeight="1" x14ac:dyDescent="0.3">
      <c r="A1104" s="73">
        <v>42166</v>
      </c>
      <c r="B1104" s="74">
        <v>26370.98</v>
      </c>
      <c r="C1104" s="74">
        <v>353.25</v>
      </c>
      <c r="D1104" s="74">
        <f t="shared" si="35"/>
        <v>-1.7647777724078152E-2</v>
      </c>
      <c r="E1104" s="74">
        <f t="shared" si="36"/>
        <v>-2.8878340738686972E-2</v>
      </c>
      <c r="F1104" s="75"/>
    </row>
    <row r="1105" spans="1:6" ht="14.25" customHeight="1" x14ac:dyDescent="0.3">
      <c r="A1105" s="73">
        <v>42167</v>
      </c>
      <c r="B1105" s="74">
        <v>26425.3</v>
      </c>
      <c r="C1105" s="74">
        <v>348.2</v>
      </c>
      <c r="D1105" s="74">
        <f t="shared" si="35"/>
        <v>2.0577214594243425E-3</v>
      </c>
      <c r="E1105" s="74">
        <f t="shared" si="36"/>
        <v>-1.4398994230548226E-2</v>
      </c>
      <c r="F1105" s="75"/>
    </row>
    <row r="1106" spans="1:6" ht="14.25" customHeight="1" x14ac:dyDescent="0.3">
      <c r="A1106" s="73">
        <v>42170</v>
      </c>
      <c r="B1106" s="74">
        <v>26586.55</v>
      </c>
      <c r="C1106" s="74">
        <v>344.95</v>
      </c>
      <c r="D1106" s="74">
        <f t="shared" si="35"/>
        <v>6.0835642339689099E-3</v>
      </c>
      <c r="E1106" s="74">
        <f t="shared" si="36"/>
        <v>-9.3775483419710048E-3</v>
      </c>
      <c r="F1106" s="75"/>
    </row>
    <row r="1107" spans="1:6" ht="14.25" customHeight="1" x14ac:dyDescent="0.3">
      <c r="A1107" s="73">
        <v>42171</v>
      </c>
      <c r="B1107" s="74">
        <v>26686.51</v>
      </c>
      <c r="C1107" s="74">
        <v>346.85</v>
      </c>
      <c r="D1107" s="74">
        <f t="shared" si="35"/>
        <v>3.7527454706819769E-3</v>
      </c>
      <c r="E1107" s="74">
        <f t="shared" si="36"/>
        <v>5.4929308391926104E-3</v>
      </c>
      <c r="F1107" s="75"/>
    </row>
    <row r="1108" spans="1:6" ht="14.25" customHeight="1" x14ac:dyDescent="0.3">
      <c r="A1108" s="73">
        <v>42172</v>
      </c>
      <c r="B1108" s="74">
        <v>26832.66</v>
      </c>
      <c r="C1108" s="74">
        <v>353.75</v>
      </c>
      <c r="D1108" s="74">
        <f t="shared" si="35"/>
        <v>5.4616079918337283E-3</v>
      </c>
      <c r="E1108" s="74">
        <f t="shared" si="36"/>
        <v>1.9698039126137039E-2</v>
      </c>
      <c r="F1108" s="75"/>
    </row>
    <row r="1109" spans="1:6" ht="14.25" customHeight="1" x14ac:dyDescent="0.3">
      <c r="A1109" s="73">
        <v>42173</v>
      </c>
      <c r="B1109" s="74">
        <v>27115.83</v>
      </c>
      <c r="C1109" s="74">
        <v>358.6</v>
      </c>
      <c r="D1109" s="74">
        <f t="shared" si="35"/>
        <v>1.049788791393658E-2</v>
      </c>
      <c r="E1109" s="74">
        <f t="shared" si="36"/>
        <v>1.3617112213585202E-2</v>
      </c>
      <c r="F1109" s="75"/>
    </row>
    <row r="1110" spans="1:6" ht="14.25" customHeight="1" x14ac:dyDescent="0.3">
      <c r="A1110" s="73">
        <v>42174</v>
      </c>
      <c r="B1110" s="74">
        <v>27316.17</v>
      </c>
      <c r="C1110" s="74">
        <v>358.15</v>
      </c>
      <c r="D1110" s="74">
        <f t="shared" si="35"/>
        <v>7.3611443504519695E-3</v>
      </c>
      <c r="E1110" s="74">
        <f t="shared" si="36"/>
        <v>-1.2556681105723776E-3</v>
      </c>
      <c r="F1110" s="75"/>
    </row>
    <row r="1111" spans="1:6" ht="14.25" customHeight="1" x14ac:dyDescent="0.3">
      <c r="A1111" s="73">
        <v>42177</v>
      </c>
      <c r="B1111" s="74">
        <v>27730.21</v>
      </c>
      <c r="C1111" s="74">
        <v>366.2</v>
      </c>
      <c r="D1111" s="74">
        <f t="shared" si="35"/>
        <v>1.5043598086359513E-2</v>
      </c>
      <c r="E1111" s="74">
        <f t="shared" si="36"/>
        <v>2.2227739179950214E-2</v>
      </c>
      <c r="F1111" s="75"/>
    </row>
    <row r="1112" spans="1:6" ht="14.25" customHeight="1" x14ac:dyDescent="0.3">
      <c r="A1112" s="73">
        <v>42178</v>
      </c>
      <c r="B1112" s="74">
        <v>27804.37</v>
      </c>
      <c r="C1112" s="74">
        <v>358.35</v>
      </c>
      <c r="D1112" s="74">
        <f t="shared" si="35"/>
        <v>2.6707699628595186E-3</v>
      </c>
      <c r="E1112" s="74">
        <f t="shared" si="36"/>
        <v>-2.1669469800482E-2</v>
      </c>
      <c r="F1112" s="75"/>
    </row>
    <row r="1113" spans="1:6" ht="14.25" customHeight="1" x14ac:dyDescent="0.3">
      <c r="A1113" s="73">
        <v>42179</v>
      </c>
      <c r="B1113" s="74">
        <v>27729.67</v>
      </c>
      <c r="C1113" s="74">
        <v>357.35</v>
      </c>
      <c r="D1113" s="74">
        <f t="shared" si="35"/>
        <v>-2.6902434994058684E-3</v>
      </c>
      <c r="E1113" s="74">
        <f t="shared" si="36"/>
        <v>-2.7944687739403129E-3</v>
      </c>
      <c r="F1113" s="75"/>
    </row>
    <row r="1114" spans="1:6" ht="14.25" customHeight="1" x14ac:dyDescent="0.3">
      <c r="A1114" s="73">
        <v>42180</v>
      </c>
      <c r="B1114" s="74">
        <v>27895.97</v>
      </c>
      <c r="C1114" s="74">
        <v>352.7</v>
      </c>
      <c r="D1114" s="74">
        <f t="shared" si="35"/>
        <v>5.9792748617030211E-3</v>
      </c>
      <c r="E1114" s="74">
        <f t="shared" si="36"/>
        <v>-1.3097856423981605E-2</v>
      </c>
      <c r="F1114" s="75"/>
    </row>
    <row r="1115" spans="1:6" ht="14.25" customHeight="1" x14ac:dyDescent="0.3">
      <c r="A1115" s="73">
        <v>42181</v>
      </c>
      <c r="B1115" s="74">
        <v>27811.84</v>
      </c>
      <c r="C1115" s="74">
        <v>360.3</v>
      </c>
      <c r="D1115" s="74">
        <f t="shared" si="35"/>
        <v>-3.0204046419606604E-3</v>
      </c>
      <c r="E1115" s="74">
        <f t="shared" si="36"/>
        <v>2.1319180512041302E-2</v>
      </c>
      <c r="F1115" s="75"/>
    </row>
    <row r="1116" spans="1:6" ht="14.25" customHeight="1" x14ac:dyDescent="0.3">
      <c r="A1116" s="73">
        <v>42184</v>
      </c>
      <c r="B1116" s="74">
        <v>27645.15</v>
      </c>
      <c r="C1116" s="74">
        <v>359</v>
      </c>
      <c r="D1116" s="74">
        <f t="shared" si="35"/>
        <v>-6.0115235966615079E-3</v>
      </c>
      <c r="E1116" s="74">
        <f t="shared" si="36"/>
        <v>-3.6146292657687333E-3</v>
      </c>
      <c r="F1116" s="75"/>
    </row>
    <row r="1117" spans="1:6" ht="14.25" customHeight="1" x14ac:dyDescent="0.3">
      <c r="A1117" s="73">
        <v>42185</v>
      </c>
      <c r="B1117" s="74">
        <v>27780.83</v>
      </c>
      <c r="C1117" s="74">
        <v>366.15</v>
      </c>
      <c r="D1117" s="74">
        <f t="shared" si="35"/>
        <v>4.8959087785120578E-3</v>
      </c>
      <c r="E1117" s="74">
        <f t="shared" si="36"/>
        <v>1.972069701879986E-2</v>
      </c>
      <c r="F1117" s="75"/>
    </row>
    <row r="1118" spans="1:6" ht="14.25" customHeight="1" x14ac:dyDescent="0.3">
      <c r="A1118" s="73">
        <v>42186</v>
      </c>
      <c r="B1118" s="74">
        <v>28020.87</v>
      </c>
      <c r="C1118" s="74">
        <v>361.6</v>
      </c>
      <c r="D1118" s="74">
        <f t="shared" si="35"/>
        <v>8.6033751877162262E-3</v>
      </c>
      <c r="E1118" s="74">
        <f t="shared" si="36"/>
        <v>-1.2504456989057246E-2</v>
      </c>
      <c r="F1118" s="75"/>
    </row>
    <row r="1119" spans="1:6" ht="14.25" customHeight="1" x14ac:dyDescent="0.3">
      <c r="A1119" s="73">
        <v>42187</v>
      </c>
      <c r="B1119" s="74">
        <v>27945.8</v>
      </c>
      <c r="C1119" s="74">
        <v>355.1</v>
      </c>
      <c r="D1119" s="74">
        <f t="shared" si="35"/>
        <v>-2.6826697040025684E-3</v>
      </c>
      <c r="E1119" s="74">
        <f t="shared" si="36"/>
        <v>-1.8139188568979201E-2</v>
      </c>
      <c r="F1119" s="75"/>
    </row>
    <row r="1120" spans="1:6" ht="14.25" customHeight="1" x14ac:dyDescent="0.3">
      <c r="A1120" s="73">
        <v>42188</v>
      </c>
      <c r="B1120" s="74">
        <v>28092.79</v>
      </c>
      <c r="C1120" s="74">
        <v>357.25</v>
      </c>
      <c r="D1120" s="74">
        <f t="shared" si="35"/>
        <v>5.2460398132198804E-3</v>
      </c>
      <c r="E1120" s="74">
        <f t="shared" si="36"/>
        <v>6.0363768609345055E-3</v>
      </c>
      <c r="F1120" s="75"/>
    </row>
    <row r="1121" spans="1:6" ht="14.25" customHeight="1" x14ac:dyDescent="0.3">
      <c r="A1121" s="73">
        <v>42191</v>
      </c>
      <c r="B1121" s="74">
        <v>28208.76</v>
      </c>
      <c r="C1121" s="74">
        <v>355.8</v>
      </c>
      <c r="D1121" s="74">
        <f t="shared" si="35"/>
        <v>4.1196082172580877E-3</v>
      </c>
      <c r="E1121" s="74">
        <f t="shared" si="36"/>
        <v>-4.0670415782419417E-3</v>
      </c>
      <c r="F1121" s="75"/>
    </row>
    <row r="1122" spans="1:6" ht="14.25" customHeight="1" x14ac:dyDescent="0.3">
      <c r="A1122" s="73">
        <v>42192</v>
      </c>
      <c r="B1122" s="74">
        <v>28171.69</v>
      </c>
      <c r="C1122" s="74">
        <v>360.5</v>
      </c>
      <c r="D1122" s="74">
        <f t="shared" si="35"/>
        <v>-1.3149950148260165E-3</v>
      </c>
      <c r="E1122" s="74">
        <f t="shared" si="36"/>
        <v>1.3123181493268878E-2</v>
      </c>
      <c r="F1122" s="75"/>
    </row>
    <row r="1123" spans="1:6" ht="14.25" customHeight="1" x14ac:dyDescent="0.3">
      <c r="A1123" s="73">
        <v>42193</v>
      </c>
      <c r="B1123" s="74">
        <v>27687.72</v>
      </c>
      <c r="C1123" s="74">
        <v>354.85</v>
      </c>
      <c r="D1123" s="74">
        <f t="shared" si="35"/>
        <v>-1.7328579391313277E-2</v>
      </c>
      <c r="E1123" s="74">
        <f t="shared" si="36"/>
        <v>-1.5796791754011792E-2</v>
      </c>
      <c r="F1123" s="75"/>
    </row>
    <row r="1124" spans="1:6" ht="14.25" customHeight="1" x14ac:dyDescent="0.3">
      <c r="A1124" s="73">
        <v>42194</v>
      </c>
      <c r="B1124" s="74">
        <v>27573.66</v>
      </c>
      <c r="C1124" s="74">
        <v>358.95</v>
      </c>
      <c r="D1124" s="74">
        <f t="shared" si="35"/>
        <v>-4.1280243805246327E-3</v>
      </c>
      <c r="E1124" s="74">
        <f t="shared" si="36"/>
        <v>1.1487938051499943E-2</v>
      </c>
      <c r="F1124" s="75"/>
    </row>
    <row r="1125" spans="1:6" ht="14.25" customHeight="1" x14ac:dyDescent="0.3">
      <c r="A1125" s="73">
        <v>42195</v>
      </c>
      <c r="B1125" s="74">
        <v>27661.4</v>
      </c>
      <c r="C1125" s="74">
        <v>355.85</v>
      </c>
      <c r="D1125" s="74">
        <f t="shared" si="35"/>
        <v>3.1769703444756796E-3</v>
      </c>
      <c r="E1125" s="74">
        <f t="shared" si="36"/>
        <v>-8.6738092772117859E-3</v>
      </c>
      <c r="F1125" s="75"/>
    </row>
    <row r="1126" spans="1:6" ht="14.25" customHeight="1" x14ac:dyDescent="0.3">
      <c r="A1126" s="73">
        <v>42198</v>
      </c>
      <c r="B1126" s="74">
        <v>27961.19</v>
      </c>
      <c r="C1126" s="74">
        <v>356.55</v>
      </c>
      <c r="D1126" s="74">
        <f t="shared" si="35"/>
        <v>1.0779537699403371E-2</v>
      </c>
      <c r="E1126" s="74">
        <f t="shared" si="36"/>
        <v>1.965188729032525E-3</v>
      </c>
      <c r="F1126" s="75"/>
    </row>
    <row r="1127" spans="1:6" ht="14.25" customHeight="1" x14ac:dyDescent="0.3">
      <c r="A1127" s="73">
        <v>42199</v>
      </c>
      <c r="B1127" s="74">
        <v>27932.9</v>
      </c>
      <c r="C1127" s="74">
        <v>360.05</v>
      </c>
      <c r="D1127" s="74">
        <f t="shared" si="35"/>
        <v>-1.0122716879624669E-3</v>
      </c>
      <c r="E1127" s="74">
        <f t="shared" si="36"/>
        <v>9.7684282205632057E-3</v>
      </c>
      <c r="F1127" s="75"/>
    </row>
    <row r="1128" spans="1:6" ht="14.25" customHeight="1" x14ac:dyDescent="0.3">
      <c r="A1128" s="73">
        <v>42200</v>
      </c>
      <c r="B1128" s="74">
        <v>28198.29</v>
      </c>
      <c r="C1128" s="74">
        <v>350.25</v>
      </c>
      <c r="D1128" s="74">
        <f t="shared" si="35"/>
        <v>9.4561322345135049E-3</v>
      </c>
      <c r="E1128" s="74">
        <f t="shared" si="36"/>
        <v>-2.7595725477759514E-2</v>
      </c>
      <c r="F1128" s="75"/>
    </row>
    <row r="1129" spans="1:6" ht="14.25" customHeight="1" x14ac:dyDescent="0.3">
      <c r="A1129" s="73">
        <v>42201</v>
      </c>
      <c r="B1129" s="74">
        <v>28446.12</v>
      </c>
      <c r="C1129" s="74">
        <v>351</v>
      </c>
      <c r="D1129" s="74">
        <f t="shared" si="35"/>
        <v>8.7504338508184176E-3</v>
      </c>
      <c r="E1129" s="74">
        <f t="shared" si="36"/>
        <v>2.1390382487494423E-3</v>
      </c>
      <c r="F1129" s="75"/>
    </row>
    <row r="1130" spans="1:6" ht="14.25" customHeight="1" x14ac:dyDescent="0.3">
      <c r="A1130" s="73">
        <v>42202</v>
      </c>
      <c r="B1130" s="74">
        <v>28463.31</v>
      </c>
      <c r="C1130" s="74">
        <v>349.2</v>
      </c>
      <c r="D1130" s="74">
        <f t="shared" si="35"/>
        <v>6.0411782450843737E-4</v>
      </c>
      <c r="E1130" s="74">
        <f t="shared" si="36"/>
        <v>-5.1413995004186523E-3</v>
      </c>
      <c r="F1130" s="75"/>
    </row>
    <row r="1131" spans="1:6" ht="14.25" customHeight="1" x14ac:dyDescent="0.3">
      <c r="A1131" s="73">
        <v>42205</v>
      </c>
      <c r="B1131" s="74">
        <v>28420.12</v>
      </c>
      <c r="C1131" s="74">
        <v>344.9</v>
      </c>
      <c r="D1131" s="74">
        <f t="shared" si="35"/>
        <v>-1.5185444442994095E-3</v>
      </c>
      <c r="E1131" s="74">
        <f t="shared" si="36"/>
        <v>-1.2390304022651986E-2</v>
      </c>
      <c r="F1131" s="75"/>
    </row>
    <row r="1132" spans="1:6" ht="14.25" customHeight="1" x14ac:dyDescent="0.3">
      <c r="A1132" s="73">
        <v>42206</v>
      </c>
      <c r="B1132" s="74">
        <v>28182.14</v>
      </c>
      <c r="C1132" s="74">
        <v>339.5</v>
      </c>
      <c r="D1132" s="74">
        <f t="shared" si="35"/>
        <v>-8.4089010681872144E-3</v>
      </c>
      <c r="E1132" s="74">
        <f t="shared" si="36"/>
        <v>-1.5780572944044335E-2</v>
      </c>
      <c r="F1132" s="75"/>
    </row>
    <row r="1133" spans="1:6" ht="14.25" customHeight="1" x14ac:dyDescent="0.3">
      <c r="A1133" s="73">
        <v>42207</v>
      </c>
      <c r="B1133" s="74">
        <v>28504.93</v>
      </c>
      <c r="C1133" s="74">
        <v>337.85</v>
      </c>
      <c r="D1133" s="74">
        <f t="shared" si="35"/>
        <v>1.1388610800545656E-2</v>
      </c>
      <c r="E1133" s="74">
        <f t="shared" si="36"/>
        <v>-4.8719370005672015E-3</v>
      </c>
      <c r="F1133" s="75"/>
    </row>
    <row r="1134" spans="1:6" ht="14.25" customHeight="1" x14ac:dyDescent="0.3">
      <c r="A1134" s="73">
        <v>42208</v>
      </c>
      <c r="B1134" s="74">
        <v>28370.84</v>
      </c>
      <c r="C1134" s="74">
        <v>337.55</v>
      </c>
      <c r="D1134" s="74">
        <f t="shared" si="35"/>
        <v>-4.7151976469470046E-3</v>
      </c>
      <c r="E1134" s="74">
        <f t="shared" si="36"/>
        <v>-8.8836251030413723E-4</v>
      </c>
      <c r="F1134" s="75"/>
    </row>
    <row r="1135" spans="1:6" ht="14.25" customHeight="1" x14ac:dyDescent="0.3">
      <c r="A1135" s="73">
        <v>42209</v>
      </c>
      <c r="B1135" s="74">
        <v>28112.31</v>
      </c>
      <c r="C1135" s="74">
        <v>339.35</v>
      </c>
      <c r="D1135" s="74">
        <f t="shared" si="35"/>
        <v>-9.1542984208230812E-3</v>
      </c>
      <c r="E1135" s="74">
        <f t="shared" si="36"/>
        <v>5.3183756618878095E-3</v>
      </c>
      <c r="F1135" s="75"/>
    </row>
    <row r="1136" spans="1:6" ht="14.25" customHeight="1" x14ac:dyDescent="0.3">
      <c r="A1136" s="73">
        <v>42212</v>
      </c>
      <c r="B1136" s="74">
        <v>27561.38</v>
      </c>
      <c r="C1136" s="74">
        <v>336.6</v>
      </c>
      <c r="D1136" s="74">
        <f t="shared" si="35"/>
        <v>-1.9792041242426117E-2</v>
      </c>
      <c r="E1136" s="74">
        <f t="shared" si="36"/>
        <v>-8.1367413930617128E-3</v>
      </c>
      <c r="F1136" s="75"/>
    </row>
    <row r="1137" spans="1:6" ht="14.25" customHeight="1" x14ac:dyDescent="0.3">
      <c r="A1137" s="73">
        <v>42213</v>
      </c>
      <c r="B1137" s="74">
        <v>27459.23</v>
      </c>
      <c r="C1137" s="74">
        <v>340.75</v>
      </c>
      <c r="D1137" s="74">
        <f t="shared" si="35"/>
        <v>-3.7131583007330438E-3</v>
      </c>
      <c r="E1137" s="74">
        <f t="shared" si="36"/>
        <v>1.22537888199364E-2</v>
      </c>
      <c r="F1137" s="75"/>
    </row>
    <row r="1138" spans="1:6" ht="14.25" customHeight="1" x14ac:dyDescent="0.3">
      <c r="A1138" s="73">
        <v>42214</v>
      </c>
      <c r="B1138" s="74">
        <v>27563.43</v>
      </c>
      <c r="C1138" s="74">
        <v>338.85</v>
      </c>
      <c r="D1138" s="74">
        <f t="shared" si="35"/>
        <v>3.7875349743559114E-3</v>
      </c>
      <c r="E1138" s="74">
        <f t="shared" si="36"/>
        <v>-5.5915389945199821E-3</v>
      </c>
      <c r="F1138" s="75"/>
    </row>
    <row r="1139" spans="1:6" ht="14.25" customHeight="1" x14ac:dyDescent="0.3">
      <c r="A1139" s="73">
        <v>42215</v>
      </c>
      <c r="B1139" s="74">
        <v>27705.35</v>
      </c>
      <c r="C1139" s="74">
        <v>339.65</v>
      </c>
      <c r="D1139" s="74">
        <f t="shared" si="35"/>
        <v>5.1356412038026768E-3</v>
      </c>
      <c r="E1139" s="74">
        <f t="shared" si="36"/>
        <v>2.3581440551889185E-3</v>
      </c>
      <c r="F1139" s="75"/>
    </row>
    <row r="1140" spans="1:6" ht="14.25" customHeight="1" x14ac:dyDescent="0.3">
      <c r="A1140" s="73">
        <v>42216</v>
      </c>
      <c r="B1140" s="74">
        <v>28114.560000000001</v>
      </c>
      <c r="C1140" s="74">
        <v>323.85000000000002</v>
      </c>
      <c r="D1140" s="74">
        <f t="shared" si="35"/>
        <v>1.4662056274575794E-2</v>
      </c>
      <c r="E1140" s="74">
        <f t="shared" si="36"/>
        <v>-4.7635230008384752E-2</v>
      </c>
      <c r="F1140" s="75"/>
    </row>
    <row r="1141" spans="1:6" ht="14.25" customHeight="1" x14ac:dyDescent="0.3">
      <c r="A1141" s="73">
        <v>42219</v>
      </c>
      <c r="B1141" s="74">
        <v>28187.06</v>
      </c>
      <c r="C1141" s="74">
        <v>317.35000000000002</v>
      </c>
      <c r="D1141" s="74">
        <f t="shared" si="35"/>
        <v>2.57541577215563E-3</v>
      </c>
      <c r="E1141" s="74">
        <f t="shared" si="36"/>
        <v>-2.0275179876446968E-2</v>
      </c>
      <c r="F1141" s="75"/>
    </row>
    <row r="1142" spans="1:6" ht="14.25" customHeight="1" x14ac:dyDescent="0.3">
      <c r="A1142" s="73">
        <v>42220</v>
      </c>
      <c r="B1142" s="74">
        <v>28071.93</v>
      </c>
      <c r="C1142" s="74">
        <v>315.60000000000002</v>
      </c>
      <c r="D1142" s="74">
        <f t="shared" si="35"/>
        <v>-4.0928626950778226E-3</v>
      </c>
      <c r="E1142" s="74">
        <f t="shared" si="36"/>
        <v>-5.5296767807599184E-3</v>
      </c>
      <c r="F1142" s="75"/>
    </row>
    <row r="1143" spans="1:6" ht="14.25" customHeight="1" x14ac:dyDescent="0.3">
      <c r="A1143" s="73">
        <v>42221</v>
      </c>
      <c r="B1143" s="74">
        <v>28223.08</v>
      </c>
      <c r="C1143" s="74">
        <v>319.35000000000002</v>
      </c>
      <c r="D1143" s="74">
        <f t="shared" si="35"/>
        <v>5.3699382313372665E-3</v>
      </c>
      <c r="E1143" s="74">
        <f t="shared" si="36"/>
        <v>1.181209103587905E-2</v>
      </c>
      <c r="F1143" s="75"/>
    </row>
    <row r="1144" spans="1:6" ht="14.25" customHeight="1" x14ac:dyDescent="0.3">
      <c r="A1144" s="73">
        <v>42222</v>
      </c>
      <c r="B1144" s="74">
        <v>28298.13</v>
      </c>
      <c r="C1144" s="74">
        <v>327.8</v>
      </c>
      <c r="D1144" s="74">
        <f t="shared" si="35"/>
        <v>2.6556418062205394E-3</v>
      </c>
      <c r="E1144" s="74">
        <f t="shared" si="36"/>
        <v>2.611598630213114E-2</v>
      </c>
      <c r="F1144" s="75"/>
    </row>
    <row r="1145" spans="1:6" ht="14.25" customHeight="1" x14ac:dyDescent="0.3">
      <c r="A1145" s="73">
        <v>42223</v>
      </c>
      <c r="B1145" s="74">
        <v>28236.39</v>
      </c>
      <c r="C1145" s="74">
        <v>333.5</v>
      </c>
      <c r="D1145" s="74">
        <f t="shared" si="35"/>
        <v>-2.1841531349111724E-3</v>
      </c>
      <c r="E1145" s="74">
        <f t="shared" si="36"/>
        <v>1.723919904594912E-2</v>
      </c>
      <c r="F1145" s="75"/>
    </row>
    <row r="1146" spans="1:6" ht="14.25" customHeight="1" x14ac:dyDescent="0.3">
      <c r="A1146" s="73">
        <v>42226</v>
      </c>
      <c r="B1146" s="74">
        <v>28101.72</v>
      </c>
      <c r="C1146" s="74">
        <v>328.8</v>
      </c>
      <c r="D1146" s="74">
        <f t="shared" si="35"/>
        <v>-4.7807871616753709E-3</v>
      </c>
      <c r="E1146" s="74">
        <f t="shared" si="36"/>
        <v>-1.4193202173653538E-2</v>
      </c>
      <c r="F1146" s="75"/>
    </row>
    <row r="1147" spans="1:6" ht="14.25" customHeight="1" x14ac:dyDescent="0.3">
      <c r="A1147" s="73">
        <v>42227</v>
      </c>
      <c r="B1147" s="74">
        <v>27866.09</v>
      </c>
      <c r="C1147" s="74">
        <v>328.15</v>
      </c>
      <c r="D1147" s="74">
        <f t="shared" si="35"/>
        <v>-8.4202470023367563E-3</v>
      </c>
      <c r="E1147" s="74">
        <f t="shared" si="36"/>
        <v>-1.9788422622931817E-3</v>
      </c>
      <c r="F1147" s="75"/>
    </row>
    <row r="1148" spans="1:6" ht="14.25" customHeight="1" x14ac:dyDescent="0.3">
      <c r="A1148" s="73">
        <v>42228</v>
      </c>
      <c r="B1148" s="74">
        <v>27512.26</v>
      </c>
      <c r="C1148" s="74">
        <v>330.4</v>
      </c>
      <c r="D1148" s="74">
        <f t="shared" si="35"/>
        <v>-1.2778813921578451E-2</v>
      </c>
      <c r="E1148" s="74">
        <f t="shared" si="36"/>
        <v>6.8332207270912406E-3</v>
      </c>
      <c r="F1148" s="75"/>
    </row>
    <row r="1149" spans="1:6" ht="14.25" customHeight="1" x14ac:dyDescent="0.3">
      <c r="A1149" s="73">
        <v>42229</v>
      </c>
      <c r="B1149" s="74">
        <v>27549.53</v>
      </c>
      <c r="C1149" s="74">
        <v>327.55</v>
      </c>
      <c r="D1149" s="74">
        <f t="shared" si="35"/>
        <v>1.3537520553505765E-3</v>
      </c>
      <c r="E1149" s="74">
        <f t="shared" si="36"/>
        <v>-8.6633264689375787E-3</v>
      </c>
      <c r="F1149" s="75"/>
    </row>
    <row r="1150" spans="1:6" ht="14.25" customHeight="1" x14ac:dyDescent="0.3">
      <c r="A1150" s="73">
        <v>42230</v>
      </c>
      <c r="B1150" s="74">
        <v>28067.31</v>
      </c>
      <c r="C1150" s="74">
        <v>333.85</v>
      </c>
      <c r="D1150" s="74">
        <f t="shared" si="35"/>
        <v>1.8620078370382213E-2</v>
      </c>
      <c r="E1150" s="74">
        <f t="shared" si="36"/>
        <v>1.9051075125992491E-2</v>
      </c>
      <c r="F1150" s="75"/>
    </row>
    <row r="1151" spans="1:6" ht="14.25" customHeight="1" x14ac:dyDescent="0.3">
      <c r="A1151" s="73">
        <v>42233</v>
      </c>
      <c r="B1151" s="74">
        <v>27878.27</v>
      </c>
      <c r="C1151" s="74">
        <v>336.35</v>
      </c>
      <c r="D1151" s="74">
        <f t="shared" si="35"/>
        <v>-6.7580216155654887E-3</v>
      </c>
      <c r="E1151" s="74">
        <f t="shared" si="36"/>
        <v>7.4604941677370636E-3</v>
      </c>
      <c r="F1151" s="75"/>
    </row>
    <row r="1152" spans="1:6" ht="14.25" customHeight="1" x14ac:dyDescent="0.3">
      <c r="A1152" s="73">
        <v>42234</v>
      </c>
      <c r="B1152" s="74">
        <v>27831.54</v>
      </c>
      <c r="C1152" s="74">
        <v>335.9</v>
      </c>
      <c r="D1152" s="74">
        <f t="shared" si="35"/>
        <v>-1.6776223419109053E-3</v>
      </c>
      <c r="E1152" s="74">
        <f t="shared" si="36"/>
        <v>-1.3387878533679121E-3</v>
      </c>
      <c r="F1152" s="75"/>
    </row>
    <row r="1153" spans="1:6" ht="14.25" customHeight="1" x14ac:dyDescent="0.3">
      <c r="A1153" s="73">
        <v>42235</v>
      </c>
      <c r="B1153" s="74">
        <v>27931.64</v>
      </c>
      <c r="C1153" s="74">
        <v>340.35</v>
      </c>
      <c r="D1153" s="74">
        <f t="shared" si="35"/>
        <v>3.5901864821690048E-3</v>
      </c>
      <c r="E1153" s="74">
        <f t="shared" si="36"/>
        <v>1.3161003275713538E-2</v>
      </c>
      <c r="F1153" s="75"/>
    </row>
    <row r="1154" spans="1:6" ht="14.25" customHeight="1" x14ac:dyDescent="0.3">
      <c r="A1154" s="73">
        <v>42236</v>
      </c>
      <c r="B1154" s="74">
        <v>27607.82</v>
      </c>
      <c r="C1154" s="74">
        <v>340.9</v>
      </c>
      <c r="D1154" s="74">
        <f t="shared" si="35"/>
        <v>-1.166103053224077E-2</v>
      </c>
      <c r="E1154" s="74">
        <f t="shared" si="36"/>
        <v>1.6146792498968161E-3</v>
      </c>
      <c r="F1154" s="75"/>
    </row>
    <row r="1155" spans="1:6" ht="14.25" customHeight="1" x14ac:dyDescent="0.3">
      <c r="A1155" s="73">
        <v>42237</v>
      </c>
      <c r="B1155" s="74">
        <v>27366.07</v>
      </c>
      <c r="C1155" s="74">
        <v>343.6</v>
      </c>
      <c r="D1155" s="74">
        <f t="shared" si="35"/>
        <v>-8.7951410521969562E-3</v>
      </c>
      <c r="E1155" s="74">
        <f t="shared" si="36"/>
        <v>7.8890109662429868E-3</v>
      </c>
      <c r="F1155" s="75"/>
    </row>
    <row r="1156" spans="1:6" ht="14.25" customHeight="1" x14ac:dyDescent="0.3">
      <c r="A1156" s="73">
        <v>42240</v>
      </c>
      <c r="B1156" s="74">
        <v>25741.56</v>
      </c>
      <c r="C1156" s="74">
        <v>331.75</v>
      </c>
      <c r="D1156" s="74">
        <f t="shared" ref="D1156:D1219" si="37">LN(B1156/B1155)</f>
        <v>-6.1197118480818415E-2</v>
      </c>
      <c r="E1156" s="74">
        <f t="shared" ref="E1156:E1219" si="38">LN(C1156/C1155)</f>
        <v>-3.5096516897783508E-2</v>
      </c>
      <c r="F1156" s="75"/>
    </row>
    <row r="1157" spans="1:6" ht="14.25" customHeight="1" x14ac:dyDescent="0.3">
      <c r="A1157" s="73">
        <v>42241</v>
      </c>
      <c r="B1157" s="74">
        <v>26032.38</v>
      </c>
      <c r="C1157" s="74">
        <v>327.7</v>
      </c>
      <c r="D1157" s="74">
        <f t="shared" si="37"/>
        <v>1.1234341396588819E-2</v>
      </c>
      <c r="E1157" s="74">
        <f t="shared" si="38"/>
        <v>-1.2283117507548061E-2</v>
      </c>
      <c r="F1157" s="75"/>
    </row>
    <row r="1158" spans="1:6" ht="14.25" customHeight="1" x14ac:dyDescent="0.3">
      <c r="A1158" s="73">
        <v>42242</v>
      </c>
      <c r="B1158" s="74">
        <v>25714.66</v>
      </c>
      <c r="C1158" s="74">
        <v>325.25</v>
      </c>
      <c r="D1158" s="74">
        <f t="shared" si="37"/>
        <v>-1.2279890504180982E-2</v>
      </c>
      <c r="E1158" s="74">
        <f t="shared" si="38"/>
        <v>-7.5044383121541788E-3</v>
      </c>
      <c r="F1158" s="75"/>
    </row>
    <row r="1159" spans="1:6" ht="14.25" customHeight="1" x14ac:dyDescent="0.3">
      <c r="A1159" s="73">
        <v>42243</v>
      </c>
      <c r="B1159" s="74">
        <v>26231.19</v>
      </c>
      <c r="C1159" s="74">
        <v>347</v>
      </c>
      <c r="D1159" s="74">
        <f t="shared" si="37"/>
        <v>1.9887903464520653E-2</v>
      </c>
      <c r="E1159" s="74">
        <f t="shared" si="38"/>
        <v>6.4730662554244617E-2</v>
      </c>
      <c r="F1159" s="75"/>
    </row>
    <row r="1160" spans="1:6" ht="14.25" customHeight="1" x14ac:dyDescent="0.3">
      <c r="A1160" s="73">
        <v>42244</v>
      </c>
      <c r="B1160" s="74">
        <v>26392.38</v>
      </c>
      <c r="C1160" s="74">
        <v>341.4</v>
      </c>
      <c r="D1160" s="74">
        <f t="shared" si="37"/>
        <v>6.1261713760996104E-3</v>
      </c>
      <c r="E1160" s="74">
        <f t="shared" si="38"/>
        <v>-1.6269969586519016E-2</v>
      </c>
      <c r="F1160" s="75"/>
    </row>
    <row r="1161" spans="1:6" ht="14.25" customHeight="1" x14ac:dyDescent="0.3">
      <c r="A1161" s="73">
        <v>42247</v>
      </c>
      <c r="B1161" s="74">
        <v>26283.09</v>
      </c>
      <c r="C1161" s="74">
        <v>337.75</v>
      </c>
      <c r="D1161" s="74">
        <f t="shared" si="37"/>
        <v>-4.1495655120317634E-3</v>
      </c>
      <c r="E1161" s="74">
        <f t="shared" si="38"/>
        <v>-1.0748833520031894E-2</v>
      </c>
      <c r="F1161" s="75"/>
    </row>
    <row r="1162" spans="1:6" ht="14.25" customHeight="1" x14ac:dyDescent="0.3">
      <c r="A1162" s="73">
        <v>42248</v>
      </c>
      <c r="B1162" s="74">
        <v>25696.44</v>
      </c>
      <c r="C1162" s="74">
        <v>334.1</v>
      </c>
      <c r="D1162" s="74">
        <f t="shared" si="37"/>
        <v>-2.257330570768935E-2</v>
      </c>
      <c r="E1162" s="74">
        <f t="shared" si="38"/>
        <v>-1.0865627477597317E-2</v>
      </c>
      <c r="F1162" s="75"/>
    </row>
    <row r="1163" spans="1:6" ht="14.25" customHeight="1" x14ac:dyDescent="0.3">
      <c r="A1163" s="73">
        <v>42249</v>
      </c>
      <c r="B1163" s="74">
        <v>25453.56</v>
      </c>
      <c r="C1163" s="74">
        <v>324.85000000000002</v>
      </c>
      <c r="D1163" s="74">
        <f t="shared" si="37"/>
        <v>-9.4968455696730486E-3</v>
      </c>
      <c r="E1163" s="74">
        <f t="shared" si="38"/>
        <v>-2.8076812036170889E-2</v>
      </c>
      <c r="F1163" s="75"/>
    </row>
    <row r="1164" spans="1:6" ht="14.25" customHeight="1" x14ac:dyDescent="0.3">
      <c r="A1164" s="73">
        <v>42250</v>
      </c>
      <c r="B1164" s="74">
        <v>25764.78</v>
      </c>
      <c r="C1164" s="74">
        <v>326.7</v>
      </c>
      <c r="D1164" s="74">
        <f t="shared" si="37"/>
        <v>1.2152827692673429E-2</v>
      </c>
      <c r="E1164" s="74">
        <f t="shared" si="38"/>
        <v>5.6787812804844151E-3</v>
      </c>
      <c r="F1164" s="75"/>
    </row>
    <row r="1165" spans="1:6" ht="14.25" customHeight="1" x14ac:dyDescent="0.3">
      <c r="A1165" s="73">
        <v>42251</v>
      </c>
      <c r="B1165" s="74">
        <v>25201.9</v>
      </c>
      <c r="C1165" s="74">
        <v>333.15</v>
      </c>
      <c r="D1165" s="74">
        <f t="shared" si="37"/>
        <v>-2.2089054527844303E-2</v>
      </c>
      <c r="E1165" s="74">
        <f t="shared" si="38"/>
        <v>1.9550520401521658E-2</v>
      </c>
      <c r="F1165" s="75"/>
    </row>
    <row r="1166" spans="1:6" ht="14.25" customHeight="1" x14ac:dyDescent="0.3">
      <c r="A1166" s="73">
        <v>42254</v>
      </c>
      <c r="B1166" s="74">
        <v>24893.81</v>
      </c>
      <c r="C1166" s="74">
        <v>332</v>
      </c>
      <c r="D1166" s="74">
        <f t="shared" si="37"/>
        <v>-1.2300210312128967E-2</v>
      </c>
      <c r="E1166" s="74">
        <f t="shared" si="38"/>
        <v>-3.4578700920575387E-3</v>
      </c>
      <c r="F1166" s="75"/>
    </row>
    <row r="1167" spans="1:6" ht="14.25" customHeight="1" x14ac:dyDescent="0.3">
      <c r="A1167" s="73">
        <v>42255</v>
      </c>
      <c r="B1167" s="74">
        <v>25317.87</v>
      </c>
      <c r="C1167" s="74">
        <v>321.8</v>
      </c>
      <c r="D1167" s="74">
        <f t="shared" si="37"/>
        <v>1.689129232622218E-2</v>
      </c>
      <c r="E1167" s="74">
        <f t="shared" si="38"/>
        <v>-3.1204734358205713E-2</v>
      </c>
      <c r="F1167" s="75"/>
    </row>
    <row r="1168" spans="1:6" ht="14.25" customHeight="1" x14ac:dyDescent="0.3">
      <c r="A1168" s="73">
        <v>42256</v>
      </c>
      <c r="B1168" s="74">
        <v>25719.58</v>
      </c>
      <c r="C1168" s="74">
        <v>330.2</v>
      </c>
      <c r="D1168" s="74">
        <f t="shared" si="37"/>
        <v>1.5742099016907738E-2</v>
      </c>
      <c r="E1168" s="74">
        <f t="shared" si="38"/>
        <v>2.5768296927744828E-2</v>
      </c>
      <c r="F1168" s="75"/>
    </row>
    <row r="1169" spans="1:6" ht="14.25" customHeight="1" x14ac:dyDescent="0.3">
      <c r="A1169" s="73">
        <v>42257</v>
      </c>
      <c r="B1169" s="74">
        <v>25622.17</v>
      </c>
      <c r="C1169" s="74">
        <v>326.25</v>
      </c>
      <c r="D1169" s="74">
        <f t="shared" si="37"/>
        <v>-3.794577196233636E-3</v>
      </c>
      <c r="E1169" s="74">
        <f t="shared" si="38"/>
        <v>-1.2034572849124422E-2</v>
      </c>
      <c r="F1169" s="75"/>
    </row>
    <row r="1170" spans="1:6" ht="14.25" customHeight="1" x14ac:dyDescent="0.3">
      <c r="A1170" s="73">
        <v>42258</v>
      </c>
      <c r="B1170" s="74">
        <v>25610.21</v>
      </c>
      <c r="C1170" s="74">
        <v>327</v>
      </c>
      <c r="D1170" s="74">
        <f t="shared" si="37"/>
        <v>-4.6689223562363432E-4</v>
      </c>
      <c r="E1170" s="74">
        <f t="shared" si="38"/>
        <v>2.296212260350157E-3</v>
      </c>
      <c r="F1170" s="75"/>
    </row>
    <row r="1171" spans="1:6" ht="14.25" customHeight="1" x14ac:dyDescent="0.3">
      <c r="A1171" s="73">
        <v>42261</v>
      </c>
      <c r="B1171" s="74">
        <v>25856.7</v>
      </c>
      <c r="C1171" s="74">
        <v>329.15</v>
      </c>
      <c r="D1171" s="74">
        <f t="shared" si="37"/>
        <v>9.5786548922991172E-3</v>
      </c>
      <c r="E1171" s="74">
        <f t="shared" si="38"/>
        <v>6.5534030166323406E-3</v>
      </c>
      <c r="F1171" s="75"/>
    </row>
    <row r="1172" spans="1:6" ht="14.25" customHeight="1" x14ac:dyDescent="0.3">
      <c r="A1172" s="73">
        <v>42262</v>
      </c>
      <c r="B1172" s="74">
        <v>25705.93</v>
      </c>
      <c r="C1172" s="74">
        <v>326.39999999999998</v>
      </c>
      <c r="D1172" s="74">
        <f t="shared" si="37"/>
        <v>-5.8480504074522564E-3</v>
      </c>
      <c r="E1172" s="74">
        <f t="shared" si="38"/>
        <v>-8.3899508239337998E-3</v>
      </c>
      <c r="F1172" s="75"/>
    </row>
    <row r="1173" spans="1:6" ht="14.25" customHeight="1" x14ac:dyDescent="0.3">
      <c r="A1173" s="73">
        <v>42263</v>
      </c>
      <c r="B1173" s="74">
        <v>25963.97</v>
      </c>
      <c r="C1173" s="74">
        <v>327.7</v>
      </c>
      <c r="D1173" s="74">
        <f t="shared" si="37"/>
        <v>9.9881031399854832E-3</v>
      </c>
      <c r="E1173" s="74">
        <f t="shared" si="38"/>
        <v>3.9749326148168984E-3</v>
      </c>
      <c r="F1173" s="75"/>
    </row>
    <row r="1174" spans="1:6" ht="14.25" customHeight="1" x14ac:dyDescent="0.3">
      <c r="A1174" s="73">
        <v>42265</v>
      </c>
      <c r="B1174" s="74">
        <v>26218.91</v>
      </c>
      <c r="C1174" s="74">
        <v>322.55</v>
      </c>
      <c r="D1174" s="74">
        <f t="shared" si="37"/>
        <v>9.7710984272866251E-3</v>
      </c>
      <c r="E1174" s="74">
        <f t="shared" si="38"/>
        <v>-1.5840392726518143E-2</v>
      </c>
      <c r="F1174" s="75"/>
    </row>
    <row r="1175" spans="1:6" ht="14.25" customHeight="1" x14ac:dyDescent="0.3">
      <c r="A1175" s="73">
        <v>42268</v>
      </c>
      <c r="B1175" s="74">
        <v>26192.98</v>
      </c>
      <c r="C1175" s="74">
        <v>319.14999999999998</v>
      </c>
      <c r="D1175" s="74">
        <f t="shared" si="37"/>
        <v>-9.8947021813440453E-4</v>
      </c>
      <c r="E1175" s="74">
        <f t="shared" si="38"/>
        <v>-1.0596951276184407E-2</v>
      </c>
      <c r="F1175" s="75"/>
    </row>
    <row r="1176" spans="1:6" ht="14.25" customHeight="1" x14ac:dyDescent="0.3">
      <c r="A1176" s="73">
        <v>42269</v>
      </c>
      <c r="B1176" s="74">
        <v>25651.84</v>
      </c>
      <c r="C1176" s="74">
        <v>318.60000000000002</v>
      </c>
      <c r="D1176" s="74">
        <f t="shared" si="37"/>
        <v>-2.0876131996963112E-2</v>
      </c>
      <c r="E1176" s="74">
        <f t="shared" si="38"/>
        <v>-1.7248142261180532E-3</v>
      </c>
      <c r="F1176" s="75"/>
    </row>
    <row r="1177" spans="1:6" ht="14.25" customHeight="1" x14ac:dyDescent="0.3">
      <c r="A1177" s="73">
        <v>42270</v>
      </c>
      <c r="B1177" s="74">
        <v>25822.99</v>
      </c>
      <c r="C1177" s="74">
        <v>320.05</v>
      </c>
      <c r="D1177" s="74">
        <f t="shared" si="37"/>
        <v>6.6498764813603594E-3</v>
      </c>
      <c r="E1177" s="74">
        <f t="shared" si="38"/>
        <v>4.5408361120641292E-3</v>
      </c>
      <c r="F1177" s="75"/>
    </row>
    <row r="1178" spans="1:6" ht="14.25" customHeight="1" x14ac:dyDescent="0.3">
      <c r="A1178" s="73">
        <v>42271</v>
      </c>
      <c r="B1178" s="74">
        <v>25863.5</v>
      </c>
      <c r="C1178" s="74">
        <v>324.2</v>
      </c>
      <c r="D1178" s="74">
        <f t="shared" si="37"/>
        <v>1.5675279282808281E-3</v>
      </c>
      <c r="E1178" s="74">
        <f t="shared" si="38"/>
        <v>1.2883375713563339E-2</v>
      </c>
      <c r="F1178" s="75"/>
    </row>
    <row r="1179" spans="1:6" ht="14.25" customHeight="1" x14ac:dyDescent="0.3">
      <c r="A1179" s="73">
        <v>42275</v>
      </c>
      <c r="B1179" s="74">
        <v>25616.84</v>
      </c>
      <c r="C1179" s="74">
        <v>325.95</v>
      </c>
      <c r="D1179" s="74">
        <f t="shared" si="37"/>
        <v>-9.582760624673281E-3</v>
      </c>
      <c r="E1179" s="74">
        <f t="shared" si="38"/>
        <v>5.3833860689726535E-3</v>
      </c>
      <c r="F1179" s="75"/>
    </row>
    <row r="1180" spans="1:6" ht="14.25" customHeight="1" x14ac:dyDescent="0.3">
      <c r="A1180" s="73">
        <v>42276</v>
      </c>
      <c r="B1180" s="74">
        <v>25778.66</v>
      </c>
      <c r="C1180" s="74">
        <v>321.5</v>
      </c>
      <c r="D1180" s="74">
        <f t="shared" si="37"/>
        <v>6.297070160679521E-3</v>
      </c>
      <c r="E1180" s="74">
        <f t="shared" si="38"/>
        <v>-1.3746451692874216E-2</v>
      </c>
      <c r="F1180" s="75"/>
    </row>
    <row r="1181" spans="1:6" ht="14.25" customHeight="1" x14ac:dyDescent="0.3">
      <c r="A1181" s="73">
        <v>42277</v>
      </c>
      <c r="B1181" s="74">
        <v>26154.83</v>
      </c>
      <c r="C1181" s="74">
        <v>318.14999999999998</v>
      </c>
      <c r="D1181" s="74">
        <f t="shared" si="37"/>
        <v>1.4486859205814129E-2</v>
      </c>
      <c r="E1181" s="74">
        <f t="shared" si="38"/>
        <v>-1.0474573998873025E-2</v>
      </c>
      <c r="F1181" s="75"/>
    </row>
    <row r="1182" spans="1:6" ht="14.25" customHeight="1" x14ac:dyDescent="0.3">
      <c r="A1182" s="73">
        <v>42278</v>
      </c>
      <c r="B1182" s="74">
        <v>26220.95</v>
      </c>
      <c r="C1182" s="74">
        <v>326.5</v>
      </c>
      <c r="D1182" s="74">
        <f t="shared" si="37"/>
        <v>2.5248324750495438E-3</v>
      </c>
      <c r="E1182" s="74">
        <f t="shared" si="38"/>
        <v>2.5906979037684612E-2</v>
      </c>
      <c r="F1182" s="75"/>
    </row>
    <row r="1183" spans="1:6" ht="14.25" customHeight="1" x14ac:dyDescent="0.3">
      <c r="A1183" s="73">
        <v>42282</v>
      </c>
      <c r="B1183" s="74">
        <v>26785.55</v>
      </c>
      <c r="C1183" s="74">
        <v>330.65</v>
      </c>
      <c r="D1183" s="74">
        <f t="shared" si="37"/>
        <v>2.1303853439756968E-2</v>
      </c>
      <c r="E1183" s="74">
        <f t="shared" si="38"/>
        <v>1.2630465404185614E-2</v>
      </c>
      <c r="F1183" s="75"/>
    </row>
    <row r="1184" spans="1:6" ht="14.25" customHeight="1" x14ac:dyDescent="0.3">
      <c r="A1184" s="73">
        <v>42283</v>
      </c>
      <c r="B1184" s="74">
        <v>26932.880000000001</v>
      </c>
      <c r="C1184" s="74">
        <v>348.3</v>
      </c>
      <c r="D1184" s="74">
        <f t="shared" si="37"/>
        <v>5.4852820311074553E-3</v>
      </c>
      <c r="E1184" s="74">
        <f t="shared" si="38"/>
        <v>5.2003763251284287E-2</v>
      </c>
      <c r="F1184" s="75"/>
    </row>
    <row r="1185" spans="1:6" ht="14.25" customHeight="1" x14ac:dyDescent="0.3">
      <c r="A1185" s="73">
        <v>42284</v>
      </c>
      <c r="B1185" s="74">
        <v>27035.85</v>
      </c>
      <c r="C1185" s="74">
        <v>345</v>
      </c>
      <c r="D1185" s="74">
        <f t="shared" si="37"/>
        <v>3.8159180305875964E-3</v>
      </c>
      <c r="E1185" s="74">
        <f t="shared" si="38"/>
        <v>-9.5197603405957777E-3</v>
      </c>
      <c r="F1185" s="75"/>
    </row>
    <row r="1186" spans="1:6" ht="14.25" customHeight="1" x14ac:dyDescent="0.3">
      <c r="A1186" s="73">
        <v>42285</v>
      </c>
      <c r="B1186" s="74">
        <v>26845.81</v>
      </c>
      <c r="C1186" s="74">
        <v>341.2</v>
      </c>
      <c r="D1186" s="74">
        <f t="shared" si="37"/>
        <v>-7.0540064287605529E-3</v>
      </c>
      <c r="E1186" s="74">
        <f t="shared" si="38"/>
        <v>-1.1075601413835722E-2</v>
      </c>
      <c r="F1186" s="75"/>
    </row>
    <row r="1187" spans="1:6" ht="14.25" customHeight="1" x14ac:dyDescent="0.3">
      <c r="A1187" s="73">
        <v>42286</v>
      </c>
      <c r="B1187" s="74">
        <v>27079.51</v>
      </c>
      <c r="C1187" s="74">
        <v>342.55</v>
      </c>
      <c r="D1187" s="74">
        <f t="shared" si="37"/>
        <v>8.6675967097098305E-3</v>
      </c>
      <c r="E1187" s="74">
        <f t="shared" si="38"/>
        <v>3.9488168313840579E-3</v>
      </c>
      <c r="F1187" s="75"/>
    </row>
    <row r="1188" spans="1:6" ht="14.25" customHeight="1" x14ac:dyDescent="0.3">
      <c r="A1188" s="73">
        <v>42289</v>
      </c>
      <c r="B1188" s="74">
        <v>26904.11</v>
      </c>
      <c r="C1188" s="74">
        <v>343.15</v>
      </c>
      <c r="D1188" s="74">
        <f t="shared" si="37"/>
        <v>-6.4982903046850943E-3</v>
      </c>
      <c r="E1188" s="74">
        <f t="shared" si="38"/>
        <v>1.7500369057354087E-3</v>
      </c>
      <c r="F1188" s="75"/>
    </row>
    <row r="1189" spans="1:6" ht="14.25" customHeight="1" x14ac:dyDescent="0.3">
      <c r="A1189" s="73">
        <v>42290</v>
      </c>
      <c r="B1189" s="74">
        <v>26846.53</v>
      </c>
      <c r="C1189" s="74">
        <v>343.4</v>
      </c>
      <c r="D1189" s="74">
        <f t="shared" si="37"/>
        <v>-2.1424869369202821E-3</v>
      </c>
      <c r="E1189" s="74">
        <f t="shared" si="38"/>
        <v>7.2827910873146749E-4</v>
      </c>
      <c r="F1189" s="75"/>
    </row>
    <row r="1190" spans="1:6" ht="14.25" customHeight="1" x14ac:dyDescent="0.3">
      <c r="A1190" s="73">
        <v>42291</v>
      </c>
      <c r="B1190" s="74">
        <v>26779.66</v>
      </c>
      <c r="C1190" s="74">
        <v>347.75</v>
      </c>
      <c r="D1190" s="74">
        <f t="shared" si="37"/>
        <v>-2.4939319634400899E-3</v>
      </c>
      <c r="E1190" s="74">
        <f t="shared" si="38"/>
        <v>1.2587882340177273E-2</v>
      </c>
      <c r="F1190" s="75"/>
    </row>
    <row r="1191" spans="1:6" ht="14.25" customHeight="1" x14ac:dyDescent="0.3">
      <c r="A1191" s="73">
        <v>42292</v>
      </c>
      <c r="B1191" s="74">
        <v>27010.14</v>
      </c>
      <c r="C1191" s="74">
        <v>352.9</v>
      </c>
      <c r="D1191" s="74">
        <f t="shared" si="37"/>
        <v>8.5697069159396712E-3</v>
      </c>
      <c r="E1191" s="74">
        <f t="shared" si="38"/>
        <v>1.4700899877671982E-2</v>
      </c>
      <c r="F1191" s="75"/>
    </row>
    <row r="1192" spans="1:6" ht="14.25" customHeight="1" x14ac:dyDescent="0.3">
      <c r="A1192" s="73">
        <v>42293</v>
      </c>
      <c r="B1192" s="74">
        <v>27214.6</v>
      </c>
      <c r="C1192" s="74">
        <v>354.45</v>
      </c>
      <c r="D1192" s="74">
        <f t="shared" si="37"/>
        <v>7.5412429446403972E-3</v>
      </c>
      <c r="E1192" s="74">
        <f t="shared" si="38"/>
        <v>4.3825616198022253E-3</v>
      </c>
      <c r="F1192" s="75"/>
    </row>
    <row r="1193" spans="1:6" ht="14.25" customHeight="1" x14ac:dyDescent="0.3">
      <c r="A1193" s="73">
        <v>42296</v>
      </c>
      <c r="B1193" s="74">
        <v>27364.92</v>
      </c>
      <c r="C1193" s="74">
        <v>351.4</v>
      </c>
      <c r="D1193" s="74">
        <f t="shared" si="37"/>
        <v>5.5083071480661744E-3</v>
      </c>
      <c r="E1193" s="74">
        <f t="shared" si="38"/>
        <v>-8.6421165480298039E-3</v>
      </c>
      <c r="F1193" s="75"/>
    </row>
    <row r="1194" spans="1:6" ht="14.25" customHeight="1" x14ac:dyDescent="0.3">
      <c r="A1194" s="73">
        <v>42297</v>
      </c>
      <c r="B1194" s="74">
        <v>27306.83</v>
      </c>
      <c r="C1194" s="74">
        <v>351.8</v>
      </c>
      <c r="D1194" s="74">
        <f t="shared" si="37"/>
        <v>-2.1250470987429783E-3</v>
      </c>
      <c r="E1194" s="74">
        <f t="shared" si="38"/>
        <v>1.1376565504610723E-3</v>
      </c>
      <c r="F1194" s="75"/>
    </row>
    <row r="1195" spans="1:6" ht="14.25" customHeight="1" x14ac:dyDescent="0.3">
      <c r="A1195" s="73">
        <v>42298</v>
      </c>
      <c r="B1195" s="74">
        <v>27287.66</v>
      </c>
      <c r="C1195" s="74">
        <v>347.8</v>
      </c>
      <c r="D1195" s="74">
        <f t="shared" si="37"/>
        <v>-7.022687010304065E-4</v>
      </c>
      <c r="E1195" s="74">
        <f t="shared" si="38"/>
        <v>-1.1435230383275097E-2</v>
      </c>
      <c r="F1195" s="75"/>
    </row>
    <row r="1196" spans="1:6" ht="14.25" customHeight="1" x14ac:dyDescent="0.3">
      <c r="A1196" s="73">
        <v>42300</v>
      </c>
      <c r="B1196" s="74">
        <v>27470.81</v>
      </c>
      <c r="C1196" s="74">
        <v>345.85</v>
      </c>
      <c r="D1196" s="74">
        <f t="shared" si="37"/>
        <v>6.689401035754247E-3</v>
      </c>
      <c r="E1196" s="74">
        <f t="shared" si="38"/>
        <v>-5.6224468735889231E-3</v>
      </c>
      <c r="F1196" s="75"/>
    </row>
    <row r="1197" spans="1:6" ht="14.25" customHeight="1" x14ac:dyDescent="0.3">
      <c r="A1197" s="73">
        <v>42303</v>
      </c>
      <c r="B1197" s="74">
        <v>27361.96</v>
      </c>
      <c r="C1197" s="74">
        <v>345.45</v>
      </c>
      <c r="D1197" s="74">
        <f t="shared" si="37"/>
        <v>-3.9702587698232442E-3</v>
      </c>
      <c r="E1197" s="74">
        <f t="shared" si="38"/>
        <v>-1.1572401117899314E-3</v>
      </c>
      <c r="F1197" s="75"/>
    </row>
    <row r="1198" spans="1:6" ht="14.25" customHeight="1" x14ac:dyDescent="0.3">
      <c r="A1198" s="73">
        <v>42304</v>
      </c>
      <c r="B1198" s="74">
        <v>27253.439999999999</v>
      </c>
      <c r="C1198" s="74">
        <v>340</v>
      </c>
      <c r="D1198" s="74">
        <f t="shared" si="37"/>
        <v>-3.9739759414622071E-3</v>
      </c>
      <c r="E1198" s="74">
        <f t="shared" si="38"/>
        <v>-1.59022973245968E-2</v>
      </c>
      <c r="F1198" s="75"/>
    </row>
    <row r="1199" spans="1:6" ht="14.25" customHeight="1" x14ac:dyDescent="0.3">
      <c r="A1199" s="73">
        <v>42305</v>
      </c>
      <c r="B1199" s="74">
        <v>27039.759999999998</v>
      </c>
      <c r="C1199" s="74">
        <v>350.1</v>
      </c>
      <c r="D1199" s="74">
        <f t="shared" si="37"/>
        <v>-7.8713762782214522E-3</v>
      </c>
      <c r="E1199" s="74">
        <f t="shared" si="38"/>
        <v>2.9273210350412988E-2</v>
      </c>
      <c r="F1199" s="75"/>
    </row>
    <row r="1200" spans="1:6" ht="14.25" customHeight="1" x14ac:dyDescent="0.3">
      <c r="A1200" s="73">
        <v>42306</v>
      </c>
      <c r="B1200" s="74">
        <v>26838.14</v>
      </c>
      <c r="C1200" s="74">
        <v>350.45</v>
      </c>
      <c r="D1200" s="74">
        <f t="shared" si="37"/>
        <v>-7.4843652464787434E-3</v>
      </c>
      <c r="E1200" s="74">
        <f t="shared" si="38"/>
        <v>9.9921498571364071E-4</v>
      </c>
      <c r="F1200" s="75"/>
    </row>
    <row r="1201" spans="1:6" ht="14.25" customHeight="1" x14ac:dyDescent="0.3">
      <c r="A1201" s="73">
        <v>42307</v>
      </c>
      <c r="B1201" s="74">
        <v>26656.83</v>
      </c>
      <c r="C1201" s="74">
        <v>348.7</v>
      </c>
      <c r="D1201" s="74">
        <f t="shared" si="37"/>
        <v>-6.7786071945961897E-3</v>
      </c>
      <c r="E1201" s="74">
        <f t="shared" si="38"/>
        <v>-5.0060892647283313E-3</v>
      </c>
      <c r="F1201" s="75"/>
    </row>
    <row r="1202" spans="1:6" ht="14.25" customHeight="1" x14ac:dyDescent="0.3">
      <c r="A1202" s="73">
        <v>42310</v>
      </c>
      <c r="B1202" s="74">
        <v>26559.15</v>
      </c>
      <c r="C1202" s="74">
        <v>355.4</v>
      </c>
      <c r="D1202" s="74">
        <f t="shared" si="37"/>
        <v>-3.6710818705761135E-3</v>
      </c>
      <c r="E1202" s="74">
        <f t="shared" si="38"/>
        <v>1.9031962038945346E-2</v>
      </c>
      <c r="F1202" s="75"/>
    </row>
    <row r="1203" spans="1:6" ht="14.25" customHeight="1" x14ac:dyDescent="0.3">
      <c r="A1203" s="73">
        <v>42311</v>
      </c>
      <c r="B1203" s="74">
        <v>26590.59</v>
      </c>
      <c r="C1203" s="74">
        <v>348.9</v>
      </c>
      <c r="D1203" s="74">
        <f t="shared" si="37"/>
        <v>1.183072717462391E-3</v>
      </c>
      <c r="E1203" s="74">
        <f t="shared" si="38"/>
        <v>-1.8458567527822482E-2</v>
      </c>
      <c r="F1203" s="75"/>
    </row>
    <row r="1204" spans="1:6" ht="14.25" customHeight="1" x14ac:dyDescent="0.3">
      <c r="A1204" s="73">
        <v>42312</v>
      </c>
      <c r="B1204" s="74">
        <v>26552.92</v>
      </c>
      <c r="C1204" s="74">
        <v>348.05</v>
      </c>
      <c r="D1204" s="74">
        <f t="shared" si="37"/>
        <v>-1.4176709934692003E-3</v>
      </c>
      <c r="E1204" s="74">
        <f t="shared" si="38"/>
        <v>-2.439200578052901E-3</v>
      </c>
      <c r="F1204" s="75"/>
    </row>
    <row r="1205" spans="1:6" ht="14.25" customHeight="1" x14ac:dyDescent="0.3">
      <c r="A1205" s="73">
        <v>42313</v>
      </c>
      <c r="B1205" s="74">
        <v>26304.2</v>
      </c>
      <c r="C1205" s="74">
        <v>348.8</v>
      </c>
      <c r="D1205" s="74">
        <f t="shared" si="37"/>
        <v>-9.4111005568810972E-3</v>
      </c>
      <c r="E1205" s="74">
        <f t="shared" si="38"/>
        <v>2.1525444201491387E-3</v>
      </c>
      <c r="F1205" s="75"/>
    </row>
    <row r="1206" spans="1:6" ht="14.25" customHeight="1" x14ac:dyDescent="0.3">
      <c r="A1206" s="73">
        <v>42314</v>
      </c>
      <c r="B1206" s="74">
        <v>26265.24</v>
      </c>
      <c r="C1206" s="74">
        <v>350.1</v>
      </c>
      <c r="D1206" s="74">
        <f t="shared" si="37"/>
        <v>-1.48223025137601E-3</v>
      </c>
      <c r="E1206" s="74">
        <f t="shared" si="38"/>
        <v>3.7201359257953712E-3</v>
      </c>
      <c r="F1206" s="75"/>
    </row>
    <row r="1207" spans="1:6" ht="14.25" customHeight="1" x14ac:dyDescent="0.3">
      <c r="A1207" s="73">
        <v>42317</v>
      </c>
      <c r="B1207" s="74">
        <v>26121.4</v>
      </c>
      <c r="C1207" s="74">
        <v>354.45</v>
      </c>
      <c r="D1207" s="74">
        <f t="shared" si="37"/>
        <v>-5.4914902530612654E-3</v>
      </c>
      <c r="E1207" s="74">
        <f t="shared" si="38"/>
        <v>1.2348464340406427E-2</v>
      </c>
      <c r="F1207" s="75"/>
    </row>
    <row r="1208" spans="1:6" ht="14.25" customHeight="1" x14ac:dyDescent="0.3">
      <c r="A1208" s="73">
        <v>42318</v>
      </c>
      <c r="B1208" s="74">
        <v>25743.26</v>
      </c>
      <c r="C1208" s="74">
        <v>352.6</v>
      </c>
      <c r="D1208" s="74">
        <f t="shared" si="37"/>
        <v>-1.4582056471697653E-2</v>
      </c>
      <c r="E1208" s="74">
        <f t="shared" si="38"/>
        <v>-5.2330223372565911E-3</v>
      </c>
      <c r="F1208" s="75"/>
    </row>
    <row r="1209" spans="1:6" ht="14.25" customHeight="1" x14ac:dyDescent="0.3">
      <c r="A1209" s="73">
        <v>42319</v>
      </c>
      <c r="B1209" s="74">
        <v>25866.95</v>
      </c>
      <c r="C1209" s="74">
        <v>353.35</v>
      </c>
      <c r="D1209" s="74">
        <f t="shared" si="37"/>
        <v>4.7932467942657167E-3</v>
      </c>
      <c r="E1209" s="74">
        <f t="shared" si="38"/>
        <v>2.124797173093545E-3</v>
      </c>
      <c r="F1209" s="75"/>
    </row>
    <row r="1210" spans="1:6" ht="14.25" customHeight="1" x14ac:dyDescent="0.3">
      <c r="A1210" s="73">
        <v>42321</v>
      </c>
      <c r="B1210" s="74">
        <v>25610.53</v>
      </c>
      <c r="C1210" s="74">
        <v>355.15</v>
      </c>
      <c r="D1210" s="74">
        <f t="shared" si="37"/>
        <v>-9.962497031026505E-3</v>
      </c>
      <c r="E1210" s="74">
        <f t="shared" si="38"/>
        <v>5.0811683069554919E-3</v>
      </c>
      <c r="F1210" s="75"/>
    </row>
    <row r="1211" spans="1:6" ht="14.25" customHeight="1" x14ac:dyDescent="0.3">
      <c r="A1211" s="73">
        <v>42324</v>
      </c>
      <c r="B1211" s="74">
        <v>25760.1</v>
      </c>
      <c r="C1211" s="74">
        <v>359.15</v>
      </c>
      <c r="D1211" s="74">
        <f t="shared" si="37"/>
        <v>5.8231881779015164E-3</v>
      </c>
      <c r="E1211" s="74">
        <f t="shared" si="38"/>
        <v>1.1199893076991639E-2</v>
      </c>
      <c r="F1211" s="75"/>
    </row>
    <row r="1212" spans="1:6" ht="14.25" customHeight="1" x14ac:dyDescent="0.3">
      <c r="A1212" s="73">
        <v>42325</v>
      </c>
      <c r="B1212" s="74">
        <v>25864.47</v>
      </c>
      <c r="C1212" s="74">
        <v>358</v>
      </c>
      <c r="D1212" s="74">
        <f t="shared" si="37"/>
        <v>4.0434290183204019E-3</v>
      </c>
      <c r="E1212" s="74">
        <f t="shared" si="38"/>
        <v>-3.2071421201102721E-3</v>
      </c>
      <c r="F1212" s="75"/>
    </row>
    <row r="1213" spans="1:6" ht="14.25" customHeight="1" x14ac:dyDescent="0.3">
      <c r="A1213" s="73">
        <v>42326</v>
      </c>
      <c r="B1213" s="74">
        <v>25482.52</v>
      </c>
      <c r="C1213" s="74">
        <v>360.45</v>
      </c>
      <c r="D1213" s="74">
        <f t="shared" si="37"/>
        <v>-1.4877485322043591E-2</v>
      </c>
      <c r="E1213" s="74">
        <f t="shared" si="38"/>
        <v>6.8202644498872771E-3</v>
      </c>
      <c r="F1213" s="75"/>
    </row>
    <row r="1214" spans="1:6" ht="14.25" customHeight="1" x14ac:dyDescent="0.3">
      <c r="A1214" s="73">
        <v>42327</v>
      </c>
      <c r="B1214" s="74">
        <v>25841.919999999998</v>
      </c>
      <c r="C1214" s="74">
        <v>370</v>
      </c>
      <c r="D1214" s="74">
        <f t="shared" si="37"/>
        <v>1.4005252647139921E-2</v>
      </c>
      <c r="E1214" s="74">
        <f t="shared" si="38"/>
        <v>2.6149754787682535E-2</v>
      </c>
      <c r="F1214" s="75"/>
    </row>
    <row r="1215" spans="1:6" ht="14.25" customHeight="1" x14ac:dyDescent="0.3">
      <c r="A1215" s="73">
        <v>42328</v>
      </c>
      <c r="B1215" s="74">
        <v>25868.49</v>
      </c>
      <c r="C1215" s="74">
        <v>371.55</v>
      </c>
      <c r="D1215" s="74">
        <f t="shared" si="37"/>
        <v>1.0276461678909964E-3</v>
      </c>
      <c r="E1215" s="74">
        <f t="shared" si="38"/>
        <v>4.1804389652081398E-3</v>
      </c>
      <c r="F1215" s="75"/>
    </row>
    <row r="1216" spans="1:6" ht="14.25" customHeight="1" x14ac:dyDescent="0.3">
      <c r="A1216" s="73">
        <v>42331</v>
      </c>
      <c r="B1216" s="74">
        <v>25819.34</v>
      </c>
      <c r="C1216" s="74">
        <v>380.05</v>
      </c>
      <c r="D1216" s="74">
        <f t="shared" si="37"/>
        <v>-1.9018022158803474E-3</v>
      </c>
      <c r="E1216" s="74">
        <f t="shared" si="38"/>
        <v>2.2619378408571221E-2</v>
      </c>
      <c r="F1216" s="75"/>
    </row>
    <row r="1217" spans="1:6" ht="14.25" customHeight="1" x14ac:dyDescent="0.3">
      <c r="A1217" s="73">
        <v>42332</v>
      </c>
      <c r="B1217" s="74">
        <v>25775.74</v>
      </c>
      <c r="C1217" s="74">
        <v>377.75</v>
      </c>
      <c r="D1217" s="74">
        <f t="shared" si="37"/>
        <v>-1.6900840304227744E-3</v>
      </c>
      <c r="E1217" s="74">
        <f t="shared" si="38"/>
        <v>-6.0702218592005516E-3</v>
      </c>
      <c r="F1217" s="75"/>
    </row>
    <row r="1218" spans="1:6" ht="14.25" customHeight="1" x14ac:dyDescent="0.3">
      <c r="A1218" s="73">
        <v>42334</v>
      </c>
      <c r="B1218" s="74">
        <v>25958.63</v>
      </c>
      <c r="C1218" s="74">
        <v>389.3</v>
      </c>
      <c r="D1218" s="74">
        <f t="shared" si="37"/>
        <v>7.0703774644300509E-3</v>
      </c>
      <c r="E1218" s="74">
        <f t="shared" si="38"/>
        <v>3.0117653463561024E-2</v>
      </c>
      <c r="F1218" s="75"/>
    </row>
    <row r="1219" spans="1:6" ht="14.25" customHeight="1" x14ac:dyDescent="0.3">
      <c r="A1219" s="73">
        <v>42335</v>
      </c>
      <c r="B1219" s="74">
        <v>26128.2</v>
      </c>
      <c r="C1219" s="74">
        <v>379.95</v>
      </c>
      <c r="D1219" s="74">
        <f t="shared" si="37"/>
        <v>6.5110738765749507E-3</v>
      </c>
      <c r="E1219" s="74">
        <f t="shared" si="38"/>
        <v>-2.431058950061624E-2</v>
      </c>
      <c r="F1219" s="75"/>
    </row>
    <row r="1220" spans="1:6" ht="14.25" customHeight="1" x14ac:dyDescent="0.3">
      <c r="A1220" s="73">
        <v>42338</v>
      </c>
      <c r="B1220" s="74">
        <v>26145.67</v>
      </c>
      <c r="C1220" s="74">
        <v>382</v>
      </c>
      <c r="D1220" s="74">
        <f t="shared" ref="D1220:D1283" si="39">LN(B1220/B1219)</f>
        <v>6.6840280432305956E-4</v>
      </c>
      <c r="E1220" s="74">
        <f t="shared" ref="E1220:E1283" si="40">LN(C1220/C1219)</f>
        <v>5.3809434907813184E-3</v>
      </c>
      <c r="F1220" s="75"/>
    </row>
    <row r="1221" spans="1:6" ht="14.25" customHeight="1" x14ac:dyDescent="0.3">
      <c r="A1221" s="73">
        <v>42339</v>
      </c>
      <c r="B1221" s="74">
        <v>26169.41</v>
      </c>
      <c r="C1221" s="74">
        <v>378.4</v>
      </c>
      <c r="D1221" s="74">
        <f t="shared" si="39"/>
        <v>9.0757776264703289E-4</v>
      </c>
      <c r="E1221" s="74">
        <f t="shared" si="40"/>
        <v>-9.4687714288520138E-3</v>
      </c>
      <c r="F1221" s="75"/>
    </row>
    <row r="1222" spans="1:6" ht="14.25" customHeight="1" x14ac:dyDescent="0.3">
      <c r="A1222" s="73">
        <v>42340</v>
      </c>
      <c r="B1222" s="74">
        <v>26117.85</v>
      </c>
      <c r="C1222" s="74">
        <v>377.2</v>
      </c>
      <c r="D1222" s="74">
        <f t="shared" si="39"/>
        <v>-1.9721827730849579E-3</v>
      </c>
      <c r="E1222" s="74">
        <f t="shared" si="40"/>
        <v>-3.1762864184207069E-3</v>
      </c>
      <c r="F1222" s="75"/>
    </row>
    <row r="1223" spans="1:6" ht="14.25" customHeight="1" x14ac:dyDescent="0.3">
      <c r="A1223" s="73">
        <v>42341</v>
      </c>
      <c r="B1223" s="74">
        <v>25886.62</v>
      </c>
      <c r="C1223" s="74">
        <v>371.85</v>
      </c>
      <c r="D1223" s="74">
        <f t="shared" si="39"/>
        <v>-8.8927557121518969E-3</v>
      </c>
      <c r="E1223" s="74">
        <f t="shared" si="40"/>
        <v>-1.4285003609993182E-2</v>
      </c>
      <c r="F1223" s="75"/>
    </row>
    <row r="1224" spans="1:6" ht="14.25" customHeight="1" x14ac:dyDescent="0.3">
      <c r="A1224" s="73">
        <v>42342</v>
      </c>
      <c r="B1224" s="74">
        <v>25638.11</v>
      </c>
      <c r="C1224" s="74">
        <v>366.7</v>
      </c>
      <c r="D1224" s="74">
        <f t="shared" si="39"/>
        <v>-9.6463165169200678E-3</v>
      </c>
      <c r="E1224" s="74">
        <f t="shared" si="40"/>
        <v>-1.3946472072028943E-2</v>
      </c>
      <c r="F1224" s="75"/>
    </row>
    <row r="1225" spans="1:6" ht="14.25" customHeight="1" x14ac:dyDescent="0.3">
      <c r="A1225" s="73">
        <v>42345</v>
      </c>
      <c r="B1225" s="74">
        <v>25530.11</v>
      </c>
      <c r="C1225" s="74">
        <v>367.4</v>
      </c>
      <c r="D1225" s="74">
        <f t="shared" si="39"/>
        <v>-4.2213764864256487E-3</v>
      </c>
      <c r="E1225" s="74">
        <f t="shared" si="40"/>
        <v>1.9070977037448273E-3</v>
      </c>
      <c r="F1225" s="75"/>
    </row>
    <row r="1226" spans="1:6" ht="14.25" customHeight="1" x14ac:dyDescent="0.3">
      <c r="A1226" s="73">
        <v>42346</v>
      </c>
      <c r="B1226" s="74">
        <v>25310.33</v>
      </c>
      <c r="C1226" s="74">
        <v>365.35</v>
      </c>
      <c r="D1226" s="74">
        <f t="shared" si="39"/>
        <v>-8.6459271037854762E-3</v>
      </c>
      <c r="E1226" s="74">
        <f t="shared" si="40"/>
        <v>-5.5953745437982809E-3</v>
      </c>
      <c r="F1226" s="75"/>
    </row>
    <row r="1227" spans="1:6" ht="14.25" customHeight="1" x14ac:dyDescent="0.3">
      <c r="A1227" s="73">
        <v>42347</v>
      </c>
      <c r="B1227" s="74">
        <v>25036.05</v>
      </c>
      <c r="C1227" s="74">
        <v>359.55</v>
      </c>
      <c r="D1227" s="74">
        <f t="shared" si="39"/>
        <v>-1.0895826612205355E-2</v>
      </c>
      <c r="E1227" s="74">
        <f t="shared" si="40"/>
        <v>-1.6002548688723837E-2</v>
      </c>
      <c r="F1227" s="75"/>
    </row>
    <row r="1228" spans="1:6" ht="14.25" customHeight="1" x14ac:dyDescent="0.3">
      <c r="A1228" s="73">
        <v>42348</v>
      </c>
      <c r="B1228" s="74">
        <v>25252.32</v>
      </c>
      <c r="C1228" s="74">
        <v>362.7</v>
      </c>
      <c r="D1228" s="74">
        <f t="shared" si="39"/>
        <v>8.6012465040678394E-3</v>
      </c>
      <c r="E1228" s="74">
        <f t="shared" si="40"/>
        <v>8.7227967403535143E-3</v>
      </c>
      <c r="F1228" s="75"/>
    </row>
    <row r="1229" spans="1:6" ht="14.25" customHeight="1" x14ac:dyDescent="0.3">
      <c r="A1229" s="73">
        <v>42349</v>
      </c>
      <c r="B1229" s="74">
        <v>25044.43</v>
      </c>
      <c r="C1229" s="74">
        <v>353.05</v>
      </c>
      <c r="D1229" s="74">
        <f t="shared" si="39"/>
        <v>-8.2665851718196851E-3</v>
      </c>
      <c r="E1229" s="74">
        <f t="shared" si="40"/>
        <v>-2.6966356326500802E-2</v>
      </c>
      <c r="F1229" s="75"/>
    </row>
    <row r="1230" spans="1:6" ht="14.25" customHeight="1" x14ac:dyDescent="0.3">
      <c r="A1230" s="73">
        <v>42352</v>
      </c>
      <c r="B1230" s="74">
        <v>25150.35</v>
      </c>
      <c r="C1230" s="74">
        <v>353.45</v>
      </c>
      <c r="D1230" s="74">
        <f t="shared" si="39"/>
        <v>4.2203654330585172E-3</v>
      </c>
      <c r="E1230" s="74">
        <f t="shared" si="40"/>
        <v>1.1323426546071577E-3</v>
      </c>
      <c r="F1230" s="75"/>
    </row>
    <row r="1231" spans="1:6" ht="14.25" customHeight="1" x14ac:dyDescent="0.3">
      <c r="A1231" s="73">
        <v>42353</v>
      </c>
      <c r="B1231" s="74">
        <v>25320.44</v>
      </c>
      <c r="C1231" s="74">
        <v>363.4</v>
      </c>
      <c r="D1231" s="74">
        <f t="shared" si="39"/>
        <v>6.7401617422192727E-3</v>
      </c>
      <c r="E1231" s="74">
        <f t="shared" si="40"/>
        <v>2.7762123345107748E-2</v>
      </c>
      <c r="F1231" s="75"/>
    </row>
    <row r="1232" spans="1:6" ht="14.25" customHeight="1" x14ac:dyDescent="0.3">
      <c r="A1232" s="73">
        <v>42354</v>
      </c>
      <c r="B1232" s="74">
        <v>25494.37</v>
      </c>
      <c r="C1232" s="74">
        <v>354.6</v>
      </c>
      <c r="D1232" s="74">
        <f t="shared" si="39"/>
        <v>6.8456687820824431E-3</v>
      </c>
      <c r="E1232" s="74">
        <f t="shared" si="40"/>
        <v>-2.4513762321963187E-2</v>
      </c>
      <c r="F1232" s="75"/>
    </row>
    <row r="1233" spans="1:6" ht="14.25" customHeight="1" x14ac:dyDescent="0.3">
      <c r="A1233" s="73">
        <v>42355</v>
      </c>
      <c r="B1233" s="74">
        <v>25803.78</v>
      </c>
      <c r="C1233" s="74">
        <v>353.9</v>
      </c>
      <c r="D1233" s="74">
        <f t="shared" si="39"/>
        <v>1.2063349349487955E-2</v>
      </c>
      <c r="E1233" s="74">
        <f t="shared" si="40"/>
        <v>-1.9760062886899298E-3</v>
      </c>
      <c r="F1233" s="75"/>
    </row>
    <row r="1234" spans="1:6" ht="14.25" customHeight="1" x14ac:dyDescent="0.3">
      <c r="A1234" s="73">
        <v>42356</v>
      </c>
      <c r="B1234" s="74">
        <v>25519.22</v>
      </c>
      <c r="C1234" s="74">
        <v>361.7</v>
      </c>
      <c r="D1234" s="74">
        <f t="shared" si="39"/>
        <v>-1.1089099077528686E-2</v>
      </c>
      <c r="E1234" s="74">
        <f t="shared" si="40"/>
        <v>2.1800751606634656E-2</v>
      </c>
      <c r="F1234" s="75"/>
    </row>
    <row r="1235" spans="1:6" ht="14.25" customHeight="1" x14ac:dyDescent="0.3">
      <c r="A1235" s="73">
        <v>42359</v>
      </c>
      <c r="B1235" s="74">
        <v>25735.9</v>
      </c>
      <c r="C1235" s="74">
        <v>354.5</v>
      </c>
      <c r="D1235" s="74">
        <f t="shared" si="39"/>
        <v>8.4550105752974874E-3</v>
      </c>
      <c r="E1235" s="74">
        <f t="shared" si="40"/>
        <v>-2.0106792985870012E-2</v>
      </c>
      <c r="F1235" s="75"/>
    </row>
    <row r="1236" spans="1:6" ht="14.25" customHeight="1" x14ac:dyDescent="0.3">
      <c r="A1236" s="73">
        <v>42360</v>
      </c>
      <c r="B1236" s="74">
        <v>25590.65</v>
      </c>
      <c r="C1236" s="74">
        <v>360.95</v>
      </c>
      <c r="D1236" s="74">
        <f t="shared" si="39"/>
        <v>-5.6598539252694993E-3</v>
      </c>
      <c r="E1236" s="74">
        <f t="shared" si="40"/>
        <v>1.8031098612987826E-2</v>
      </c>
      <c r="F1236" s="75"/>
    </row>
    <row r="1237" spans="1:6" ht="14.25" customHeight="1" x14ac:dyDescent="0.3">
      <c r="A1237" s="73">
        <v>42361</v>
      </c>
      <c r="B1237" s="74">
        <v>25850.3</v>
      </c>
      <c r="C1237" s="74">
        <v>357.8</v>
      </c>
      <c r="D1237" s="74">
        <f t="shared" si="39"/>
        <v>1.0095155906758777E-2</v>
      </c>
      <c r="E1237" s="74">
        <f t="shared" si="40"/>
        <v>-8.7652735105512147E-3</v>
      </c>
      <c r="F1237" s="75"/>
    </row>
    <row r="1238" spans="1:6" ht="14.25" customHeight="1" x14ac:dyDescent="0.3">
      <c r="A1238" s="73">
        <v>42362</v>
      </c>
      <c r="B1238" s="74">
        <v>25838.71</v>
      </c>
      <c r="C1238" s="74">
        <v>351.3</v>
      </c>
      <c r="D1238" s="74">
        <f t="shared" si="39"/>
        <v>-4.4845123534917992E-4</v>
      </c>
      <c r="E1238" s="74">
        <f t="shared" si="40"/>
        <v>-1.8333611802837439E-2</v>
      </c>
      <c r="F1238" s="75"/>
    </row>
    <row r="1239" spans="1:6" ht="14.25" customHeight="1" x14ac:dyDescent="0.3">
      <c r="A1239" s="73">
        <v>42366</v>
      </c>
      <c r="B1239" s="74">
        <v>26034.13</v>
      </c>
      <c r="C1239" s="74">
        <v>350.95</v>
      </c>
      <c r="D1239" s="74">
        <f t="shared" si="39"/>
        <v>7.534614434271527E-3</v>
      </c>
      <c r="E1239" s="74">
        <f t="shared" si="40"/>
        <v>-9.9679609535094512E-4</v>
      </c>
      <c r="F1239" s="75"/>
    </row>
    <row r="1240" spans="1:6" ht="14.25" customHeight="1" x14ac:dyDescent="0.3">
      <c r="A1240" s="73">
        <v>42367</v>
      </c>
      <c r="B1240" s="74">
        <v>26079.48</v>
      </c>
      <c r="C1240" s="74">
        <v>350.95</v>
      </c>
      <c r="D1240" s="74">
        <f t="shared" si="39"/>
        <v>1.7404287074889477E-3</v>
      </c>
      <c r="E1240" s="74">
        <f t="shared" si="40"/>
        <v>0</v>
      </c>
      <c r="F1240" s="75"/>
    </row>
    <row r="1241" spans="1:6" ht="14.25" customHeight="1" x14ac:dyDescent="0.3">
      <c r="A1241" s="73">
        <v>42368</v>
      </c>
      <c r="B1241" s="74">
        <v>25960.03</v>
      </c>
      <c r="C1241" s="74">
        <v>349.95</v>
      </c>
      <c r="D1241" s="74">
        <f t="shared" si="39"/>
        <v>-4.5907507501094418E-3</v>
      </c>
      <c r="E1241" s="74">
        <f t="shared" si="40"/>
        <v>-2.8534760408817665E-3</v>
      </c>
      <c r="F1241" s="75"/>
    </row>
    <row r="1242" spans="1:6" ht="14.25" customHeight="1" x14ac:dyDescent="0.3">
      <c r="A1242" s="73">
        <v>42369</v>
      </c>
      <c r="B1242" s="74">
        <v>26117.54</v>
      </c>
      <c r="C1242" s="74">
        <v>346.7</v>
      </c>
      <c r="D1242" s="74">
        <f t="shared" si="39"/>
        <v>6.0490718092498369E-3</v>
      </c>
      <c r="E1242" s="74">
        <f t="shared" si="40"/>
        <v>-9.3304344445709151E-3</v>
      </c>
      <c r="F1242" s="75"/>
    </row>
    <row r="1243" spans="1:6" ht="14.25" customHeight="1" x14ac:dyDescent="0.3">
      <c r="A1243" s="73">
        <v>42370</v>
      </c>
      <c r="B1243" s="74">
        <v>26160.9</v>
      </c>
      <c r="C1243" s="74">
        <v>351.05</v>
      </c>
      <c r="D1243" s="74">
        <f t="shared" si="39"/>
        <v>1.658810398421766E-3</v>
      </c>
      <c r="E1243" s="74">
        <f t="shared" si="40"/>
        <v>1.2468810772280183E-2</v>
      </c>
      <c r="F1243" s="75"/>
    </row>
    <row r="1244" spans="1:6" ht="14.25" customHeight="1" x14ac:dyDescent="0.3">
      <c r="A1244" s="73">
        <v>42373</v>
      </c>
      <c r="B1244" s="74">
        <v>25623.35</v>
      </c>
      <c r="C1244" s="74">
        <v>351.3</v>
      </c>
      <c r="D1244" s="74">
        <f t="shared" si="39"/>
        <v>-2.0761884525401099E-2</v>
      </c>
      <c r="E1244" s="74">
        <f t="shared" si="40"/>
        <v>7.118958085235794E-4</v>
      </c>
      <c r="F1244" s="75"/>
    </row>
    <row r="1245" spans="1:6" ht="14.25" customHeight="1" x14ac:dyDescent="0.3">
      <c r="A1245" s="73">
        <v>42374</v>
      </c>
      <c r="B1245" s="74">
        <v>25580.34</v>
      </c>
      <c r="C1245" s="74">
        <v>347.55</v>
      </c>
      <c r="D1245" s="74">
        <f t="shared" si="39"/>
        <v>-1.6799574450762243E-3</v>
      </c>
      <c r="E1245" s="74">
        <f t="shared" si="40"/>
        <v>-1.0732019725286406E-2</v>
      </c>
      <c r="F1245" s="75"/>
    </row>
    <row r="1246" spans="1:6" ht="14.25" customHeight="1" x14ac:dyDescent="0.3">
      <c r="A1246" s="73">
        <v>42375</v>
      </c>
      <c r="B1246" s="74">
        <v>25406.33</v>
      </c>
      <c r="C1246" s="74">
        <v>348.2</v>
      </c>
      <c r="D1246" s="74">
        <f t="shared" si="39"/>
        <v>-6.8257321218379114E-3</v>
      </c>
      <c r="E1246" s="74">
        <f t="shared" si="40"/>
        <v>1.86848778759369E-3</v>
      </c>
      <c r="F1246" s="75"/>
    </row>
    <row r="1247" spans="1:6" ht="14.25" customHeight="1" x14ac:dyDescent="0.3">
      <c r="A1247" s="73">
        <v>42376</v>
      </c>
      <c r="B1247" s="74">
        <v>24851.83</v>
      </c>
      <c r="C1247" s="74">
        <v>344.05</v>
      </c>
      <c r="D1247" s="74">
        <f t="shared" si="39"/>
        <v>-2.206696389229848E-2</v>
      </c>
      <c r="E1247" s="74">
        <f t="shared" si="40"/>
        <v>-1.199003168559978E-2</v>
      </c>
      <c r="F1247" s="75"/>
    </row>
    <row r="1248" spans="1:6" ht="14.25" customHeight="1" x14ac:dyDescent="0.3">
      <c r="A1248" s="73">
        <v>42377</v>
      </c>
      <c r="B1248" s="74">
        <v>24934.33</v>
      </c>
      <c r="C1248" s="74">
        <v>348.1</v>
      </c>
      <c r="D1248" s="74">
        <f t="shared" si="39"/>
        <v>3.3141770931279686E-3</v>
      </c>
      <c r="E1248" s="74">
        <f t="shared" si="40"/>
        <v>1.1702799168904354E-2</v>
      </c>
      <c r="F1248" s="75"/>
    </row>
    <row r="1249" spans="1:6" ht="14.25" customHeight="1" x14ac:dyDescent="0.3">
      <c r="A1249" s="73">
        <v>42380</v>
      </c>
      <c r="B1249" s="74">
        <v>24825.040000000001</v>
      </c>
      <c r="C1249" s="74">
        <v>345.25</v>
      </c>
      <c r="D1249" s="74">
        <f t="shared" si="39"/>
        <v>-4.3927475665536354E-3</v>
      </c>
      <c r="E1249" s="74">
        <f t="shared" si="40"/>
        <v>-8.2210025279918046E-3</v>
      </c>
      <c r="F1249" s="75"/>
    </row>
    <row r="1250" spans="1:6" ht="14.25" customHeight="1" x14ac:dyDescent="0.3">
      <c r="A1250" s="73">
        <v>42381</v>
      </c>
      <c r="B1250" s="74">
        <v>24682.03</v>
      </c>
      <c r="C1250" s="74">
        <v>346.65</v>
      </c>
      <c r="D1250" s="74">
        <f t="shared" si="39"/>
        <v>-5.7773727179781954E-3</v>
      </c>
      <c r="E1250" s="74">
        <f t="shared" si="40"/>
        <v>4.0468330990978702E-3</v>
      </c>
      <c r="F1250" s="75"/>
    </row>
    <row r="1251" spans="1:6" ht="14.25" customHeight="1" x14ac:dyDescent="0.3">
      <c r="A1251" s="73">
        <v>42382</v>
      </c>
      <c r="B1251" s="74">
        <v>24854.11</v>
      </c>
      <c r="C1251" s="74">
        <v>348.65</v>
      </c>
      <c r="D1251" s="74">
        <f t="shared" si="39"/>
        <v>6.9476827300423427E-3</v>
      </c>
      <c r="E1251" s="74">
        <f t="shared" si="40"/>
        <v>5.7529282785202772E-3</v>
      </c>
      <c r="F1251" s="75"/>
    </row>
    <row r="1252" spans="1:6" ht="14.25" customHeight="1" x14ac:dyDescent="0.3">
      <c r="A1252" s="73">
        <v>42383</v>
      </c>
      <c r="B1252" s="74">
        <v>24772.97</v>
      </c>
      <c r="C1252" s="74">
        <v>342.6</v>
      </c>
      <c r="D1252" s="74">
        <f t="shared" si="39"/>
        <v>-3.2699917988908206E-3</v>
      </c>
      <c r="E1252" s="74">
        <f t="shared" si="40"/>
        <v>-1.750496777700002E-2</v>
      </c>
      <c r="F1252" s="75"/>
    </row>
    <row r="1253" spans="1:6" ht="14.25" customHeight="1" x14ac:dyDescent="0.3">
      <c r="A1253" s="73">
        <v>42384</v>
      </c>
      <c r="B1253" s="74">
        <v>24455.040000000001</v>
      </c>
      <c r="C1253" s="74">
        <v>335</v>
      </c>
      <c r="D1253" s="74">
        <f t="shared" si="39"/>
        <v>-1.29168097747515E-2</v>
      </c>
      <c r="E1253" s="74">
        <f t="shared" si="40"/>
        <v>-2.2433054064953169E-2</v>
      </c>
      <c r="F1253" s="75"/>
    </row>
    <row r="1254" spans="1:6" ht="14.25" customHeight="1" x14ac:dyDescent="0.3">
      <c r="A1254" s="73">
        <v>42387</v>
      </c>
      <c r="B1254" s="74">
        <v>24188.37</v>
      </c>
      <c r="C1254" s="74">
        <v>334.5</v>
      </c>
      <c r="D1254" s="74">
        <f t="shared" si="39"/>
        <v>-1.0964390511932737E-2</v>
      </c>
      <c r="E1254" s="74">
        <f t="shared" si="40"/>
        <v>-1.4936522567832536E-3</v>
      </c>
      <c r="F1254" s="75"/>
    </row>
    <row r="1255" spans="1:6" ht="14.25" customHeight="1" x14ac:dyDescent="0.3">
      <c r="A1255" s="73">
        <v>42388</v>
      </c>
      <c r="B1255" s="74">
        <v>24479.84</v>
      </c>
      <c r="C1255" s="74">
        <v>339.15</v>
      </c>
      <c r="D1255" s="74">
        <f t="shared" si="39"/>
        <v>1.1977982539673677E-2</v>
      </c>
      <c r="E1255" s="74">
        <f t="shared" si="40"/>
        <v>1.3805607823805377E-2</v>
      </c>
      <c r="F1255" s="75"/>
    </row>
    <row r="1256" spans="1:6" ht="14.25" customHeight="1" x14ac:dyDescent="0.3">
      <c r="A1256" s="73">
        <v>42389</v>
      </c>
      <c r="B1256" s="74">
        <v>24062.04</v>
      </c>
      <c r="C1256" s="74">
        <v>341.05</v>
      </c>
      <c r="D1256" s="74">
        <f t="shared" si="39"/>
        <v>-1.7214426692897279E-2</v>
      </c>
      <c r="E1256" s="74">
        <f t="shared" si="40"/>
        <v>5.5866067086399974E-3</v>
      </c>
      <c r="F1256" s="75"/>
    </row>
    <row r="1257" spans="1:6" ht="14.25" customHeight="1" x14ac:dyDescent="0.3">
      <c r="A1257" s="73">
        <v>42390</v>
      </c>
      <c r="B1257" s="74">
        <v>23962.21</v>
      </c>
      <c r="C1257" s="74">
        <v>343</v>
      </c>
      <c r="D1257" s="74">
        <f t="shared" si="39"/>
        <v>-4.1574889267142045E-3</v>
      </c>
      <c r="E1257" s="74">
        <f t="shared" si="40"/>
        <v>5.7013530652114553E-3</v>
      </c>
      <c r="F1257" s="75"/>
    </row>
    <row r="1258" spans="1:6" ht="14.25" customHeight="1" x14ac:dyDescent="0.3">
      <c r="A1258" s="73">
        <v>42391</v>
      </c>
      <c r="B1258" s="74">
        <v>24435.66</v>
      </c>
      <c r="C1258" s="74">
        <v>347.9</v>
      </c>
      <c r="D1258" s="74">
        <f t="shared" si="39"/>
        <v>1.9565534737751071E-2</v>
      </c>
      <c r="E1258" s="74">
        <f t="shared" si="40"/>
        <v>1.4184634991956381E-2</v>
      </c>
      <c r="F1258" s="75"/>
    </row>
    <row r="1259" spans="1:6" ht="14.25" customHeight="1" x14ac:dyDescent="0.3">
      <c r="A1259" s="73">
        <v>42394</v>
      </c>
      <c r="B1259" s="74">
        <v>24485.95</v>
      </c>
      <c r="C1259" s="74">
        <v>354.2</v>
      </c>
      <c r="D1259" s="74">
        <f t="shared" si="39"/>
        <v>2.0559428732717386E-3</v>
      </c>
      <c r="E1259" s="74">
        <f t="shared" si="40"/>
        <v>1.7946643190836824E-2</v>
      </c>
      <c r="F1259" s="75"/>
    </row>
    <row r="1260" spans="1:6" ht="14.25" customHeight="1" x14ac:dyDescent="0.3">
      <c r="A1260" s="73">
        <v>42396</v>
      </c>
      <c r="B1260" s="74">
        <v>24492.39</v>
      </c>
      <c r="C1260" s="74">
        <v>348.95</v>
      </c>
      <c r="D1260" s="74">
        <f t="shared" si="39"/>
        <v>2.6297338934350042E-4</v>
      </c>
      <c r="E1260" s="74">
        <f t="shared" si="40"/>
        <v>-1.4933079885572549E-2</v>
      </c>
      <c r="F1260" s="75"/>
    </row>
    <row r="1261" spans="1:6" ht="14.25" customHeight="1" x14ac:dyDescent="0.3">
      <c r="A1261" s="73">
        <v>42397</v>
      </c>
      <c r="B1261" s="74">
        <v>24469.57</v>
      </c>
      <c r="C1261" s="74">
        <v>339.3</v>
      </c>
      <c r="D1261" s="74">
        <f t="shared" si="39"/>
        <v>-9.3215229342835865E-4</v>
      </c>
      <c r="E1261" s="74">
        <f t="shared" si="40"/>
        <v>-2.8043973672976105E-2</v>
      </c>
      <c r="F1261" s="75"/>
    </row>
    <row r="1262" spans="1:6" ht="14.25" customHeight="1" x14ac:dyDescent="0.3">
      <c r="A1262" s="73">
        <v>42398</v>
      </c>
      <c r="B1262" s="74">
        <v>24870.69</v>
      </c>
      <c r="C1262" s="74">
        <v>363.9</v>
      </c>
      <c r="D1262" s="74">
        <f t="shared" si="39"/>
        <v>1.6259696938273095E-2</v>
      </c>
      <c r="E1262" s="74">
        <f t="shared" si="40"/>
        <v>6.9994432827929651E-2</v>
      </c>
      <c r="F1262" s="75"/>
    </row>
    <row r="1263" spans="1:6" ht="14.25" customHeight="1" x14ac:dyDescent="0.3">
      <c r="A1263" s="73">
        <v>42401</v>
      </c>
      <c r="B1263" s="74">
        <v>24824.83</v>
      </c>
      <c r="C1263" s="74">
        <v>359.15</v>
      </c>
      <c r="D1263" s="74">
        <f t="shared" si="39"/>
        <v>-1.8456397284128756E-3</v>
      </c>
      <c r="E1263" s="74">
        <f t="shared" si="40"/>
        <v>-1.3138976097303507E-2</v>
      </c>
      <c r="F1263" s="75"/>
    </row>
    <row r="1264" spans="1:6" ht="14.25" customHeight="1" x14ac:dyDescent="0.3">
      <c r="A1264" s="73">
        <v>42402</v>
      </c>
      <c r="B1264" s="74">
        <v>24539</v>
      </c>
      <c r="C1264" s="74">
        <v>351.6</v>
      </c>
      <c r="D1264" s="74">
        <f t="shared" si="39"/>
        <v>-1.1580673316021422E-2</v>
      </c>
      <c r="E1264" s="74">
        <f t="shared" si="40"/>
        <v>-2.1245962709788603E-2</v>
      </c>
      <c r="F1264" s="75"/>
    </row>
    <row r="1265" spans="1:6" ht="14.25" customHeight="1" x14ac:dyDescent="0.3">
      <c r="A1265" s="73">
        <v>42403</v>
      </c>
      <c r="B1265" s="74">
        <v>24223.32</v>
      </c>
      <c r="C1265" s="74">
        <v>353.65</v>
      </c>
      <c r="D1265" s="74">
        <f t="shared" si="39"/>
        <v>-1.2947883129401901E-2</v>
      </c>
      <c r="E1265" s="74">
        <f t="shared" si="40"/>
        <v>5.8135576709768804E-3</v>
      </c>
      <c r="F1265" s="75"/>
    </row>
    <row r="1266" spans="1:6" ht="14.25" customHeight="1" x14ac:dyDescent="0.3">
      <c r="A1266" s="73">
        <v>42404</v>
      </c>
      <c r="B1266" s="74">
        <v>24338.43</v>
      </c>
      <c r="C1266" s="74">
        <v>360.75</v>
      </c>
      <c r="D1266" s="74">
        <f t="shared" si="39"/>
        <v>4.7407770762397713E-3</v>
      </c>
      <c r="E1266" s="74">
        <f t="shared" si="40"/>
        <v>1.9877474171981446E-2</v>
      </c>
      <c r="F1266" s="75"/>
    </row>
    <row r="1267" spans="1:6" ht="14.25" customHeight="1" x14ac:dyDescent="0.3">
      <c r="A1267" s="73">
        <v>42405</v>
      </c>
      <c r="B1267" s="74">
        <v>24616.97</v>
      </c>
      <c r="C1267" s="74">
        <v>369.35</v>
      </c>
      <c r="D1267" s="74">
        <f t="shared" si="39"/>
        <v>1.1379459905185397E-2</v>
      </c>
      <c r="E1267" s="74">
        <f t="shared" si="40"/>
        <v>2.3559506320766661E-2</v>
      </c>
      <c r="F1267" s="75"/>
    </row>
    <row r="1268" spans="1:6" ht="14.25" customHeight="1" x14ac:dyDescent="0.3">
      <c r="A1268" s="73">
        <v>42408</v>
      </c>
      <c r="B1268" s="74">
        <v>24287.42</v>
      </c>
      <c r="C1268" s="74">
        <v>371.15</v>
      </c>
      <c r="D1268" s="74">
        <f t="shared" si="39"/>
        <v>-1.3477521685558831E-2</v>
      </c>
      <c r="E1268" s="74">
        <f t="shared" si="40"/>
        <v>4.8615895888090375E-3</v>
      </c>
      <c r="F1268" s="75"/>
    </row>
    <row r="1269" spans="1:6" ht="14.25" customHeight="1" x14ac:dyDescent="0.3">
      <c r="A1269" s="73">
        <v>42409</v>
      </c>
      <c r="B1269" s="74">
        <v>24020.98</v>
      </c>
      <c r="C1269" s="74">
        <v>367</v>
      </c>
      <c r="D1269" s="74">
        <f t="shared" si="39"/>
        <v>-1.1030905669227493E-2</v>
      </c>
      <c r="E1269" s="74">
        <f t="shared" si="40"/>
        <v>-1.1244445508985571E-2</v>
      </c>
      <c r="F1269" s="75"/>
    </row>
    <row r="1270" spans="1:6" ht="14.25" customHeight="1" x14ac:dyDescent="0.3">
      <c r="A1270" s="73">
        <v>42410</v>
      </c>
      <c r="B1270" s="74">
        <v>23758.9</v>
      </c>
      <c r="C1270" s="74">
        <v>367.15</v>
      </c>
      <c r="D1270" s="74">
        <f t="shared" si="39"/>
        <v>-1.0970418027014376E-2</v>
      </c>
      <c r="E1270" s="74">
        <f t="shared" si="40"/>
        <v>4.0863584304908244E-4</v>
      </c>
      <c r="F1270" s="75"/>
    </row>
    <row r="1271" spans="1:6" ht="14.25" customHeight="1" x14ac:dyDescent="0.3">
      <c r="A1271" s="73">
        <v>42411</v>
      </c>
      <c r="B1271" s="74">
        <v>22951.83</v>
      </c>
      <c r="C1271" s="74">
        <v>355.4</v>
      </c>
      <c r="D1271" s="74">
        <f t="shared" si="39"/>
        <v>-3.4559525236745728E-2</v>
      </c>
      <c r="E1271" s="74">
        <f t="shared" si="40"/>
        <v>-3.2526568177068504E-2</v>
      </c>
      <c r="F1271" s="75"/>
    </row>
    <row r="1272" spans="1:6" ht="14.25" customHeight="1" x14ac:dyDescent="0.3">
      <c r="A1272" s="73">
        <v>42412</v>
      </c>
      <c r="B1272" s="74">
        <v>22986.12</v>
      </c>
      <c r="C1272" s="74">
        <v>356.2</v>
      </c>
      <c r="D1272" s="74">
        <f t="shared" si="39"/>
        <v>1.4928836122861779E-3</v>
      </c>
      <c r="E1272" s="74">
        <f t="shared" si="40"/>
        <v>2.248455135010265E-3</v>
      </c>
      <c r="F1272" s="75"/>
    </row>
    <row r="1273" spans="1:6" ht="14.25" customHeight="1" x14ac:dyDescent="0.3">
      <c r="A1273" s="73">
        <v>42415</v>
      </c>
      <c r="B1273" s="74">
        <v>23554.12</v>
      </c>
      <c r="C1273" s="74">
        <v>358.9</v>
      </c>
      <c r="D1273" s="74">
        <f t="shared" si="39"/>
        <v>2.4410196580460647E-2</v>
      </c>
      <c r="E1273" s="74">
        <f t="shared" si="40"/>
        <v>7.5514272980002836E-3</v>
      </c>
      <c r="F1273" s="75"/>
    </row>
    <row r="1274" spans="1:6" ht="14.25" customHeight="1" x14ac:dyDescent="0.3">
      <c r="A1274" s="73">
        <v>42416</v>
      </c>
      <c r="B1274" s="74">
        <v>23191.97</v>
      </c>
      <c r="C1274" s="74">
        <v>349.15</v>
      </c>
      <c r="D1274" s="74">
        <f t="shared" si="39"/>
        <v>-1.549465401342438E-2</v>
      </c>
      <c r="E1274" s="74">
        <f t="shared" si="40"/>
        <v>-2.754216886151728E-2</v>
      </c>
      <c r="F1274" s="75"/>
    </row>
    <row r="1275" spans="1:6" ht="14.25" customHeight="1" x14ac:dyDescent="0.3">
      <c r="A1275" s="73">
        <v>42417</v>
      </c>
      <c r="B1275" s="74">
        <v>23381.87</v>
      </c>
      <c r="C1275" s="74">
        <v>327</v>
      </c>
      <c r="D1275" s="74">
        <f t="shared" si="39"/>
        <v>8.1548376678036664E-3</v>
      </c>
      <c r="E1275" s="74">
        <f t="shared" si="40"/>
        <v>-6.5541458394790794E-2</v>
      </c>
      <c r="F1275" s="75"/>
    </row>
    <row r="1276" spans="1:6" ht="14.25" customHeight="1" x14ac:dyDescent="0.3">
      <c r="A1276" s="73">
        <v>42418</v>
      </c>
      <c r="B1276" s="74">
        <v>23649.22</v>
      </c>
      <c r="C1276" s="74">
        <v>334.05</v>
      </c>
      <c r="D1276" s="74">
        <f t="shared" si="39"/>
        <v>1.1369197684720462E-2</v>
      </c>
      <c r="E1276" s="74">
        <f t="shared" si="40"/>
        <v>2.1330511474232944E-2</v>
      </c>
      <c r="F1276" s="75"/>
    </row>
    <row r="1277" spans="1:6" ht="14.25" customHeight="1" x14ac:dyDescent="0.3">
      <c r="A1277" s="73">
        <v>42419</v>
      </c>
      <c r="B1277" s="74">
        <v>23709.15</v>
      </c>
      <c r="C1277" s="74">
        <v>334.25</v>
      </c>
      <c r="D1277" s="74">
        <f t="shared" si="39"/>
        <v>2.5309161607678593E-3</v>
      </c>
      <c r="E1277" s="74">
        <f t="shared" si="40"/>
        <v>5.9853361056621602E-4</v>
      </c>
      <c r="F1277" s="75"/>
    </row>
    <row r="1278" spans="1:6" ht="14.25" customHeight="1" x14ac:dyDescent="0.3">
      <c r="A1278" s="73">
        <v>42422</v>
      </c>
      <c r="B1278" s="74">
        <v>23788.79</v>
      </c>
      <c r="C1278" s="74">
        <v>338.1</v>
      </c>
      <c r="D1278" s="74">
        <f t="shared" si="39"/>
        <v>3.3534117324565214E-3</v>
      </c>
      <c r="E1278" s="74">
        <f t="shared" si="40"/>
        <v>1.1452493731787729E-2</v>
      </c>
      <c r="F1278" s="75"/>
    </row>
    <row r="1279" spans="1:6" ht="14.25" customHeight="1" x14ac:dyDescent="0.3">
      <c r="A1279" s="73">
        <v>42423</v>
      </c>
      <c r="B1279" s="74">
        <v>23410.18</v>
      </c>
      <c r="C1279" s="74">
        <v>329</v>
      </c>
      <c r="D1279" s="74">
        <f t="shared" si="39"/>
        <v>-1.6043490819721853E-2</v>
      </c>
      <c r="E1279" s="74">
        <f t="shared" si="40"/>
        <v>-2.7283958948468506E-2</v>
      </c>
      <c r="F1279" s="75"/>
    </row>
    <row r="1280" spans="1:6" ht="14.25" customHeight="1" x14ac:dyDescent="0.3">
      <c r="A1280" s="73">
        <v>42424</v>
      </c>
      <c r="B1280" s="74">
        <v>23088.93</v>
      </c>
      <c r="C1280" s="74">
        <v>327.39999999999998</v>
      </c>
      <c r="D1280" s="74">
        <f t="shared" si="39"/>
        <v>-1.381768860949302E-2</v>
      </c>
      <c r="E1280" s="74">
        <f t="shared" si="40"/>
        <v>-4.875085828337386E-3</v>
      </c>
      <c r="F1280" s="75"/>
    </row>
    <row r="1281" spans="1:6" ht="14.25" customHeight="1" x14ac:dyDescent="0.3">
      <c r="A1281" s="73">
        <v>42425</v>
      </c>
      <c r="B1281" s="74">
        <v>22976</v>
      </c>
      <c r="C1281" s="74">
        <v>324.8</v>
      </c>
      <c r="D1281" s="74">
        <f t="shared" si="39"/>
        <v>-4.9030890197378045E-3</v>
      </c>
      <c r="E1281" s="74">
        <f t="shared" si="40"/>
        <v>-7.973056649511515E-3</v>
      </c>
      <c r="F1281" s="75"/>
    </row>
    <row r="1282" spans="1:6" ht="14.25" customHeight="1" x14ac:dyDescent="0.3">
      <c r="A1282" s="73">
        <v>42426</v>
      </c>
      <c r="B1282" s="74">
        <v>23154.3</v>
      </c>
      <c r="C1282" s="74">
        <v>330.6</v>
      </c>
      <c r="D1282" s="74">
        <f t="shared" si="39"/>
        <v>7.7303155583253172E-3</v>
      </c>
      <c r="E1282" s="74">
        <f t="shared" si="40"/>
        <v>1.7699577099400857E-2</v>
      </c>
      <c r="F1282" s="75"/>
    </row>
    <row r="1283" spans="1:6" ht="14.25" customHeight="1" x14ac:dyDescent="0.3">
      <c r="A1283" s="73">
        <v>42429</v>
      </c>
      <c r="B1283" s="74">
        <v>23002</v>
      </c>
      <c r="C1283" s="74">
        <v>316.35000000000002</v>
      </c>
      <c r="D1283" s="74">
        <f t="shared" si="39"/>
        <v>-6.599339753749431E-3</v>
      </c>
      <c r="E1283" s="74">
        <f t="shared" si="40"/>
        <v>-4.4059989794030543E-2</v>
      </c>
      <c r="F1283" s="75"/>
    </row>
    <row r="1284" spans="1:6" ht="14.25" customHeight="1" x14ac:dyDescent="0.3">
      <c r="A1284" s="73">
        <v>42430</v>
      </c>
      <c r="B1284" s="74">
        <v>23779.35</v>
      </c>
      <c r="C1284" s="74">
        <v>336.9</v>
      </c>
      <c r="D1284" s="74">
        <f t="shared" ref="D1284:D1347" si="41">LN(B1284/B1283)</f>
        <v>3.3236388324639883E-2</v>
      </c>
      <c r="E1284" s="74">
        <f t="shared" ref="E1284:E1347" si="42">LN(C1284/C1283)</f>
        <v>6.2936954819613852E-2</v>
      </c>
      <c r="F1284" s="75"/>
    </row>
    <row r="1285" spans="1:6" ht="14.25" customHeight="1" x14ac:dyDescent="0.3">
      <c r="A1285" s="73">
        <v>42431</v>
      </c>
      <c r="B1285" s="74">
        <v>24242.98</v>
      </c>
      <c r="C1285" s="74">
        <v>334.2</v>
      </c>
      <c r="D1285" s="74">
        <f t="shared" si="41"/>
        <v>1.9309533943643778E-2</v>
      </c>
      <c r="E1285" s="74">
        <f t="shared" si="42"/>
        <v>-8.0465342512137696E-3</v>
      </c>
      <c r="F1285" s="75"/>
    </row>
    <row r="1286" spans="1:6" ht="14.25" customHeight="1" x14ac:dyDescent="0.3">
      <c r="A1286" s="73">
        <v>42432</v>
      </c>
      <c r="B1286" s="74">
        <v>24606.99</v>
      </c>
      <c r="C1286" s="74">
        <v>342.35</v>
      </c>
      <c r="D1286" s="74">
        <f t="shared" si="41"/>
        <v>1.4903457979181294E-2</v>
      </c>
      <c r="E1286" s="74">
        <f t="shared" si="42"/>
        <v>2.4093989405778608E-2</v>
      </c>
      <c r="F1286" s="75"/>
    </row>
    <row r="1287" spans="1:6" ht="14.25" customHeight="1" x14ac:dyDescent="0.3">
      <c r="A1287" s="73">
        <v>42433</v>
      </c>
      <c r="B1287" s="74">
        <v>24646.48</v>
      </c>
      <c r="C1287" s="74">
        <v>338.45</v>
      </c>
      <c r="D1287" s="74">
        <f t="shared" si="41"/>
        <v>1.6035421854286847E-3</v>
      </c>
      <c r="E1287" s="74">
        <f t="shared" si="42"/>
        <v>-1.1457234612455377E-2</v>
      </c>
      <c r="F1287" s="75"/>
    </row>
    <row r="1288" spans="1:6" ht="14.25" customHeight="1" x14ac:dyDescent="0.3">
      <c r="A1288" s="73">
        <v>42437</v>
      </c>
      <c r="B1288" s="74">
        <v>24659.23</v>
      </c>
      <c r="C1288" s="74">
        <v>342.1</v>
      </c>
      <c r="D1288" s="74">
        <f t="shared" si="41"/>
        <v>5.1718149010305462E-4</v>
      </c>
      <c r="E1288" s="74">
        <f t="shared" si="42"/>
        <v>1.0726721028942496E-2</v>
      </c>
      <c r="F1288" s="75"/>
    </row>
    <row r="1289" spans="1:6" ht="14.25" customHeight="1" x14ac:dyDescent="0.3">
      <c r="A1289" s="73">
        <v>42438</v>
      </c>
      <c r="B1289" s="74">
        <v>24793.96</v>
      </c>
      <c r="C1289" s="74">
        <v>339.45</v>
      </c>
      <c r="D1289" s="74">
        <f t="shared" si="41"/>
        <v>5.4488025277285822E-3</v>
      </c>
      <c r="E1289" s="74">
        <f t="shared" si="42"/>
        <v>-7.7764312359029754E-3</v>
      </c>
      <c r="F1289" s="75"/>
    </row>
    <row r="1290" spans="1:6" ht="14.25" customHeight="1" x14ac:dyDescent="0.3">
      <c r="A1290" s="73">
        <v>42439</v>
      </c>
      <c r="B1290" s="74">
        <v>24623.34</v>
      </c>
      <c r="C1290" s="74">
        <v>338.85</v>
      </c>
      <c r="D1290" s="74">
        <f t="shared" si="41"/>
        <v>-6.9053015027098902E-3</v>
      </c>
      <c r="E1290" s="74">
        <f t="shared" si="42"/>
        <v>-1.7691291655340558E-3</v>
      </c>
      <c r="F1290" s="75"/>
    </row>
    <row r="1291" spans="1:6" ht="14.25" customHeight="1" x14ac:dyDescent="0.3">
      <c r="A1291" s="73">
        <v>42440</v>
      </c>
      <c r="B1291" s="74">
        <v>24717.99</v>
      </c>
      <c r="C1291" s="74">
        <v>345.6</v>
      </c>
      <c r="D1291" s="74">
        <f t="shared" si="41"/>
        <v>3.8365449855808534E-3</v>
      </c>
      <c r="E1291" s="74">
        <f t="shared" si="42"/>
        <v>1.9724505347778573E-2</v>
      </c>
      <c r="F1291" s="75"/>
    </row>
    <row r="1292" spans="1:6" ht="14.25" customHeight="1" x14ac:dyDescent="0.3">
      <c r="A1292" s="73">
        <v>42443</v>
      </c>
      <c r="B1292" s="74">
        <v>24804.28</v>
      </c>
      <c r="C1292" s="74">
        <v>342.55</v>
      </c>
      <c r="D1292" s="74">
        <f t="shared" si="41"/>
        <v>3.4849003217853609E-3</v>
      </c>
      <c r="E1292" s="74">
        <f t="shared" si="42"/>
        <v>-8.864404480992516E-3</v>
      </c>
      <c r="F1292" s="75"/>
    </row>
    <row r="1293" spans="1:6" ht="14.25" customHeight="1" x14ac:dyDescent="0.3">
      <c r="A1293" s="73">
        <v>42444</v>
      </c>
      <c r="B1293" s="74">
        <v>24551.17</v>
      </c>
      <c r="C1293" s="74">
        <v>344.15</v>
      </c>
      <c r="D1293" s="74">
        <f t="shared" si="41"/>
        <v>-1.0256707979700111E-2</v>
      </c>
      <c r="E1293" s="74">
        <f t="shared" si="42"/>
        <v>4.659976395465136E-3</v>
      </c>
      <c r="F1293" s="75"/>
    </row>
    <row r="1294" spans="1:6" ht="14.25" customHeight="1" x14ac:dyDescent="0.3">
      <c r="A1294" s="73">
        <v>42445</v>
      </c>
      <c r="B1294" s="74">
        <v>24682.48</v>
      </c>
      <c r="C1294" s="74">
        <v>340</v>
      </c>
      <c r="D1294" s="74">
        <f t="shared" si="41"/>
        <v>5.3341692663763868E-3</v>
      </c>
      <c r="E1294" s="74">
        <f t="shared" si="42"/>
        <v>-1.2131991234166082E-2</v>
      </c>
      <c r="F1294" s="75"/>
    </row>
    <row r="1295" spans="1:6" ht="14.25" customHeight="1" x14ac:dyDescent="0.3">
      <c r="A1295" s="73">
        <v>42446</v>
      </c>
      <c r="B1295" s="74">
        <v>24677.37</v>
      </c>
      <c r="C1295" s="74">
        <v>339.7</v>
      </c>
      <c r="D1295" s="74">
        <f t="shared" si="41"/>
        <v>-2.0705087305805916E-4</v>
      </c>
      <c r="E1295" s="74">
        <f t="shared" si="42"/>
        <v>-8.8274244366892576E-4</v>
      </c>
      <c r="F1295" s="75"/>
    </row>
    <row r="1296" spans="1:6" ht="14.25" customHeight="1" x14ac:dyDescent="0.3">
      <c r="A1296" s="73">
        <v>42447</v>
      </c>
      <c r="B1296" s="74">
        <v>24952.74</v>
      </c>
      <c r="C1296" s="74">
        <v>337.7</v>
      </c>
      <c r="D1296" s="74">
        <f t="shared" si="41"/>
        <v>1.1097006467681587E-2</v>
      </c>
      <c r="E1296" s="74">
        <f t="shared" si="42"/>
        <v>-5.9049477750162177E-3</v>
      </c>
      <c r="F1296" s="75"/>
    </row>
    <row r="1297" spans="1:6" ht="14.25" customHeight="1" x14ac:dyDescent="0.3">
      <c r="A1297" s="73">
        <v>42450</v>
      </c>
      <c r="B1297" s="74">
        <v>25285.37</v>
      </c>
      <c r="C1297" s="74">
        <v>341.9</v>
      </c>
      <c r="D1297" s="74">
        <f t="shared" si="41"/>
        <v>1.3242331799539556E-2</v>
      </c>
      <c r="E1297" s="74">
        <f t="shared" si="42"/>
        <v>1.2360369253733575E-2</v>
      </c>
      <c r="F1297" s="75"/>
    </row>
    <row r="1298" spans="1:6" ht="14.25" customHeight="1" x14ac:dyDescent="0.3">
      <c r="A1298" s="73">
        <v>42451</v>
      </c>
      <c r="B1298" s="74">
        <v>25330.49</v>
      </c>
      <c r="C1298" s="74">
        <v>357.55</v>
      </c>
      <c r="D1298" s="74">
        <f t="shared" si="41"/>
        <v>1.7828408704799199E-3</v>
      </c>
      <c r="E1298" s="74">
        <f t="shared" si="42"/>
        <v>4.475691584914944E-2</v>
      </c>
      <c r="F1298" s="75"/>
    </row>
    <row r="1299" spans="1:6" ht="14.25" customHeight="1" x14ac:dyDescent="0.3">
      <c r="A1299" s="73">
        <v>42452</v>
      </c>
      <c r="B1299" s="74">
        <v>25337.56</v>
      </c>
      <c r="C1299" s="74">
        <v>352.5</v>
      </c>
      <c r="D1299" s="74">
        <f t="shared" si="41"/>
        <v>2.7907132979801863E-4</v>
      </c>
      <c r="E1299" s="74">
        <f t="shared" si="42"/>
        <v>-1.4224590242081654E-2</v>
      </c>
      <c r="F1299" s="75"/>
    </row>
    <row r="1300" spans="1:6" ht="14.25" customHeight="1" x14ac:dyDescent="0.3">
      <c r="A1300" s="73">
        <v>42457</v>
      </c>
      <c r="B1300" s="74">
        <v>24966.400000000001</v>
      </c>
      <c r="C1300" s="74">
        <v>327.60000000000002</v>
      </c>
      <c r="D1300" s="74">
        <f t="shared" si="41"/>
        <v>-1.4756958916742748E-2</v>
      </c>
      <c r="E1300" s="74">
        <f t="shared" si="42"/>
        <v>-7.3257270273408878E-2</v>
      </c>
      <c r="F1300" s="75"/>
    </row>
    <row r="1301" spans="1:6" ht="14.25" customHeight="1" x14ac:dyDescent="0.3">
      <c r="A1301" s="73">
        <v>42458</v>
      </c>
      <c r="B1301" s="74">
        <v>24900.46</v>
      </c>
      <c r="C1301" s="74">
        <v>330.5</v>
      </c>
      <c r="D1301" s="74">
        <f t="shared" si="41"/>
        <v>-2.644643694541789E-3</v>
      </c>
      <c r="E1301" s="74">
        <f t="shared" si="42"/>
        <v>8.8133073128265869E-3</v>
      </c>
      <c r="F1301" s="75"/>
    </row>
    <row r="1302" spans="1:6" ht="14.25" customHeight="1" x14ac:dyDescent="0.3">
      <c r="A1302" s="73">
        <v>42459</v>
      </c>
      <c r="B1302" s="74">
        <v>25338.58</v>
      </c>
      <c r="C1302" s="74">
        <v>338.3</v>
      </c>
      <c r="D1302" s="74">
        <f t="shared" si="41"/>
        <v>1.7441858242441023E-2</v>
      </c>
      <c r="E1302" s="74">
        <f t="shared" si="42"/>
        <v>2.3326416494921825E-2</v>
      </c>
      <c r="F1302" s="75"/>
    </row>
    <row r="1303" spans="1:6" ht="14.25" customHeight="1" x14ac:dyDescent="0.3">
      <c r="A1303" s="73">
        <v>42460</v>
      </c>
      <c r="B1303" s="74">
        <v>25341.86</v>
      </c>
      <c r="C1303" s="74">
        <v>338.8</v>
      </c>
      <c r="D1303" s="74">
        <f t="shared" si="41"/>
        <v>1.2943849755765014E-4</v>
      </c>
      <c r="E1303" s="74">
        <f t="shared" si="42"/>
        <v>1.4768869912365624E-3</v>
      </c>
      <c r="F1303" s="75"/>
    </row>
    <row r="1304" spans="1:6" ht="14.25" customHeight="1" x14ac:dyDescent="0.3">
      <c r="A1304" s="73">
        <v>42461</v>
      </c>
      <c r="B1304" s="74">
        <v>25269.64</v>
      </c>
      <c r="C1304" s="74">
        <v>340.3</v>
      </c>
      <c r="D1304" s="74">
        <f t="shared" si="41"/>
        <v>-2.8538987786469582E-3</v>
      </c>
      <c r="E1304" s="74">
        <f t="shared" si="42"/>
        <v>4.417618728960614E-3</v>
      </c>
      <c r="F1304" s="75"/>
    </row>
    <row r="1305" spans="1:6" ht="14.25" customHeight="1" x14ac:dyDescent="0.3">
      <c r="A1305" s="73">
        <v>42464</v>
      </c>
      <c r="B1305" s="74">
        <v>25399.65</v>
      </c>
      <c r="C1305" s="74">
        <v>344.65</v>
      </c>
      <c r="D1305" s="74">
        <f t="shared" si="41"/>
        <v>5.1317192450376116E-3</v>
      </c>
      <c r="E1305" s="74">
        <f t="shared" si="42"/>
        <v>1.2701827824800681E-2</v>
      </c>
      <c r="F1305" s="75"/>
    </row>
    <row r="1306" spans="1:6" ht="14.25" customHeight="1" x14ac:dyDescent="0.3">
      <c r="A1306" s="73">
        <v>42465</v>
      </c>
      <c r="B1306" s="74">
        <v>24883.59</v>
      </c>
      <c r="C1306" s="74">
        <v>345.75</v>
      </c>
      <c r="D1306" s="74">
        <f t="shared" si="41"/>
        <v>-2.0526844335689562E-2</v>
      </c>
      <c r="E1306" s="74">
        <f t="shared" si="42"/>
        <v>3.186561213206888E-3</v>
      </c>
      <c r="F1306" s="75"/>
    </row>
    <row r="1307" spans="1:6" ht="14.25" customHeight="1" x14ac:dyDescent="0.3">
      <c r="A1307" s="73">
        <v>42466</v>
      </c>
      <c r="B1307" s="74">
        <v>24900.63</v>
      </c>
      <c r="C1307" s="74">
        <v>347.9</v>
      </c>
      <c r="D1307" s="74">
        <f t="shared" si="41"/>
        <v>6.8455428910744499E-4</v>
      </c>
      <c r="E1307" s="74">
        <f t="shared" si="42"/>
        <v>6.1991116130286766E-3</v>
      </c>
      <c r="F1307" s="75"/>
    </row>
    <row r="1308" spans="1:6" ht="14.25" customHeight="1" x14ac:dyDescent="0.3">
      <c r="A1308" s="73">
        <v>42467</v>
      </c>
      <c r="B1308" s="74">
        <v>24685.42</v>
      </c>
      <c r="C1308" s="74">
        <v>338.8</v>
      </c>
      <c r="D1308" s="74">
        <f t="shared" si="41"/>
        <v>-8.6803184081248284E-3</v>
      </c>
      <c r="E1308" s="74">
        <f t="shared" si="42"/>
        <v>-2.6505119379996969E-2</v>
      </c>
      <c r="F1308" s="75"/>
    </row>
    <row r="1309" spans="1:6" ht="14.25" customHeight="1" x14ac:dyDescent="0.3">
      <c r="A1309" s="73">
        <v>42468</v>
      </c>
      <c r="B1309" s="74">
        <v>24673.84</v>
      </c>
      <c r="C1309" s="74">
        <v>335.8</v>
      </c>
      <c r="D1309" s="74">
        <f t="shared" si="41"/>
        <v>-4.6921287768309677E-4</v>
      </c>
      <c r="E1309" s="74">
        <f t="shared" si="42"/>
        <v>-8.8942181344589012E-3</v>
      </c>
      <c r="F1309" s="75"/>
    </row>
    <row r="1310" spans="1:6" ht="14.25" customHeight="1" x14ac:dyDescent="0.3">
      <c r="A1310" s="73">
        <v>42471</v>
      </c>
      <c r="B1310" s="74">
        <v>25022.16</v>
      </c>
      <c r="C1310" s="74">
        <v>344.55</v>
      </c>
      <c r="D1310" s="74">
        <f t="shared" si="41"/>
        <v>1.401825917811292E-2</v>
      </c>
      <c r="E1310" s="74">
        <f t="shared" si="42"/>
        <v>2.572347315977646E-2</v>
      </c>
      <c r="F1310" s="75"/>
    </row>
    <row r="1311" spans="1:6" ht="14.25" customHeight="1" x14ac:dyDescent="0.3">
      <c r="A1311" s="73">
        <v>42472</v>
      </c>
      <c r="B1311" s="74">
        <v>25145.59</v>
      </c>
      <c r="C1311" s="74">
        <v>350.65</v>
      </c>
      <c r="D1311" s="74">
        <f t="shared" si="41"/>
        <v>4.9207010102646888E-3</v>
      </c>
      <c r="E1311" s="74">
        <f t="shared" si="42"/>
        <v>1.7549357179702331E-2</v>
      </c>
      <c r="F1311" s="75"/>
    </row>
    <row r="1312" spans="1:6" ht="14.25" customHeight="1" x14ac:dyDescent="0.3">
      <c r="A1312" s="73">
        <v>42473</v>
      </c>
      <c r="B1312" s="74">
        <v>25626.75</v>
      </c>
      <c r="C1312" s="74">
        <v>353.75</v>
      </c>
      <c r="D1312" s="74">
        <f t="shared" si="41"/>
        <v>1.8954194551679102E-2</v>
      </c>
      <c r="E1312" s="74">
        <f t="shared" si="42"/>
        <v>8.8018739745279219E-3</v>
      </c>
      <c r="F1312" s="75"/>
    </row>
    <row r="1313" spans="1:6" ht="14.25" customHeight="1" x14ac:dyDescent="0.3">
      <c r="A1313" s="73">
        <v>42478</v>
      </c>
      <c r="B1313" s="74">
        <v>25816.36</v>
      </c>
      <c r="C1313" s="74">
        <v>360.5</v>
      </c>
      <c r="D1313" s="74">
        <f t="shared" si="41"/>
        <v>7.3716716831814504E-3</v>
      </c>
      <c r="E1313" s="74">
        <f t="shared" si="42"/>
        <v>1.8901507767556433E-2</v>
      </c>
      <c r="F1313" s="75"/>
    </row>
    <row r="1314" spans="1:6" ht="14.25" customHeight="1" x14ac:dyDescent="0.3">
      <c r="A1314" s="73">
        <v>42480</v>
      </c>
      <c r="B1314" s="74">
        <v>25844.18</v>
      </c>
      <c r="C1314" s="74">
        <v>374.6</v>
      </c>
      <c r="D1314" s="74">
        <f t="shared" si="41"/>
        <v>1.0770310449429018E-3</v>
      </c>
      <c r="E1314" s="74">
        <f t="shared" si="42"/>
        <v>3.83668332849844E-2</v>
      </c>
      <c r="F1314" s="75"/>
    </row>
    <row r="1315" spans="1:6" ht="14.25" customHeight="1" x14ac:dyDescent="0.3">
      <c r="A1315" s="73">
        <v>42481</v>
      </c>
      <c r="B1315" s="74">
        <v>25880.38</v>
      </c>
      <c r="C1315" s="74">
        <v>369.3</v>
      </c>
      <c r="D1315" s="74">
        <f t="shared" si="41"/>
        <v>1.3997221401329794E-3</v>
      </c>
      <c r="E1315" s="74">
        <f t="shared" si="42"/>
        <v>-1.4249468151470667E-2</v>
      </c>
      <c r="F1315" s="75"/>
    </row>
    <row r="1316" spans="1:6" ht="14.25" customHeight="1" x14ac:dyDescent="0.3">
      <c r="A1316" s="73">
        <v>42482</v>
      </c>
      <c r="B1316" s="74">
        <v>25838.14</v>
      </c>
      <c r="C1316" s="74">
        <v>370.4</v>
      </c>
      <c r="D1316" s="74">
        <f t="shared" si="41"/>
        <v>-1.6334577784519247E-3</v>
      </c>
      <c r="E1316" s="74">
        <f t="shared" si="42"/>
        <v>2.9741809135067311E-3</v>
      </c>
      <c r="F1316" s="75"/>
    </row>
    <row r="1317" spans="1:6" ht="14.25" customHeight="1" x14ac:dyDescent="0.3">
      <c r="A1317" s="73">
        <v>42485</v>
      </c>
      <c r="B1317" s="74">
        <v>25678.93</v>
      </c>
      <c r="C1317" s="74">
        <v>373.5</v>
      </c>
      <c r="D1317" s="74">
        <f t="shared" si="41"/>
        <v>-6.1808836124513308E-3</v>
      </c>
      <c r="E1317" s="74">
        <f t="shared" si="42"/>
        <v>8.3345018008476584E-3</v>
      </c>
      <c r="F1317" s="75"/>
    </row>
    <row r="1318" spans="1:6" ht="14.25" customHeight="1" x14ac:dyDescent="0.3">
      <c r="A1318" s="73">
        <v>42486</v>
      </c>
      <c r="B1318" s="74">
        <v>26007.3</v>
      </c>
      <c r="C1318" s="74">
        <v>371.9</v>
      </c>
      <c r="D1318" s="74">
        <f t="shared" si="41"/>
        <v>1.2706456556932848E-2</v>
      </c>
      <c r="E1318" s="74">
        <f t="shared" si="42"/>
        <v>-4.2930036418476463E-3</v>
      </c>
      <c r="F1318" s="75"/>
    </row>
    <row r="1319" spans="1:6" ht="14.25" customHeight="1" x14ac:dyDescent="0.3">
      <c r="A1319" s="73">
        <v>42487</v>
      </c>
      <c r="B1319" s="74">
        <v>26064.12</v>
      </c>
      <c r="C1319" s="74">
        <v>371.7</v>
      </c>
      <c r="D1319" s="74">
        <f t="shared" si="41"/>
        <v>2.1823880567089461E-3</v>
      </c>
      <c r="E1319" s="74">
        <f t="shared" si="42"/>
        <v>-5.3792362781787217E-4</v>
      </c>
      <c r="F1319" s="75"/>
    </row>
    <row r="1320" spans="1:6" ht="14.25" customHeight="1" x14ac:dyDescent="0.3">
      <c r="A1320" s="73">
        <v>42488</v>
      </c>
      <c r="B1320" s="74">
        <v>25603.1</v>
      </c>
      <c r="C1320" s="74">
        <v>369.25</v>
      </c>
      <c r="D1320" s="74">
        <f t="shared" si="41"/>
        <v>-1.7846217996395658E-2</v>
      </c>
      <c r="E1320" s="74">
        <f t="shared" si="42"/>
        <v>-6.6131558917172303E-3</v>
      </c>
      <c r="F1320" s="75"/>
    </row>
    <row r="1321" spans="1:6" ht="14.25" customHeight="1" x14ac:dyDescent="0.3">
      <c r="A1321" s="73">
        <v>42489</v>
      </c>
      <c r="B1321" s="74">
        <v>25606.62</v>
      </c>
      <c r="C1321" s="74">
        <v>355.4</v>
      </c>
      <c r="D1321" s="74">
        <f t="shared" si="41"/>
        <v>1.3747390165559013E-4</v>
      </c>
      <c r="E1321" s="74">
        <f t="shared" si="42"/>
        <v>-3.8230005690938249E-2</v>
      </c>
      <c r="F1321" s="75"/>
    </row>
    <row r="1322" spans="1:6" ht="14.25" customHeight="1" x14ac:dyDescent="0.3">
      <c r="A1322" s="73">
        <v>42492</v>
      </c>
      <c r="B1322" s="74">
        <v>25436.97</v>
      </c>
      <c r="C1322" s="74">
        <v>366.55</v>
      </c>
      <c r="D1322" s="74">
        <f t="shared" si="41"/>
        <v>-6.6472842009971823E-3</v>
      </c>
      <c r="E1322" s="74">
        <f t="shared" si="42"/>
        <v>3.0891021949044636E-2</v>
      </c>
      <c r="F1322" s="75"/>
    </row>
    <row r="1323" spans="1:6" ht="14.25" customHeight="1" x14ac:dyDescent="0.3">
      <c r="A1323" s="73">
        <v>42493</v>
      </c>
      <c r="B1323" s="74">
        <v>25229.7</v>
      </c>
      <c r="C1323" s="74">
        <v>361.25</v>
      </c>
      <c r="D1323" s="74">
        <f t="shared" si="41"/>
        <v>-8.1817556290671497E-3</v>
      </c>
      <c r="E1323" s="74">
        <f t="shared" si="42"/>
        <v>-1.4564698242953651E-2</v>
      </c>
      <c r="F1323" s="75"/>
    </row>
    <row r="1324" spans="1:6" ht="14.25" customHeight="1" x14ac:dyDescent="0.3">
      <c r="A1324" s="73">
        <v>42494</v>
      </c>
      <c r="B1324" s="74">
        <v>25101.73</v>
      </c>
      <c r="C1324" s="74">
        <v>360.05</v>
      </c>
      <c r="D1324" s="74">
        <f t="shared" si="41"/>
        <v>-5.0851039104952171E-3</v>
      </c>
      <c r="E1324" s="74">
        <f t="shared" si="42"/>
        <v>-3.3273287317660194E-3</v>
      </c>
      <c r="F1324" s="75"/>
    </row>
    <row r="1325" spans="1:6" ht="14.25" customHeight="1" x14ac:dyDescent="0.3">
      <c r="A1325" s="73">
        <v>42495</v>
      </c>
      <c r="B1325" s="74">
        <v>25262.21</v>
      </c>
      <c r="C1325" s="74">
        <v>359.4</v>
      </c>
      <c r="D1325" s="74">
        <f t="shared" si="41"/>
        <v>6.3728351328823062E-3</v>
      </c>
      <c r="E1325" s="74">
        <f t="shared" si="42"/>
        <v>-1.8069363454172563E-3</v>
      </c>
      <c r="F1325" s="75"/>
    </row>
    <row r="1326" spans="1:6" ht="14.25" customHeight="1" x14ac:dyDescent="0.3">
      <c r="A1326" s="73">
        <v>42496</v>
      </c>
      <c r="B1326" s="74">
        <v>25228.5</v>
      </c>
      <c r="C1326" s="74">
        <v>364.1</v>
      </c>
      <c r="D1326" s="74">
        <f t="shared" si="41"/>
        <v>-1.335295344778513E-3</v>
      </c>
      <c r="E1326" s="74">
        <f t="shared" si="42"/>
        <v>1.2992580831929116E-2</v>
      </c>
      <c r="F1326" s="75"/>
    </row>
    <row r="1327" spans="1:6" ht="14.25" customHeight="1" x14ac:dyDescent="0.3">
      <c r="A1327" s="73">
        <v>42499</v>
      </c>
      <c r="B1327" s="74">
        <v>25688.86</v>
      </c>
      <c r="C1327" s="74">
        <v>365.6</v>
      </c>
      <c r="D1327" s="74">
        <f t="shared" si="41"/>
        <v>1.8083127040436391E-2</v>
      </c>
      <c r="E1327" s="74">
        <f t="shared" si="42"/>
        <v>4.1112843986070777E-3</v>
      </c>
      <c r="F1327" s="75"/>
    </row>
    <row r="1328" spans="1:6" ht="14.25" customHeight="1" x14ac:dyDescent="0.3">
      <c r="A1328" s="73">
        <v>42500</v>
      </c>
      <c r="B1328" s="74">
        <v>25772.53</v>
      </c>
      <c r="C1328" s="74">
        <v>371.95</v>
      </c>
      <c r="D1328" s="74">
        <f t="shared" si="41"/>
        <v>3.2517611252574929E-3</v>
      </c>
      <c r="E1328" s="74">
        <f t="shared" si="42"/>
        <v>1.7219597057355339E-2</v>
      </c>
      <c r="F1328" s="75"/>
    </row>
    <row r="1329" spans="1:6" ht="14.25" customHeight="1" x14ac:dyDescent="0.3">
      <c r="A1329" s="73">
        <v>42501</v>
      </c>
      <c r="B1329" s="74">
        <v>25597.02</v>
      </c>
      <c r="C1329" s="74">
        <v>369.75</v>
      </c>
      <c r="D1329" s="74">
        <f t="shared" si="41"/>
        <v>-6.8332575593705704E-3</v>
      </c>
      <c r="E1329" s="74">
        <f t="shared" si="42"/>
        <v>-5.9323350464411916E-3</v>
      </c>
      <c r="F1329" s="75"/>
    </row>
    <row r="1330" spans="1:6" ht="14.25" customHeight="1" x14ac:dyDescent="0.3">
      <c r="A1330" s="73">
        <v>42502</v>
      </c>
      <c r="B1330" s="74">
        <v>25790.22</v>
      </c>
      <c r="C1330" s="74">
        <v>374</v>
      </c>
      <c r="D1330" s="74">
        <f t="shared" si="41"/>
        <v>7.5194118352403007E-3</v>
      </c>
      <c r="E1330" s="74">
        <f t="shared" si="42"/>
        <v>1.142869582362285E-2</v>
      </c>
      <c r="F1330" s="75"/>
    </row>
    <row r="1331" spans="1:6" ht="14.25" customHeight="1" x14ac:dyDescent="0.3">
      <c r="A1331" s="73">
        <v>42503</v>
      </c>
      <c r="B1331" s="74">
        <v>25489.57</v>
      </c>
      <c r="C1331" s="74">
        <v>364.95</v>
      </c>
      <c r="D1331" s="74">
        <f t="shared" si="41"/>
        <v>-1.1726001409822547E-2</v>
      </c>
      <c r="E1331" s="74">
        <f t="shared" si="42"/>
        <v>-2.4495439516890712E-2</v>
      </c>
      <c r="F1331" s="75"/>
    </row>
    <row r="1332" spans="1:6" ht="14.25" customHeight="1" x14ac:dyDescent="0.3">
      <c r="A1332" s="73">
        <v>42506</v>
      </c>
      <c r="B1332" s="74">
        <v>25653.23</v>
      </c>
      <c r="C1332" s="74">
        <v>365.5</v>
      </c>
      <c r="D1332" s="74">
        <f t="shared" si="41"/>
        <v>6.400140729499397E-3</v>
      </c>
      <c r="E1332" s="74">
        <f t="shared" si="42"/>
        <v>1.5059212921919717E-3</v>
      </c>
      <c r="F1332" s="75"/>
    </row>
    <row r="1333" spans="1:6" ht="14.25" customHeight="1" x14ac:dyDescent="0.3">
      <c r="A1333" s="73">
        <v>42507</v>
      </c>
      <c r="B1333" s="74">
        <v>25773.61</v>
      </c>
      <c r="C1333" s="74">
        <v>364.7</v>
      </c>
      <c r="D1333" s="74">
        <f t="shared" si="41"/>
        <v>4.6816106091198198E-3</v>
      </c>
      <c r="E1333" s="74">
        <f t="shared" si="42"/>
        <v>-2.1911813751986551E-3</v>
      </c>
      <c r="F1333" s="75"/>
    </row>
    <row r="1334" spans="1:6" ht="14.25" customHeight="1" x14ac:dyDescent="0.3">
      <c r="A1334" s="73">
        <v>42508</v>
      </c>
      <c r="B1334" s="74">
        <v>25704.61</v>
      </c>
      <c r="C1334" s="74">
        <v>365.25</v>
      </c>
      <c r="D1334" s="74">
        <f t="shared" si="41"/>
        <v>-2.6807469769475657E-3</v>
      </c>
      <c r="E1334" s="74">
        <f t="shared" si="42"/>
        <v>1.5069528161743818E-3</v>
      </c>
      <c r="F1334" s="75"/>
    </row>
    <row r="1335" spans="1:6" ht="14.25" customHeight="1" x14ac:dyDescent="0.3">
      <c r="A1335" s="73">
        <v>42509</v>
      </c>
      <c r="B1335" s="74">
        <v>25399.72</v>
      </c>
      <c r="C1335" s="74">
        <v>363.15</v>
      </c>
      <c r="D1335" s="74">
        <f t="shared" si="41"/>
        <v>-1.193220290518974E-2</v>
      </c>
      <c r="E1335" s="74">
        <f t="shared" si="42"/>
        <v>-5.7660785786317397E-3</v>
      </c>
      <c r="F1335" s="75"/>
    </row>
    <row r="1336" spans="1:6" ht="14.25" customHeight="1" x14ac:dyDescent="0.3">
      <c r="A1336" s="73">
        <v>42510</v>
      </c>
      <c r="B1336" s="74">
        <v>25301.9</v>
      </c>
      <c r="C1336" s="74">
        <v>365.9</v>
      </c>
      <c r="D1336" s="74">
        <f t="shared" si="41"/>
        <v>-3.8586586137540728E-3</v>
      </c>
      <c r="E1336" s="74">
        <f t="shared" si="42"/>
        <v>7.5440999729839186E-3</v>
      </c>
      <c r="F1336" s="75"/>
    </row>
    <row r="1337" spans="1:6" ht="14.25" customHeight="1" x14ac:dyDescent="0.3">
      <c r="A1337" s="73">
        <v>42513</v>
      </c>
      <c r="B1337" s="74">
        <v>25230.36</v>
      </c>
      <c r="C1337" s="74">
        <v>362.45</v>
      </c>
      <c r="D1337" s="74">
        <f t="shared" si="41"/>
        <v>-2.8314604490548871E-3</v>
      </c>
      <c r="E1337" s="74">
        <f t="shared" si="42"/>
        <v>-9.4735382782743134E-3</v>
      </c>
      <c r="F1337" s="75"/>
    </row>
    <row r="1338" spans="1:6" ht="14.25" customHeight="1" x14ac:dyDescent="0.3">
      <c r="A1338" s="73">
        <v>42514</v>
      </c>
      <c r="B1338" s="74">
        <v>25305.47</v>
      </c>
      <c r="C1338" s="74">
        <v>362.6</v>
      </c>
      <c r="D1338" s="74">
        <f t="shared" si="41"/>
        <v>2.9725466191490748E-3</v>
      </c>
      <c r="E1338" s="74">
        <f t="shared" si="42"/>
        <v>4.1376457386407112E-4</v>
      </c>
      <c r="F1338" s="75"/>
    </row>
    <row r="1339" spans="1:6" ht="14.25" customHeight="1" x14ac:dyDescent="0.3">
      <c r="A1339" s="73">
        <v>42515</v>
      </c>
      <c r="B1339" s="74">
        <v>25881.17</v>
      </c>
      <c r="C1339" s="74">
        <v>364.7</v>
      </c>
      <c r="D1339" s="74">
        <f t="shared" si="41"/>
        <v>2.2495099368128317E-2</v>
      </c>
      <c r="E1339" s="74">
        <f t="shared" si="42"/>
        <v>5.7747994938837375E-3</v>
      </c>
      <c r="F1339" s="75"/>
    </row>
    <row r="1340" spans="1:6" ht="14.25" customHeight="1" x14ac:dyDescent="0.3">
      <c r="A1340" s="73">
        <v>42516</v>
      </c>
      <c r="B1340" s="74">
        <v>26366.68</v>
      </c>
      <c r="C1340" s="74">
        <v>362.1</v>
      </c>
      <c r="D1340" s="74">
        <f t="shared" si="41"/>
        <v>1.8585414528220354E-2</v>
      </c>
      <c r="E1340" s="74">
        <f t="shared" si="42"/>
        <v>-7.1546810430389903E-3</v>
      </c>
      <c r="F1340" s="75"/>
    </row>
    <row r="1341" spans="1:6" ht="14.25" customHeight="1" x14ac:dyDescent="0.3">
      <c r="A1341" s="73">
        <v>42517</v>
      </c>
      <c r="B1341" s="74">
        <v>26653.599999999999</v>
      </c>
      <c r="C1341" s="74">
        <v>360.65</v>
      </c>
      <c r="D1341" s="74">
        <f t="shared" si="41"/>
        <v>1.0823134122169264E-2</v>
      </c>
      <c r="E1341" s="74">
        <f t="shared" si="42"/>
        <v>-4.0124578219140018E-3</v>
      </c>
      <c r="F1341" s="75"/>
    </row>
    <row r="1342" spans="1:6" ht="14.25" customHeight="1" x14ac:dyDescent="0.3">
      <c r="A1342" s="73">
        <v>42520</v>
      </c>
      <c r="B1342" s="74">
        <v>26725.599999999999</v>
      </c>
      <c r="C1342" s="74">
        <v>363.15</v>
      </c>
      <c r="D1342" s="74">
        <f t="shared" si="41"/>
        <v>2.6976816312312981E-3</v>
      </c>
      <c r="E1342" s="74">
        <f t="shared" si="42"/>
        <v>6.9080131024955209E-3</v>
      </c>
      <c r="F1342" s="75"/>
    </row>
    <row r="1343" spans="1:6" ht="14.25" customHeight="1" x14ac:dyDescent="0.3">
      <c r="A1343" s="73">
        <v>42521</v>
      </c>
      <c r="B1343" s="74">
        <v>26667.96</v>
      </c>
      <c r="C1343" s="74">
        <v>359.2</v>
      </c>
      <c r="D1343" s="74">
        <f t="shared" si="41"/>
        <v>-2.1590627180874998E-3</v>
      </c>
      <c r="E1343" s="74">
        <f t="shared" si="42"/>
        <v>-1.0936635624132664E-2</v>
      </c>
      <c r="F1343" s="75"/>
    </row>
    <row r="1344" spans="1:6" ht="14.25" customHeight="1" x14ac:dyDescent="0.3">
      <c r="A1344" s="73">
        <v>42522</v>
      </c>
      <c r="B1344" s="74">
        <v>26713.93</v>
      </c>
      <c r="C1344" s="74">
        <v>358.2</v>
      </c>
      <c r="D1344" s="74">
        <f t="shared" si="41"/>
        <v>1.7223073729147539E-3</v>
      </c>
      <c r="E1344" s="74">
        <f t="shared" si="42"/>
        <v>-2.7878468014330845E-3</v>
      </c>
      <c r="F1344" s="75"/>
    </row>
    <row r="1345" spans="1:6" ht="14.25" customHeight="1" x14ac:dyDescent="0.3">
      <c r="A1345" s="73">
        <v>42523</v>
      </c>
      <c r="B1345" s="74">
        <v>26843.14</v>
      </c>
      <c r="C1345" s="74">
        <v>358</v>
      </c>
      <c r="D1345" s="74">
        <f t="shared" si="41"/>
        <v>4.8251426259447406E-3</v>
      </c>
      <c r="E1345" s="74">
        <f t="shared" si="42"/>
        <v>-5.5850322591111275E-4</v>
      </c>
      <c r="F1345" s="75"/>
    </row>
    <row r="1346" spans="1:6" ht="14.25" customHeight="1" x14ac:dyDescent="0.3">
      <c r="A1346" s="73">
        <v>42524</v>
      </c>
      <c r="B1346" s="74">
        <v>26843.03</v>
      </c>
      <c r="C1346" s="74">
        <v>354.2</v>
      </c>
      <c r="D1346" s="74">
        <f t="shared" si="41"/>
        <v>-4.097889642783683E-6</v>
      </c>
      <c r="E1346" s="74">
        <f t="shared" si="42"/>
        <v>-1.0671261051967213E-2</v>
      </c>
      <c r="F1346" s="75"/>
    </row>
    <row r="1347" spans="1:6" ht="14.25" customHeight="1" x14ac:dyDescent="0.3">
      <c r="A1347" s="73">
        <v>42527</v>
      </c>
      <c r="B1347" s="74">
        <v>26777.45</v>
      </c>
      <c r="C1347" s="74">
        <v>353.65</v>
      </c>
      <c r="D1347" s="74">
        <f t="shared" si="41"/>
        <v>-2.4460815232840412E-3</v>
      </c>
      <c r="E1347" s="74">
        <f t="shared" si="42"/>
        <v>-1.5540018667343138E-3</v>
      </c>
      <c r="F1347" s="75"/>
    </row>
    <row r="1348" spans="1:6" ht="14.25" customHeight="1" x14ac:dyDescent="0.3">
      <c r="A1348" s="73">
        <v>42528</v>
      </c>
      <c r="B1348" s="74">
        <v>27009.67</v>
      </c>
      <c r="C1348" s="74">
        <v>359.45</v>
      </c>
      <c r="D1348" s="74">
        <f t="shared" ref="D1348:D1411" si="43">LN(B1348/B1347)</f>
        <v>8.6348346171205292E-3</v>
      </c>
      <c r="E1348" s="74">
        <f t="shared" ref="E1348:E1411" si="44">LN(C1348/C1347)</f>
        <v>1.6267361947881677E-2</v>
      </c>
      <c r="F1348" s="75"/>
    </row>
    <row r="1349" spans="1:6" ht="14.25" customHeight="1" x14ac:dyDescent="0.3">
      <c r="A1349" s="73">
        <v>42529</v>
      </c>
      <c r="B1349" s="74">
        <v>27020.66</v>
      </c>
      <c r="C1349" s="74">
        <v>361.7</v>
      </c>
      <c r="D1349" s="74">
        <f t="shared" si="43"/>
        <v>4.0680855184723429E-4</v>
      </c>
      <c r="E1349" s="74">
        <f t="shared" si="44"/>
        <v>6.2400535281716771E-3</v>
      </c>
      <c r="F1349" s="75"/>
    </row>
    <row r="1350" spans="1:6" ht="14.25" customHeight="1" x14ac:dyDescent="0.3">
      <c r="A1350" s="73">
        <v>42530</v>
      </c>
      <c r="B1350" s="74">
        <v>26763.46</v>
      </c>
      <c r="C1350" s="74">
        <v>364.25</v>
      </c>
      <c r="D1350" s="74">
        <f t="shared" si="43"/>
        <v>-9.5642342238599926E-3</v>
      </c>
      <c r="E1350" s="74">
        <f t="shared" si="44"/>
        <v>7.0253061172618723E-3</v>
      </c>
      <c r="F1350" s="75"/>
    </row>
    <row r="1351" spans="1:6" ht="14.25" customHeight="1" x14ac:dyDescent="0.3">
      <c r="A1351" s="73">
        <v>42531</v>
      </c>
      <c r="B1351" s="74">
        <v>26635.75</v>
      </c>
      <c r="C1351" s="74">
        <v>361.55</v>
      </c>
      <c r="D1351" s="74">
        <f t="shared" si="43"/>
        <v>-4.7832259500591601E-3</v>
      </c>
      <c r="E1351" s="74">
        <f t="shared" si="44"/>
        <v>-7.4401004543533629E-3</v>
      </c>
      <c r="F1351" s="75"/>
    </row>
    <row r="1352" spans="1:6" ht="14.25" customHeight="1" x14ac:dyDescent="0.3">
      <c r="A1352" s="73">
        <v>42534</v>
      </c>
      <c r="B1352" s="74">
        <v>26396.77</v>
      </c>
      <c r="C1352" s="74">
        <v>362.65</v>
      </c>
      <c r="D1352" s="74">
        <f t="shared" si="43"/>
        <v>-9.0126442284307728E-3</v>
      </c>
      <c r="E1352" s="74">
        <f t="shared" si="44"/>
        <v>3.0378371884604146E-3</v>
      </c>
      <c r="F1352" s="75"/>
    </row>
    <row r="1353" spans="1:6" ht="14.25" customHeight="1" x14ac:dyDescent="0.3">
      <c r="A1353" s="73">
        <v>42535</v>
      </c>
      <c r="B1353" s="74">
        <v>26395.71</v>
      </c>
      <c r="C1353" s="74">
        <v>365.8</v>
      </c>
      <c r="D1353" s="74">
        <f t="shared" si="43"/>
        <v>-4.0157234520692188E-5</v>
      </c>
      <c r="E1353" s="74">
        <f t="shared" si="44"/>
        <v>8.6485541473439228E-3</v>
      </c>
      <c r="F1353" s="75"/>
    </row>
    <row r="1354" spans="1:6" ht="14.25" customHeight="1" x14ac:dyDescent="0.3">
      <c r="A1354" s="73">
        <v>42536</v>
      </c>
      <c r="B1354" s="74">
        <v>26726.34</v>
      </c>
      <c r="C1354" s="74">
        <v>366.8</v>
      </c>
      <c r="D1354" s="74">
        <f t="shared" si="43"/>
        <v>1.2448099024464509E-2</v>
      </c>
      <c r="E1354" s="74">
        <f t="shared" si="44"/>
        <v>2.7300044255444333E-3</v>
      </c>
      <c r="F1354" s="75"/>
    </row>
    <row r="1355" spans="1:6" ht="14.25" customHeight="1" x14ac:dyDescent="0.3">
      <c r="A1355" s="73">
        <v>42537</v>
      </c>
      <c r="B1355" s="74">
        <v>26525.46</v>
      </c>
      <c r="C1355" s="74">
        <v>371.15</v>
      </c>
      <c r="D1355" s="74">
        <f t="shared" si="43"/>
        <v>-7.5445694924396898E-3</v>
      </c>
      <c r="E1355" s="74">
        <f t="shared" si="44"/>
        <v>1.1789553181246189E-2</v>
      </c>
      <c r="F1355" s="75"/>
    </row>
    <row r="1356" spans="1:6" ht="14.25" customHeight="1" x14ac:dyDescent="0.3">
      <c r="A1356" s="73">
        <v>42538</v>
      </c>
      <c r="B1356" s="74">
        <v>26625.91</v>
      </c>
      <c r="C1356" s="74">
        <v>375.35</v>
      </c>
      <c r="D1356" s="74">
        <f t="shared" si="43"/>
        <v>3.7797753695370411E-3</v>
      </c>
      <c r="E1356" s="74">
        <f t="shared" si="44"/>
        <v>1.1252630455455432E-2</v>
      </c>
      <c r="F1356" s="75"/>
    </row>
    <row r="1357" spans="1:6" ht="14.25" customHeight="1" x14ac:dyDescent="0.3">
      <c r="A1357" s="73">
        <v>42541</v>
      </c>
      <c r="B1357" s="74">
        <v>26866.92</v>
      </c>
      <c r="C1357" s="74">
        <v>375.25</v>
      </c>
      <c r="D1357" s="74">
        <f t="shared" si="43"/>
        <v>9.0109882311376777E-3</v>
      </c>
      <c r="E1357" s="74">
        <f t="shared" si="44"/>
        <v>-2.6645350544006403E-4</v>
      </c>
      <c r="F1357" s="75"/>
    </row>
    <row r="1358" spans="1:6" ht="14.25" customHeight="1" x14ac:dyDescent="0.3">
      <c r="A1358" s="73">
        <v>42542</v>
      </c>
      <c r="B1358" s="74">
        <v>26812.78</v>
      </c>
      <c r="C1358" s="74">
        <v>375.45</v>
      </c>
      <c r="D1358" s="74">
        <f t="shared" si="43"/>
        <v>-2.0171505562624555E-3</v>
      </c>
      <c r="E1358" s="74">
        <f t="shared" si="44"/>
        <v>5.3283603232147478E-4</v>
      </c>
      <c r="F1358" s="75"/>
    </row>
    <row r="1359" spans="1:6" ht="14.25" customHeight="1" x14ac:dyDescent="0.3">
      <c r="A1359" s="73">
        <v>42543</v>
      </c>
      <c r="B1359" s="74">
        <v>26765.65</v>
      </c>
      <c r="C1359" s="74">
        <v>379.8</v>
      </c>
      <c r="D1359" s="74">
        <f t="shared" si="43"/>
        <v>-1.7592905262813613E-3</v>
      </c>
      <c r="E1359" s="74">
        <f t="shared" si="44"/>
        <v>1.1519491832292728E-2</v>
      </c>
      <c r="F1359" s="75"/>
    </row>
    <row r="1360" spans="1:6" ht="14.25" customHeight="1" x14ac:dyDescent="0.3">
      <c r="A1360" s="73">
        <v>42544</v>
      </c>
      <c r="B1360" s="74">
        <v>27002.22</v>
      </c>
      <c r="C1360" s="74">
        <v>388.1</v>
      </c>
      <c r="D1360" s="74">
        <f t="shared" si="43"/>
        <v>8.7997358486189715E-3</v>
      </c>
      <c r="E1360" s="74">
        <f t="shared" si="44"/>
        <v>2.1618239996675042E-2</v>
      </c>
      <c r="F1360" s="75"/>
    </row>
    <row r="1361" spans="1:6" ht="14.25" customHeight="1" x14ac:dyDescent="0.3">
      <c r="A1361" s="73">
        <v>42545</v>
      </c>
      <c r="B1361" s="74">
        <v>26397.71</v>
      </c>
      <c r="C1361" s="74">
        <v>390.6</v>
      </c>
      <c r="D1361" s="74">
        <f t="shared" si="43"/>
        <v>-2.2641820880803357E-2</v>
      </c>
      <c r="E1361" s="74">
        <f t="shared" si="44"/>
        <v>6.4209800677179152E-3</v>
      </c>
      <c r="F1361" s="75"/>
    </row>
    <row r="1362" spans="1:6" ht="14.25" customHeight="1" x14ac:dyDescent="0.3">
      <c r="A1362" s="73">
        <v>42548</v>
      </c>
      <c r="B1362" s="74">
        <v>26402.959999999999</v>
      </c>
      <c r="C1362" s="74">
        <v>390.85</v>
      </c>
      <c r="D1362" s="74">
        <f t="shared" si="43"/>
        <v>1.9886111359197807E-4</v>
      </c>
      <c r="E1362" s="74">
        <f t="shared" si="44"/>
        <v>6.3983622376097651E-4</v>
      </c>
      <c r="F1362" s="75"/>
    </row>
    <row r="1363" spans="1:6" ht="14.25" customHeight="1" x14ac:dyDescent="0.3">
      <c r="A1363" s="73">
        <v>42549</v>
      </c>
      <c r="B1363" s="74">
        <v>26524.55</v>
      </c>
      <c r="C1363" s="74">
        <v>389.6</v>
      </c>
      <c r="D1363" s="74">
        <f t="shared" si="43"/>
        <v>4.5945941496206514E-3</v>
      </c>
      <c r="E1363" s="74">
        <f t="shared" si="44"/>
        <v>-3.2032828979593995E-3</v>
      </c>
      <c r="F1363" s="75"/>
    </row>
    <row r="1364" spans="1:6" ht="14.25" customHeight="1" x14ac:dyDescent="0.3">
      <c r="A1364" s="73">
        <v>42550</v>
      </c>
      <c r="B1364" s="74">
        <v>26740.39</v>
      </c>
      <c r="C1364" s="74">
        <v>396.3</v>
      </c>
      <c r="D1364" s="74">
        <f t="shared" si="43"/>
        <v>8.1044372300879425E-3</v>
      </c>
      <c r="E1364" s="74">
        <f t="shared" si="44"/>
        <v>1.7050928428009166E-2</v>
      </c>
      <c r="F1364" s="75"/>
    </row>
    <row r="1365" spans="1:6" ht="14.25" customHeight="1" x14ac:dyDescent="0.3">
      <c r="A1365" s="73">
        <v>42551</v>
      </c>
      <c r="B1365" s="74">
        <v>26999.72</v>
      </c>
      <c r="C1365" s="74">
        <v>404.7</v>
      </c>
      <c r="D1365" s="74">
        <f t="shared" si="43"/>
        <v>9.6513391211993007E-3</v>
      </c>
      <c r="E1365" s="74">
        <f t="shared" si="44"/>
        <v>2.0974551685430505E-2</v>
      </c>
      <c r="F1365" s="75"/>
    </row>
    <row r="1366" spans="1:6" ht="14.25" customHeight="1" x14ac:dyDescent="0.3">
      <c r="A1366" s="73">
        <v>42552</v>
      </c>
      <c r="B1366" s="74">
        <v>27144.91</v>
      </c>
      <c r="C1366" s="74">
        <v>405.35</v>
      </c>
      <c r="D1366" s="74">
        <f t="shared" si="43"/>
        <v>5.3630562440103594E-3</v>
      </c>
      <c r="E1366" s="74">
        <f t="shared" si="44"/>
        <v>1.6048395518964581E-3</v>
      </c>
      <c r="F1366" s="75"/>
    </row>
    <row r="1367" spans="1:6" ht="14.25" customHeight="1" x14ac:dyDescent="0.3">
      <c r="A1367" s="73">
        <v>42555</v>
      </c>
      <c r="B1367" s="74">
        <v>27278.76</v>
      </c>
      <c r="C1367" s="74">
        <v>405</v>
      </c>
      <c r="D1367" s="74">
        <f t="shared" si="43"/>
        <v>4.918825572521132E-3</v>
      </c>
      <c r="E1367" s="74">
        <f t="shared" si="44"/>
        <v>-8.6382432717708091E-4</v>
      </c>
      <c r="F1367" s="75"/>
    </row>
    <row r="1368" spans="1:6" ht="14.25" customHeight="1" x14ac:dyDescent="0.3">
      <c r="A1368" s="73">
        <v>42556</v>
      </c>
      <c r="B1368" s="74">
        <v>27166.87</v>
      </c>
      <c r="C1368" s="74">
        <v>401.8</v>
      </c>
      <c r="D1368" s="74">
        <f t="shared" si="43"/>
        <v>-4.1101611834435522E-3</v>
      </c>
      <c r="E1368" s="74">
        <f t="shared" si="44"/>
        <v>-7.9326147257051272E-3</v>
      </c>
      <c r="F1368" s="75"/>
    </row>
    <row r="1369" spans="1:6" ht="14.25" customHeight="1" x14ac:dyDescent="0.3">
      <c r="A1369" s="73">
        <v>42558</v>
      </c>
      <c r="B1369" s="74">
        <v>27201.49</v>
      </c>
      <c r="C1369" s="74">
        <v>401.45</v>
      </c>
      <c r="D1369" s="74">
        <f t="shared" si="43"/>
        <v>1.2735350001051918E-3</v>
      </c>
      <c r="E1369" s="74">
        <f t="shared" si="44"/>
        <v>-8.7145975014108596E-4</v>
      </c>
      <c r="F1369" s="75"/>
    </row>
    <row r="1370" spans="1:6" ht="14.25" customHeight="1" x14ac:dyDescent="0.3">
      <c r="A1370" s="73">
        <v>42559</v>
      </c>
      <c r="B1370" s="74">
        <v>27126.9</v>
      </c>
      <c r="C1370" s="74">
        <v>401</v>
      </c>
      <c r="D1370" s="74">
        <f t="shared" si="43"/>
        <v>-2.7458957229185657E-3</v>
      </c>
      <c r="E1370" s="74">
        <f t="shared" si="44"/>
        <v>-1.1215653241237421E-3</v>
      </c>
      <c r="F1370" s="75"/>
    </row>
    <row r="1371" spans="1:6" ht="14.25" customHeight="1" x14ac:dyDescent="0.3">
      <c r="A1371" s="73">
        <v>42562</v>
      </c>
      <c r="B1371" s="74">
        <v>27626.69</v>
      </c>
      <c r="C1371" s="74">
        <v>400.7</v>
      </c>
      <c r="D1371" s="74">
        <f t="shared" si="43"/>
        <v>1.8256478946840481E-2</v>
      </c>
      <c r="E1371" s="74">
        <f t="shared" si="44"/>
        <v>-7.4840966447034551E-4</v>
      </c>
      <c r="F1371" s="75"/>
    </row>
    <row r="1372" spans="1:6" ht="14.25" customHeight="1" x14ac:dyDescent="0.3">
      <c r="A1372" s="73">
        <v>42563</v>
      </c>
      <c r="B1372" s="74">
        <v>27808.14</v>
      </c>
      <c r="C1372" s="74">
        <v>405.35</v>
      </c>
      <c r="D1372" s="74">
        <f t="shared" si="43"/>
        <v>6.5464491554468535E-3</v>
      </c>
      <c r="E1372" s="74">
        <f t="shared" si="44"/>
        <v>1.1537873791617304E-2</v>
      </c>
      <c r="F1372" s="75"/>
    </row>
    <row r="1373" spans="1:6" ht="14.25" customHeight="1" x14ac:dyDescent="0.3">
      <c r="A1373" s="73">
        <v>42564</v>
      </c>
      <c r="B1373" s="74">
        <v>27815.18</v>
      </c>
      <c r="C1373" s="74">
        <v>404.2</v>
      </c>
      <c r="D1373" s="74">
        <f t="shared" si="43"/>
        <v>2.5313124198962178E-4</v>
      </c>
      <c r="E1373" s="74">
        <f t="shared" si="44"/>
        <v>-2.8410864641956273E-3</v>
      </c>
      <c r="F1373" s="75"/>
    </row>
    <row r="1374" spans="1:6" ht="14.25" customHeight="1" x14ac:dyDescent="0.3">
      <c r="A1374" s="73">
        <v>42565</v>
      </c>
      <c r="B1374" s="74">
        <v>27942.11</v>
      </c>
      <c r="C1374" s="74">
        <v>414.75</v>
      </c>
      <c r="D1374" s="74">
        <f t="shared" si="43"/>
        <v>4.5529551118842259E-3</v>
      </c>
      <c r="E1374" s="74">
        <f t="shared" si="44"/>
        <v>2.5766124101033218E-2</v>
      </c>
      <c r="F1374" s="75"/>
    </row>
    <row r="1375" spans="1:6" ht="14.25" customHeight="1" x14ac:dyDescent="0.3">
      <c r="A1375" s="73">
        <v>42566</v>
      </c>
      <c r="B1375" s="74">
        <v>27836.5</v>
      </c>
      <c r="C1375" s="74">
        <v>417.5</v>
      </c>
      <c r="D1375" s="74">
        <f t="shared" si="43"/>
        <v>-3.786760774426736E-3</v>
      </c>
      <c r="E1375" s="74">
        <f t="shared" si="44"/>
        <v>6.6086152203563781E-3</v>
      </c>
      <c r="F1375" s="75"/>
    </row>
    <row r="1376" spans="1:6" ht="14.25" customHeight="1" x14ac:dyDescent="0.3">
      <c r="A1376" s="73">
        <v>42569</v>
      </c>
      <c r="B1376" s="74">
        <v>27746.66</v>
      </c>
      <c r="C1376" s="74">
        <v>413.05</v>
      </c>
      <c r="D1376" s="74">
        <f t="shared" si="43"/>
        <v>-3.2326365840013396E-3</v>
      </c>
      <c r="E1376" s="74">
        <f t="shared" si="44"/>
        <v>-1.0715893282395804E-2</v>
      </c>
      <c r="F1376" s="75"/>
    </row>
    <row r="1377" spans="1:6" ht="14.25" customHeight="1" x14ac:dyDescent="0.3">
      <c r="A1377" s="73">
        <v>42570</v>
      </c>
      <c r="B1377" s="74">
        <v>27787.62</v>
      </c>
      <c r="C1377" s="74">
        <v>412.9</v>
      </c>
      <c r="D1377" s="74">
        <f t="shared" si="43"/>
        <v>1.4751251813256176E-3</v>
      </c>
      <c r="E1377" s="74">
        <f t="shared" si="44"/>
        <v>-3.6321811646982966E-4</v>
      </c>
      <c r="F1377" s="75"/>
    </row>
    <row r="1378" spans="1:6" ht="14.25" customHeight="1" x14ac:dyDescent="0.3">
      <c r="A1378" s="73">
        <v>42571</v>
      </c>
      <c r="B1378" s="74">
        <v>27915.89</v>
      </c>
      <c r="C1378" s="74">
        <v>410.7</v>
      </c>
      <c r="D1378" s="74">
        <f t="shared" si="43"/>
        <v>4.6054629850160846E-3</v>
      </c>
      <c r="E1378" s="74">
        <f t="shared" si="44"/>
        <v>-5.3424119295316427E-3</v>
      </c>
      <c r="F1378" s="75"/>
    </row>
    <row r="1379" spans="1:6" ht="14.25" customHeight="1" x14ac:dyDescent="0.3">
      <c r="A1379" s="73">
        <v>42572</v>
      </c>
      <c r="B1379" s="74">
        <v>27710.52</v>
      </c>
      <c r="C1379" s="74">
        <v>408.15</v>
      </c>
      <c r="D1379" s="74">
        <f t="shared" si="43"/>
        <v>-7.383936267199547E-3</v>
      </c>
      <c r="E1379" s="74">
        <f t="shared" si="44"/>
        <v>-6.2282670651479096E-3</v>
      </c>
      <c r="F1379" s="75"/>
    </row>
    <row r="1380" spans="1:6" ht="14.25" customHeight="1" x14ac:dyDescent="0.3">
      <c r="A1380" s="73">
        <v>42573</v>
      </c>
      <c r="B1380" s="74">
        <v>27803.24</v>
      </c>
      <c r="C1380" s="74">
        <v>409.8</v>
      </c>
      <c r="D1380" s="74">
        <f t="shared" si="43"/>
        <v>3.3404361807992176E-3</v>
      </c>
      <c r="E1380" s="74">
        <f t="shared" si="44"/>
        <v>4.034481907434548E-3</v>
      </c>
      <c r="F1380" s="75"/>
    </row>
    <row r="1381" spans="1:6" ht="14.25" customHeight="1" x14ac:dyDescent="0.3">
      <c r="A1381" s="73">
        <v>42576</v>
      </c>
      <c r="B1381" s="74">
        <v>28095.34</v>
      </c>
      <c r="C1381" s="74">
        <v>412.9</v>
      </c>
      <c r="D1381" s="74">
        <f t="shared" si="43"/>
        <v>1.0451165620273218E-2</v>
      </c>
      <c r="E1381" s="74">
        <f t="shared" si="44"/>
        <v>7.5361970872451847E-3</v>
      </c>
      <c r="F1381" s="75"/>
    </row>
    <row r="1382" spans="1:6" ht="14.25" customHeight="1" x14ac:dyDescent="0.3">
      <c r="A1382" s="73">
        <v>42577</v>
      </c>
      <c r="B1382" s="74">
        <v>27976.52</v>
      </c>
      <c r="C1382" s="74">
        <v>413.4</v>
      </c>
      <c r="D1382" s="74">
        <f t="shared" si="43"/>
        <v>-4.2381393394815932E-3</v>
      </c>
      <c r="E1382" s="74">
        <f t="shared" si="44"/>
        <v>1.2102143556232475E-3</v>
      </c>
      <c r="F1382" s="75"/>
    </row>
    <row r="1383" spans="1:6" ht="14.25" customHeight="1" x14ac:dyDescent="0.3">
      <c r="A1383" s="73">
        <v>42578</v>
      </c>
      <c r="B1383" s="74">
        <v>28024.33</v>
      </c>
      <c r="C1383" s="74">
        <v>411.45</v>
      </c>
      <c r="D1383" s="74">
        <f t="shared" si="43"/>
        <v>1.7074744978233924E-3</v>
      </c>
      <c r="E1383" s="74">
        <f t="shared" si="44"/>
        <v>-4.7281411959459001E-3</v>
      </c>
      <c r="F1383" s="75"/>
    </row>
    <row r="1384" spans="1:6" ht="14.25" customHeight="1" x14ac:dyDescent="0.3">
      <c r="A1384" s="73">
        <v>42579</v>
      </c>
      <c r="B1384" s="74">
        <v>28208.62</v>
      </c>
      <c r="C1384" s="74">
        <v>427.1</v>
      </c>
      <c r="D1384" s="74">
        <f t="shared" si="43"/>
        <v>6.5545435474777328E-3</v>
      </c>
      <c r="E1384" s="74">
        <f t="shared" si="44"/>
        <v>3.7330671795698885E-2</v>
      </c>
      <c r="F1384" s="75"/>
    </row>
    <row r="1385" spans="1:6" ht="14.25" customHeight="1" x14ac:dyDescent="0.3">
      <c r="A1385" s="73">
        <v>42580</v>
      </c>
      <c r="B1385" s="74">
        <v>28051.86</v>
      </c>
      <c r="C1385" s="74">
        <v>419.05</v>
      </c>
      <c r="D1385" s="74">
        <f t="shared" si="43"/>
        <v>-5.5726650635162236E-3</v>
      </c>
      <c r="E1385" s="74">
        <f t="shared" si="44"/>
        <v>-1.9027933302505597E-2</v>
      </c>
      <c r="F1385" s="75"/>
    </row>
    <row r="1386" spans="1:6" ht="14.25" customHeight="1" x14ac:dyDescent="0.3">
      <c r="A1386" s="73">
        <v>42583</v>
      </c>
      <c r="B1386" s="74">
        <v>28003.119999999999</v>
      </c>
      <c r="C1386" s="74">
        <v>420.8</v>
      </c>
      <c r="D1386" s="74">
        <f t="shared" si="43"/>
        <v>-1.7390073917813438E-3</v>
      </c>
      <c r="E1386" s="74">
        <f t="shared" si="44"/>
        <v>4.1674168785848448E-3</v>
      </c>
      <c r="F1386" s="75"/>
    </row>
    <row r="1387" spans="1:6" ht="14.25" customHeight="1" x14ac:dyDescent="0.3">
      <c r="A1387" s="73">
        <v>42584</v>
      </c>
      <c r="B1387" s="74">
        <v>27981.71</v>
      </c>
      <c r="C1387" s="74">
        <v>423.3</v>
      </c>
      <c r="D1387" s="74">
        <f t="shared" si="43"/>
        <v>-7.6485008684423891E-4</v>
      </c>
      <c r="E1387" s="74">
        <f t="shared" si="44"/>
        <v>5.9234861033778258E-3</v>
      </c>
      <c r="F1387" s="75"/>
    </row>
    <row r="1388" spans="1:6" ht="14.25" customHeight="1" x14ac:dyDescent="0.3">
      <c r="A1388" s="73">
        <v>42585</v>
      </c>
      <c r="B1388" s="74">
        <v>27697.51</v>
      </c>
      <c r="C1388" s="74">
        <v>414.4</v>
      </c>
      <c r="D1388" s="74">
        <f t="shared" si="43"/>
        <v>-1.0208564996045002E-2</v>
      </c>
      <c r="E1388" s="74">
        <f t="shared" si="44"/>
        <v>-2.1249456581604823E-2</v>
      </c>
      <c r="F1388" s="75"/>
    </row>
    <row r="1389" spans="1:6" ht="14.25" customHeight="1" x14ac:dyDescent="0.3">
      <c r="A1389" s="73">
        <v>42586</v>
      </c>
      <c r="B1389" s="74">
        <v>27714.37</v>
      </c>
      <c r="C1389" s="74">
        <v>406.8</v>
      </c>
      <c r="D1389" s="74">
        <f t="shared" si="43"/>
        <v>6.0853378446245839E-4</v>
      </c>
      <c r="E1389" s="74">
        <f t="shared" si="44"/>
        <v>-1.8510026770868323E-2</v>
      </c>
      <c r="F1389" s="75"/>
    </row>
    <row r="1390" spans="1:6" ht="14.25" customHeight="1" x14ac:dyDescent="0.3">
      <c r="A1390" s="73">
        <v>42587</v>
      </c>
      <c r="B1390" s="74">
        <v>28078.35</v>
      </c>
      <c r="C1390" s="74">
        <v>416.4</v>
      </c>
      <c r="D1390" s="74">
        <f t="shared" si="43"/>
        <v>1.3047765506869346E-2</v>
      </c>
      <c r="E1390" s="74">
        <f t="shared" si="44"/>
        <v>2.3324672566408824E-2</v>
      </c>
      <c r="F1390" s="75"/>
    </row>
    <row r="1391" spans="1:6" ht="14.25" customHeight="1" x14ac:dyDescent="0.3">
      <c r="A1391" s="73">
        <v>42590</v>
      </c>
      <c r="B1391" s="74">
        <v>28182.57</v>
      </c>
      <c r="C1391" s="74">
        <v>419.6</v>
      </c>
      <c r="D1391" s="74">
        <f t="shared" si="43"/>
        <v>3.7048849969671064E-3</v>
      </c>
      <c r="E1391" s="74">
        <f t="shared" si="44"/>
        <v>7.6555397813284987E-3</v>
      </c>
      <c r="F1391" s="75"/>
    </row>
    <row r="1392" spans="1:6" ht="14.25" customHeight="1" x14ac:dyDescent="0.3">
      <c r="A1392" s="73">
        <v>42591</v>
      </c>
      <c r="B1392" s="74">
        <v>28085.16</v>
      </c>
      <c r="C1392" s="74">
        <v>419.65</v>
      </c>
      <c r="D1392" s="74">
        <f t="shared" si="43"/>
        <v>-3.4623787848954584E-3</v>
      </c>
      <c r="E1392" s="74">
        <f t="shared" si="44"/>
        <v>1.191540066942754E-4</v>
      </c>
      <c r="F1392" s="75"/>
    </row>
    <row r="1393" spans="1:6" ht="14.25" customHeight="1" x14ac:dyDescent="0.3">
      <c r="A1393" s="73">
        <v>42592</v>
      </c>
      <c r="B1393" s="74">
        <v>27774.880000000001</v>
      </c>
      <c r="C1393" s="74">
        <v>405</v>
      </c>
      <c r="D1393" s="74">
        <f t="shared" si="43"/>
        <v>-1.1109307875127291E-2</v>
      </c>
      <c r="E1393" s="74">
        <f t="shared" si="44"/>
        <v>-3.5533963422297345E-2</v>
      </c>
      <c r="F1393" s="75"/>
    </row>
    <row r="1394" spans="1:6" ht="14.25" customHeight="1" x14ac:dyDescent="0.3">
      <c r="A1394" s="73">
        <v>42593</v>
      </c>
      <c r="B1394" s="74">
        <v>27859.599999999999</v>
      </c>
      <c r="C1394" s="74">
        <v>401.15</v>
      </c>
      <c r="D1394" s="74">
        <f t="shared" si="43"/>
        <v>3.0455956624775744E-3</v>
      </c>
      <c r="E1394" s="74">
        <f t="shared" si="44"/>
        <v>-9.5516449068742491E-3</v>
      </c>
      <c r="F1394" s="75"/>
    </row>
    <row r="1395" spans="1:6" ht="14.25" customHeight="1" x14ac:dyDescent="0.3">
      <c r="A1395" s="73">
        <v>42594</v>
      </c>
      <c r="B1395" s="74">
        <v>28152.400000000001</v>
      </c>
      <c r="C1395" s="74">
        <v>402.25</v>
      </c>
      <c r="D1395" s="74">
        <f t="shared" si="43"/>
        <v>1.0454997753531696E-2</v>
      </c>
      <c r="E1395" s="74">
        <f t="shared" si="44"/>
        <v>2.7383636728276826E-3</v>
      </c>
      <c r="F1395" s="75"/>
    </row>
    <row r="1396" spans="1:6" ht="14.25" customHeight="1" x14ac:dyDescent="0.3">
      <c r="A1396" s="73">
        <v>42598</v>
      </c>
      <c r="B1396" s="74">
        <v>28064.61</v>
      </c>
      <c r="C1396" s="74">
        <v>404.25</v>
      </c>
      <c r="D1396" s="74">
        <f t="shared" si="43"/>
        <v>-3.123256514851232E-3</v>
      </c>
      <c r="E1396" s="74">
        <f t="shared" si="44"/>
        <v>4.9597125847236521E-3</v>
      </c>
      <c r="F1396" s="75"/>
    </row>
    <row r="1397" spans="1:6" ht="14.25" customHeight="1" x14ac:dyDescent="0.3">
      <c r="A1397" s="73">
        <v>42599</v>
      </c>
      <c r="B1397" s="74">
        <v>28005.37</v>
      </c>
      <c r="C1397" s="74">
        <v>404.45</v>
      </c>
      <c r="D1397" s="74">
        <f t="shared" si="43"/>
        <v>-2.1130744845149377E-3</v>
      </c>
      <c r="E1397" s="74">
        <f t="shared" si="44"/>
        <v>4.9462100674544437E-4</v>
      </c>
      <c r="F1397" s="75"/>
    </row>
    <row r="1398" spans="1:6" ht="14.25" customHeight="1" x14ac:dyDescent="0.3">
      <c r="A1398" s="73">
        <v>42600</v>
      </c>
      <c r="B1398" s="74">
        <v>28123.439999999999</v>
      </c>
      <c r="C1398" s="74">
        <v>398.8</v>
      </c>
      <c r="D1398" s="74">
        <f t="shared" si="43"/>
        <v>4.2071148186243962E-3</v>
      </c>
      <c r="E1398" s="74">
        <f t="shared" si="44"/>
        <v>-1.4068081376278246E-2</v>
      </c>
      <c r="F1398" s="75"/>
    </row>
    <row r="1399" spans="1:6" ht="14.25" customHeight="1" x14ac:dyDescent="0.3">
      <c r="A1399" s="73">
        <v>42601</v>
      </c>
      <c r="B1399" s="74">
        <v>28077</v>
      </c>
      <c r="C1399" s="74">
        <v>401.85</v>
      </c>
      <c r="D1399" s="74">
        <f t="shared" si="43"/>
        <v>-1.6526564763559278E-3</v>
      </c>
      <c r="E1399" s="74">
        <f t="shared" si="44"/>
        <v>7.6188465710441628E-3</v>
      </c>
      <c r="F1399" s="75"/>
    </row>
    <row r="1400" spans="1:6" ht="14.25" customHeight="1" x14ac:dyDescent="0.3">
      <c r="A1400" s="73">
        <v>42604</v>
      </c>
      <c r="B1400" s="74">
        <v>27985.54</v>
      </c>
      <c r="C1400" s="74">
        <v>403.35</v>
      </c>
      <c r="D1400" s="74">
        <f t="shared" si="43"/>
        <v>-3.2627876346164172E-3</v>
      </c>
      <c r="E1400" s="74">
        <f t="shared" si="44"/>
        <v>3.725786724256018E-3</v>
      </c>
      <c r="F1400" s="75"/>
    </row>
    <row r="1401" spans="1:6" ht="14.25" customHeight="1" x14ac:dyDescent="0.3">
      <c r="A1401" s="73">
        <v>42605</v>
      </c>
      <c r="B1401" s="74">
        <v>27990.21</v>
      </c>
      <c r="C1401" s="74">
        <v>405.55</v>
      </c>
      <c r="D1401" s="74">
        <f t="shared" si="43"/>
        <v>1.6685797013288794E-4</v>
      </c>
      <c r="E1401" s="74">
        <f t="shared" si="44"/>
        <v>5.439499133370336E-3</v>
      </c>
      <c r="F1401" s="75"/>
    </row>
    <row r="1402" spans="1:6" ht="14.25" customHeight="1" x14ac:dyDescent="0.3">
      <c r="A1402" s="73">
        <v>42606</v>
      </c>
      <c r="B1402" s="74">
        <v>28059.94</v>
      </c>
      <c r="C1402" s="74">
        <v>403.7</v>
      </c>
      <c r="D1402" s="74">
        <f t="shared" si="43"/>
        <v>2.4881302181583424E-3</v>
      </c>
      <c r="E1402" s="74">
        <f t="shared" si="44"/>
        <v>-4.5721426574587077E-3</v>
      </c>
      <c r="F1402" s="75"/>
    </row>
    <row r="1403" spans="1:6" ht="14.25" customHeight="1" x14ac:dyDescent="0.3">
      <c r="A1403" s="73">
        <v>42607</v>
      </c>
      <c r="B1403" s="74">
        <v>27835.91</v>
      </c>
      <c r="C1403" s="74">
        <v>396.3</v>
      </c>
      <c r="D1403" s="74">
        <f t="shared" si="43"/>
        <v>-8.0160226426914932E-3</v>
      </c>
      <c r="E1403" s="74">
        <f t="shared" si="44"/>
        <v>-1.8500527662505782E-2</v>
      </c>
      <c r="F1403" s="75"/>
    </row>
    <row r="1404" spans="1:6" ht="14.25" customHeight="1" x14ac:dyDescent="0.3">
      <c r="A1404" s="73">
        <v>42608</v>
      </c>
      <c r="B1404" s="74">
        <v>27782.25</v>
      </c>
      <c r="C1404" s="74">
        <v>406.05</v>
      </c>
      <c r="D1404" s="74">
        <f t="shared" si="43"/>
        <v>-1.9295861872944916E-3</v>
      </c>
      <c r="E1404" s="74">
        <f t="shared" si="44"/>
        <v>2.4304804532030485E-2</v>
      </c>
      <c r="F1404" s="75"/>
    </row>
    <row r="1405" spans="1:6" ht="14.25" customHeight="1" x14ac:dyDescent="0.3">
      <c r="A1405" s="73">
        <v>42611</v>
      </c>
      <c r="B1405" s="74">
        <v>27902.66</v>
      </c>
      <c r="C1405" s="74">
        <v>402.15</v>
      </c>
      <c r="D1405" s="74">
        <f t="shared" si="43"/>
        <v>4.3246972175773847E-3</v>
      </c>
      <c r="E1405" s="74">
        <f t="shared" si="44"/>
        <v>-9.6511513783419343E-3</v>
      </c>
      <c r="F1405" s="75"/>
    </row>
    <row r="1406" spans="1:6" ht="14.25" customHeight="1" x14ac:dyDescent="0.3">
      <c r="A1406" s="73">
        <v>42612</v>
      </c>
      <c r="B1406" s="74">
        <v>28343.01</v>
      </c>
      <c r="C1406" s="74">
        <v>407.4</v>
      </c>
      <c r="D1406" s="74">
        <f t="shared" si="43"/>
        <v>1.5658414141582196E-2</v>
      </c>
      <c r="E1406" s="74">
        <f t="shared" si="44"/>
        <v>1.2970350442627405E-2</v>
      </c>
      <c r="F1406" s="75"/>
    </row>
    <row r="1407" spans="1:6" ht="14.25" customHeight="1" x14ac:dyDescent="0.3">
      <c r="A1407" s="73">
        <v>42613</v>
      </c>
      <c r="B1407" s="74">
        <v>28452.17</v>
      </c>
      <c r="C1407" s="74">
        <v>418.15</v>
      </c>
      <c r="D1407" s="74">
        <f t="shared" si="43"/>
        <v>3.8439929027382666E-3</v>
      </c>
      <c r="E1407" s="74">
        <f t="shared" si="44"/>
        <v>2.6044716034829236E-2</v>
      </c>
      <c r="F1407" s="75"/>
    </row>
    <row r="1408" spans="1:6" ht="14.25" customHeight="1" x14ac:dyDescent="0.3">
      <c r="A1408" s="73">
        <v>42614</v>
      </c>
      <c r="B1408" s="74">
        <v>28423.48</v>
      </c>
      <c r="C1408" s="74">
        <v>413.1</v>
      </c>
      <c r="D1408" s="74">
        <f t="shared" si="43"/>
        <v>-1.0088676765337055E-3</v>
      </c>
      <c r="E1408" s="74">
        <f t="shared" si="44"/>
        <v>-1.215052542481586E-2</v>
      </c>
      <c r="F1408" s="75"/>
    </row>
    <row r="1409" spans="1:6" ht="14.25" customHeight="1" x14ac:dyDescent="0.3">
      <c r="A1409" s="73">
        <v>42615</v>
      </c>
      <c r="B1409" s="74">
        <v>28532.11</v>
      </c>
      <c r="C1409" s="74">
        <v>417.65</v>
      </c>
      <c r="D1409" s="74">
        <f t="shared" si="43"/>
        <v>3.8145555764199594E-3</v>
      </c>
      <c r="E1409" s="74">
        <f t="shared" si="44"/>
        <v>1.095406679919623E-2</v>
      </c>
      <c r="F1409" s="75"/>
    </row>
    <row r="1410" spans="1:6" ht="14.25" customHeight="1" x14ac:dyDescent="0.3">
      <c r="A1410" s="73">
        <v>42619</v>
      </c>
      <c r="B1410" s="74">
        <v>28978.02</v>
      </c>
      <c r="C1410" s="74">
        <v>437.35</v>
      </c>
      <c r="D1410" s="74">
        <f t="shared" si="43"/>
        <v>1.5507491848346622E-2</v>
      </c>
      <c r="E1410" s="74">
        <f t="shared" si="44"/>
        <v>4.6090028663948755E-2</v>
      </c>
      <c r="F1410" s="75"/>
    </row>
    <row r="1411" spans="1:6" ht="14.25" customHeight="1" x14ac:dyDescent="0.3">
      <c r="A1411" s="73">
        <v>42620</v>
      </c>
      <c r="B1411" s="74">
        <v>28926.36</v>
      </c>
      <c r="C1411" s="74">
        <v>425.95</v>
      </c>
      <c r="D1411" s="74">
        <f t="shared" si="43"/>
        <v>-1.7843214522380692E-3</v>
      </c>
      <c r="E1411" s="74">
        <f t="shared" si="44"/>
        <v>-2.6411821377014554E-2</v>
      </c>
      <c r="F1411" s="75"/>
    </row>
    <row r="1412" spans="1:6" ht="14.25" customHeight="1" x14ac:dyDescent="0.3">
      <c r="A1412" s="73">
        <v>42621</v>
      </c>
      <c r="B1412" s="74">
        <v>29045.279999999999</v>
      </c>
      <c r="C1412" s="74">
        <v>432.55</v>
      </c>
      <c r="D1412" s="74">
        <f t="shared" ref="D1412:D1475" si="45">LN(B1412/B1411)</f>
        <v>4.1027014866805277E-3</v>
      </c>
      <c r="E1412" s="74">
        <f t="shared" ref="E1412:E1475" si="46">LN(C1412/C1411)</f>
        <v>1.5375958137533979E-2</v>
      </c>
      <c r="F1412" s="75"/>
    </row>
    <row r="1413" spans="1:6" ht="14.25" customHeight="1" x14ac:dyDescent="0.3">
      <c r="A1413" s="73">
        <v>42622</v>
      </c>
      <c r="B1413" s="74">
        <v>28797.25</v>
      </c>
      <c r="C1413" s="74">
        <v>423.8</v>
      </c>
      <c r="D1413" s="74">
        <f t="shared" si="45"/>
        <v>-8.5760951397908687E-3</v>
      </c>
      <c r="E1413" s="74">
        <f t="shared" si="46"/>
        <v>-2.0436280792184638E-2</v>
      </c>
      <c r="F1413" s="75"/>
    </row>
    <row r="1414" spans="1:6" ht="14.25" customHeight="1" x14ac:dyDescent="0.3">
      <c r="A1414" s="73">
        <v>42625</v>
      </c>
      <c r="B1414" s="74">
        <v>28353.54</v>
      </c>
      <c r="C1414" s="74">
        <v>411.65</v>
      </c>
      <c r="D1414" s="74">
        <f t="shared" si="45"/>
        <v>-1.5528006368396822E-2</v>
      </c>
      <c r="E1414" s="74">
        <f t="shared" si="46"/>
        <v>-2.9088172089763713E-2</v>
      </c>
      <c r="F1414" s="75"/>
    </row>
    <row r="1415" spans="1:6" ht="14.25" customHeight="1" x14ac:dyDescent="0.3">
      <c r="A1415" s="73">
        <v>42627</v>
      </c>
      <c r="B1415" s="74">
        <v>28372.23</v>
      </c>
      <c r="C1415" s="74">
        <v>415</v>
      </c>
      <c r="D1415" s="74">
        <f t="shared" si="45"/>
        <v>6.5895978763485727E-4</v>
      </c>
      <c r="E1415" s="74">
        <f t="shared" si="46"/>
        <v>8.1050464862632704E-3</v>
      </c>
      <c r="F1415" s="75"/>
    </row>
    <row r="1416" spans="1:6" ht="14.25" customHeight="1" x14ac:dyDescent="0.3">
      <c r="A1416" s="73">
        <v>42628</v>
      </c>
      <c r="B1416" s="74">
        <v>28412.89</v>
      </c>
      <c r="C1416" s="74">
        <v>406.2</v>
      </c>
      <c r="D1416" s="74">
        <f t="shared" si="45"/>
        <v>1.4320655463554617E-3</v>
      </c>
      <c r="E1416" s="74">
        <f t="shared" si="46"/>
        <v>-2.1432871084414044E-2</v>
      </c>
      <c r="F1416" s="75"/>
    </row>
    <row r="1417" spans="1:6" ht="14.25" customHeight="1" x14ac:dyDescent="0.3">
      <c r="A1417" s="73">
        <v>42629</v>
      </c>
      <c r="B1417" s="74">
        <v>28599.03</v>
      </c>
      <c r="C1417" s="74">
        <v>407.05</v>
      </c>
      <c r="D1417" s="74">
        <f t="shared" si="45"/>
        <v>6.5298857294336203E-3</v>
      </c>
      <c r="E1417" s="74">
        <f t="shared" si="46"/>
        <v>2.0903788737024432E-3</v>
      </c>
      <c r="F1417" s="75"/>
    </row>
    <row r="1418" spans="1:6" ht="14.25" customHeight="1" x14ac:dyDescent="0.3">
      <c r="A1418" s="73">
        <v>42632</v>
      </c>
      <c r="B1418" s="74">
        <v>28634.5</v>
      </c>
      <c r="C1418" s="74">
        <v>403.6</v>
      </c>
      <c r="D1418" s="74">
        <f t="shared" si="45"/>
        <v>1.2394833777020732E-3</v>
      </c>
      <c r="E1418" s="74">
        <f t="shared" si="46"/>
        <v>-8.5117395405327877E-3</v>
      </c>
      <c r="F1418" s="75"/>
    </row>
    <row r="1419" spans="1:6" ht="14.25" customHeight="1" x14ac:dyDescent="0.3">
      <c r="A1419" s="73">
        <v>42633</v>
      </c>
      <c r="B1419" s="74">
        <v>28523.200000000001</v>
      </c>
      <c r="C1419" s="74">
        <v>402.35</v>
      </c>
      <c r="D1419" s="74">
        <f t="shared" si="45"/>
        <v>-3.8944933289693051E-3</v>
      </c>
      <c r="E1419" s="74">
        <f t="shared" si="46"/>
        <v>-3.101931887312042E-3</v>
      </c>
      <c r="F1419" s="75"/>
    </row>
    <row r="1420" spans="1:6" ht="14.25" customHeight="1" x14ac:dyDescent="0.3">
      <c r="A1420" s="73">
        <v>42634</v>
      </c>
      <c r="B1420" s="74">
        <v>28507.42</v>
      </c>
      <c r="C1420" s="74">
        <v>406.5</v>
      </c>
      <c r="D1420" s="74">
        <f t="shared" si="45"/>
        <v>-5.533869490706142E-4</v>
      </c>
      <c r="E1420" s="74">
        <f t="shared" si="46"/>
        <v>1.0261572395723385E-2</v>
      </c>
      <c r="F1420" s="75"/>
    </row>
    <row r="1421" spans="1:6" ht="14.25" customHeight="1" x14ac:dyDescent="0.3">
      <c r="A1421" s="73">
        <v>42635</v>
      </c>
      <c r="B1421" s="74">
        <v>28773.13</v>
      </c>
      <c r="C1421" s="74">
        <v>414.35</v>
      </c>
      <c r="D1421" s="74">
        <f t="shared" si="45"/>
        <v>9.2775612619584915E-3</v>
      </c>
      <c r="E1421" s="74">
        <f t="shared" si="46"/>
        <v>1.9127098307186275E-2</v>
      </c>
      <c r="F1421" s="75"/>
    </row>
    <row r="1422" spans="1:6" ht="14.25" customHeight="1" x14ac:dyDescent="0.3">
      <c r="A1422" s="73">
        <v>42636</v>
      </c>
      <c r="B1422" s="74">
        <v>28668.22</v>
      </c>
      <c r="C1422" s="74">
        <v>409.4</v>
      </c>
      <c r="D1422" s="74">
        <f t="shared" si="45"/>
        <v>-3.6527733644489478E-3</v>
      </c>
      <c r="E1422" s="74">
        <f t="shared" si="46"/>
        <v>-1.2018354067862433E-2</v>
      </c>
      <c r="F1422" s="75"/>
    </row>
    <row r="1423" spans="1:6" ht="14.25" customHeight="1" x14ac:dyDescent="0.3">
      <c r="A1423" s="73">
        <v>42639</v>
      </c>
      <c r="B1423" s="74">
        <v>28294.28</v>
      </c>
      <c r="C1423" s="74">
        <v>404.4</v>
      </c>
      <c r="D1423" s="74">
        <f t="shared" si="45"/>
        <v>-1.312952808507831E-2</v>
      </c>
      <c r="E1423" s="74">
        <f t="shared" si="46"/>
        <v>-1.2288186080872775E-2</v>
      </c>
      <c r="F1423" s="75"/>
    </row>
    <row r="1424" spans="1:6" ht="14.25" customHeight="1" x14ac:dyDescent="0.3">
      <c r="A1424" s="73">
        <v>42640</v>
      </c>
      <c r="B1424" s="74">
        <v>28223.7</v>
      </c>
      <c r="C1424" s="74">
        <v>404.9</v>
      </c>
      <c r="D1424" s="74">
        <f t="shared" si="45"/>
        <v>-2.4976135626313695E-3</v>
      </c>
      <c r="E1424" s="74">
        <f t="shared" si="46"/>
        <v>1.2356358917990284E-3</v>
      </c>
      <c r="F1424" s="75"/>
    </row>
    <row r="1425" spans="1:6" ht="14.25" customHeight="1" x14ac:dyDescent="0.3">
      <c r="A1425" s="73">
        <v>42641</v>
      </c>
      <c r="B1425" s="74">
        <v>28292.81</v>
      </c>
      <c r="C1425" s="74">
        <v>409.3</v>
      </c>
      <c r="D1425" s="74">
        <f t="shared" si="45"/>
        <v>2.4456582491373755E-3</v>
      </c>
      <c r="E1425" s="74">
        <f t="shared" si="46"/>
        <v>1.0808260460241971E-2</v>
      </c>
      <c r="F1425" s="75"/>
    </row>
    <row r="1426" spans="1:6" ht="14.25" customHeight="1" x14ac:dyDescent="0.3">
      <c r="A1426" s="73">
        <v>42642</v>
      </c>
      <c r="B1426" s="74">
        <v>27827.53</v>
      </c>
      <c r="C1426" s="74">
        <v>392.75</v>
      </c>
      <c r="D1426" s="74">
        <f t="shared" si="45"/>
        <v>-1.6581890310409828E-2</v>
      </c>
      <c r="E1426" s="74">
        <f t="shared" si="46"/>
        <v>-4.1275106362626802E-2</v>
      </c>
      <c r="F1426" s="75"/>
    </row>
    <row r="1427" spans="1:6" ht="14.25" customHeight="1" x14ac:dyDescent="0.3">
      <c r="A1427" s="73">
        <v>42643</v>
      </c>
      <c r="B1427" s="74">
        <v>27865.96</v>
      </c>
      <c r="C1427" s="74">
        <v>395.65</v>
      </c>
      <c r="D1427" s="74">
        <f t="shared" si="45"/>
        <v>1.3800537944136473E-3</v>
      </c>
      <c r="E1427" s="74">
        <f t="shared" si="46"/>
        <v>7.3567049194717569E-3</v>
      </c>
      <c r="F1427" s="75"/>
    </row>
    <row r="1428" spans="1:6" ht="14.25" customHeight="1" x14ac:dyDescent="0.3">
      <c r="A1428" s="73">
        <v>42646</v>
      </c>
      <c r="B1428" s="74">
        <v>28243.29</v>
      </c>
      <c r="C1428" s="74">
        <v>407.55</v>
      </c>
      <c r="D1428" s="74">
        <f t="shared" si="45"/>
        <v>1.3450035006378411E-2</v>
      </c>
      <c r="E1428" s="74">
        <f t="shared" si="46"/>
        <v>2.9633642485264136E-2</v>
      </c>
      <c r="F1428" s="75"/>
    </row>
    <row r="1429" spans="1:6" ht="14.25" customHeight="1" x14ac:dyDescent="0.3">
      <c r="A1429" s="73">
        <v>42647</v>
      </c>
      <c r="B1429" s="74">
        <v>28334.55</v>
      </c>
      <c r="C1429" s="74">
        <v>405.4</v>
      </c>
      <c r="D1429" s="74">
        <f t="shared" si="45"/>
        <v>3.2260008210224034E-3</v>
      </c>
      <c r="E1429" s="74">
        <f t="shared" si="46"/>
        <v>-5.2893905225668671E-3</v>
      </c>
      <c r="F1429" s="75"/>
    </row>
    <row r="1430" spans="1:6" ht="14.25" customHeight="1" x14ac:dyDescent="0.3">
      <c r="A1430" s="73">
        <v>42648</v>
      </c>
      <c r="B1430" s="74">
        <v>28220.98</v>
      </c>
      <c r="C1430" s="74">
        <v>405.1</v>
      </c>
      <c r="D1430" s="74">
        <f t="shared" si="45"/>
        <v>-4.016235111167144E-3</v>
      </c>
      <c r="E1430" s="74">
        <f t="shared" si="46"/>
        <v>-7.4028380925468312E-4</v>
      </c>
      <c r="F1430" s="75"/>
    </row>
    <row r="1431" spans="1:6" ht="14.25" customHeight="1" x14ac:dyDescent="0.3">
      <c r="A1431" s="73">
        <v>42649</v>
      </c>
      <c r="B1431" s="74">
        <v>28106.21</v>
      </c>
      <c r="C1431" s="74">
        <v>398.95</v>
      </c>
      <c r="D1431" s="74">
        <f t="shared" si="45"/>
        <v>-4.0751246006993508E-3</v>
      </c>
      <c r="E1431" s="74">
        <f t="shared" si="46"/>
        <v>-1.529785445435502E-2</v>
      </c>
      <c r="F1431" s="75"/>
    </row>
    <row r="1432" spans="1:6" ht="14.25" customHeight="1" x14ac:dyDescent="0.3">
      <c r="A1432" s="73">
        <v>42650</v>
      </c>
      <c r="B1432" s="74">
        <v>28061.14</v>
      </c>
      <c r="C1432" s="74">
        <v>395.1</v>
      </c>
      <c r="D1432" s="74">
        <f t="shared" si="45"/>
        <v>-1.6048472884434835E-3</v>
      </c>
      <c r="E1432" s="74">
        <f t="shared" si="46"/>
        <v>-9.6971983369447731E-3</v>
      </c>
      <c r="F1432" s="75"/>
    </row>
    <row r="1433" spans="1:6" ht="14.25" customHeight="1" x14ac:dyDescent="0.3">
      <c r="A1433" s="73">
        <v>42653</v>
      </c>
      <c r="B1433" s="74">
        <v>28082.34</v>
      </c>
      <c r="C1433" s="74">
        <v>403.65</v>
      </c>
      <c r="D1433" s="74">
        <f t="shared" si="45"/>
        <v>7.5520794249310833E-4</v>
      </c>
      <c r="E1433" s="74">
        <f t="shared" si="46"/>
        <v>2.1409268423679274E-2</v>
      </c>
      <c r="F1433" s="75"/>
    </row>
    <row r="1434" spans="1:6" ht="14.25" customHeight="1" x14ac:dyDescent="0.3">
      <c r="A1434" s="73">
        <v>42656</v>
      </c>
      <c r="B1434" s="74">
        <v>27643.11</v>
      </c>
      <c r="C1434" s="74">
        <v>388.85</v>
      </c>
      <c r="D1434" s="74">
        <f t="shared" si="45"/>
        <v>-1.5764398359405608E-2</v>
      </c>
      <c r="E1434" s="74">
        <f t="shared" si="46"/>
        <v>-3.7354500700072076E-2</v>
      </c>
      <c r="F1434" s="75"/>
    </row>
    <row r="1435" spans="1:6" ht="14.25" customHeight="1" x14ac:dyDescent="0.3">
      <c r="A1435" s="73">
        <v>42657</v>
      </c>
      <c r="B1435" s="74">
        <v>27673.599999999999</v>
      </c>
      <c r="C1435" s="74">
        <v>386.05</v>
      </c>
      <c r="D1435" s="74">
        <f t="shared" si="45"/>
        <v>1.1023794830792976E-3</v>
      </c>
      <c r="E1435" s="74">
        <f t="shared" si="46"/>
        <v>-7.2267703861275514E-3</v>
      </c>
      <c r="F1435" s="75"/>
    </row>
    <row r="1436" spans="1:6" ht="14.25" customHeight="1" x14ac:dyDescent="0.3">
      <c r="A1436" s="73">
        <v>42660</v>
      </c>
      <c r="B1436" s="74">
        <v>27529.97</v>
      </c>
      <c r="C1436" s="74">
        <v>385.55</v>
      </c>
      <c r="D1436" s="74">
        <f t="shared" si="45"/>
        <v>-5.203660708970867E-3</v>
      </c>
      <c r="E1436" s="74">
        <f t="shared" si="46"/>
        <v>-1.2960084758551519E-3</v>
      </c>
      <c r="F1436" s="75"/>
    </row>
    <row r="1437" spans="1:6" ht="14.25" customHeight="1" x14ac:dyDescent="0.3">
      <c r="A1437" s="73">
        <v>42661</v>
      </c>
      <c r="B1437" s="74">
        <v>28050.880000000001</v>
      </c>
      <c r="C1437" s="74">
        <v>389.05</v>
      </c>
      <c r="D1437" s="74">
        <f t="shared" si="45"/>
        <v>1.8744774591999691E-2</v>
      </c>
      <c r="E1437" s="74">
        <f t="shared" si="46"/>
        <v>9.0369837839695578E-3</v>
      </c>
      <c r="F1437" s="75"/>
    </row>
    <row r="1438" spans="1:6" ht="14.25" customHeight="1" x14ac:dyDescent="0.3">
      <c r="A1438" s="73">
        <v>42662</v>
      </c>
      <c r="B1438" s="74">
        <v>27984.37</v>
      </c>
      <c r="C1438" s="74">
        <v>387.65</v>
      </c>
      <c r="D1438" s="74">
        <f t="shared" si="45"/>
        <v>-2.3738639957263572E-3</v>
      </c>
      <c r="E1438" s="74">
        <f t="shared" si="46"/>
        <v>-3.6049993979712213E-3</v>
      </c>
      <c r="F1438" s="75"/>
    </row>
    <row r="1439" spans="1:6" ht="14.25" customHeight="1" x14ac:dyDescent="0.3">
      <c r="A1439" s="73">
        <v>42663</v>
      </c>
      <c r="B1439" s="74">
        <v>28129.84</v>
      </c>
      <c r="C1439" s="74">
        <v>389.1</v>
      </c>
      <c r="D1439" s="74">
        <f t="shared" si="45"/>
        <v>5.1847945779883164E-3</v>
      </c>
      <c r="E1439" s="74">
        <f t="shared" si="46"/>
        <v>3.7335093255398714E-3</v>
      </c>
      <c r="F1439" s="75"/>
    </row>
    <row r="1440" spans="1:6" ht="14.25" customHeight="1" x14ac:dyDescent="0.3">
      <c r="A1440" s="73">
        <v>42664</v>
      </c>
      <c r="B1440" s="74">
        <v>28077.18</v>
      </c>
      <c r="C1440" s="74">
        <v>379.4</v>
      </c>
      <c r="D1440" s="74">
        <f t="shared" si="45"/>
        <v>-1.8737878438598041E-3</v>
      </c>
      <c r="E1440" s="74">
        <f t="shared" si="46"/>
        <v>-2.5245322489594185E-2</v>
      </c>
      <c r="F1440" s="75"/>
    </row>
    <row r="1441" spans="1:6" ht="14.25" customHeight="1" x14ac:dyDescent="0.3">
      <c r="A1441" s="73">
        <v>42667</v>
      </c>
      <c r="B1441" s="74">
        <v>28179.08</v>
      </c>
      <c r="C1441" s="74">
        <v>377.2</v>
      </c>
      <c r="D1441" s="74">
        <f t="shared" si="45"/>
        <v>3.6227119060158325E-3</v>
      </c>
      <c r="E1441" s="74">
        <f t="shared" si="46"/>
        <v>-5.8155067416113537E-3</v>
      </c>
      <c r="F1441" s="75"/>
    </row>
    <row r="1442" spans="1:6" ht="14.25" customHeight="1" x14ac:dyDescent="0.3">
      <c r="A1442" s="73">
        <v>42668</v>
      </c>
      <c r="B1442" s="74">
        <v>28091.42</v>
      </c>
      <c r="C1442" s="74">
        <v>372.7</v>
      </c>
      <c r="D1442" s="74">
        <f t="shared" si="45"/>
        <v>-3.1156670337889386E-3</v>
      </c>
      <c r="E1442" s="74">
        <f t="shared" si="46"/>
        <v>-1.2001744274089695E-2</v>
      </c>
      <c r="F1442" s="75"/>
    </row>
    <row r="1443" spans="1:6" ht="14.25" customHeight="1" x14ac:dyDescent="0.3">
      <c r="A1443" s="73">
        <v>42669</v>
      </c>
      <c r="B1443" s="74">
        <v>27836.51</v>
      </c>
      <c r="C1443" s="74">
        <v>374.8</v>
      </c>
      <c r="D1443" s="74">
        <f t="shared" si="45"/>
        <v>-9.1157232235500631E-3</v>
      </c>
      <c r="E1443" s="74">
        <f t="shared" si="46"/>
        <v>5.6187438790544081E-3</v>
      </c>
      <c r="F1443" s="75"/>
    </row>
    <row r="1444" spans="1:6" ht="14.25" customHeight="1" x14ac:dyDescent="0.3">
      <c r="A1444" s="73">
        <v>42670</v>
      </c>
      <c r="B1444" s="74">
        <v>27915.9</v>
      </c>
      <c r="C1444" s="74">
        <v>369.05</v>
      </c>
      <c r="D1444" s="74">
        <f t="shared" si="45"/>
        <v>2.8479505606966E-3</v>
      </c>
      <c r="E1444" s="74">
        <f t="shared" si="46"/>
        <v>-1.5460414148205729E-2</v>
      </c>
      <c r="F1444" s="75"/>
    </row>
    <row r="1445" spans="1:6" ht="14.25" customHeight="1" x14ac:dyDescent="0.3">
      <c r="A1445" s="73">
        <v>42671</v>
      </c>
      <c r="B1445" s="74">
        <v>27941.51</v>
      </c>
      <c r="C1445" s="74">
        <v>374.45</v>
      </c>
      <c r="D1445" s="74">
        <f t="shared" si="45"/>
        <v>9.1697777589435704E-4</v>
      </c>
      <c r="E1445" s="74">
        <f t="shared" si="46"/>
        <v>1.4526146479314613E-2</v>
      </c>
      <c r="F1445" s="75"/>
    </row>
    <row r="1446" spans="1:6" ht="14.25" customHeight="1" x14ac:dyDescent="0.3">
      <c r="A1446" s="73">
        <v>42673</v>
      </c>
      <c r="B1446" s="74">
        <v>27930.21</v>
      </c>
      <c r="C1446" s="74">
        <v>381.85</v>
      </c>
      <c r="D1446" s="74">
        <f t="shared" si="45"/>
        <v>-4.0449802347499239E-4</v>
      </c>
      <c r="E1446" s="74">
        <f t="shared" si="46"/>
        <v>1.9569578639017145E-2</v>
      </c>
      <c r="F1446" s="75"/>
    </row>
    <row r="1447" spans="1:6" ht="14.25" customHeight="1" x14ac:dyDescent="0.3">
      <c r="A1447" s="73">
        <v>42675</v>
      </c>
      <c r="B1447" s="74">
        <v>27876.61</v>
      </c>
      <c r="C1447" s="74">
        <v>374.25</v>
      </c>
      <c r="D1447" s="74">
        <f t="shared" si="45"/>
        <v>-1.9209127659156134E-3</v>
      </c>
      <c r="E1447" s="74">
        <f t="shared" si="46"/>
        <v>-2.0103838034655416E-2</v>
      </c>
      <c r="F1447" s="75"/>
    </row>
    <row r="1448" spans="1:6" ht="14.25" customHeight="1" x14ac:dyDescent="0.3">
      <c r="A1448" s="73">
        <v>42676</v>
      </c>
      <c r="B1448" s="74">
        <v>27527.22</v>
      </c>
      <c r="C1448" s="74">
        <v>377.45</v>
      </c>
      <c r="D1448" s="74">
        <f t="shared" si="45"/>
        <v>-1.2612652652553874E-2</v>
      </c>
      <c r="E1448" s="74">
        <f t="shared" si="46"/>
        <v>8.5140862858961528E-3</v>
      </c>
      <c r="F1448" s="75"/>
    </row>
    <row r="1449" spans="1:6" ht="14.25" customHeight="1" x14ac:dyDescent="0.3">
      <c r="A1449" s="73">
        <v>42677</v>
      </c>
      <c r="B1449" s="74">
        <v>27430.28</v>
      </c>
      <c r="C1449" s="74">
        <v>376.65</v>
      </c>
      <c r="D1449" s="74">
        <f t="shared" si="45"/>
        <v>-3.5278206082528423E-3</v>
      </c>
      <c r="E1449" s="74">
        <f t="shared" si="46"/>
        <v>-2.12173531393019E-3</v>
      </c>
      <c r="F1449" s="75"/>
    </row>
    <row r="1450" spans="1:6" ht="14.25" customHeight="1" x14ac:dyDescent="0.3">
      <c r="A1450" s="73">
        <v>42678</v>
      </c>
      <c r="B1450" s="74">
        <v>27274.15</v>
      </c>
      <c r="C1450" s="74">
        <v>368.5</v>
      </c>
      <c r="D1450" s="74">
        <f t="shared" si="45"/>
        <v>-5.7081455352255388E-3</v>
      </c>
      <c r="E1450" s="74">
        <f t="shared" si="46"/>
        <v>-2.1875662642312325E-2</v>
      </c>
      <c r="F1450" s="75"/>
    </row>
    <row r="1451" spans="1:6" ht="14.25" customHeight="1" x14ac:dyDescent="0.3">
      <c r="A1451" s="73">
        <v>42681</v>
      </c>
      <c r="B1451" s="74">
        <v>27458.99</v>
      </c>
      <c r="C1451" s="74">
        <v>370.25</v>
      </c>
      <c r="D1451" s="74">
        <f t="shared" si="45"/>
        <v>6.7542517274997663E-3</v>
      </c>
      <c r="E1451" s="74">
        <f t="shared" si="46"/>
        <v>4.7377415185167922E-3</v>
      </c>
      <c r="F1451" s="75"/>
    </row>
    <row r="1452" spans="1:6" ht="14.25" customHeight="1" x14ac:dyDescent="0.3">
      <c r="A1452" s="73">
        <v>42682</v>
      </c>
      <c r="B1452" s="74">
        <v>27591.14</v>
      </c>
      <c r="C1452" s="74">
        <v>370.6</v>
      </c>
      <c r="D1452" s="74">
        <f t="shared" si="45"/>
        <v>4.8010878028050237E-3</v>
      </c>
      <c r="E1452" s="74">
        <f t="shared" si="46"/>
        <v>9.4486070335136852E-4</v>
      </c>
      <c r="F1452" s="75"/>
    </row>
    <row r="1453" spans="1:6" ht="14.25" customHeight="1" x14ac:dyDescent="0.3">
      <c r="A1453" s="73">
        <v>42683</v>
      </c>
      <c r="B1453" s="74">
        <v>27252.53</v>
      </c>
      <c r="C1453" s="74">
        <v>348.35</v>
      </c>
      <c r="D1453" s="74">
        <f t="shared" si="45"/>
        <v>-1.23483458579594E-2</v>
      </c>
      <c r="E1453" s="74">
        <f t="shared" si="46"/>
        <v>-6.1915592375131445E-2</v>
      </c>
      <c r="F1453" s="75"/>
    </row>
    <row r="1454" spans="1:6" ht="14.25" customHeight="1" x14ac:dyDescent="0.3">
      <c r="A1454" s="73">
        <v>42684</v>
      </c>
      <c r="B1454" s="74">
        <v>27517.68</v>
      </c>
      <c r="C1454" s="74">
        <v>349</v>
      </c>
      <c r="D1454" s="74">
        <f t="shared" si="45"/>
        <v>9.6823463497113151E-3</v>
      </c>
      <c r="E1454" s="74">
        <f t="shared" si="46"/>
        <v>1.8642007262992583E-3</v>
      </c>
      <c r="F1454" s="75"/>
    </row>
    <row r="1455" spans="1:6" ht="14.25" customHeight="1" x14ac:dyDescent="0.3">
      <c r="A1455" s="73">
        <v>42685</v>
      </c>
      <c r="B1455" s="74">
        <v>26818.82</v>
      </c>
      <c r="C1455" s="74">
        <v>334.4</v>
      </c>
      <c r="D1455" s="74">
        <f t="shared" si="45"/>
        <v>-2.5724827317436843E-2</v>
      </c>
      <c r="E1455" s="74">
        <f t="shared" si="46"/>
        <v>-4.2734040991880683E-2</v>
      </c>
      <c r="F1455" s="75"/>
    </row>
    <row r="1456" spans="1:6" ht="14.25" customHeight="1" x14ac:dyDescent="0.3">
      <c r="A1456" s="73">
        <v>42689</v>
      </c>
      <c r="B1456" s="74">
        <v>26304.63</v>
      </c>
      <c r="C1456" s="74">
        <v>328</v>
      </c>
      <c r="D1456" s="74">
        <f t="shared" si="45"/>
        <v>-1.9358910551601598E-2</v>
      </c>
      <c r="E1456" s="74">
        <f t="shared" si="46"/>
        <v>-1.93242728264027E-2</v>
      </c>
      <c r="F1456" s="75"/>
    </row>
    <row r="1457" spans="1:6" ht="14.25" customHeight="1" x14ac:dyDescent="0.3">
      <c r="A1457" s="73">
        <v>42690</v>
      </c>
      <c r="B1457" s="74">
        <v>26298.69</v>
      </c>
      <c r="C1457" s="74">
        <v>319.14999999999998</v>
      </c>
      <c r="D1457" s="74">
        <f t="shared" si="45"/>
        <v>-2.2584125964861279E-4</v>
      </c>
      <c r="E1457" s="74">
        <f t="shared" si="46"/>
        <v>-2.7352396682077521E-2</v>
      </c>
      <c r="F1457" s="75"/>
    </row>
    <row r="1458" spans="1:6" ht="14.25" customHeight="1" x14ac:dyDescent="0.3">
      <c r="A1458" s="73">
        <v>42691</v>
      </c>
      <c r="B1458" s="74">
        <v>26227.62</v>
      </c>
      <c r="C1458" s="74">
        <v>316.10000000000002</v>
      </c>
      <c r="D1458" s="74">
        <f t="shared" si="45"/>
        <v>-2.7060740938967798E-3</v>
      </c>
      <c r="E1458" s="74">
        <f t="shared" si="46"/>
        <v>-9.6025924804941376E-3</v>
      </c>
      <c r="F1458" s="75"/>
    </row>
    <row r="1459" spans="1:6" ht="14.25" customHeight="1" x14ac:dyDescent="0.3">
      <c r="A1459" s="73">
        <v>42692</v>
      </c>
      <c r="B1459" s="74">
        <v>26150.240000000002</v>
      </c>
      <c r="C1459" s="74">
        <v>303.05</v>
      </c>
      <c r="D1459" s="74">
        <f t="shared" si="45"/>
        <v>-2.9546856742531944E-3</v>
      </c>
      <c r="E1459" s="74">
        <f t="shared" si="46"/>
        <v>-4.2160810824278097E-2</v>
      </c>
      <c r="F1459" s="75"/>
    </row>
    <row r="1460" spans="1:6" ht="14.25" customHeight="1" x14ac:dyDescent="0.3">
      <c r="A1460" s="73">
        <v>42695</v>
      </c>
      <c r="B1460" s="74">
        <v>25765.14</v>
      </c>
      <c r="C1460" s="74">
        <v>304.10000000000002</v>
      </c>
      <c r="D1460" s="74">
        <f t="shared" si="45"/>
        <v>-1.4835952795733272E-2</v>
      </c>
      <c r="E1460" s="74">
        <f t="shared" si="46"/>
        <v>3.4587862860250528E-3</v>
      </c>
      <c r="F1460" s="75"/>
    </row>
    <row r="1461" spans="1:6" ht="14.25" customHeight="1" x14ac:dyDescent="0.3">
      <c r="A1461" s="73">
        <v>42696</v>
      </c>
      <c r="B1461" s="74">
        <v>25960.78</v>
      </c>
      <c r="C1461" s="74">
        <v>306.75</v>
      </c>
      <c r="D1461" s="74">
        <f t="shared" si="45"/>
        <v>7.5645221161214516E-3</v>
      </c>
      <c r="E1461" s="74">
        <f t="shared" si="46"/>
        <v>8.6764889077017831E-3</v>
      </c>
      <c r="F1461" s="75"/>
    </row>
    <row r="1462" spans="1:6" ht="14.25" customHeight="1" x14ac:dyDescent="0.3">
      <c r="A1462" s="73">
        <v>42697</v>
      </c>
      <c r="B1462" s="74">
        <v>26051.81</v>
      </c>
      <c r="C1462" s="74">
        <v>312.45</v>
      </c>
      <c r="D1462" s="74">
        <f t="shared" si="45"/>
        <v>3.5003099419928293E-3</v>
      </c>
      <c r="E1462" s="74">
        <f t="shared" si="46"/>
        <v>1.8411372784069804E-2</v>
      </c>
      <c r="F1462" s="75"/>
    </row>
    <row r="1463" spans="1:6" ht="14.25" customHeight="1" x14ac:dyDescent="0.3">
      <c r="A1463" s="73">
        <v>42698</v>
      </c>
      <c r="B1463" s="74">
        <v>25860.17</v>
      </c>
      <c r="C1463" s="74">
        <v>307.85000000000002</v>
      </c>
      <c r="D1463" s="74">
        <f t="shared" si="45"/>
        <v>-7.3833003701190992E-3</v>
      </c>
      <c r="E1463" s="74">
        <f t="shared" si="46"/>
        <v>-1.4831805017871414E-2</v>
      </c>
      <c r="F1463" s="75"/>
    </row>
    <row r="1464" spans="1:6" ht="14.25" customHeight="1" x14ac:dyDescent="0.3">
      <c r="A1464" s="73">
        <v>42699</v>
      </c>
      <c r="B1464" s="74">
        <v>26316.34</v>
      </c>
      <c r="C1464" s="74">
        <v>317.25</v>
      </c>
      <c r="D1464" s="74">
        <f t="shared" si="45"/>
        <v>1.7486091855585414E-2</v>
      </c>
      <c r="E1464" s="74">
        <f t="shared" si="46"/>
        <v>3.0077455237277739E-2</v>
      </c>
      <c r="F1464" s="75"/>
    </row>
    <row r="1465" spans="1:6" ht="14.25" customHeight="1" x14ac:dyDescent="0.3">
      <c r="A1465" s="73">
        <v>42702</v>
      </c>
      <c r="B1465" s="74">
        <v>26350.17</v>
      </c>
      <c r="C1465" s="74">
        <v>306.64999999999998</v>
      </c>
      <c r="D1465" s="74">
        <f t="shared" si="45"/>
        <v>1.2846875425317646E-3</v>
      </c>
      <c r="E1465" s="74">
        <f t="shared" si="46"/>
        <v>-3.3983074522504354E-2</v>
      </c>
      <c r="F1465" s="75"/>
    </row>
    <row r="1466" spans="1:6" ht="14.25" customHeight="1" x14ac:dyDescent="0.3">
      <c r="A1466" s="73">
        <v>42703</v>
      </c>
      <c r="B1466" s="74">
        <v>26394.01</v>
      </c>
      <c r="C1466" s="74">
        <v>312.85000000000002</v>
      </c>
      <c r="D1466" s="74">
        <f t="shared" si="45"/>
        <v>1.6623638890893614E-3</v>
      </c>
      <c r="E1466" s="74">
        <f t="shared" si="46"/>
        <v>2.0016810372379817E-2</v>
      </c>
      <c r="F1466" s="75"/>
    </row>
    <row r="1467" spans="1:6" ht="14.25" customHeight="1" x14ac:dyDescent="0.3">
      <c r="A1467" s="73">
        <v>42704</v>
      </c>
      <c r="B1467" s="74">
        <v>26652.81</v>
      </c>
      <c r="C1467" s="74">
        <v>322.05</v>
      </c>
      <c r="D1467" s="74">
        <f t="shared" si="45"/>
        <v>9.7574954853630515E-3</v>
      </c>
      <c r="E1467" s="74">
        <f t="shared" si="46"/>
        <v>2.8982970548527175E-2</v>
      </c>
      <c r="F1467" s="75"/>
    </row>
    <row r="1468" spans="1:6" ht="14.25" customHeight="1" x14ac:dyDescent="0.3">
      <c r="A1468" s="73">
        <v>42705</v>
      </c>
      <c r="B1468" s="74">
        <v>26559.919999999998</v>
      </c>
      <c r="C1468" s="74">
        <v>323.85000000000002</v>
      </c>
      <c r="D1468" s="74">
        <f t="shared" si="45"/>
        <v>-3.4912733984114302E-3</v>
      </c>
      <c r="E1468" s="74">
        <f t="shared" si="46"/>
        <v>5.5736326360264609E-3</v>
      </c>
      <c r="F1468" s="75"/>
    </row>
    <row r="1469" spans="1:6" ht="14.25" customHeight="1" x14ac:dyDescent="0.3">
      <c r="A1469" s="73">
        <v>42706</v>
      </c>
      <c r="B1469" s="74">
        <v>26230.66</v>
      </c>
      <c r="C1469" s="74">
        <v>312.8</v>
      </c>
      <c r="D1469" s="74">
        <f t="shared" si="45"/>
        <v>-1.2474356965068311E-2</v>
      </c>
      <c r="E1469" s="74">
        <f t="shared" si="46"/>
        <v>-3.4716436957770047E-2</v>
      </c>
      <c r="F1469" s="75"/>
    </row>
    <row r="1470" spans="1:6" ht="14.25" customHeight="1" x14ac:dyDescent="0.3">
      <c r="A1470" s="73">
        <v>42709</v>
      </c>
      <c r="B1470" s="74">
        <v>26349.1</v>
      </c>
      <c r="C1470" s="74">
        <v>325.5</v>
      </c>
      <c r="D1470" s="74">
        <f t="shared" si="45"/>
        <v>4.50516321589695E-3</v>
      </c>
      <c r="E1470" s="74">
        <f t="shared" si="46"/>
        <v>3.979845297746791E-2</v>
      </c>
      <c r="F1470" s="75"/>
    </row>
    <row r="1471" spans="1:6" ht="14.25" customHeight="1" x14ac:dyDescent="0.3">
      <c r="A1471" s="73">
        <v>42710</v>
      </c>
      <c r="B1471" s="74">
        <v>26392.76</v>
      </c>
      <c r="C1471" s="74">
        <v>323.45</v>
      </c>
      <c r="D1471" s="74">
        <f t="shared" si="45"/>
        <v>1.6556113103650852E-3</v>
      </c>
      <c r="E1471" s="74">
        <f t="shared" si="46"/>
        <v>-6.3179191586295114E-3</v>
      </c>
      <c r="F1471" s="75"/>
    </row>
    <row r="1472" spans="1:6" ht="14.25" customHeight="1" x14ac:dyDescent="0.3">
      <c r="A1472" s="73">
        <v>42711</v>
      </c>
      <c r="B1472" s="74">
        <v>26236.87</v>
      </c>
      <c r="C1472" s="74">
        <v>324</v>
      </c>
      <c r="D1472" s="74">
        <f t="shared" si="45"/>
        <v>-5.9240566922417054E-3</v>
      </c>
      <c r="E1472" s="74">
        <f t="shared" si="46"/>
        <v>1.6989733023350558E-3</v>
      </c>
      <c r="F1472" s="75"/>
    </row>
    <row r="1473" spans="1:6" ht="14.25" customHeight="1" x14ac:dyDescent="0.3">
      <c r="A1473" s="73">
        <v>42712</v>
      </c>
      <c r="B1473" s="74">
        <v>26694.28</v>
      </c>
      <c r="C1473" s="74">
        <v>325.85000000000002</v>
      </c>
      <c r="D1473" s="74">
        <f t="shared" si="45"/>
        <v>1.7283636821012027E-2</v>
      </c>
      <c r="E1473" s="74">
        <f t="shared" si="46"/>
        <v>5.6936369860601001E-3</v>
      </c>
      <c r="F1473" s="75"/>
    </row>
    <row r="1474" spans="1:6" ht="14.25" customHeight="1" x14ac:dyDescent="0.3">
      <c r="A1474" s="73">
        <v>42713</v>
      </c>
      <c r="B1474" s="74">
        <v>26747.18</v>
      </c>
      <c r="C1474" s="74">
        <v>326.55</v>
      </c>
      <c r="D1474" s="74">
        <f t="shared" si="45"/>
        <v>1.9797369786619099E-3</v>
      </c>
      <c r="E1474" s="74">
        <f t="shared" si="46"/>
        <v>2.1459235702766762E-3</v>
      </c>
      <c r="F1474" s="75"/>
    </row>
    <row r="1475" spans="1:6" ht="14.25" customHeight="1" x14ac:dyDescent="0.3">
      <c r="A1475" s="73">
        <v>42716</v>
      </c>
      <c r="B1475" s="74">
        <v>26515.24</v>
      </c>
      <c r="C1475" s="74">
        <v>321.75</v>
      </c>
      <c r="D1475" s="74">
        <f t="shared" si="45"/>
        <v>-8.7093851957069021E-3</v>
      </c>
      <c r="E1475" s="74">
        <f t="shared" si="46"/>
        <v>-1.4808229872430138E-2</v>
      </c>
      <c r="F1475" s="75"/>
    </row>
    <row r="1476" spans="1:6" ht="14.25" customHeight="1" x14ac:dyDescent="0.3">
      <c r="A1476" s="73">
        <v>42717</v>
      </c>
      <c r="B1476" s="74">
        <v>26697.82</v>
      </c>
      <c r="C1476" s="74">
        <v>320.89999999999998</v>
      </c>
      <c r="D1476" s="74">
        <f t="shared" ref="D1476:D1539" si="47">LN(B1476/B1475)</f>
        <v>6.8622521043313301E-3</v>
      </c>
      <c r="E1476" s="74">
        <f t="shared" ref="E1476:E1539" si="48">LN(C1476/C1475)</f>
        <v>-2.645298360424909E-3</v>
      </c>
      <c r="F1476" s="75"/>
    </row>
    <row r="1477" spans="1:6" ht="14.25" customHeight="1" x14ac:dyDescent="0.3">
      <c r="A1477" s="73">
        <v>42718</v>
      </c>
      <c r="B1477" s="74">
        <v>26602.84</v>
      </c>
      <c r="C1477" s="74">
        <v>322.14999999999998</v>
      </c>
      <c r="D1477" s="74">
        <f t="shared" si="47"/>
        <v>-3.5639371269894052E-3</v>
      </c>
      <c r="E1477" s="74">
        <f t="shared" si="48"/>
        <v>3.8877274688401951E-3</v>
      </c>
      <c r="F1477" s="75"/>
    </row>
    <row r="1478" spans="1:6" ht="14.25" customHeight="1" x14ac:dyDescent="0.3">
      <c r="A1478" s="73">
        <v>42719</v>
      </c>
      <c r="B1478" s="74">
        <v>26519.07</v>
      </c>
      <c r="C1478" s="74">
        <v>315.45</v>
      </c>
      <c r="D1478" s="74">
        <f t="shared" si="47"/>
        <v>-3.1538801762985803E-3</v>
      </c>
      <c r="E1478" s="74">
        <f t="shared" si="48"/>
        <v>-2.1017084767832907E-2</v>
      </c>
      <c r="F1478" s="75"/>
    </row>
    <row r="1479" spans="1:6" ht="14.25" customHeight="1" x14ac:dyDescent="0.3">
      <c r="A1479" s="73">
        <v>42720</v>
      </c>
      <c r="B1479" s="74">
        <v>26489.56</v>
      </c>
      <c r="C1479" s="74">
        <v>322</v>
      </c>
      <c r="D1479" s="74">
        <f t="shared" si="47"/>
        <v>-1.1134037249612742E-3</v>
      </c>
      <c r="E1479" s="74">
        <f t="shared" si="48"/>
        <v>2.0551354727589836E-2</v>
      </c>
      <c r="F1479" s="75"/>
    </row>
    <row r="1480" spans="1:6" ht="14.25" customHeight="1" x14ac:dyDescent="0.3">
      <c r="A1480" s="73">
        <v>42723</v>
      </c>
      <c r="B1480" s="74">
        <v>26374.7</v>
      </c>
      <c r="C1480" s="74">
        <v>316.85000000000002</v>
      </c>
      <c r="D1480" s="74">
        <f t="shared" si="47"/>
        <v>-4.3454757805464535E-3</v>
      </c>
      <c r="E1480" s="74">
        <f t="shared" si="48"/>
        <v>-1.6123069774882228E-2</v>
      </c>
      <c r="F1480" s="75"/>
    </row>
    <row r="1481" spans="1:6" ht="14.25" customHeight="1" x14ac:dyDescent="0.3">
      <c r="A1481" s="73">
        <v>42724</v>
      </c>
      <c r="B1481" s="74">
        <v>26307.98</v>
      </c>
      <c r="C1481" s="74">
        <v>317.39999999999998</v>
      </c>
      <c r="D1481" s="74">
        <f t="shared" si="47"/>
        <v>-2.5329021101696131E-3</v>
      </c>
      <c r="E1481" s="74">
        <f t="shared" si="48"/>
        <v>1.7343323227824994E-3</v>
      </c>
      <c r="F1481" s="75"/>
    </row>
    <row r="1482" spans="1:6" ht="14.25" customHeight="1" x14ac:dyDescent="0.3">
      <c r="A1482" s="73">
        <v>42725</v>
      </c>
      <c r="B1482" s="74">
        <v>26242.38</v>
      </c>
      <c r="C1482" s="74">
        <v>319.3</v>
      </c>
      <c r="D1482" s="74">
        <f t="shared" si="47"/>
        <v>-2.4966540314953181E-3</v>
      </c>
      <c r="E1482" s="74">
        <f t="shared" si="48"/>
        <v>5.968291628427728E-3</v>
      </c>
      <c r="F1482" s="75"/>
    </row>
    <row r="1483" spans="1:6" ht="14.25" customHeight="1" x14ac:dyDescent="0.3">
      <c r="A1483" s="73">
        <v>42726</v>
      </c>
      <c r="B1483" s="74">
        <v>25979.599999999999</v>
      </c>
      <c r="C1483" s="74">
        <v>309.95</v>
      </c>
      <c r="D1483" s="74">
        <f t="shared" si="47"/>
        <v>-1.0064046517181395E-2</v>
      </c>
      <c r="E1483" s="74">
        <f t="shared" si="48"/>
        <v>-2.9720105572808051E-2</v>
      </c>
      <c r="F1483" s="75"/>
    </row>
    <row r="1484" spans="1:6" ht="14.25" customHeight="1" x14ac:dyDescent="0.3">
      <c r="A1484" s="73">
        <v>42727</v>
      </c>
      <c r="B1484" s="74">
        <v>26040.7</v>
      </c>
      <c r="C1484" s="74">
        <v>314</v>
      </c>
      <c r="D1484" s="74">
        <f t="shared" si="47"/>
        <v>2.3490840343793023E-3</v>
      </c>
      <c r="E1484" s="74">
        <f t="shared" si="48"/>
        <v>1.2981991760324918E-2</v>
      </c>
      <c r="F1484" s="75"/>
    </row>
    <row r="1485" spans="1:6" ht="14.25" customHeight="1" x14ac:dyDescent="0.3">
      <c r="A1485" s="73">
        <v>42730</v>
      </c>
      <c r="B1485" s="74">
        <v>25807.1</v>
      </c>
      <c r="C1485" s="74">
        <v>307.75</v>
      </c>
      <c r="D1485" s="74">
        <f t="shared" si="47"/>
        <v>-9.0110508323381477E-3</v>
      </c>
      <c r="E1485" s="74">
        <f t="shared" si="48"/>
        <v>-2.0105220843690499E-2</v>
      </c>
      <c r="F1485" s="75"/>
    </row>
    <row r="1486" spans="1:6" ht="14.25" customHeight="1" x14ac:dyDescent="0.3">
      <c r="A1486" s="73">
        <v>42731</v>
      </c>
      <c r="B1486" s="74">
        <v>26213.439999999999</v>
      </c>
      <c r="C1486" s="74">
        <v>316.3</v>
      </c>
      <c r="D1486" s="74">
        <f t="shared" si="47"/>
        <v>1.5622608471360754E-2</v>
      </c>
      <c r="E1486" s="74">
        <f t="shared" si="48"/>
        <v>2.7403365247040335E-2</v>
      </c>
      <c r="F1486" s="75"/>
    </row>
    <row r="1487" spans="1:6" ht="14.25" customHeight="1" x14ac:dyDescent="0.3">
      <c r="A1487" s="73">
        <v>42732</v>
      </c>
      <c r="B1487" s="74">
        <v>26210.68</v>
      </c>
      <c r="C1487" s="74">
        <v>313.7</v>
      </c>
      <c r="D1487" s="74">
        <f t="shared" si="47"/>
        <v>-1.0529504367637517E-4</v>
      </c>
      <c r="E1487" s="74">
        <f t="shared" si="48"/>
        <v>-8.2540151149708141E-3</v>
      </c>
      <c r="F1487" s="75"/>
    </row>
    <row r="1488" spans="1:6" ht="14.25" customHeight="1" x14ac:dyDescent="0.3">
      <c r="A1488" s="73">
        <v>42733</v>
      </c>
      <c r="B1488" s="74">
        <v>26366.15</v>
      </c>
      <c r="C1488" s="74">
        <v>321.14999999999998</v>
      </c>
      <c r="D1488" s="74">
        <f t="shared" si="47"/>
        <v>5.9140291698685822E-3</v>
      </c>
      <c r="E1488" s="74">
        <f t="shared" si="48"/>
        <v>2.3471188507168939E-2</v>
      </c>
      <c r="F1488" s="75"/>
    </row>
    <row r="1489" spans="1:6" ht="14.25" customHeight="1" x14ac:dyDescent="0.3">
      <c r="A1489" s="73">
        <v>42734</v>
      </c>
      <c r="B1489" s="74">
        <v>26626.46</v>
      </c>
      <c r="C1489" s="74">
        <v>325.75</v>
      </c>
      <c r="D1489" s="74">
        <f t="shared" si="47"/>
        <v>9.8244677422130618E-3</v>
      </c>
      <c r="E1489" s="74">
        <f t="shared" si="48"/>
        <v>1.422191230115305E-2</v>
      </c>
      <c r="F1489" s="75"/>
    </row>
    <row r="1490" spans="1:6" ht="14.25" customHeight="1" x14ac:dyDescent="0.3">
      <c r="A1490" s="73">
        <v>42737</v>
      </c>
      <c r="B1490" s="74">
        <v>26595.45</v>
      </c>
      <c r="C1490" s="74">
        <v>333.05</v>
      </c>
      <c r="D1490" s="74">
        <f t="shared" si="47"/>
        <v>-1.1653096820147856E-3</v>
      </c>
      <c r="E1490" s="74">
        <f t="shared" si="48"/>
        <v>2.2162412854233982E-2</v>
      </c>
      <c r="F1490" s="75"/>
    </row>
    <row r="1491" spans="1:6" ht="14.25" customHeight="1" x14ac:dyDescent="0.3">
      <c r="A1491" s="73">
        <v>42738</v>
      </c>
      <c r="B1491" s="74">
        <v>26643.24</v>
      </c>
      <c r="C1491" s="74">
        <v>348.15</v>
      </c>
      <c r="D1491" s="74">
        <f t="shared" si="47"/>
        <v>1.7953113735956357E-3</v>
      </c>
      <c r="E1491" s="74">
        <f t="shared" si="48"/>
        <v>4.4340792529367179E-2</v>
      </c>
      <c r="F1491" s="75"/>
    </row>
    <row r="1492" spans="1:6" ht="14.25" customHeight="1" x14ac:dyDescent="0.3">
      <c r="A1492" s="73">
        <v>42739</v>
      </c>
      <c r="B1492" s="74">
        <v>26633.13</v>
      </c>
      <c r="C1492" s="74">
        <v>358.6</v>
      </c>
      <c r="D1492" s="74">
        <f t="shared" si="47"/>
        <v>-3.7953036670321884E-4</v>
      </c>
      <c r="E1492" s="74">
        <f t="shared" si="48"/>
        <v>2.9574139782476888E-2</v>
      </c>
      <c r="F1492" s="75"/>
    </row>
    <row r="1493" spans="1:6" ht="14.25" customHeight="1" x14ac:dyDescent="0.3">
      <c r="A1493" s="73">
        <v>42740</v>
      </c>
      <c r="B1493" s="74">
        <v>26878.240000000002</v>
      </c>
      <c r="C1493" s="74">
        <v>357.9</v>
      </c>
      <c r="D1493" s="74">
        <f t="shared" si="47"/>
        <v>9.161107789016151E-3</v>
      </c>
      <c r="E1493" s="74">
        <f t="shared" si="48"/>
        <v>-1.953943399052483E-3</v>
      </c>
      <c r="F1493" s="75"/>
    </row>
    <row r="1494" spans="1:6" ht="14.25" customHeight="1" x14ac:dyDescent="0.3">
      <c r="A1494" s="73">
        <v>42741</v>
      </c>
      <c r="B1494" s="74">
        <v>26759.23</v>
      </c>
      <c r="C1494" s="74">
        <v>354.9</v>
      </c>
      <c r="D1494" s="74">
        <f t="shared" si="47"/>
        <v>-4.4375767647585286E-3</v>
      </c>
      <c r="E1494" s="74">
        <f t="shared" si="48"/>
        <v>-8.4175581195292809E-3</v>
      </c>
      <c r="F1494" s="75"/>
    </row>
    <row r="1495" spans="1:6" ht="14.25" customHeight="1" x14ac:dyDescent="0.3">
      <c r="A1495" s="73">
        <v>42744</v>
      </c>
      <c r="B1495" s="74">
        <v>26726.55</v>
      </c>
      <c r="C1495" s="74">
        <v>354.05</v>
      </c>
      <c r="D1495" s="74">
        <f t="shared" si="47"/>
        <v>-1.2220071976798185E-3</v>
      </c>
      <c r="E1495" s="74">
        <f t="shared" si="48"/>
        <v>-2.3979135546677755E-3</v>
      </c>
      <c r="F1495" s="75"/>
    </row>
    <row r="1496" spans="1:6" ht="14.25" customHeight="1" x14ac:dyDescent="0.3">
      <c r="A1496" s="73">
        <v>42745</v>
      </c>
      <c r="B1496" s="74">
        <v>26899.56</v>
      </c>
      <c r="C1496" s="74">
        <v>361.75</v>
      </c>
      <c r="D1496" s="74">
        <f t="shared" si="47"/>
        <v>6.4524762383198408E-3</v>
      </c>
      <c r="E1496" s="74">
        <f t="shared" si="48"/>
        <v>2.1515219413810169E-2</v>
      </c>
      <c r="F1496" s="75"/>
    </row>
    <row r="1497" spans="1:6" ht="14.25" customHeight="1" x14ac:dyDescent="0.3">
      <c r="A1497" s="73">
        <v>42746</v>
      </c>
      <c r="B1497" s="74">
        <v>27140.41</v>
      </c>
      <c r="C1497" s="74">
        <v>360.35</v>
      </c>
      <c r="D1497" s="74">
        <f t="shared" si="47"/>
        <v>8.9138315492737694E-3</v>
      </c>
      <c r="E1497" s="74">
        <f t="shared" si="48"/>
        <v>-3.8775841411431136E-3</v>
      </c>
      <c r="F1497" s="75"/>
    </row>
    <row r="1498" spans="1:6" ht="14.25" customHeight="1" x14ac:dyDescent="0.3">
      <c r="A1498" s="73">
        <v>42747</v>
      </c>
      <c r="B1498" s="74">
        <v>27247.16</v>
      </c>
      <c r="C1498" s="74">
        <v>363.2</v>
      </c>
      <c r="D1498" s="74">
        <f t="shared" si="47"/>
        <v>3.9255343484974571E-3</v>
      </c>
      <c r="E1498" s="74">
        <f t="shared" si="48"/>
        <v>7.8778653566880102E-3</v>
      </c>
      <c r="F1498" s="75"/>
    </row>
    <row r="1499" spans="1:6" ht="14.25" customHeight="1" x14ac:dyDescent="0.3">
      <c r="A1499" s="73">
        <v>42748</v>
      </c>
      <c r="B1499" s="74">
        <v>27238.06</v>
      </c>
      <c r="C1499" s="74">
        <v>357.2</v>
      </c>
      <c r="D1499" s="74">
        <f t="shared" si="47"/>
        <v>-3.3403554522178661E-4</v>
      </c>
      <c r="E1499" s="74">
        <f t="shared" si="48"/>
        <v>-1.6657797724794209E-2</v>
      </c>
      <c r="F1499" s="75"/>
    </row>
    <row r="1500" spans="1:6" ht="14.25" customHeight="1" x14ac:dyDescent="0.3">
      <c r="A1500" s="73">
        <v>42751</v>
      </c>
      <c r="B1500" s="74">
        <v>27288.17</v>
      </c>
      <c r="C1500" s="74">
        <v>362.15</v>
      </c>
      <c r="D1500" s="74">
        <f t="shared" si="47"/>
        <v>1.8380149923149776E-3</v>
      </c>
      <c r="E1500" s="74">
        <f t="shared" si="48"/>
        <v>1.376264163899108E-2</v>
      </c>
      <c r="F1500" s="75"/>
    </row>
    <row r="1501" spans="1:6" ht="14.25" customHeight="1" x14ac:dyDescent="0.3">
      <c r="A1501" s="73">
        <v>42752</v>
      </c>
      <c r="B1501" s="74">
        <v>27235.66</v>
      </c>
      <c r="C1501" s="74">
        <v>359.9</v>
      </c>
      <c r="D1501" s="74">
        <f t="shared" si="47"/>
        <v>-1.9261308765086158E-3</v>
      </c>
      <c r="E1501" s="74">
        <f t="shared" si="48"/>
        <v>-6.2322755563500301E-3</v>
      </c>
      <c r="F1501" s="75"/>
    </row>
    <row r="1502" spans="1:6" ht="14.25" customHeight="1" x14ac:dyDescent="0.3">
      <c r="A1502" s="73">
        <v>42753</v>
      </c>
      <c r="B1502" s="74">
        <v>27257.64</v>
      </c>
      <c r="C1502" s="74">
        <v>366.7</v>
      </c>
      <c r="D1502" s="74">
        <f t="shared" si="47"/>
        <v>8.0670472120417135E-4</v>
      </c>
      <c r="E1502" s="74">
        <f t="shared" si="48"/>
        <v>1.8717859992295378E-2</v>
      </c>
      <c r="F1502" s="75"/>
    </row>
    <row r="1503" spans="1:6" ht="14.25" customHeight="1" x14ac:dyDescent="0.3">
      <c r="A1503" s="73">
        <v>42754</v>
      </c>
      <c r="B1503" s="74">
        <v>27308.6</v>
      </c>
      <c r="C1503" s="74">
        <v>371.6</v>
      </c>
      <c r="D1503" s="74">
        <f t="shared" si="47"/>
        <v>1.8678221118257979E-3</v>
      </c>
      <c r="E1503" s="74">
        <f t="shared" si="48"/>
        <v>1.327393186240316E-2</v>
      </c>
      <c r="F1503" s="75"/>
    </row>
    <row r="1504" spans="1:6" ht="14.25" customHeight="1" x14ac:dyDescent="0.3">
      <c r="A1504" s="73">
        <v>42755</v>
      </c>
      <c r="B1504" s="74">
        <v>27034.5</v>
      </c>
      <c r="C1504" s="74">
        <v>360.7</v>
      </c>
      <c r="D1504" s="74">
        <f t="shared" si="47"/>
        <v>-1.0087842779248358E-2</v>
      </c>
      <c r="E1504" s="74">
        <f t="shared" si="48"/>
        <v>-2.9771419030190253E-2</v>
      </c>
      <c r="F1504" s="75"/>
    </row>
    <row r="1505" spans="1:6" ht="14.25" customHeight="1" x14ac:dyDescent="0.3">
      <c r="A1505" s="73">
        <v>42758</v>
      </c>
      <c r="B1505" s="74">
        <v>27117.34</v>
      </c>
      <c r="C1505" s="74">
        <v>364</v>
      </c>
      <c r="D1505" s="74">
        <f t="shared" si="47"/>
        <v>3.0595475470797861E-3</v>
      </c>
      <c r="E1505" s="74">
        <f t="shared" si="48"/>
        <v>9.1072797272474231E-3</v>
      </c>
      <c r="F1505" s="75"/>
    </row>
    <row r="1506" spans="1:6" ht="14.25" customHeight="1" x14ac:dyDescent="0.3">
      <c r="A1506" s="73">
        <v>42759</v>
      </c>
      <c r="B1506" s="74">
        <v>27375.58</v>
      </c>
      <c r="C1506" s="74">
        <v>364.2</v>
      </c>
      <c r="D1506" s="74">
        <f t="shared" si="47"/>
        <v>9.4779994609186582E-3</v>
      </c>
      <c r="E1506" s="74">
        <f t="shared" si="48"/>
        <v>5.4929965676691695E-4</v>
      </c>
      <c r="F1506" s="75"/>
    </row>
    <row r="1507" spans="1:6" ht="14.25" customHeight="1" x14ac:dyDescent="0.3">
      <c r="A1507" s="73">
        <v>42760</v>
      </c>
      <c r="B1507" s="74">
        <v>27708.14</v>
      </c>
      <c r="C1507" s="74">
        <v>372.05</v>
      </c>
      <c r="D1507" s="74">
        <f t="shared" si="47"/>
        <v>1.2074857713126021E-2</v>
      </c>
      <c r="E1507" s="74">
        <f t="shared" si="48"/>
        <v>2.1325086549762645E-2</v>
      </c>
      <c r="F1507" s="75"/>
    </row>
    <row r="1508" spans="1:6" ht="14.25" customHeight="1" x14ac:dyDescent="0.3">
      <c r="A1508" s="73">
        <v>42762</v>
      </c>
      <c r="B1508" s="74">
        <v>27882.46</v>
      </c>
      <c r="C1508" s="74">
        <v>372.4</v>
      </c>
      <c r="D1508" s="74">
        <f t="shared" si="47"/>
        <v>6.2715844539791878E-3</v>
      </c>
      <c r="E1508" s="74">
        <f t="shared" si="48"/>
        <v>9.4029155964172153E-4</v>
      </c>
      <c r="F1508" s="75"/>
    </row>
    <row r="1509" spans="1:6" ht="14.25" customHeight="1" x14ac:dyDescent="0.3">
      <c r="A1509" s="73">
        <v>42765</v>
      </c>
      <c r="B1509" s="74">
        <v>27849.56</v>
      </c>
      <c r="C1509" s="74">
        <v>370.35</v>
      </c>
      <c r="D1509" s="74">
        <f t="shared" si="47"/>
        <v>-1.1806499682481416E-3</v>
      </c>
      <c r="E1509" s="74">
        <f t="shared" si="48"/>
        <v>-5.5200409436136971E-3</v>
      </c>
      <c r="F1509" s="75"/>
    </row>
    <row r="1510" spans="1:6" ht="14.25" customHeight="1" x14ac:dyDescent="0.3">
      <c r="A1510" s="73">
        <v>42766</v>
      </c>
      <c r="B1510" s="74">
        <v>27655.96</v>
      </c>
      <c r="C1510" s="74">
        <v>362.8</v>
      </c>
      <c r="D1510" s="74">
        <f t="shared" si="47"/>
        <v>-6.9759110481685364E-3</v>
      </c>
      <c r="E1510" s="74">
        <f t="shared" si="48"/>
        <v>-2.05967862183167E-2</v>
      </c>
      <c r="F1510" s="75"/>
    </row>
    <row r="1511" spans="1:6" ht="14.25" customHeight="1" x14ac:dyDescent="0.3">
      <c r="A1511" s="73">
        <v>42767</v>
      </c>
      <c r="B1511" s="74">
        <v>28141.64</v>
      </c>
      <c r="C1511" s="74">
        <v>369.35</v>
      </c>
      <c r="D1511" s="74">
        <f t="shared" si="47"/>
        <v>1.7409073738937891E-2</v>
      </c>
      <c r="E1511" s="74">
        <f t="shared" si="48"/>
        <v>1.7892985733765198E-2</v>
      </c>
      <c r="F1511" s="75"/>
    </row>
    <row r="1512" spans="1:6" ht="14.25" customHeight="1" x14ac:dyDescent="0.3">
      <c r="A1512" s="73">
        <v>42768</v>
      </c>
      <c r="B1512" s="74">
        <v>28226.61</v>
      </c>
      <c r="C1512" s="74">
        <v>387.95</v>
      </c>
      <c r="D1512" s="74">
        <f t="shared" si="47"/>
        <v>3.0148200222173088E-3</v>
      </c>
      <c r="E1512" s="74">
        <f t="shared" si="48"/>
        <v>4.9131761365211329E-2</v>
      </c>
      <c r="F1512" s="75"/>
    </row>
    <row r="1513" spans="1:6" ht="14.25" customHeight="1" x14ac:dyDescent="0.3">
      <c r="A1513" s="73">
        <v>42769</v>
      </c>
      <c r="B1513" s="74">
        <v>28240.52</v>
      </c>
      <c r="C1513" s="74">
        <v>379.7</v>
      </c>
      <c r="D1513" s="74">
        <f t="shared" si="47"/>
        <v>4.9267601457208664E-4</v>
      </c>
      <c r="E1513" s="74">
        <f t="shared" si="48"/>
        <v>-2.1494998102201616E-2</v>
      </c>
      <c r="F1513" s="75"/>
    </row>
    <row r="1514" spans="1:6" ht="14.25" customHeight="1" x14ac:dyDescent="0.3">
      <c r="A1514" s="73">
        <v>42772</v>
      </c>
      <c r="B1514" s="74">
        <v>28439.279999999999</v>
      </c>
      <c r="C1514" s="74">
        <v>391.35</v>
      </c>
      <c r="D1514" s="74">
        <f t="shared" si="47"/>
        <v>7.0134621056300627E-3</v>
      </c>
      <c r="E1514" s="74">
        <f t="shared" si="48"/>
        <v>3.0220833013090514E-2</v>
      </c>
      <c r="F1514" s="75"/>
    </row>
    <row r="1515" spans="1:6" ht="14.25" customHeight="1" x14ac:dyDescent="0.3">
      <c r="A1515" s="73">
        <v>42773</v>
      </c>
      <c r="B1515" s="74">
        <v>28335.16</v>
      </c>
      <c r="C1515" s="74">
        <v>393.4</v>
      </c>
      <c r="D1515" s="74">
        <f t="shared" si="47"/>
        <v>-3.6678518265740177E-3</v>
      </c>
      <c r="E1515" s="74">
        <f t="shared" si="48"/>
        <v>5.224605704111489E-3</v>
      </c>
      <c r="F1515" s="75"/>
    </row>
    <row r="1516" spans="1:6" ht="14.25" customHeight="1" x14ac:dyDescent="0.3">
      <c r="A1516" s="73">
        <v>42774</v>
      </c>
      <c r="B1516" s="74">
        <v>28289.919999999998</v>
      </c>
      <c r="C1516" s="74">
        <v>425.15</v>
      </c>
      <c r="D1516" s="74">
        <f t="shared" si="47"/>
        <v>-1.5978788771911824E-3</v>
      </c>
      <c r="E1516" s="74">
        <f t="shared" si="48"/>
        <v>7.7615141876842778E-2</v>
      </c>
      <c r="F1516" s="75"/>
    </row>
    <row r="1517" spans="1:6" ht="14.25" customHeight="1" x14ac:dyDescent="0.3">
      <c r="A1517" s="73">
        <v>42775</v>
      </c>
      <c r="B1517" s="74">
        <v>28329.7</v>
      </c>
      <c r="C1517" s="74">
        <v>427.1</v>
      </c>
      <c r="D1517" s="74">
        <f t="shared" si="47"/>
        <v>1.4051668501289269E-3</v>
      </c>
      <c r="E1517" s="74">
        <f t="shared" si="48"/>
        <v>4.5761300156194418E-3</v>
      </c>
      <c r="F1517" s="75"/>
    </row>
    <row r="1518" spans="1:6" ht="14.25" customHeight="1" x14ac:dyDescent="0.3">
      <c r="A1518" s="73">
        <v>42776</v>
      </c>
      <c r="B1518" s="74">
        <v>28334.25</v>
      </c>
      <c r="C1518" s="74">
        <v>430.75</v>
      </c>
      <c r="D1518" s="74">
        <f t="shared" si="47"/>
        <v>1.6059593479738704E-4</v>
      </c>
      <c r="E1518" s="74">
        <f t="shared" si="48"/>
        <v>8.5096975606181995E-3</v>
      </c>
      <c r="F1518" s="75"/>
    </row>
    <row r="1519" spans="1:6" ht="14.25" customHeight="1" x14ac:dyDescent="0.3">
      <c r="A1519" s="73">
        <v>42779</v>
      </c>
      <c r="B1519" s="74">
        <v>28351.62</v>
      </c>
      <c r="C1519" s="74">
        <v>428.45</v>
      </c>
      <c r="D1519" s="74">
        <f t="shared" si="47"/>
        <v>6.1285115827496321E-4</v>
      </c>
      <c r="E1519" s="74">
        <f t="shared" si="48"/>
        <v>-5.3538302929111593E-3</v>
      </c>
      <c r="F1519" s="75"/>
    </row>
    <row r="1520" spans="1:6" ht="14.25" customHeight="1" x14ac:dyDescent="0.3">
      <c r="A1520" s="73">
        <v>42780</v>
      </c>
      <c r="B1520" s="74">
        <v>28339.31</v>
      </c>
      <c r="C1520" s="74">
        <v>427.7</v>
      </c>
      <c r="D1520" s="74">
        <f t="shared" si="47"/>
        <v>-4.3428464459742237E-4</v>
      </c>
      <c r="E1520" s="74">
        <f t="shared" si="48"/>
        <v>-1.7520298822648445E-3</v>
      </c>
      <c r="F1520" s="75"/>
    </row>
    <row r="1521" spans="1:6" ht="14.25" customHeight="1" x14ac:dyDescent="0.3">
      <c r="A1521" s="73">
        <v>42781</v>
      </c>
      <c r="B1521" s="74">
        <v>28155.56</v>
      </c>
      <c r="C1521" s="74">
        <v>412.4</v>
      </c>
      <c r="D1521" s="74">
        <f t="shared" si="47"/>
        <v>-6.5050383497121771E-3</v>
      </c>
      <c r="E1521" s="74">
        <f t="shared" si="48"/>
        <v>-3.6428263090058088E-2</v>
      </c>
      <c r="F1521" s="75"/>
    </row>
    <row r="1522" spans="1:6" ht="14.25" customHeight="1" x14ac:dyDescent="0.3">
      <c r="A1522" s="73">
        <v>42782</v>
      </c>
      <c r="B1522" s="74">
        <v>28301.27</v>
      </c>
      <c r="C1522" s="74">
        <v>423.7</v>
      </c>
      <c r="D1522" s="74">
        <f t="shared" si="47"/>
        <v>5.1618315633646479E-3</v>
      </c>
      <c r="E1522" s="74">
        <f t="shared" si="48"/>
        <v>2.7031905489708692E-2</v>
      </c>
      <c r="F1522" s="75"/>
    </row>
    <row r="1523" spans="1:6" ht="14.25" customHeight="1" x14ac:dyDescent="0.3">
      <c r="A1523" s="73">
        <v>42783</v>
      </c>
      <c r="B1523" s="74">
        <v>28468.75</v>
      </c>
      <c r="C1523" s="74">
        <v>430.95</v>
      </c>
      <c r="D1523" s="74">
        <f t="shared" si="47"/>
        <v>5.9003144928636148E-3</v>
      </c>
      <c r="E1523" s="74">
        <f t="shared" si="48"/>
        <v>1.6966416460894817E-2</v>
      </c>
      <c r="F1523" s="75"/>
    </row>
    <row r="1524" spans="1:6" ht="14.25" customHeight="1" x14ac:dyDescent="0.3">
      <c r="A1524" s="73">
        <v>42786</v>
      </c>
      <c r="B1524" s="74">
        <v>28661.58</v>
      </c>
      <c r="C1524" s="74">
        <v>433.5</v>
      </c>
      <c r="D1524" s="74">
        <f t="shared" si="47"/>
        <v>6.7505555200317903E-3</v>
      </c>
      <c r="E1524" s="74">
        <f t="shared" si="48"/>
        <v>5.899722127188322E-3</v>
      </c>
      <c r="F1524" s="75"/>
    </row>
    <row r="1525" spans="1:6" ht="14.25" customHeight="1" x14ac:dyDescent="0.3">
      <c r="A1525" s="73">
        <v>42787</v>
      </c>
      <c r="B1525" s="74">
        <v>28761.59</v>
      </c>
      <c r="C1525" s="74">
        <v>457.25</v>
      </c>
      <c r="D1525" s="74">
        <f t="shared" si="47"/>
        <v>3.483266462636264E-3</v>
      </c>
      <c r="E1525" s="74">
        <f t="shared" si="48"/>
        <v>5.3338491050378523E-2</v>
      </c>
      <c r="F1525" s="75"/>
    </row>
    <row r="1526" spans="1:6" ht="14.25" customHeight="1" x14ac:dyDescent="0.3">
      <c r="A1526" s="73">
        <v>42788</v>
      </c>
      <c r="B1526" s="74">
        <v>28864.71</v>
      </c>
      <c r="C1526" s="74">
        <v>440.1</v>
      </c>
      <c r="D1526" s="74">
        <f t="shared" si="47"/>
        <v>3.5789252500838865E-3</v>
      </c>
      <c r="E1526" s="74">
        <f t="shared" si="48"/>
        <v>-3.8228313453929352E-2</v>
      </c>
      <c r="F1526" s="75"/>
    </row>
    <row r="1527" spans="1:6" ht="14.25" customHeight="1" x14ac:dyDescent="0.3">
      <c r="A1527" s="73">
        <v>42789</v>
      </c>
      <c r="B1527" s="74">
        <v>28892.97</v>
      </c>
      <c r="C1527" s="74">
        <v>432.65</v>
      </c>
      <c r="D1527" s="74">
        <f t="shared" si="47"/>
        <v>9.7857123953573339E-4</v>
      </c>
      <c r="E1527" s="74">
        <f t="shared" si="48"/>
        <v>-1.7072886764298006E-2</v>
      </c>
      <c r="F1527" s="75"/>
    </row>
    <row r="1528" spans="1:6" ht="14.25" customHeight="1" x14ac:dyDescent="0.3">
      <c r="A1528" s="73">
        <v>42793</v>
      </c>
      <c r="B1528" s="74">
        <v>28812.880000000001</v>
      </c>
      <c r="C1528" s="74">
        <v>434.05</v>
      </c>
      <c r="D1528" s="74">
        <f t="shared" si="47"/>
        <v>-2.7758035424490426E-3</v>
      </c>
      <c r="E1528" s="74">
        <f t="shared" si="48"/>
        <v>3.2306477850692836E-3</v>
      </c>
      <c r="F1528" s="75"/>
    </row>
    <row r="1529" spans="1:6" ht="14.25" customHeight="1" x14ac:dyDescent="0.3">
      <c r="A1529" s="73">
        <v>42794</v>
      </c>
      <c r="B1529" s="74">
        <v>28743.32</v>
      </c>
      <c r="C1529" s="74">
        <v>436.65</v>
      </c>
      <c r="D1529" s="74">
        <f t="shared" si="47"/>
        <v>-2.4171169697359408E-3</v>
      </c>
      <c r="E1529" s="74">
        <f t="shared" si="48"/>
        <v>5.9722240219248247E-3</v>
      </c>
      <c r="F1529" s="75"/>
    </row>
    <row r="1530" spans="1:6" ht="14.25" customHeight="1" x14ac:dyDescent="0.3">
      <c r="A1530" s="73">
        <v>42795</v>
      </c>
      <c r="B1530" s="74">
        <v>28984.49</v>
      </c>
      <c r="C1530" s="74">
        <v>437.75</v>
      </c>
      <c r="D1530" s="74">
        <f t="shared" si="47"/>
        <v>8.3554669086446081E-3</v>
      </c>
      <c r="E1530" s="74">
        <f t="shared" si="48"/>
        <v>2.5160123062192698E-3</v>
      </c>
      <c r="F1530" s="75"/>
    </row>
    <row r="1531" spans="1:6" ht="14.25" customHeight="1" x14ac:dyDescent="0.3">
      <c r="A1531" s="73">
        <v>42796</v>
      </c>
      <c r="B1531" s="74">
        <v>28839.79</v>
      </c>
      <c r="C1531" s="74">
        <v>430.15</v>
      </c>
      <c r="D1531" s="74">
        <f t="shared" si="47"/>
        <v>-5.0048284921394058E-3</v>
      </c>
      <c r="E1531" s="74">
        <f t="shared" si="48"/>
        <v>-1.7513986098604127E-2</v>
      </c>
      <c r="F1531" s="75"/>
    </row>
    <row r="1532" spans="1:6" ht="14.25" customHeight="1" x14ac:dyDescent="0.3">
      <c r="A1532" s="73">
        <v>42797</v>
      </c>
      <c r="B1532" s="74">
        <v>28832.45</v>
      </c>
      <c r="C1532" s="74">
        <v>439.3</v>
      </c>
      <c r="D1532" s="74">
        <f t="shared" si="47"/>
        <v>-2.545418745528255E-4</v>
      </c>
      <c r="E1532" s="74">
        <f t="shared" si="48"/>
        <v>2.1048565914376878E-2</v>
      </c>
      <c r="F1532" s="75"/>
    </row>
    <row r="1533" spans="1:6" ht="14.25" customHeight="1" x14ac:dyDescent="0.3">
      <c r="A1533" s="73">
        <v>42800</v>
      </c>
      <c r="B1533" s="74">
        <v>29048.19</v>
      </c>
      <c r="C1533" s="74">
        <v>438</v>
      </c>
      <c r="D1533" s="74">
        <f t="shared" si="47"/>
        <v>7.4546860261805155E-3</v>
      </c>
      <c r="E1533" s="74">
        <f t="shared" si="48"/>
        <v>-2.963640605287741E-3</v>
      </c>
      <c r="F1533" s="75"/>
    </row>
    <row r="1534" spans="1:6" ht="14.25" customHeight="1" x14ac:dyDescent="0.3">
      <c r="A1534" s="73">
        <v>42801</v>
      </c>
      <c r="B1534" s="74">
        <v>28999.56</v>
      </c>
      <c r="C1534" s="74">
        <v>439.65</v>
      </c>
      <c r="D1534" s="74">
        <f t="shared" si="47"/>
        <v>-1.6755175308885456E-3</v>
      </c>
      <c r="E1534" s="74">
        <f t="shared" si="48"/>
        <v>3.7600454485650259E-3</v>
      </c>
      <c r="F1534" s="75"/>
    </row>
    <row r="1535" spans="1:6" ht="14.25" customHeight="1" x14ac:dyDescent="0.3">
      <c r="A1535" s="73">
        <v>42802</v>
      </c>
      <c r="B1535" s="74">
        <v>28901.94</v>
      </c>
      <c r="C1535" s="74">
        <v>439.5</v>
      </c>
      <c r="D1535" s="74">
        <f t="shared" si="47"/>
        <v>-3.3719365644958792E-3</v>
      </c>
      <c r="E1535" s="74">
        <f t="shared" si="48"/>
        <v>-3.4123869977944273E-4</v>
      </c>
      <c r="F1535" s="75"/>
    </row>
    <row r="1536" spans="1:6" ht="14.25" customHeight="1" x14ac:dyDescent="0.3">
      <c r="A1536" s="73">
        <v>42803</v>
      </c>
      <c r="B1536" s="74">
        <v>28929.13</v>
      </c>
      <c r="C1536" s="74">
        <v>441.55</v>
      </c>
      <c r="D1536" s="74">
        <f t="shared" si="47"/>
        <v>9.4032505376349072E-4</v>
      </c>
      <c r="E1536" s="74">
        <f t="shared" si="48"/>
        <v>4.6535467895795256E-3</v>
      </c>
      <c r="F1536" s="75"/>
    </row>
    <row r="1537" spans="1:6" ht="14.25" customHeight="1" x14ac:dyDescent="0.3">
      <c r="A1537" s="73">
        <v>42804</v>
      </c>
      <c r="B1537" s="74">
        <v>28946.23</v>
      </c>
      <c r="C1537" s="74">
        <v>444.1</v>
      </c>
      <c r="D1537" s="74">
        <f t="shared" si="47"/>
        <v>5.9092506716503044E-4</v>
      </c>
      <c r="E1537" s="74">
        <f t="shared" si="48"/>
        <v>5.7584983832453382E-3</v>
      </c>
      <c r="F1537" s="75"/>
    </row>
    <row r="1538" spans="1:6" ht="14.25" customHeight="1" x14ac:dyDescent="0.3">
      <c r="A1538" s="73">
        <v>42808</v>
      </c>
      <c r="B1538" s="74">
        <v>29442.63</v>
      </c>
      <c r="C1538" s="74">
        <v>461.3</v>
      </c>
      <c r="D1538" s="74">
        <f t="shared" si="47"/>
        <v>1.7003653095728974E-2</v>
      </c>
      <c r="E1538" s="74">
        <f t="shared" si="48"/>
        <v>3.7998828265718224E-2</v>
      </c>
      <c r="F1538" s="75"/>
    </row>
    <row r="1539" spans="1:6" ht="14.25" customHeight="1" x14ac:dyDescent="0.3">
      <c r="A1539" s="73">
        <v>42809</v>
      </c>
      <c r="B1539" s="74">
        <v>29398.11</v>
      </c>
      <c r="C1539" s="74">
        <v>462</v>
      </c>
      <c r="D1539" s="74">
        <f t="shared" si="47"/>
        <v>-1.5132375458052725E-3</v>
      </c>
      <c r="E1539" s="74">
        <f t="shared" si="48"/>
        <v>1.516300517964008E-3</v>
      </c>
      <c r="F1539" s="75"/>
    </row>
    <row r="1540" spans="1:6" ht="14.25" customHeight="1" x14ac:dyDescent="0.3">
      <c r="A1540" s="73">
        <v>42810</v>
      </c>
      <c r="B1540" s="74">
        <v>29585.85</v>
      </c>
      <c r="C1540" s="74">
        <v>465.3</v>
      </c>
      <c r="D1540" s="74">
        <f t="shared" ref="D1540:D1603" si="49">LN(B1540/B1539)</f>
        <v>6.3658199277324256E-3</v>
      </c>
      <c r="E1540" s="74">
        <f t="shared" ref="E1540:E1603" si="50">LN(C1540/C1539)</f>
        <v>7.1174677688639549E-3</v>
      </c>
      <c r="F1540" s="75"/>
    </row>
    <row r="1541" spans="1:6" ht="14.25" customHeight="1" x14ac:dyDescent="0.3">
      <c r="A1541" s="73">
        <v>42811</v>
      </c>
      <c r="B1541" s="74">
        <v>29648.99</v>
      </c>
      <c r="C1541" s="74">
        <v>462.3</v>
      </c>
      <c r="D1541" s="74">
        <f t="shared" si="49"/>
        <v>2.1318542909287098E-3</v>
      </c>
      <c r="E1541" s="74">
        <f t="shared" si="50"/>
        <v>-6.46832785642303E-3</v>
      </c>
      <c r="F1541" s="75"/>
    </row>
    <row r="1542" spans="1:6" ht="14.25" customHeight="1" x14ac:dyDescent="0.3">
      <c r="A1542" s="73">
        <v>42814</v>
      </c>
      <c r="B1542" s="74">
        <v>29518.74</v>
      </c>
      <c r="C1542" s="74">
        <v>465.55</v>
      </c>
      <c r="D1542" s="74">
        <f t="shared" si="49"/>
        <v>-4.4027448880957004E-3</v>
      </c>
      <c r="E1542" s="74">
        <f t="shared" si="50"/>
        <v>7.0054713403589729E-3</v>
      </c>
      <c r="F1542" s="75"/>
    </row>
    <row r="1543" spans="1:6" ht="14.25" customHeight="1" x14ac:dyDescent="0.3">
      <c r="A1543" s="73">
        <v>42815</v>
      </c>
      <c r="B1543" s="74">
        <v>29485.45</v>
      </c>
      <c r="C1543" s="74">
        <v>463.7</v>
      </c>
      <c r="D1543" s="74">
        <f t="shared" si="49"/>
        <v>-1.128394560870237E-3</v>
      </c>
      <c r="E1543" s="74">
        <f t="shared" si="50"/>
        <v>-3.9817109371237478E-3</v>
      </c>
      <c r="F1543" s="75"/>
    </row>
    <row r="1544" spans="1:6" ht="14.25" customHeight="1" x14ac:dyDescent="0.3">
      <c r="A1544" s="73">
        <v>42816</v>
      </c>
      <c r="B1544" s="74">
        <v>29167.68</v>
      </c>
      <c r="C1544" s="74">
        <v>445.4</v>
      </c>
      <c r="D1544" s="74">
        <f t="shared" si="49"/>
        <v>-1.0835674384547467E-2</v>
      </c>
      <c r="E1544" s="74">
        <f t="shared" si="50"/>
        <v>-4.0265036574147914E-2</v>
      </c>
      <c r="F1544" s="75"/>
    </row>
    <row r="1545" spans="1:6" ht="14.25" customHeight="1" x14ac:dyDescent="0.3">
      <c r="A1545" s="73">
        <v>42817</v>
      </c>
      <c r="B1545" s="74">
        <v>29332.16</v>
      </c>
      <c r="C1545" s="74">
        <v>452.05</v>
      </c>
      <c r="D1545" s="74">
        <f t="shared" si="49"/>
        <v>5.6232780609926031E-3</v>
      </c>
      <c r="E1545" s="74">
        <f t="shared" si="50"/>
        <v>1.4820038360108213E-2</v>
      </c>
      <c r="F1545" s="75"/>
    </row>
    <row r="1546" spans="1:6" ht="14.25" customHeight="1" x14ac:dyDescent="0.3">
      <c r="A1546" s="73">
        <v>42818</v>
      </c>
      <c r="B1546" s="74">
        <v>29421.4</v>
      </c>
      <c r="C1546" s="74">
        <v>447.9</v>
      </c>
      <c r="D1546" s="74">
        <f t="shared" si="49"/>
        <v>3.0377757067369892E-3</v>
      </c>
      <c r="E1546" s="74">
        <f t="shared" si="50"/>
        <v>-9.2227999701211347E-3</v>
      </c>
      <c r="F1546" s="75"/>
    </row>
    <row r="1547" spans="1:6" ht="14.25" customHeight="1" x14ac:dyDescent="0.3">
      <c r="A1547" s="73">
        <v>42821</v>
      </c>
      <c r="B1547" s="74">
        <v>29237.15</v>
      </c>
      <c r="C1547" s="74">
        <v>448.25</v>
      </c>
      <c r="D1547" s="74">
        <f t="shared" si="49"/>
        <v>-6.2821398059138851E-3</v>
      </c>
      <c r="E1547" s="74">
        <f t="shared" si="50"/>
        <v>7.8111927198796886E-4</v>
      </c>
      <c r="F1547" s="75"/>
    </row>
    <row r="1548" spans="1:6" ht="14.25" customHeight="1" x14ac:dyDescent="0.3">
      <c r="A1548" s="73">
        <v>42822</v>
      </c>
      <c r="B1548" s="74">
        <v>29409.52</v>
      </c>
      <c r="C1548" s="74">
        <v>453.8</v>
      </c>
      <c r="D1548" s="74">
        <f t="shared" si="49"/>
        <v>5.8782705425579618E-3</v>
      </c>
      <c r="E1548" s="74">
        <f t="shared" si="50"/>
        <v>1.2305459860499022E-2</v>
      </c>
      <c r="F1548" s="75"/>
    </row>
    <row r="1549" spans="1:6" ht="14.25" customHeight="1" x14ac:dyDescent="0.3">
      <c r="A1549" s="73">
        <v>42823</v>
      </c>
      <c r="B1549" s="74">
        <v>29531.43</v>
      </c>
      <c r="C1549" s="74">
        <v>454.9</v>
      </c>
      <c r="D1549" s="74">
        <f t="shared" si="49"/>
        <v>4.1366884600792884E-3</v>
      </c>
      <c r="E1549" s="74">
        <f t="shared" si="50"/>
        <v>2.421042230216905E-3</v>
      </c>
      <c r="F1549" s="75"/>
    </row>
    <row r="1550" spans="1:6" ht="14.25" customHeight="1" x14ac:dyDescent="0.3">
      <c r="A1550" s="73">
        <v>42824</v>
      </c>
      <c r="B1550" s="74">
        <v>29647.42</v>
      </c>
      <c r="C1550" s="74">
        <v>457.35</v>
      </c>
      <c r="D1550" s="74">
        <f t="shared" si="49"/>
        <v>3.9199865670929458E-3</v>
      </c>
      <c r="E1550" s="74">
        <f t="shared" si="50"/>
        <v>5.3713475264152389E-3</v>
      </c>
      <c r="F1550" s="75"/>
    </row>
    <row r="1551" spans="1:6" ht="14.25" customHeight="1" x14ac:dyDescent="0.3">
      <c r="A1551" s="73">
        <v>42825</v>
      </c>
      <c r="B1551" s="74">
        <v>29620.5</v>
      </c>
      <c r="C1551" s="74">
        <v>461.3</v>
      </c>
      <c r="D1551" s="74">
        <f t="shared" si="49"/>
        <v>-9.0841729729150707E-4</v>
      </c>
      <c r="E1551" s="74">
        <f t="shared" si="50"/>
        <v>8.5996284614013457E-3</v>
      </c>
      <c r="F1551" s="75"/>
    </row>
    <row r="1552" spans="1:6" ht="14.25" customHeight="1" x14ac:dyDescent="0.3">
      <c r="A1552" s="73">
        <v>42828</v>
      </c>
      <c r="B1552" s="74">
        <v>29910.22</v>
      </c>
      <c r="C1552" s="74">
        <v>460.4</v>
      </c>
      <c r="D1552" s="74">
        <f t="shared" si="49"/>
        <v>9.733538831000893E-3</v>
      </c>
      <c r="E1552" s="74">
        <f t="shared" si="50"/>
        <v>-1.952913716047339E-3</v>
      </c>
      <c r="F1552" s="75"/>
    </row>
    <row r="1553" spans="1:6" ht="14.25" customHeight="1" x14ac:dyDescent="0.3">
      <c r="A1553" s="73">
        <v>42830</v>
      </c>
      <c r="B1553" s="74">
        <v>29974.240000000002</v>
      </c>
      <c r="C1553" s="74">
        <v>491.4</v>
      </c>
      <c r="D1553" s="74">
        <f t="shared" si="49"/>
        <v>2.1381181157586792E-3</v>
      </c>
      <c r="E1553" s="74">
        <f t="shared" si="50"/>
        <v>6.5162783239351194E-2</v>
      </c>
      <c r="F1553" s="75"/>
    </row>
    <row r="1554" spans="1:6" ht="14.25" customHeight="1" x14ac:dyDescent="0.3">
      <c r="A1554" s="73">
        <v>42831</v>
      </c>
      <c r="B1554" s="74">
        <v>29927.34</v>
      </c>
      <c r="C1554" s="74">
        <v>487.2</v>
      </c>
      <c r="D1554" s="74">
        <f t="shared" si="49"/>
        <v>-1.5659022544456417E-3</v>
      </c>
      <c r="E1554" s="74">
        <f t="shared" si="50"/>
        <v>-8.5837436913914419E-3</v>
      </c>
      <c r="F1554" s="75"/>
    </row>
    <row r="1555" spans="1:6" ht="14.25" customHeight="1" x14ac:dyDescent="0.3">
      <c r="A1555" s="73">
        <v>42832</v>
      </c>
      <c r="B1555" s="74">
        <v>29706.61</v>
      </c>
      <c r="C1555" s="74">
        <v>485.75</v>
      </c>
      <c r="D1555" s="74">
        <f t="shared" si="49"/>
        <v>-7.4028639070009353E-3</v>
      </c>
      <c r="E1555" s="74">
        <f t="shared" si="50"/>
        <v>-2.9806281381377893E-3</v>
      </c>
      <c r="F1555" s="75"/>
    </row>
    <row r="1556" spans="1:6" ht="14.25" customHeight="1" x14ac:dyDescent="0.3">
      <c r="A1556" s="73">
        <v>42835</v>
      </c>
      <c r="B1556" s="74">
        <v>29575.74</v>
      </c>
      <c r="C1556" s="74">
        <v>485.25</v>
      </c>
      <c r="D1556" s="74">
        <f t="shared" si="49"/>
        <v>-4.4151492845092366E-3</v>
      </c>
      <c r="E1556" s="74">
        <f t="shared" si="50"/>
        <v>-1.0298662084298146E-3</v>
      </c>
      <c r="F1556" s="75"/>
    </row>
    <row r="1557" spans="1:6" ht="14.25" customHeight="1" x14ac:dyDescent="0.3">
      <c r="A1557" s="73">
        <v>42836</v>
      </c>
      <c r="B1557" s="74">
        <v>29788.35</v>
      </c>
      <c r="C1557" s="74">
        <v>487.5</v>
      </c>
      <c r="D1557" s="74">
        <f t="shared" si="49"/>
        <v>7.1629467930961511E-3</v>
      </c>
      <c r="E1557" s="74">
        <f t="shared" si="50"/>
        <v>4.6260683887822431E-3</v>
      </c>
      <c r="F1557" s="75"/>
    </row>
    <row r="1558" spans="1:6" ht="14.25" customHeight="1" x14ac:dyDescent="0.3">
      <c r="A1558" s="73">
        <v>42837</v>
      </c>
      <c r="B1558" s="74">
        <v>29643.48</v>
      </c>
      <c r="C1558" s="74">
        <v>479.9</v>
      </c>
      <c r="D1558" s="74">
        <f t="shared" si="49"/>
        <v>-4.8751750343543811E-3</v>
      </c>
      <c r="E1558" s="74">
        <f t="shared" si="50"/>
        <v>-1.5712541573702072E-2</v>
      </c>
      <c r="F1558" s="75"/>
    </row>
    <row r="1559" spans="1:6" ht="14.25" customHeight="1" x14ac:dyDescent="0.3">
      <c r="A1559" s="73">
        <v>42838</v>
      </c>
      <c r="B1559" s="74">
        <v>29461.45</v>
      </c>
      <c r="C1559" s="74">
        <v>482.85</v>
      </c>
      <c r="D1559" s="74">
        <f t="shared" si="49"/>
        <v>-6.1595733392470773E-3</v>
      </c>
      <c r="E1559" s="74">
        <f t="shared" si="50"/>
        <v>6.1282975487270998E-3</v>
      </c>
      <c r="F1559" s="75"/>
    </row>
    <row r="1560" spans="1:6" ht="14.25" customHeight="1" x14ac:dyDescent="0.3">
      <c r="A1560" s="73">
        <v>42842</v>
      </c>
      <c r="B1560" s="74">
        <v>29413.66</v>
      </c>
      <c r="C1560" s="74">
        <v>481.9</v>
      </c>
      <c r="D1560" s="74">
        <f t="shared" si="49"/>
        <v>-1.6234368138273252E-3</v>
      </c>
      <c r="E1560" s="74">
        <f t="shared" si="50"/>
        <v>-1.9694227666399149E-3</v>
      </c>
      <c r="F1560" s="75"/>
    </row>
    <row r="1561" spans="1:6" ht="14.25" customHeight="1" x14ac:dyDescent="0.3">
      <c r="A1561" s="73">
        <v>42843</v>
      </c>
      <c r="B1561" s="74">
        <v>29319.1</v>
      </c>
      <c r="C1561" s="74">
        <v>472.5</v>
      </c>
      <c r="D1561" s="74">
        <f t="shared" si="49"/>
        <v>-3.2200115132870761E-3</v>
      </c>
      <c r="E1561" s="74">
        <f t="shared" si="50"/>
        <v>-1.9698876712489554E-2</v>
      </c>
      <c r="F1561" s="75"/>
    </row>
    <row r="1562" spans="1:6" ht="14.25" customHeight="1" x14ac:dyDescent="0.3">
      <c r="A1562" s="73">
        <v>42844</v>
      </c>
      <c r="B1562" s="74">
        <v>29336.57</v>
      </c>
      <c r="C1562" s="74">
        <v>471.95</v>
      </c>
      <c r="D1562" s="74">
        <f t="shared" si="49"/>
        <v>5.9567985555632208E-4</v>
      </c>
      <c r="E1562" s="74">
        <f t="shared" si="50"/>
        <v>-1.1646991628440101E-3</v>
      </c>
      <c r="F1562" s="75"/>
    </row>
    <row r="1563" spans="1:6" ht="14.25" customHeight="1" x14ac:dyDescent="0.3">
      <c r="A1563" s="73">
        <v>42845</v>
      </c>
      <c r="B1563" s="74">
        <v>29422.39</v>
      </c>
      <c r="C1563" s="74">
        <v>479.35</v>
      </c>
      <c r="D1563" s="74">
        <f t="shared" si="49"/>
        <v>2.9210884952161438E-3</v>
      </c>
      <c r="E1563" s="74">
        <f t="shared" si="50"/>
        <v>1.5557971752052162E-2</v>
      </c>
      <c r="F1563" s="75"/>
    </row>
    <row r="1564" spans="1:6" ht="14.25" customHeight="1" x14ac:dyDescent="0.3">
      <c r="A1564" s="73">
        <v>42846</v>
      </c>
      <c r="B1564" s="74">
        <v>29365.3</v>
      </c>
      <c r="C1564" s="74">
        <v>479.3</v>
      </c>
      <c r="D1564" s="74">
        <f t="shared" si="49"/>
        <v>-1.9422439611684284E-3</v>
      </c>
      <c r="E1564" s="74">
        <f t="shared" si="50"/>
        <v>-1.0431335742000977E-4</v>
      </c>
      <c r="F1564" s="75"/>
    </row>
    <row r="1565" spans="1:6" ht="14.25" customHeight="1" x14ac:dyDescent="0.3">
      <c r="A1565" s="73">
        <v>42849</v>
      </c>
      <c r="B1565" s="74">
        <v>29655.84</v>
      </c>
      <c r="C1565" s="74">
        <v>481.75</v>
      </c>
      <c r="D1565" s="74">
        <f t="shared" si="49"/>
        <v>9.8453654694785116E-3</v>
      </c>
      <c r="E1565" s="74">
        <f t="shared" si="50"/>
        <v>5.0986011288900743E-3</v>
      </c>
      <c r="F1565" s="75"/>
    </row>
    <row r="1566" spans="1:6" ht="14.25" customHeight="1" x14ac:dyDescent="0.3">
      <c r="A1566" s="73">
        <v>42850</v>
      </c>
      <c r="B1566" s="74">
        <v>29943.24</v>
      </c>
      <c r="C1566" s="74">
        <v>482.9</v>
      </c>
      <c r="D1566" s="74">
        <f t="shared" si="49"/>
        <v>9.6445189337687285E-3</v>
      </c>
      <c r="E1566" s="74">
        <f t="shared" si="50"/>
        <v>2.3842855850204499E-3</v>
      </c>
      <c r="F1566" s="75"/>
    </row>
    <row r="1567" spans="1:6" ht="14.25" customHeight="1" x14ac:dyDescent="0.3">
      <c r="A1567" s="73">
        <v>42851</v>
      </c>
      <c r="B1567" s="74">
        <v>30133.35</v>
      </c>
      <c r="C1567" s="74">
        <v>479.5</v>
      </c>
      <c r="D1567" s="74">
        <f t="shared" si="49"/>
        <v>6.3289422578409445E-3</v>
      </c>
      <c r="E1567" s="74">
        <f t="shared" si="50"/>
        <v>-7.0656985560032821E-3</v>
      </c>
      <c r="F1567" s="75"/>
    </row>
    <row r="1568" spans="1:6" ht="14.25" customHeight="1" x14ac:dyDescent="0.3">
      <c r="A1568" s="73">
        <v>42852</v>
      </c>
      <c r="B1568" s="74">
        <v>30029.74</v>
      </c>
      <c r="C1568" s="74">
        <v>477.55</v>
      </c>
      <c r="D1568" s="74">
        <f t="shared" si="49"/>
        <v>-3.4443078781130738E-3</v>
      </c>
      <c r="E1568" s="74">
        <f t="shared" si="50"/>
        <v>-4.0750278427463191E-3</v>
      </c>
      <c r="F1568" s="75"/>
    </row>
    <row r="1569" spans="1:6" ht="14.25" customHeight="1" x14ac:dyDescent="0.3">
      <c r="A1569" s="73">
        <v>42853</v>
      </c>
      <c r="B1569" s="74">
        <v>29918.400000000001</v>
      </c>
      <c r="C1569" s="74">
        <v>471.25</v>
      </c>
      <c r="D1569" s="74">
        <f t="shared" si="49"/>
        <v>-3.7145482085413116E-3</v>
      </c>
      <c r="E1569" s="74">
        <f t="shared" si="50"/>
        <v>-1.3280127718526095E-2</v>
      </c>
      <c r="F1569" s="75"/>
    </row>
    <row r="1570" spans="1:6" ht="14.25" customHeight="1" x14ac:dyDescent="0.3">
      <c r="A1570" s="73">
        <v>42857</v>
      </c>
      <c r="B1570" s="74">
        <v>29921.18</v>
      </c>
      <c r="C1570" s="74">
        <v>485.05</v>
      </c>
      <c r="D1570" s="74">
        <f t="shared" si="49"/>
        <v>9.291509071407979E-5</v>
      </c>
      <c r="E1570" s="74">
        <f t="shared" si="50"/>
        <v>2.8863239645072154E-2</v>
      </c>
      <c r="F1570" s="75"/>
    </row>
    <row r="1571" spans="1:6" ht="14.25" customHeight="1" x14ac:dyDescent="0.3">
      <c r="A1571" s="73">
        <v>42858</v>
      </c>
      <c r="B1571" s="74">
        <v>29894.799999999999</v>
      </c>
      <c r="C1571" s="74">
        <v>483.85</v>
      </c>
      <c r="D1571" s="74">
        <f t="shared" si="49"/>
        <v>-8.8203860273750371E-4</v>
      </c>
      <c r="E1571" s="74">
        <f t="shared" si="50"/>
        <v>-2.4770370803410299E-3</v>
      </c>
      <c r="F1571" s="75"/>
    </row>
    <row r="1572" spans="1:6" ht="14.25" customHeight="1" x14ac:dyDescent="0.3">
      <c r="A1572" s="73">
        <v>42859</v>
      </c>
      <c r="B1572" s="74">
        <v>30126.21</v>
      </c>
      <c r="C1572" s="74">
        <v>491.7</v>
      </c>
      <c r="D1572" s="74">
        <f t="shared" si="49"/>
        <v>7.7110047507561261E-3</v>
      </c>
      <c r="E1572" s="74">
        <f t="shared" si="50"/>
        <v>1.6093833090942134E-2</v>
      </c>
      <c r="F1572" s="75"/>
    </row>
    <row r="1573" spans="1:6" ht="14.25" customHeight="1" x14ac:dyDescent="0.3">
      <c r="A1573" s="73">
        <v>42860</v>
      </c>
      <c r="B1573" s="74">
        <v>29858.799999999999</v>
      </c>
      <c r="C1573" s="74">
        <v>491.8</v>
      </c>
      <c r="D1573" s="74">
        <f t="shared" si="49"/>
        <v>-8.9159532176502337E-3</v>
      </c>
      <c r="E1573" s="74">
        <f t="shared" si="50"/>
        <v>2.0335536419864298E-4</v>
      </c>
      <c r="F1573" s="75"/>
    </row>
    <row r="1574" spans="1:6" ht="14.25" customHeight="1" x14ac:dyDescent="0.3">
      <c r="A1574" s="73">
        <v>42863</v>
      </c>
      <c r="B1574" s="74">
        <v>29926.15</v>
      </c>
      <c r="C1574" s="74">
        <v>483.7</v>
      </c>
      <c r="D1574" s="74">
        <f t="shared" si="49"/>
        <v>2.2530763508553167E-3</v>
      </c>
      <c r="E1574" s="74">
        <f t="shared" si="50"/>
        <v>-1.6607249953154716E-2</v>
      </c>
      <c r="F1574" s="75"/>
    </row>
    <row r="1575" spans="1:6" ht="14.25" customHeight="1" x14ac:dyDescent="0.3">
      <c r="A1575" s="73">
        <v>42864</v>
      </c>
      <c r="B1575" s="74">
        <v>29933.25</v>
      </c>
      <c r="C1575" s="74">
        <v>467.9</v>
      </c>
      <c r="D1575" s="74">
        <f t="shared" si="49"/>
        <v>2.3722255930715131E-4</v>
      </c>
      <c r="E1575" s="74">
        <f t="shared" si="50"/>
        <v>-3.3210281956766917E-2</v>
      </c>
      <c r="F1575" s="75"/>
    </row>
    <row r="1576" spans="1:6" ht="14.25" customHeight="1" x14ac:dyDescent="0.3">
      <c r="A1576" s="73">
        <v>42865</v>
      </c>
      <c r="B1576" s="74">
        <v>30248.17</v>
      </c>
      <c r="C1576" s="74">
        <v>481.6</v>
      </c>
      <c r="D1576" s="74">
        <f t="shared" si="49"/>
        <v>1.046578410732917E-2</v>
      </c>
      <c r="E1576" s="74">
        <f t="shared" si="50"/>
        <v>2.885929612244071E-2</v>
      </c>
      <c r="F1576" s="75"/>
    </row>
    <row r="1577" spans="1:6" ht="14.25" customHeight="1" x14ac:dyDescent="0.3">
      <c r="A1577" s="73">
        <v>42866</v>
      </c>
      <c r="B1577" s="74">
        <v>30250.98</v>
      </c>
      <c r="C1577" s="74">
        <v>501.45</v>
      </c>
      <c r="D1577" s="74">
        <f t="shared" si="49"/>
        <v>9.2893867170810331E-5</v>
      </c>
      <c r="E1577" s="74">
        <f t="shared" si="50"/>
        <v>4.0390007539605983E-2</v>
      </c>
      <c r="F1577" s="75"/>
    </row>
    <row r="1578" spans="1:6" ht="14.25" customHeight="1" x14ac:dyDescent="0.3">
      <c r="A1578" s="73">
        <v>42867</v>
      </c>
      <c r="B1578" s="74">
        <v>30188.15</v>
      </c>
      <c r="C1578" s="74">
        <v>494.5</v>
      </c>
      <c r="D1578" s="74">
        <f t="shared" si="49"/>
        <v>-2.0791173742271082E-3</v>
      </c>
      <c r="E1578" s="74">
        <f t="shared" si="50"/>
        <v>-1.3956750471450513E-2</v>
      </c>
      <c r="F1578" s="75"/>
    </row>
    <row r="1579" spans="1:6" ht="14.25" customHeight="1" x14ac:dyDescent="0.3">
      <c r="A1579" s="73">
        <v>42870</v>
      </c>
      <c r="B1579" s="74">
        <v>30322.12</v>
      </c>
      <c r="C1579" s="74">
        <v>483.45</v>
      </c>
      <c r="D1579" s="74">
        <f t="shared" si="49"/>
        <v>4.4280159020729975E-3</v>
      </c>
      <c r="E1579" s="74">
        <f t="shared" si="50"/>
        <v>-2.2599254133210265E-2</v>
      </c>
      <c r="F1579" s="75"/>
    </row>
    <row r="1580" spans="1:6" ht="14.25" customHeight="1" x14ac:dyDescent="0.3">
      <c r="A1580" s="73">
        <v>42871</v>
      </c>
      <c r="B1580" s="74">
        <v>30582.6</v>
      </c>
      <c r="C1580" s="74">
        <v>487.85</v>
      </c>
      <c r="D1580" s="74">
        <f t="shared" si="49"/>
        <v>8.5537406033036317E-3</v>
      </c>
      <c r="E1580" s="74">
        <f t="shared" si="50"/>
        <v>9.0600846244024806E-3</v>
      </c>
      <c r="F1580" s="75"/>
    </row>
    <row r="1581" spans="1:6" ht="14.25" customHeight="1" x14ac:dyDescent="0.3">
      <c r="A1581" s="73">
        <v>42872</v>
      </c>
      <c r="B1581" s="74">
        <v>30658.77</v>
      </c>
      <c r="C1581" s="74">
        <v>482.35</v>
      </c>
      <c r="D1581" s="74">
        <f t="shared" si="49"/>
        <v>2.4875354446599598E-3</v>
      </c>
      <c r="E1581" s="74">
        <f t="shared" si="50"/>
        <v>-1.1337989937396499E-2</v>
      </c>
      <c r="F1581" s="75"/>
    </row>
    <row r="1582" spans="1:6" ht="14.25" customHeight="1" x14ac:dyDescent="0.3">
      <c r="A1582" s="73">
        <v>42873</v>
      </c>
      <c r="B1582" s="74">
        <v>30434.79</v>
      </c>
      <c r="C1582" s="74">
        <v>471.5</v>
      </c>
      <c r="D1582" s="74">
        <f t="shared" si="49"/>
        <v>-7.3323932507448905E-3</v>
      </c>
      <c r="E1582" s="74">
        <f t="shared" si="50"/>
        <v>-2.2750889543050476E-2</v>
      </c>
      <c r="F1582" s="75"/>
    </row>
    <row r="1583" spans="1:6" ht="14.25" customHeight="1" x14ac:dyDescent="0.3">
      <c r="A1583" s="73">
        <v>42874</v>
      </c>
      <c r="B1583" s="74">
        <v>30464.92</v>
      </c>
      <c r="C1583" s="74">
        <v>471.1</v>
      </c>
      <c r="D1583" s="74">
        <f t="shared" si="49"/>
        <v>9.8949576142023476E-4</v>
      </c>
      <c r="E1583" s="74">
        <f t="shared" si="50"/>
        <v>-8.4871636751667335E-4</v>
      </c>
      <c r="F1583" s="75"/>
    </row>
    <row r="1584" spans="1:6" ht="14.25" customHeight="1" x14ac:dyDescent="0.3">
      <c r="A1584" s="73">
        <v>42877</v>
      </c>
      <c r="B1584" s="74">
        <v>30570.97</v>
      </c>
      <c r="C1584" s="74">
        <v>480.35</v>
      </c>
      <c r="D1584" s="74">
        <f t="shared" si="49"/>
        <v>3.4750081212484591E-3</v>
      </c>
      <c r="E1584" s="74">
        <f t="shared" si="50"/>
        <v>1.9444619149752023E-2</v>
      </c>
      <c r="F1584" s="75"/>
    </row>
    <row r="1585" spans="1:6" ht="14.25" customHeight="1" x14ac:dyDescent="0.3">
      <c r="A1585" s="73">
        <v>42878</v>
      </c>
      <c r="B1585" s="74">
        <v>30365.25</v>
      </c>
      <c r="C1585" s="74">
        <v>476.6</v>
      </c>
      <c r="D1585" s="74">
        <f t="shared" si="49"/>
        <v>-6.7520033752094836E-3</v>
      </c>
      <c r="E1585" s="74">
        <f t="shared" si="50"/>
        <v>-7.8374401911058059E-3</v>
      </c>
      <c r="F1585" s="75"/>
    </row>
    <row r="1586" spans="1:6" ht="14.25" customHeight="1" x14ac:dyDescent="0.3">
      <c r="A1586" s="73">
        <v>42879</v>
      </c>
      <c r="B1586" s="74">
        <v>30301.64</v>
      </c>
      <c r="C1586" s="74">
        <v>468.8</v>
      </c>
      <c r="D1586" s="74">
        <f t="shared" si="49"/>
        <v>-2.0970260156902357E-3</v>
      </c>
      <c r="E1586" s="74">
        <f t="shared" si="50"/>
        <v>-1.6501326401838951E-2</v>
      </c>
      <c r="F1586" s="75"/>
    </row>
    <row r="1587" spans="1:6" ht="14.25" customHeight="1" x14ac:dyDescent="0.3">
      <c r="A1587" s="73">
        <v>42880</v>
      </c>
      <c r="B1587" s="74">
        <v>30750.03</v>
      </c>
      <c r="C1587" s="74">
        <v>464.4</v>
      </c>
      <c r="D1587" s="74">
        <f t="shared" si="49"/>
        <v>1.468913339866953E-2</v>
      </c>
      <c r="E1587" s="74">
        <f t="shared" si="50"/>
        <v>-9.4299884390665126E-3</v>
      </c>
      <c r="F1587" s="75"/>
    </row>
    <row r="1588" spans="1:6" ht="14.25" customHeight="1" x14ac:dyDescent="0.3">
      <c r="A1588" s="73">
        <v>42881</v>
      </c>
      <c r="B1588" s="74">
        <v>31028.21</v>
      </c>
      <c r="C1588" s="74">
        <v>473.8</v>
      </c>
      <c r="D1588" s="74">
        <f t="shared" si="49"/>
        <v>9.0058208243581073E-3</v>
      </c>
      <c r="E1588" s="74">
        <f t="shared" si="50"/>
        <v>2.0039041900948643E-2</v>
      </c>
      <c r="F1588" s="75"/>
    </row>
    <row r="1589" spans="1:6" ht="14.25" customHeight="1" x14ac:dyDescent="0.3">
      <c r="A1589" s="73">
        <v>42884</v>
      </c>
      <c r="B1589" s="74">
        <v>31109.279999999999</v>
      </c>
      <c r="C1589" s="74">
        <v>472.05</v>
      </c>
      <c r="D1589" s="74">
        <f t="shared" si="49"/>
        <v>2.6093762718582113E-3</v>
      </c>
      <c r="E1589" s="74">
        <f t="shared" si="50"/>
        <v>-3.7003795461594676E-3</v>
      </c>
      <c r="F1589" s="75"/>
    </row>
    <row r="1590" spans="1:6" ht="14.25" customHeight="1" x14ac:dyDescent="0.3">
      <c r="A1590" s="73">
        <v>42885</v>
      </c>
      <c r="B1590" s="74">
        <v>31159.4</v>
      </c>
      <c r="C1590" s="74">
        <v>469.4</v>
      </c>
      <c r="D1590" s="74">
        <f t="shared" si="49"/>
        <v>1.6097984034230046E-3</v>
      </c>
      <c r="E1590" s="74">
        <f t="shared" si="50"/>
        <v>-5.6296287616024584E-3</v>
      </c>
      <c r="F1590" s="75"/>
    </row>
    <row r="1591" spans="1:6" ht="14.25" customHeight="1" x14ac:dyDescent="0.3">
      <c r="A1591" s="73">
        <v>42886</v>
      </c>
      <c r="B1591" s="74">
        <v>31145.8</v>
      </c>
      <c r="C1591" s="74">
        <v>474.7</v>
      </c>
      <c r="D1591" s="74">
        <f t="shared" si="49"/>
        <v>-4.3656067923697744E-4</v>
      </c>
      <c r="E1591" s="74">
        <f t="shared" si="50"/>
        <v>1.122774214034915E-2</v>
      </c>
      <c r="F1591" s="75"/>
    </row>
    <row r="1592" spans="1:6" ht="14.25" customHeight="1" x14ac:dyDescent="0.3">
      <c r="A1592" s="73">
        <v>42887</v>
      </c>
      <c r="B1592" s="74">
        <v>31137.59</v>
      </c>
      <c r="C1592" s="74">
        <v>470.75</v>
      </c>
      <c r="D1592" s="74">
        <f t="shared" si="49"/>
        <v>-2.636336926282006E-4</v>
      </c>
      <c r="E1592" s="74">
        <f t="shared" si="50"/>
        <v>-8.3558580200105634E-3</v>
      </c>
      <c r="F1592" s="75"/>
    </row>
    <row r="1593" spans="1:6" ht="14.25" customHeight="1" x14ac:dyDescent="0.3">
      <c r="A1593" s="73">
        <v>42888</v>
      </c>
      <c r="B1593" s="74">
        <v>31273.29</v>
      </c>
      <c r="C1593" s="74">
        <v>472.25</v>
      </c>
      <c r="D1593" s="74">
        <f t="shared" si="49"/>
        <v>4.3486076095996364E-3</v>
      </c>
      <c r="E1593" s="74">
        <f t="shared" si="50"/>
        <v>3.1813388443572145E-3</v>
      </c>
      <c r="F1593" s="75"/>
    </row>
    <row r="1594" spans="1:6" ht="14.25" customHeight="1" x14ac:dyDescent="0.3">
      <c r="A1594" s="73">
        <v>42891</v>
      </c>
      <c r="B1594" s="74">
        <v>31309.49</v>
      </c>
      <c r="C1594" s="74">
        <v>552.4</v>
      </c>
      <c r="D1594" s="74">
        <f t="shared" si="49"/>
        <v>1.1568678808239856E-3</v>
      </c>
      <c r="E1594" s="74">
        <f t="shared" si="50"/>
        <v>0.15676391515351815</v>
      </c>
      <c r="F1594" s="75"/>
    </row>
    <row r="1595" spans="1:6" ht="14.25" customHeight="1" x14ac:dyDescent="0.3">
      <c r="A1595" s="73">
        <v>42892</v>
      </c>
      <c r="B1595" s="74">
        <v>31190.560000000001</v>
      </c>
      <c r="C1595" s="74">
        <v>527</v>
      </c>
      <c r="D1595" s="74">
        <f t="shared" si="49"/>
        <v>-3.8057615488852128E-3</v>
      </c>
      <c r="E1595" s="74">
        <f t="shared" si="50"/>
        <v>-4.7071872993774654E-2</v>
      </c>
      <c r="F1595" s="75"/>
    </row>
    <row r="1596" spans="1:6" ht="14.25" customHeight="1" x14ac:dyDescent="0.3">
      <c r="A1596" s="73">
        <v>42893</v>
      </c>
      <c r="B1596" s="74">
        <v>31271.279999999999</v>
      </c>
      <c r="C1596" s="74">
        <v>536.75</v>
      </c>
      <c r="D1596" s="74">
        <f t="shared" si="49"/>
        <v>2.5846195032314203E-3</v>
      </c>
      <c r="E1596" s="74">
        <f t="shared" si="50"/>
        <v>1.8331888217528132E-2</v>
      </c>
      <c r="F1596" s="75"/>
    </row>
    <row r="1597" spans="1:6" ht="14.25" customHeight="1" x14ac:dyDescent="0.3">
      <c r="A1597" s="73">
        <v>42894</v>
      </c>
      <c r="B1597" s="74">
        <v>31213.360000000001</v>
      </c>
      <c r="C1597" s="74">
        <v>529.04999999999995</v>
      </c>
      <c r="D1597" s="74">
        <f t="shared" si="49"/>
        <v>-1.853896144361801E-3</v>
      </c>
      <c r="E1597" s="74">
        <f t="shared" si="50"/>
        <v>-1.444949140871982E-2</v>
      </c>
      <c r="F1597" s="75"/>
    </row>
    <row r="1598" spans="1:6" ht="14.25" customHeight="1" x14ac:dyDescent="0.3">
      <c r="A1598" s="73">
        <v>42895</v>
      </c>
      <c r="B1598" s="74">
        <v>31262.06</v>
      </c>
      <c r="C1598" s="74">
        <v>524.95000000000005</v>
      </c>
      <c r="D1598" s="74">
        <f t="shared" si="49"/>
        <v>1.559013444451424E-3</v>
      </c>
      <c r="E1598" s="74">
        <f t="shared" si="50"/>
        <v>-7.7799253892202012E-3</v>
      </c>
      <c r="F1598" s="75"/>
    </row>
    <row r="1599" spans="1:6" ht="14.25" customHeight="1" x14ac:dyDescent="0.3">
      <c r="A1599" s="73">
        <v>42898</v>
      </c>
      <c r="B1599" s="74">
        <v>31095.7</v>
      </c>
      <c r="C1599" s="74">
        <v>516.9</v>
      </c>
      <c r="D1599" s="74">
        <f t="shared" si="49"/>
        <v>-5.3356757741488481E-3</v>
      </c>
      <c r="E1599" s="74">
        <f t="shared" si="50"/>
        <v>-1.5453587758956807E-2</v>
      </c>
      <c r="F1599" s="75"/>
    </row>
    <row r="1600" spans="1:6" ht="14.25" customHeight="1" x14ac:dyDescent="0.3">
      <c r="A1600" s="73">
        <v>42899</v>
      </c>
      <c r="B1600" s="74">
        <v>31103.49</v>
      </c>
      <c r="C1600" s="74">
        <v>521.15</v>
      </c>
      <c r="D1600" s="74">
        <f t="shared" si="49"/>
        <v>2.5048557837264378E-4</v>
      </c>
      <c r="E1600" s="74">
        <f t="shared" si="50"/>
        <v>8.1884759833376203E-3</v>
      </c>
      <c r="F1600" s="75"/>
    </row>
    <row r="1601" spans="1:6" ht="14.25" customHeight="1" x14ac:dyDescent="0.3">
      <c r="A1601" s="73">
        <v>42900</v>
      </c>
      <c r="B1601" s="74">
        <v>31155.91</v>
      </c>
      <c r="C1601" s="74">
        <v>521.15</v>
      </c>
      <c r="D1601" s="74">
        <f t="shared" si="49"/>
        <v>1.6839228256882301E-3</v>
      </c>
      <c r="E1601" s="74">
        <f t="shared" si="50"/>
        <v>0</v>
      </c>
      <c r="F1601" s="75"/>
    </row>
    <row r="1602" spans="1:6" ht="14.25" customHeight="1" x14ac:dyDescent="0.3">
      <c r="A1602" s="73">
        <v>42901</v>
      </c>
      <c r="B1602" s="74">
        <v>31075.73</v>
      </c>
      <c r="C1602" s="74">
        <v>517.9</v>
      </c>
      <c r="D1602" s="74">
        <f t="shared" si="49"/>
        <v>-2.576825690805043E-3</v>
      </c>
      <c r="E1602" s="74">
        <f t="shared" si="50"/>
        <v>-6.2557347554854821E-3</v>
      </c>
      <c r="F1602" s="75"/>
    </row>
    <row r="1603" spans="1:6" ht="14.25" customHeight="1" x14ac:dyDescent="0.3">
      <c r="A1603" s="73">
        <v>42902</v>
      </c>
      <c r="B1603" s="74">
        <v>31056.400000000001</v>
      </c>
      <c r="C1603" s="74">
        <v>515.75</v>
      </c>
      <c r="D1603" s="74">
        <f t="shared" si="49"/>
        <v>-6.2222237105502651E-4</v>
      </c>
      <c r="E1603" s="74">
        <f t="shared" si="50"/>
        <v>-4.1600214784845713E-3</v>
      </c>
      <c r="F1603" s="75"/>
    </row>
    <row r="1604" spans="1:6" ht="14.25" customHeight="1" x14ac:dyDescent="0.3">
      <c r="A1604" s="73">
        <v>42905</v>
      </c>
      <c r="B1604" s="74">
        <v>31311.57</v>
      </c>
      <c r="C1604" s="74">
        <v>513.35</v>
      </c>
      <c r="D1604" s="74">
        <f t="shared" ref="D1604:D1667" si="51">LN(B1604/B1603)</f>
        <v>8.1827715027169255E-3</v>
      </c>
      <c r="E1604" s="74">
        <f t="shared" ref="E1604:E1667" si="52">LN(C1604/C1603)</f>
        <v>-4.6642782063874471E-3</v>
      </c>
      <c r="F1604" s="75"/>
    </row>
    <row r="1605" spans="1:6" ht="14.25" customHeight="1" x14ac:dyDescent="0.3">
      <c r="A1605" s="73">
        <v>42906</v>
      </c>
      <c r="B1605" s="74">
        <v>31297.53</v>
      </c>
      <c r="C1605" s="74">
        <v>527.15</v>
      </c>
      <c r="D1605" s="74">
        <f t="shared" si="51"/>
        <v>-4.4849711097413056E-4</v>
      </c>
      <c r="E1605" s="74">
        <f t="shared" si="52"/>
        <v>2.652726427798471E-2</v>
      </c>
      <c r="F1605" s="75"/>
    </row>
    <row r="1606" spans="1:6" ht="14.25" customHeight="1" x14ac:dyDescent="0.3">
      <c r="A1606" s="73">
        <v>42907</v>
      </c>
      <c r="B1606" s="74">
        <v>31283.64</v>
      </c>
      <c r="C1606" s="74">
        <v>522.6</v>
      </c>
      <c r="D1606" s="74">
        <f t="shared" si="51"/>
        <v>-4.4390350094403424E-4</v>
      </c>
      <c r="E1606" s="74">
        <f t="shared" si="52"/>
        <v>-8.668784936446499E-3</v>
      </c>
      <c r="F1606" s="75"/>
    </row>
    <row r="1607" spans="1:6" ht="14.25" customHeight="1" x14ac:dyDescent="0.3">
      <c r="A1607" s="73">
        <v>42908</v>
      </c>
      <c r="B1607" s="74">
        <v>31290.74</v>
      </c>
      <c r="C1607" s="74">
        <v>520.20000000000005</v>
      </c>
      <c r="D1607" s="74">
        <f t="shared" si="51"/>
        <v>2.2692993619667851E-4</v>
      </c>
      <c r="E1607" s="74">
        <f t="shared" si="52"/>
        <v>-4.6030000719608543E-3</v>
      </c>
      <c r="F1607" s="75"/>
    </row>
    <row r="1608" spans="1:6" ht="14.25" customHeight="1" x14ac:dyDescent="0.3">
      <c r="A1608" s="73">
        <v>42909</v>
      </c>
      <c r="B1608" s="74">
        <v>31138.21</v>
      </c>
      <c r="C1608" s="74">
        <v>512.15</v>
      </c>
      <c r="D1608" s="74">
        <f t="shared" si="51"/>
        <v>-4.8865247136378812E-3</v>
      </c>
      <c r="E1608" s="74">
        <f t="shared" si="52"/>
        <v>-1.5595802132007657E-2</v>
      </c>
      <c r="F1608" s="75"/>
    </row>
    <row r="1609" spans="1:6" ht="14.25" customHeight="1" x14ac:dyDescent="0.3">
      <c r="A1609" s="73">
        <v>42913</v>
      </c>
      <c r="B1609" s="74">
        <v>30958.25</v>
      </c>
      <c r="C1609" s="74">
        <v>516.45000000000005</v>
      </c>
      <c r="D1609" s="74">
        <f t="shared" si="51"/>
        <v>-5.7961598396998803E-3</v>
      </c>
      <c r="E1609" s="74">
        <f t="shared" si="52"/>
        <v>8.3609275700990259E-3</v>
      </c>
      <c r="F1609" s="75"/>
    </row>
    <row r="1610" spans="1:6" ht="14.25" customHeight="1" x14ac:dyDescent="0.3">
      <c r="A1610" s="73">
        <v>42914</v>
      </c>
      <c r="B1610" s="74">
        <v>30834.32</v>
      </c>
      <c r="C1610" s="74">
        <v>507.25</v>
      </c>
      <c r="D1610" s="74">
        <f t="shared" si="51"/>
        <v>-4.0111672378695456E-3</v>
      </c>
      <c r="E1610" s="74">
        <f t="shared" si="52"/>
        <v>-1.7974499746718449E-2</v>
      </c>
      <c r="F1610" s="75"/>
    </row>
    <row r="1611" spans="1:6" ht="14.25" customHeight="1" x14ac:dyDescent="0.3">
      <c r="A1611" s="73">
        <v>42915</v>
      </c>
      <c r="B1611" s="74">
        <v>30857.52</v>
      </c>
      <c r="C1611" s="74">
        <v>510.4</v>
      </c>
      <c r="D1611" s="74">
        <f t="shared" si="51"/>
        <v>7.5212543810253263E-4</v>
      </c>
      <c r="E1611" s="74">
        <f t="shared" si="52"/>
        <v>6.1907533246558615E-3</v>
      </c>
      <c r="F1611" s="75"/>
    </row>
    <row r="1612" spans="1:6" ht="14.25" customHeight="1" x14ac:dyDescent="0.3">
      <c r="A1612" s="73">
        <v>42916</v>
      </c>
      <c r="B1612" s="74">
        <v>30921.61</v>
      </c>
      <c r="C1612" s="74">
        <v>523.6</v>
      </c>
      <c r="D1612" s="74">
        <f t="shared" si="51"/>
        <v>2.0748114449472541E-3</v>
      </c>
      <c r="E1612" s="74">
        <f t="shared" si="52"/>
        <v>2.5533302005164845E-2</v>
      </c>
      <c r="F1612" s="75"/>
    </row>
    <row r="1613" spans="1:6" ht="14.25" customHeight="1" x14ac:dyDescent="0.3">
      <c r="A1613" s="73">
        <v>42919</v>
      </c>
      <c r="B1613" s="74">
        <v>31221.62</v>
      </c>
      <c r="C1613" s="74">
        <v>531.85</v>
      </c>
      <c r="D1613" s="74">
        <f t="shared" si="51"/>
        <v>9.6555113339472174E-3</v>
      </c>
      <c r="E1613" s="74">
        <f t="shared" si="52"/>
        <v>1.5633460661928958E-2</v>
      </c>
      <c r="F1613" s="75"/>
    </row>
    <row r="1614" spans="1:6" ht="14.25" customHeight="1" x14ac:dyDescent="0.3">
      <c r="A1614" s="73">
        <v>42920</v>
      </c>
      <c r="B1614" s="74">
        <v>31209.79</v>
      </c>
      <c r="C1614" s="74">
        <v>535.4</v>
      </c>
      <c r="D1614" s="74">
        <f t="shared" si="51"/>
        <v>-3.7897590785104557E-4</v>
      </c>
      <c r="E1614" s="74">
        <f t="shared" si="52"/>
        <v>6.6526363885781661E-3</v>
      </c>
      <c r="F1614" s="75"/>
    </row>
    <row r="1615" spans="1:6" ht="14.25" customHeight="1" x14ac:dyDescent="0.3">
      <c r="A1615" s="73">
        <v>42921</v>
      </c>
      <c r="B1615" s="74">
        <v>31245.56</v>
      </c>
      <c r="C1615" s="74">
        <v>532.04999999999995</v>
      </c>
      <c r="D1615" s="74">
        <f t="shared" si="51"/>
        <v>1.1454584406644112E-3</v>
      </c>
      <c r="E1615" s="74">
        <f t="shared" si="52"/>
        <v>-6.2766611985116483E-3</v>
      </c>
      <c r="F1615" s="75"/>
    </row>
    <row r="1616" spans="1:6" ht="14.25" customHeight="1" x14ac:dyDescent="0.3">
      <c r="A1616" s="73">
        <v>42922</v>
      </c>
      <c r="B1616" s="74">
        <v>31369.34</v>
      </c>
      <c r="C1616" s="74">
        <v>533.4</v>
      </c>
      <c r="D1616" s="74">
        <f t="shared" si="51"/>
        <v>3.9536966837324713E-3</v>
      </c>
      <c r="E1616" s="74">
        <f t="shared" si="52"/>
        <v>2.5341418601734279E-3</v>
      </c>
      <c r="F1616" s="75"/>
    </row>
    <row r="1617" spans="1:6" ht="14.25" customHeight="1" x14ac:dyDescent="0.3">
      <c r="A1617" s="73">
        <v>42923</v>
      </c>
      <c r="B1617" s="74">
        <v>31360.63</v>
      </c>
      <c r="C1617" s="74">
        <v>532.85</v>
      </c>
      <c r="D1617" s="74">
        <f t="shared" si="51"/>
        <v>-2.7769820568927697E-4</v>
      </c>
      <c r="E1617" s="74">
        <f t="shared" si="52"/>
        <v>-1.0316530809485959E-3</v>
      </c>
      <c r="F1617" s="75"/>
    </row>
    <row r="1618" spans="1:6" ht="14.25" customHeight="1" x14ac:dyDescent="0.3">
      <c r="A1618" s="73">
        <v>42926</v>
      </c>
      <c r="B1618" s="74">
        <v>31715.64</v>
      </c>
      <c r="C1618" s="74">
        <v>536.85</v>
      </c>
      <c r="D1618" s="74">
        <f t="shared" si="51"/>
        <v>1.1256650041799911E-2</v>
      </c>
      <c r="E1618" s="74">
        <f t="shared" si="52"/>
        <v>7.4787672131792901E-3</v>
      </c>
      <c r="F1618" s="75"/>
    </row>
    <row r="1619" spans="1:6" ht="14.25" customHeight="1" x14ac:dyDescent="0.3">
      <c r="A1619" s="73">
        <v>42927</v>
      </c>
      <c r="B1619" s="74">
        <v>31747.09</v>
      </c>
      <c r="C1619" s="74">
        <v>529.54999999999995</v>
      </c>
      <c r="D1619" s="74">
        <f t="shared" si="51"/>
        <v>9.9113298701658872E-4</v>
      </c>
      <c r="E1619" s="74">
        <f t="shared" si="52"/>
        <v>-1.3691136590466389E-2</v>
      </c>
      <c r="F1619" s="75"/>
    </row>
    <row r="1620" spans="1:6" ht="14.25" customHeight="1" x14ac:dyDescent="0.3">
      <c r="A1620" s="73">
        <v>42928</v>
      </c>
      <c r="B1620" s="74">
        <v>31804.82</v>
      </c>
      <c r="C1620" s="74">
        <v>530.45000000000005</v>
      </c>
      <c r="D1620" s="74">
        <f t="shared" si="51"/>
        <v>1.8167830322997158E-3</v>
      </c>
      <c r="E1620" s="74">
        <f t="shared" si="52"/>
        <v>1.6981136156023965E-3</v>
      </c>
      <c r="F1620" s="75"/>
    </row>
    <row r="1621" spans="1:6" ht="14.25" customHeight="1" x14ac:dyDescent="0.3">
      <c r="A1621" s="73">
        <v>42929</v>
      </c>
      <c r="B1621" s="74">
        <v>32037.38</v>
      </c>
      <c r="C1621" s="74">
        <v>534.6</v>
      </c>
      <c r="D1621" s="74">
        <f t="shared" si="51"/>
        <v>7.2854954453114374E-3</v>
      </c>
      <c r="E1621" s="74">
        <f t="shared" si="52"/>
        <v>7.7931007995379548E-3</v>
      </c>
      <c r="F1621" s="75"/>
    </row>
    <row r="1622" spans="1:6" ht="14.25" customHeight="1" x14ac:dyDescent="0.3">
      <c r="A1622" s="73">
        <v>42930</v>
      </c>
      <c r="B1622" s="74">
        <v>32020.75</v>
      </c>
      <c r="C1622" s="74">
        <v>533.6</v>
      </c>
      <c r="D1622" s="74">
        <f t="shared" si="51"/>
        <v>-5.1921591759240555E-4</v>
      </c>
      <c r="E1622" s="74">
        <f t="shared" si="52"/>
        <v>-1.8723091034046557E-3</v>
      </c>
      <c r="F1622" s="75"/>
    </row>
    <row r="1623" spans="1:6" ht="14.25" customHeight="1" x14ac:dyDescent="0.3">
      <c r="A1623" s="73">
        <v>42933</v>
      </c>
      <c r="B1623" s="74">
        <v>32074.78</v>
      </c>
      <c r="C1623" s="74">
        <v>532.5</v>
      </c>
      <c r="D1623" s="74">
        <f t="shared" si="51"/>
        <v>1.6859213988118132E-3</v>
      </c>
      <c r="E1623" s="74">
        <f t="shared" si="52"/>
        <v>-2.0635970178337895E-3</v>
      </c>
      <c r="F1623" s="75"/>
    </row>
    <row r="1624" spans="1:6" ht="14.25" customHeight="1" x14ac:dyDescent="0.3">
      <c r="A1624" s="73">
        <v>42934</v>
      </c>
      <c r="B1624" s="74">
        <v>31710.99</v>
      </c>
      <c r="C1624" s="74">
        <v>527.75</v>
      </c>
      <c r="D1624" s="74">
        <f t="shared" si="51"/>
        <v>-1.140674305567933E-2</v>
      </c>
      <c r="E1624" s="74">
        <f t="shared" si="52"/>
        <v>-8.9602108551501379E-3</v>
      </c>
      <c r="F1624" s="75"/>
    </row>
    <row r="1625" spans="1:6" ht="14.25" customHeight="1" x14ac:dyDescent="0.3">
      <c r="A1625" s="73">
        <v>42935</v>
      </c>
      <c r="B1625" s="74">
        <v>31955.35</v>
      </c>
      <c r="C1625" s="74">
        <v>532.04999999999995</v>
      </c>
      <c r="D1625" s="74">
        <f t="shared" si="51"/>
        <v>7.6763074466794125E-3</v>
      </c>
      <c r="E1625" s="74">
        <f t="shared" si="52"/>
        <v>8.1147831593103882E-3</v>
      </c>
      <c r="F1625" s="75"/>
    </row>
    <row r="1626" spans="1:6" ht="14.25" customHeight="1" x14ac:dyDescent="0.3">
      <c r="A1626" s="73">
        <v>42936</v>
      </c>
      <c r="B1626" s="74">
        <v>31904.400000000001</v>
      </c>
      <c r="C1626" s="74">
        <v>529.65</v>
      </c>
      <c r="D1626" s="74">
        <f t="shared" si="51"/>
        <v>-1.5956846311104217E-3</v>
      </c>
      <c r="E1626" s="74">
        <f t="shared" si="52"/>
        <v>-4.5210588452353718E-3</v>
      </c>
      <c r="F1626" s="75"/>
    </row>
    <row r="1627" spans="1:6" ht="14.25" customHeight="1" x14ac:dyDescent="0.3">
      <c r="A1627" s="73">
        <v>42937</v>
      </c>
      <c r="B1627" s="74">
        <v>32028.89</v>
      </c>
      <c r="C1627" s="74">
        <v>542.79999999999995</v>
      </c>
      <c r="D1627" s="74">
        <f t="shared" si="51"/>
        <v>3.8943766959695612E-3</v>
      </c>
      <c r="E1627" s="74">
        <f t="shared" si="52"/>
        <v>2.4524516918208897E-2</v>
      </c>
      <c r="F1627" s="75"/>
    </row>
    <row r="1628" spans="1:6" ht="14.25" customHeight="1" x14ac:dyDescent="0.3">
      <c r="A1628" s="73">
        <v>42940</v>
      </c>
      <c r="B1628" s="74">
        <v>32245.87</v>
      </c>
      <c r="C1628" s="74">
        <v>536.75</v>
      </c>
      <c r="D1628" s="74">
        <f t="shared" si="51"/>
        <v>6.7516650159968059E-3</v>
      </c>
      <c r="E1628" s="74">
        <f t="shared" si="52"/>
        <v>-1.1208491201823568E-2</v>
      </c>
      <c r="F1628" s="75"/>
    </row>
    <row r="1629" spans="1:6" ht="14.25" customHeight="1" x14ac:dyDescent="0.3">
      <c r="A1629" s="73">
        <v>42941</v>
      </c>
      <c r="B1629" s="74">
        <v>32228.27</v>
      </c>
      <c r="C1629" s="74">
        <v>536.20000000000005</v>
      </c>
      <c r="D1629" s="74">
        <f t="shared" si="51"/>
        <v>-5.4595533766446213E-4</v>
      </c>
      <c r="E1629" s="74">
        <f t="shared" si="52"/>
        <v>-1.0252109570313775E-3</v>
      </c>
      <c r="F1629" s="75"/>
    </row>
    <row r="1630" spans="1:6" ht="14.25" customHeight="1" x14ac:dyDescent="0.3">
      <c r="A1630" s="73">
        <v>42942</v>
      </c>
      <c r="B1630" s="74">
        <v>32382.46</v>
      </c>
      <c r="C1630" s="74">
        <v>537.15</v>
      </c>
      <c r="D1630" s="74">
        <f t="shared" si="51"/>
        <v>4.7729004984572252E-3</v>
      </c>
      <c r="E1630" s="74">
        <f t="shared" si="52"/>
        <v>1.7701593106922934E-3</v>
      </c>
      <c r="F1630" s="75"/>
    </row>
    <row r="1631" spans="1:6" ht="14.25" customHeight="1" x14ac:dyDescent="0.3">
      <c r="A1631" s="73">
        <v>42943</v>
      </c>
      <c r="B1631" s="74">
        <v>32383.3</v>
      </c>
      <c r="C1631" s="74">
        <v>527.29999999999995</v>
      </c>
      <c r="D1631" s="74">
        <f t="shared" si="51"/>
        <v>2.5939632300950751E-5</v>
      </c>
      <c r="E1631" s="74">
        <f t="shared" si="52"/>
        <v>-1.8507738576127308E-2</v>
      </c>
      <c r="F1631" s="75"/>
    </row>
    <row r="1632" spans="1:6" ht="14.25" customHeight="1" x14ac:dyDescent="0.3">
      <c r="A1632" s="73">
        <v>42944</v>
      </c>
      <c r="B1632" s="74">
        <v>32309.88</v>
      </c>
      <c r="C1632" s="74">
        <v>532.70000000000005</v>
      </c>
      <c r="D1632" s="74">
        <f t="shared" si="51"/>
        <v>-2.2697920096485498E-3</v>
      </c>
      <c r="E1632" s="74">
        <f t="shared" si="52"/>
        <v>1.0188767386529528E-2</v>
      </c>
      <c r="F1632" s="75"/>
    </row>
    <row r="1633" spans="1:6" ht="14.25" customHeight="1" x14ac:dyDescent="0.3">
      <c r="A1633" s="73">
        <v>42947</v>
      </c>
      <c r="B1633" s="74">
        <v>32514.94</v>
      </c>
      <c r="C1633" s="74">
        <v>543.20000000000005</v>
      </c>
      <c r="D1633" s="74">
        <f t="shared" si="51"/>
        <v>6.3266102081614818E-3</v>
      </c>
      <c r="E1633" s="74">
        <f t="shared" si="52"/>
        <v>1.9519162321532911E-2</v>
      </c>
      <c r="F1633" s="75"/>
    </row>
    <row r="1634" spans="1:6" ht="14.25" customHeight="1" x14ac:dyDescent="0.3">
      <c r="A1634" s="73">
        <v>42948</v>
      </c>
      <c r="B1634" s="74">
        <v>32575.17</v>
      </c>
      <c r="C1634" s="74">
        <v>539.25</v>
      </c>
      <c r="D1634" s="74">
        <f t="shared" si="51"/>
        <v>1.8506657060637297E-3</v>
      </c>
      <c r="E1634" s="74">
        <f t="shared" si="52"/>
        <v>-7.2982909752206965E-3</v>
      </c>
      <c r="F1634" s="75"/>
    </row>
    <row r="1635" spans="1:6" ht="14.25" customHeight="1" x14ac:dyDescent="0.3">
      <c r="A1635" s="73">
        <v>42949</v>
      </c>
      <c r="B1635" s="74">
        <v>32476.74</v>
      </c>
      <c r="C1635" s="74">
        <v>552.9</v>
      </c>
      <c r="D1635" s="74">
        <f t="shared" si="51"/>
        <v>-3.0262009253101069E-3</v>
      </c>
      <c r="E1635" s="74">
        <f t="shared" si="52"/>
        <v>2.4997868074621458E-2</v>
      </c>
      <c r="F1635" s="75"/>
    </row>
    <row r="1636" spans="1:6" ht="14.25" customHeight="1" x14ac:dyDescent="0.3">
      <c r="A1636" s="73">
        <v>42950</v>
      </c>
      <c r="B1636" s="74">
        <v>32237.88</v>
      </c>
      <c r="C1636" s="74">
        <v>557.54999999999995</v>
      </c>
      <c r="D1636" s="74">
        <f t="shared" si="51"/>
        <v>-7.3819821454665716E-3</v>
      </c>
      <c r="E1636" s="74">
        <f t="shared" si="52"/>
        <v>8.3750320674834591E-3</v>
      </c>
      <c r="F1636" s="75"/>
    </row>
    <row r="1637" spans="1:6" ht="14.25" customHeight="1" x14ac:dyDescent="0.3">
      <c r="A1637" s="73">
        <v>42951</v>
      </c>
      <c r="B1637" s="74">
        <v>32325.41</v>
      </c>
      <c r="C1637" s="74">
        <v>610.45000000000005</v>
      </c>
      <c r="D1637" s="74">
        <f t="shared" si="51"/>
        <v>2.7114496063136936E-3</v>
      </c>
      <c r="E1637" s="74">
        <f t="shared" si="52"/>
        <v>9.0644204703493714E-2</v>
      </c>
      <c r="F1637" s="75"/>
    </row>
    <row r="1638" spans="1:6" ht="14.25" customHeight="1" x14ac:dyDescent="0.3">
      <c r="A1638" s="73">
        <v>42954</v>
      </c>
      <c r="B1638" s="74">
        <v>32273.67</v>
      </c>
      <c r="C1638" s="74">
        <v>613.65</v>
      </c>
      <c r="D1638" s="74">
        <f t="shared" si="51"/>
        <v>-1.6018807408350888E-3</v>
      </c>
      <c r="E1638" s="74">
        <f t="shared" si="52"/>
        <v>5.2283429286527228E-3</v>
      </c>
      <c r="F1638" s="75"/>
    </row>
    <row r="1639" spans="1:6" ht="14.25" customHeight="1" x14ac:dyDescent="0.3">
      <c r="A1639" s="73">
        <v>42955</v>
      </c>
      <c r="B1639" s="74">
        <v>32014.19</v>
      </c>
      <c r="C1639" s="74">
        <v>609.45000000000005</v>
      </c>
      <c r="D1639" s="74">
        <f t="shared" si="51"/>
        <v>-8.0724855076360173E-3</v>
      </c>
      <c r="E1639" s="74">
        <f t="shared" si="52"/>
        <v>-6.8678219416717194E-3</v>
      </c>
      <c r="F1639" s="75"/>
    </row>
    <row r="1640" spans="1:6" ht="14.25" customHeight="1" x14ac:dyDescent="0.3">
      <c r="A1640" s="73">
        <v>42956</v>
      </c>
      <c r="B1640" s="74">
        <v>31797.84</v>
      </c>
      <c r="C1640" s="74">
        <v>618.9</v>
      </c>
      <c r="D1640" s="74">
        <f t="shared" si="51"/>
        <v>-6.780879059520027E-3</v>
      </c>
      <c r="E1640" s="74">
        <f t="shared" si="52"/>
        <v>1.5386797643470351E-2</v>
      </c>
      <c r="F1640" s="75"/>
    </row>
    <row r="1641" spans="1:6" ht="14.25" customHeight="1" x14ac:dyDescent="0.3">
      <c r="A1641" s="73">
        <v>42957</v>
      </c>
      <c r="B1641" s="74">
        <v>31531.33</v>
      </c>
      <c r="C1641" s="74">
        <v>609.54999999999995</v>
      </c>
      <c r="D1641" s="74">
        <f t="shared" si="51"/>
        <v>-8.4167082346797498E-3</v>
      </c>
      <c r="E1641" s="74">
        <f t="shared" si="52"/>
        <v>-1.5222728734160617E-2</v>
      </c>
      <c r="F1641" s="75"/>
    </row>
    <row r="1642" spans="1:6" ht="14.25" customHeight="1" x14ac:dyDescent="0.3">
      <c r="A1642" s="73">
        <v>42958</v>
      </c>
      <c r="B1642" s="74">
        <v>31213.59</v>
      </c>
      <c r="C1642" s="74">
        <v>607.35</v>
      </c>
      <c r="D1642" s="74">
        <f t="shared" si="51"/>
        <v>-1.0128077813750682E-2</v>
      </c>
      <c r="E1642" s="74">
        <f t="shared" si="52"/>
        <v>-3.6157488648752649E-3</v>
      </c>
      <c r="F1642" s="75"/>
    </row>
    <row r="1643" spans="1:6" ht="14.25" customHeight="1" x14ac:dyDescent="0.3">
      <c r="A1643" s="73">
        <v>42961</v>
      </c>
      <c r="B1643" s="74">
        <v>31449.03</v>
      </c>
      <c r="C1643" s="74">
        <v>630.35</v>
      </c>
      <c r="D1643" s="74">
        <f t="shared" si="51"/>
        <v>7.5145631610697835E-3</v>
      </c>
      <c r="E1643" s="74">
        <f t="shared" si="52"/>
        <v>3.7169989530998565E-2</v>
      </c>
      <c r="F1643" s="75"/>
    </row>
    <row r="1644" spans="1:6" ht="14.25" customHeight="1" x14ac:dyDescent="0.3">
      <c r="A1644" s="73">
        <v>42963</v>
      </c>
      <c r="B1644" s="74">
        <v>31770.89</v>
      </c>
      <c r="C1644" s="74">
        <v>626.04999999999995</v>
      </c>
      <c r="D1644" s="74">
        <f t="shared" si="51"/>
        <v>1.0182321675094587E-2</v>
      </c>
      <c r="E1644" s="74">
        <f t="shared" si="52"/>
        <v>-6.8449805623217617E-3</v>
      </c>
      <c r="F1644" s="75"/>
    </row>
    <row r="1645" spans="1:6" ht="14.25" customHeight="1" x14ac:dyDescent="0.3">
      <c r="A1645" s="73">
        <v>42964</v>
      </c>
      <c r="B1645" s="74">
        <v>31795.46</v>
      </c>
      <c r="C1645" s="74">
        <v>620.95000000000005</v>
      </c>
      <c r="D1645" s="74">
        <f t="shared" si="51"/>
        <v>7.7305055972544802E-4</v>
      </c>
      <c r="E1645" s="74">
        <f t="shared" si="52"/>
        <v>-8.1796767209149964E-3</v>
      </c>
      <c r="F1645" s="75"/>
    </row>
    <row r="1646" spans="1:6" ht="14.25" customHeight="1" x14ac:dyDescent="0.3">
      <c r="A1646" s="73">
        <v>42965</v>
      </c>
      <c r="B1646" s="74">
        <v>31524.68</v>
      </c>
      <c r="C1646" s="74">
        <v>624.9</v>
      </c>
      <c r="D1646" s="74">
        <f t="shared" si="51"/>
        <v>-8.5527811729165931E-3</v>
      </c>
      <c r="E1646" s="74">
        <f t="shared" si="52"/>
        <v>6.341073540994278E-3</v>
      </c>
      <c r="F1646" s="75"/>
    </row>
    <row r="1647" spans="1:6" ht="14.25" customHeight="1" x14ac:dyDescent="0.3">
      <c r="A1647" s="73">
        <v>42968</v>
      </c>
      <c r="B1647" s="74">
        <v>31258.85</v>
      </c>
      <c r="C1647" s="74">
        <v>614.65</v>
      </c>
      <c r="D1647" s="74">
        <f t="shared" si="51"/>
        <v>-8.4681950365367107E-3</v>
      </c>
      <c r="E1647" s="74">
        <f t="shared" si="52"/>
        <v>-1.6538636821685927E-2</v>
      </c>
      <c r="F1647" s="75"/>
    </row>
    <row r="1648" spans="1:6" ht="14.25" customHeight="1" x14ac:dyDescent="0.3">
      <c r="A1648" s="73">
        <v>42969</v>
      </c>
      <c r="B1648" s="74">
        <v>31291.85</v>
      </c>
      <c r="C1648" s="74">
        <v>615.5</v>
      </c>
      <c r="D1648" s="74">
        <f t="shared" si="51"/>
        <v>1.0551441650261922E-3</v>
      </c>
      <c r="E1648" s="74">
        <f t="shared" si="52"/>
        <v>1.3819455111581346E-3</v>
      </c>
      <c r="F1648" s="75"/>
    </row>
    <row r="1649" spans="1:6" ht="14.25" customHeight="1" x14ac:dyDescent="0.3">
      <c r="A1649" s="73">
        <v>42970</v>
      </c>
      <c r="B1649" s="74">
        <v>31568.01</v>
      </c>
      <c r="C1649" s="74">
        <v>608.04999999999995</v>
      </c>
      <c r="D1649" s="74">
        <f t="shared" si="51"/>
        <v>8.7865858028056253E-3</v>
      </c>
      <c r="E1649" s="74">
        <f t="shared" si="52"/>
        <v>-1.2177830197499779E-2</v>
      </c>
      <c r="F1649" s="75"/>
    </row>
    <row r="1650" spans="1:6" ht="14.25" customHeight="1" x14ac:dyDescent="0.3">
      <c r="A1650" s="73">
        <v>42971</v>
      </c>
      <c r="B1650" s="74">
        <v>31596.06</v>
      </c>
      <c r="C1650" s="74">
        <v>607.35</v>
      </c>
      <c r="D1650" s="74">
        <f t="shared" si="51"/>
        <v>8.8816321823157428E-4</v>
      </c>
      <c r="E1650" s="74">
        <f t="shared" si="52"/>
        <v>-1.151884280728662E-3</v>
      </c>
      <c r="F1650" s="75"/>
    </row>
    <row r="1651" spans="1:6" ht="14.25" customHeight="1" x14ac:dyDescent="0.3">
      <c r="A1651" s="73">
        <v>42975</v>
      </c>
      <c r="B1651" s="74">
        <v>31750.82</v>
      </c>
      <c r="C1651" s="74">
        <v>612.5</v>
      </c>
      <c r="D1651" s="74">
        <f t="shared" si="51"/>
        <v>4.8861225019254228E-3</v>
      </c>
      <c r="E1651" s="74">
        <f t="shared" si="52"/>
        <v>8.4437112726022407E-3</v>
      </c>
      <c r="F1651" s="75"/>
    </row>
    <row r="1652" spans="1:6" ht="14.25" customHeight="1" x14ac:dyDescent="0.3">
      <c r="A1652" s="73">
        <v>42976</v>
      </c>
      <c r="B1652" s="74">
        <v>31388.39</v>
      </c>
      <c r="C1652" s="74">
        <v>601.70000000000005</v>
      </c>
      <c r="D1652" s="74">
        <f t="shared" si="51"/>
        <v>-1.1480472458190227E-2</v>
      </c>
      <c r="E1652" s="74">
        <f t="shared" si="52"/>
        <v>-1.7789960192575907E-2</v>
      </c>
      <c r="F1652" s="75"/>
    </row>
    <row r="1653" spans="1:6" ht="14.25" customHeight="1" x14ac:dyDescent="0.3">
      <c r="A1653" s="73">
        <v>42977</v>
      </c>
      <c r="B1653" s="74">
        <v>31646.46</v>
      </c>
      <c r="C1653" s="74">
        <v>611.04999999999995</v>
      </c>
      <c r="D1653" s="74">
        <f t="shared" si="51"/>
        <v>8.1882146748021318E-3</v>
      </c>
      <c r="E1653" s="74">
        <f t="shared" si="52"/>
        <v>1.541980665770341E-2</v>
      </c>
      <c r="F1653" s="75"/>
    </row>
    <row r="1654" spans="1:6" ht="14.25" customHeight="1" x14ac:dyDescent="0.3">
      <c r="A1654" s="73">
        <v>42978</v>
      </c>
      <c r="B1654" s="74">
        <v>31730.49</v>
      </c>
      <c r="C1654" s="74">
        <v>616.6</v>
      </c>
      <c r="D1654" s="74">
        <f t="shared" si="51"/>
        <v>2.6517542810180652E-3</v>
      </c>
      <c r="E1654" s="74">
        <f t="shared" si="52"/>
        <v>9.0417265680405381E-3</v>
      </c>
      <c r="F1654" s="75"/>
    </row>
    <row r="1655" spans="1:6" ht="14.25" customHeight="1" x14ac:dyDescent="0.3">
      <c r="A1655" s="73">
        <v>42979</v>
      </c>
      <c r="B1655" s="74">
        <v>31892.23</v>
      </c>
      <c r="C1655" s="74">
        <v>613.04999999999995</v>
      </c>
      <c r="D1655" s="74">
        <f t="shared" si="51"/>
        <v>5.0843581797249526E-3</v>
      </c>
      <c r="E1655" s="74">
        <f t="shared" si="52"/>
        <v>-5.7740167736541155E-3</v>
      </c>
      <c r="F1655" s="75"/>
    </row>
    <row r="1656" spans="1:6" ht="14.25" customHeight="1" x14ac:dyDescent="0.3">
      <c r="A1656" s="73">
        <v>42982</v>
      </c>
      <c r="B1656" s="74">
        <v>31702.25</v>
      </c>
      <c r="C1656" s="74">
        <v>613.1</v>
      </c>
      <c r="D1656" s="74">
        <f t="shared" si="51"/>
        <v>-5.9747501718008739E-3</v>
      </c>
      <c r="E1656" s="74">
        <f t="shared" si="52"/>
        <v>8.15560902462642E-5</v>
      </c>
      <c r="F1656" s="75"/>
    </row>
    <row r="1657" spans="1:6" ht="14.25" customHeight="1" x14ac:dyDescent="0.3">
      <c r="A1657" s="73">
        <v>42983</v>
      </c>
      <c r="B1657" s="74">
        <v>31809.55</v>
      </c>
      <c r="C1657" s="74">
        <v>639.65</v>
      </c>
      <c r="D1657" s="74">
        <f t="shared" si="51"/>
        <v>3.3789028837743745E-3</v>
      </c>
      <c r="E1657" s="74">
        <f t="shared" si="52"/>
        <v>4.2393096994401573E-2</v>
      </c>
      <c r="F1657" s="75"/>
    </row>
    <row r="1658" spans="1:6" ht="14.25" customHeight="1" x14ac:dyDescent="0.3">
      <c r="A1658" s="73">
        <v>42984</v>
      </c>
      <c r="B1658" s="74">
        <v>31661.97</v>
      </c>
      <c r="C1658" s="74">
        <v>640.45000000000005</v>
      </c>
      <c r="D1658" s="74">
        <f t="shared" si="51"/>
        <v>-4.650283023094056E-3</v>
      </c>
      <c r="E1658" s="74">
        <f t="shared" si="52"/>
        <v>1.2499025141012652E-3</v>
      </c>
      <c r="F1658" s="75"/>
    </row>
    <row r="1659" spans="1:6" ht="14.25" customHeight="1" x14ac:dyDescent="0.3">
      <c r="A1659" s="73">
        <v>42985</v>
      </c>
      <c r="B1659" s="74">
        <v>31662.74</v>
      </c>
      <c r="C1659" s="74">
        <v>637.4</v>
      </c>
      <c r="D1659" s="74">
        <f t="shared" si="51"/>
        <v>2.4319100712494776E-5</v>
      </c>
      <c r="E1659" s="74">
        <f t="shared" si="52"/>
        <v>-4.7736522939091442E-3</v>
      </c>
      <c r="F1659" s="75"/>
    </row>
    <row r="1660" spans="1:6" ht="14.25" customHeight="1" x14ac:dyDescent="0.3">
      <c r="A1660" s="73">
        <v>42986</v>
      </c>
      <c r="B1660" s="74">
        <v>31687.52</v>
      </c>
      <c r="C1660" s="74">
        <v>632.1</v>
      </c>
      <c r="D1660" s="74">
        <f t="shared" si="51"/>
        <v>7.8231727111518112E-4</v>
      </c>
      <c r="E1660" s="74">
        <f t="shared" si="52"/>
        <v>-8.3497925049828975E-3</v>
      </c>
      <c r="F1660" s="75"/>
    </row>
    <row r="1661" spans="1:6" ht="14.25" customHeight="1" x14ac:dyDescent="0.3">
      <c r="A1661" s="73">
        <v>42989</v>
      </c>
      <c r="B1661" s="74">
        <v>31882.16</v>
      </c>
      <c r="C1661" s="74">
        <v>632.9</v>
      </c>
      <c r="D1661" s="74">
        <f t="shared" si="51"/>
        <v>6.1236931896913784E-3</v>
      </c>
      <c r="E1661" s="74">
        <f t="shared" si="52"/>
        <v>1.2648223030065657E-3</v>
      </c>
      <c r="F1661" s="75"/>
    </row>
    <row r="1662" spans="1:6" ht="14.25" customHeight="1" x14ac:dyDescent="0.3">
      <c r="A1662" s="73">
        <v>42990</v>
      </c>
      <c r="B1662" s="74">
        <v>32158.66</v>
      </c>
      <c r="C1662" s="74">
        <v>637.04999999999995</v>
      </c>
      <c r="D1662" s="74">
        <f t="shared" si="51"/>
        <v>8.6351710714171227E-3</v>
      </c>
      <c r="E1662" s="74">
        <f t="shared" si="52"/>
        <v>6.5357136461302113E-3</v>
      </c>
      <c r="F1662" s="75"/>
    </row>
    <row r="1663" spans="1:6" ht="14.25" customHeight="1" x14ac:dyDescent="0.3">
      <c r="A1663" s="73">
        <v>42991</v>
      </c>
      <c r="B1663" s="74">
        <v>32186.41</v>
      </c>
      <c r="C1663" s="74">
        <v>630.5</v>
      </c>
      <c r="D1663" s="74">
        <f t="shared" si="51"/>
        <v>8.6253699686482193E-4</v>
      </c>
      <c r="E1663" s="74">
        <f t="shared" si="52"/>
        <v>-1.0334990022415565E-2</v>
      </c>
      <c r="F1663" s="75"/>
    </row>
    <row r="1664" spans="1:6" ht="14.25" customHeight="1" x14ac:dyDescent="0.3">
      <c r="A1664" s="73">
        <v>42992</v>
      </c>
      <c r="B1664" s="74">
        <v>32241.93</v>
      </c>
      <c r="C1664" s="74">
        <v>633.75</v>
      </c>
      <c r="D1664" s="74">
        <f t="shared" si="51"/>
        <v>1.7234655973673648E-3</v>
      </c>
      <c r="E1664" s="74">
        <f t="shared" si="52"/>
        <v>5.1413995004186523E-3</v>
      </c>
      <c r="F1664" s="75"/>
    </row>
    <row r="1665" spans="1:6" ht="14.25" customHeight="1" x14ac:dyDescent="0.3">
      <c r="A1665" s="73">
        <v>42993</v>
      </c>
      <c r="B1665" s="74">
        <v>32272.61</v>
      </c>
      <c r="C1665" s="74">
        <v>631.85</v>
      </c>
      <c r="D1665" s="74">
        <f t="shared" si="51"/>
        <v>9.5110349737456776E-4</v>
      </c>
      <c r="E1665" s="74">
        <f t="shared" si="52"/>
        <v>-3.0025307007031086E-3</v>
      </c>
      <c r="F1665" s="75"/>
    </row>
    <row r="1666" spans="1:6" ht="14.25" customHeight="1" x14ac:dyDescent="0.3">
      <c r="A1666" s="73">
        <v>42996</v>
      </c>
      <c r="B1666" s="74">
        <v>32423.759999999998</v>
      </c>
      <c r="C1666" s="74">
        <v>645.70000000000005</v>
      </c>
      <c r="D1666" s="74">
        <f t="shared" si="51"/>
        <v>4.6726045064865024E-3</v>
      </c>
      <c r="E1666" s="74">
        <f t="shared" si="52"/>
        <v>2.1682975427731625E-2</v>
      </c>
      <c r="F1666" s="75"/>
    </row>
    <row r="1667" spans="1:6" ht="14.25" customHeight="1" x14ac:dyDescent="0.3">
      <c r="A1667" s="73">
        <v>42997</v>
      </c>
      <c r="B1667" s="74">
        <v>32402.37</v>
      </c>
      <c r="C1667" s="74">
        <v>640.1</v>
      </c>
      <c r="D1667" s="74">
        <f t="shared" si="51"/>
        <v>-6.5991910287618828E-4</v>
      </c>
      <c r="E1667" s="74">
        <f t="shared" si="52"/>
        <v>-8.7105854844635976E-3</v>
      </c>
      <c r="F1667" s="75"/>
    </row>
    <row r="1668" spans="1:6" ht="14.25" customHeight="1" x14ac:dyDescent="0.3">
      <c r="A1668" s="73">
        <v>42998</v>
      </c>
      <c r="B1668" s="74">
        <v>32400.51</v>
      </c>
      <c r="C1668" s="74">
        <v>630.45000000000005</v>
      </c>
      <c r="D1668" s="74">
        <f t="shared" ref="D1668:D1731" si="53">LN(B1668/B1667)</f>
        <v>-5.740485609625554E-5</v>
      </c>
      <c r="E1668" s="74">
        <f t="shared" ref="E1668:E1731" si="54">LN(C1668/C1667)</f>
        <v>-1.5190564028722292E-2</v>
      </c>
      <c r="F1668" s="75"/>
    </row>
    <row r="1669" spans="1:6" ht="14.25" customHeight="1" x14ac:dyDescent="0.3">
      <c r="A1669" s="73">
        <v>42999</v>
      </c>
      <c r="B1669" s="74">
        <v>32370.04</v>
      </c>
      <c r="C1669" s="74">
        <v>618.6</v>
      </c>
      <c r="D1669" s="74">
        <f t="shared" si="53"/>
        <v>-9.4085976567166848E-4</v>
      </c>
      <c r="E1669" s="74">
        <f t="shared" si="54"/>
        <v>-1.8974989868266158E-2</v>
      </c>
      <c r="F1669" s="75"/>
    </row>
    <row r="1670" spans="1:6" ht="14.25" customHeight="1" x14ac:dyDescent="0.3">
      <c r="A1670" s="73">
        <v>43000</v>
      </c>
      <c r="B1670" s="74">
        <v>31922.44</v>
      </c>
      <c r="C1670" s="74">
        <v>601.85</v>
      </c>
      <c r="D1670" s="74">
        <f t="shared" si="53"/>
        <v>-1.3924092886575935E-2</v>
      </c>
      <c r="E1670" s="74">
        <f t="shared" si="54"/>
        <v>-2.7450615425225474E-2</v>
      </c>
      <c r="F1670" s="75"/>
    </row>
    <row r="1671" spans="1:6" ht="14.25" customHeight="1" x14ac:dyDescent="0.3">
      <c r="A1671" s="73">
        <v>43003</v>
      </c>
      <c r="B1671" s="74">
        <v>31626.63</v>
      </c>
      <c r="C1671" s="74">
        <v>602.5</v>
      </c>
      <c r="D1671" s="74">
        <f t="shared" si="53"/>
        <v>-9.3097235414496583E-3</v>
      </c>
      <c r="E1671" s="74">
        <f t="shared" si="54"/>
        <v>1.0794205390662122E-3</v>
      </c>
      <c r="F1671" s="75"/>
    </row>
    <row r="1672" spans="1:6" ht="14.25" customHeight="1" x14ac:dyDescent="0.3">
      <c r="A1672" s="73">
        <v>43004</v>
      </c>
      <c r="B1672" s="74">
        <v>31599.759999999998</v>
      </c>
      <c r="C1672" s="74">
        <v>591.54999999999995</v>
      </c>
      <c r="D1672" s="74">
        <f t="shared" si="53"/>
        <v>-8.499615941271909E-4</v>
      </c>
      <c r="E1672" s="74">
        <f t="shared" si="54"/>
        <v>-1.8341454665138333E-2</v>
      </c>
      <c r="F1672" s="75"/>
    </row>
    <row r="1673" spans="1:6" ht="14.25" customHeight="1" x14ac:dyDescent="0.3">
      <c r="A1673" s="73">
        <v>43005</v>
      </c>
      <c r="B1673" s="74">
        <v>31159.81</v>
      </c>
      <c r="C1673" s="74">
        <v>587.1</v>
      </c>
      <c r="D1673" s="74">
        <f t="shared" si="53"/>
        <v>-1.4020402204334077E-2</v>
      </c>
      <c r="E1673" s="74">
        <f t="shared" si="54"/>
        <v>-7.5510476295314478E-3</v>
      </c>
      <c r="F1673" s="75"/>
    </row>
    <row r="1674" spans="1:6" ht="14.25" customHeight="1" x14ac:dyDescent="0.3">
      <c r="A1674" s="73">
        <v>43006</v>
      </c>
      <c r="B1674" s="74">
        <v>31282.48</v>
      </c>
      <c r="C1674" s="74">
        <v>575.6</v>
      </c>
      <c r="D1674" s="74">
        <f t="shared" si="53"/>
        <v>3.9290729987953429E-3</v>
      </c>
      <c r="E1674" s="74">
        <f t="shared" si="54"/>
        <v>-1.9782188056927524E-2</v>
      </c>
      <c r="F1674" s="75"/>
    </row>
    <row r="1675" spans="1:6" ht="14.25" customHeight="1" x14ac:dyDescent="0.3">
      <c r="A1675" s="73">
        <v>43007</v>
      </c>
      <c r="B1675" s="74">
        <v>31283.72</v>
      </c>
      <c r="C1675" s="74">
        <v>582.70000000000005</v>
      </c>
      <c r="D1675" s="74">
        <f t="shared" si="53"/>
        <v>3.963801541924924E-5</v>
      </c>
      <c r="E1675" s="74">
        <f t="shared" si="54"/>
        <v>1.2259499135815775E-2</v>
      </c>
      <c r="F1675" s="75"/>
    </row>
    <row r="1676" spans="1:6" ht="14.25" customHeight="1" x14ac:dyDescent="0.3">
      <c r="A1676" s="73">
        <v>43011</v>
      </c>
      <c r="B1676" s="74">
        <v>31497.38</v>
      </c>
      <c r="C1676" s="74">
        <v>599.5</v>
      </c>
      <c r="D1676" s="74">
        <f t="shared" si="53"/>
        <v>6.8065333320172245E-3</v>
      </c>
      <c r="E1676" s="74">
        <f t="shared" si="54"/>
        <v>2.8423500318540375E-2</v>
      </c>
      <c r="F1676" s="75"/>
    </row>
    <row r="1677" spans="1:6" ht="14.25" customHeight="1" x14ac:dyDescent="0.3">
      <c r="A1677" s="73">
        <v>43012</v>
      </c>
      <c r="B1677" s="74">
        <v>31671.71</v>
      </c>
      <c r="C1677" s="74">
        <v>600.79999999999995</v>
      </c>
      <c r="D1677" s="74">
        <f t="shared" si="53"/>
        <v>5.5194856400817248E-3</v>
      </c>
      <c r="E1677" s="74">
        <f t="shared" si="54"/>
        <v>2.1661259823559883E-3</v>
      </c>
      <c r="F1677" s="75"/>
    </row>
    <row r="1678" spans="1:6" ht="14.25" customHeight="1" x14ac:dyDescent="0.3">
      <c r="A1678" s="73">
        <v>43013</v>
      </c>
      <c r="B1678" s="74">
        <v>31592.03</v>
      </c>
      <c r="C1678" s="74">
        <v>595.75</v>
      </c>
      <c r="D1678" s="74">
        <f t="shared" si="53"/>
        <v>-2.5189798179026E-3</v>
      </c>
      <c r="E1678" s="74">
        <f t="shared" si="54"/>
        <v>-8.4409844710733994E-3</v>
      </c>
      <c r="F1678" s="75"/>
    </row>
    <row r="1679" spans="1:6" ht="14.25" customHeight="1" x14ac:dyDescent="0.3">
      <c r="A1679" s="73">
        <v>43014</v>
      </c>
      <c r="B1679" s="74">
        <v>31814.22</v>
      </c>
      <c r="C1679" s="74">
        <v>597</v>
      </c>
      <c r="D1679" s="74">
        <f t="shared" si="53"/>
        <v>7.0084860554343867E-3</v>
      </c>
      <c r="E1679" s="74">
        <f t="shared" si="54"/>
        <v>2.0959974137504853E-3</v>
      </c>
      <c r="F1679" s="75"/>
    </row>
    <row r="1680" spans="1:6" ht="14.25" customHeight="1" x14ac:dyDescent="0.3">
      <c r="A1680" s="73">
        <v>43017</v>
      </c>
      <c r="B1680" s="74">
        <v>31846.89</v>
      </c>
      <c r="C1680" s="74">
        <v>617.75</v>
      </c>
      <c r="D1680" s="74">
        <f t="shared" si="53"/>
        <v>1.0263723918100881E-3</v>
      </c>
      <c r="E1680" s="74">
        <f t="shared" si="54"/>
        <v>3.4166731476117346E-2</v>
      </c>
      <c r="F1680" s="75"/>
    </row>
    <row r="1681" spans="1:6" ht="14.25" customHeight="1" x14ac:dyDescent="0.3">
      <c r="A1681" s="73">
        <v>43018</v>
      </c>
      <c r="B1681" s="74">
        <v>31924.41</v>
      </c>
      <c r="C1681" s="74">
        <v>615.5</v>
      </c>
      <c r="D1681" s="74">
        <f t="shared" si="53"/>
        <v>2.4311888947844995E-3</v>
      </c>
      <c r="E1681" s="74">
        <f t="shared" si="54"/>
        <v>-3.6488992442112217E-3</v>
      </c>
      <c r="F1681" s="75"/>
    </row>
    <row r="1682" spans="1:6" ht="14.25" customHeight="1" x14ac:dyDescent="0.3">
      <c r="A1682" s="73">
        <v>43019</v>
      </c>
      <c r="B1682" s="74">
        <v>31833.99</v>
      </c>
      <c r="C1682" s="74">
        <v>611.85</v>
      </c>
      <c r="D1682" s="74">
        <f t="shared" si="53"/>
        <v>-2.8363340553555177E-3</v>
      </c>
      <c r="E1682" s="74">
        <f t="shared" si="54"/>
        <v>-5.947791192830996E-3</v>
      </c>
      <c r="F1682" s="75"/>
    </row>
    <row r="1683" spans="1:6" ht="14.25" customHeight="1" x14ac:dyDescent="0.3">
      <c r="A1683" s="73">
        <v>43020</v>
      </c>
      <c r="B1683" s="74">
        <v>32182.22</v>
      </c>
      <c r="C1683" s="74">
        <v>623.54999999999995</v>
      </c>
      <c r="D1683" s="74">
        <f t="shared" si="53"/>
        <v>1.087953925509602E-2</v>
      </c>
      <c r="E1683" s="74">
        <f t="shared" si="54"/>
        <v>1.8941799935078801E-2</v>
      </c>
      <c r="F1683" s="75"/>
    </row>
    <row r="1684" spans="1:6" ht="14.25" customHeight="1" x14ac:dyDescent="0.3">
      <c r="A1684" s="73">
        <v>43021</v>
      </c>
      <c r="B1684" s="74">
        <v>32432.69</v>
      </c>
      <c r="C1684" s="74">
        <v>625.4</v>
      </c>
      <c r="D1684" s="74">
        <f t="shared" si="53"/>
        <v>7.7527386338367933E-3</v>
      </c>
      <c r="E1684" s="74">
        <f t="shared" si="54"/>
        <v>2.9624906569847968E-3</v>
      </c>
      <c r="F1684" s="75"/>
    </row>
    <row r="1685" spans="1:6" ht="14.25" customHeight="1" x14ac:dyDescent="0.3">
      <c r="A1685" s="73">
        <v>43024</v>
      </c>
      <c r="B1685" s="74">
        <v>32633.64</v>
      </c>
      <c r="C1685" s="74">
        <v>626.95000000000005</v>
      </c>
      <c r="D1685" s="74">
        <f t="shared" si="53"/>
        <v>6.1767934014300228E-3</v>
      </c>
      <c r="E1685" s="74">
        <f t="shared" si="54"/>
        <v>2.4753476128059719E-3</v>
      </c>
      <c r="F1685" s="75"/>
    </row>
    <row r="1686" spans="1:6" ht="14.25" customHeight="1" x14ac:dyDescent="0.3">
      <c r="A1686" s="73">
        <v>43025</v>
      </c>
      <c r="B1686" s="74">
        <v>32609.16</v>
      </c>
      <c r="C1686" s="74">
        <v>625.4</v>
      </c>
      <c r="D1686" s="74">
        <f t="shared" si="53"/>
        <v>-7.5042766861040729E-4</v>
      </c>
      <c r="E1686" s="74">
        <f t="shared" si="54"/>
        <v>-2.4753476128059893E-3</v>
      </c>
      <c r="F1686" s="75"/>
    </row>
    <row r="1687" spans="1:6" ht="14.25" customHeight="1" x14ac:dyDescent="0.3">
      <c r="A1687" s="73">
        <v>43026</v>
      </c>
      <c r="B1687" s="74">
        <v>32584.35</v>
      </c>
      <c r="C1687" s="74">
        <v>613.25</v>
      </c>
      <c r="D1687" s="74">
        <f t="shared" si="53"/>
        <v>-7.6111874319103939E-4</v>
      </c>
      <c r="E1687" s="74">
        <f t="shared" si="54"/>
        <v>-1.9618761885142225E-2</v>
      </c>
      <c r="F1687" s="75"/>
    </row>
    <row r="1688" spans="1:6" ht="14.25" customHeight="1" x14ac:dyDescent="0.3">
      <c r="A1688" s="73">
        <v>43027</v>
      </c>
      <c r="B1688" s="74">
        <v>32389.96</v>
      </c>
      <c r="C1688" s="74">
        <v>607.04999999999995</v>
      </c>
      <c r="D1688" s="74">
        <f t="shared" si="53"/>
        <v>-5.9836135232105058E-3</v>
      </c>
      <c r="E1688" s="74">
        <f t="shared" si="54"/>
        <v>-1.0161523148614486E-2</v>
      </c>
      <c r="F1688" s="75"/>
    </row>
    <row r="1689" spans="1:6" ht="14.25" customHeight="1" x14ac:dyDescent="0.3">
      <c r="A1689" s="73">
        <v>43031</v>
      </c>
      <c r="B1689" s="74">
        <v>32506.720000000001</v>
      </c>
      <c r="C1689" s="74">
        <v>604.04999999999995</v>
      </c>
      <c r="D1689" s="74">
        <f t="shared" si="53"/>
        <v>3.5983389592329374E-3</v>
      </c>
      <c r="E1689" s="74">
        <f t="shared" si="54"/>
        <v>-4.9541840244113839E-3</v>
      </c>
      <c r="F1689" s="75"/>
    </row>
    <row r="1690" spans="1:6" ht="14.25" customHeight="1" x14ac:dyDescent="0.3">
      <c r="A1690" s="73">
        <v>43032</v>
      </c>
      <c r="B1690" s="74">
        <v>32607.34</v>
      </c>
      <c r="C1690" s="74">
        <v>606.04999999999995</v>
      </c>
      <c r="D1690" s="74">
        <f t="shared" si="53"/>
        <v>3.0905792110281155E-3</v>
      </c>
      <c r="E1690" s="74">
        <f t="shared" si="54"/>
        <v>3.3055149509481586E-3</v>
      </c>
      <c r="F1690" s="75"/>
    </row>
    <row r="1691" spans="1:6" ht="14.25" customHeight="1" x14ac:dyDescent="0.3">
      <c r="A1691" s="73">
        <v>43033</v>
      </c>
      <c r="B1691" s="74">
        <v>33042.5</v>
      </c>
      <c r="C1691" s="74">
        <v>590.65</v>
      </c>
      <c r="D1691" s="74">
        <f t="shared" si="53"/>
        <v>1.3257195246146488E-2</v>
      </c>
      <c r="E1691" s="74">
        <f t="shared" si="54"/>
        <v>-2.5738865521991998E-2</v>
      </c>
      <c r="F1691" s="75"/>
    </row>
    <row r="1692" spans="1:6" ht="14.25" customHeight="1" x14ac:dyDescent="0.3">
      <c r="A1692" s="73">
        <v>43034</v>
      </c>
      <c r="B1692" s="74">
        <v>33147.129999999997</v>
      </c>
      <c r="C1692" s="74">
        <v>585.65</v>
      </c>
      <c r="D1692" s="74">
        <f t="shared" si="53"/>
        <v>3.1615250651847774E-3</v>
      </c>
      <c r="E1692" s="74">
        <f t="shared" si="54"/>
        <v>-8.5012838786453267E-3</v>
      </c>
      <c r="F1692" s="75"/>
    </row>
    <row r="1693" spans="1:6" ht="14.25" customHeight="1" x14ac:dyDescent="0.3">
      <c r="A1693" s="73">
        <v>43035</v>
      </c>
      <c r="B1693" s="74">
        <v>33157.22</v>
      </c>
      <c r="C1693" s="74">
        <v>589.95000000000005</v>
      </c>
      <c r="D1693" s="74">
        <f t="shared" si="53"/>
        <v>3.0435409073135218E-4</v>
      </c>
      <c r="E1693" s="74">
        <f t="shared" si="54"/>
        <v>7.3154460300447772E-3</v>
      </c>
      <c r="F1693" s="75"/>
    </row>
    <row r="1694" spans="1:6" ht="14.25" customHeight="1" x14ac:dyDescent="0.3">
      <c r="A1694" s="73">
        <v>43038</v>
      </c>
      <c r="B1694" s="74">
        <v>33266.160000000003</v>
      </c>
      <c r="C1694" s="74">
        <v>617.5</v>
      </c>
      <c r="D1694" s="74">
        <f t="shared" si="53"/>
        <v>3.2801732666614281E-3</v>
      </c>
      <c r="E1694" s="74">
        <f t="shared" si="54"/>
        <v>4.5641280956204018E-2</v>
      </c>
      <c r="F1694" s="75"/>
    </row>
    <row r="1695" spans="1:6" ht="14.25" customHeight="1" x14ac:dyDescent="0.3">
      <c r="A1695" s="73">
        <v>43039</v>
      </c>
      <c r="B1695" s="74">
        <v>33213.129999999997</v>
      </c>
      <c r="C1695" s="74">
        <v>634.29999999999995</v>
      </c>
      <c r="D1695" s="74">
        <f t="shared" si="53"/>
        <v>-1.5953844046136477E-3</v>
      </c>
      <c r="E1695" s="74">
        <f t="shared" si="54"/>
        <v>2.6842960137719061E-2</v>
      </c>
      <c r="F1695" s="75"/>
    </row>
    <row r="1696" spans="1:6" ht="14.25" customHeight="1" x14ac:dyDescent="0.3">
      <c r="A1696" s="73">
        <v>43040</v>
      </c>
      <c r="B1696" s="74">
        <v>33600.269999999997</v>
      </c>
      <c r="C1696" s="74">
        <v>635.70000000000005</v>
      </c>
      <c r="D1696" s="74">
        <f t="shared" si="53"/>
        <v>1.1588822983369463E-2</v>
      </c>
      <c r="E1696" s="74">
        <f t="shared" si="54"/>
        <v>2.2047253025116792E-3</v>
      </c>
      <c r="F1696" s="75"/>
    </row>
    <row r="1697" spans="1:6" ht="14.25" customHeight="1" x14ac:dyDescent="0.3">
      <c r="A1697" s="73">
        <v>43041</v>
      </c>
      <c r="B1697" s="74">
        <v>33573.22</v>
      </c>
      <c r="C1697" s="74">
        <v>655.7</v>
      </c>
      <c r="D1697" s="74">
        <f t="shared" si="53"/>
        <v>-8.0537728386963366E-4</v>
      </c>
      <c r="E1697" s="74">
        <f t="shared" si="54"/>
        <v>3.0976613327210672E-2</v>
      </c>
      <c r="F1697" s="75"/>
    </row>
    <row r="1698" spans="1:6" ht="14.25" customHeight="1" x14ac:dyDescent="0.3">
      <c r="A1698" s="73">
        <v>43042</v>
      </c>
      <c r="B1698" s="74">
        <v>33685.56</v>
      </c>
      <c r="C1698" s="74">
        <v>659.4</v>
      </c>
      <c r="D1698" s="74">
        <f t="shared" si="53"/>
        <v>3.3405335175081146E-3</v>
      </c>
      <c r="E1698" s="74">
        <f t="shared" si="54"/>
        <v>5.6269633680568502E-3</v>
      </c>
      <c r="F1698" s="75"/>
    </row>
    <row r="1699" spans="1:6" ht="14.25" customHeight="1" x14ac:dyDescent="0.3">
      <c r="A1699" s="73">
        <v>43045</v>
      </c>
      <c r="B1699" s="74">
        <v>33731.19</v>
      </c>
      <c r="C1699" s="74">
        <v>784.55</v>
      </c>
      <c r="D1699" s="74">
        <f t="shared" si="53"/>
        <v>1.3536697324563641E-3</v>
      </c>
      <c r="E1699" s="74">
        <f t="shared" si="54"/>
        <v>0.17377997436744655</v>
      </c>
      <c r="F1699" s="75"/>
    </row>
    <row r="1700" spans="1:6" ht="14.25" customHeight="1" x14ac:dyDescent="0.3">
      <c r="A1700" s="73">
        <v>43046</v>
      </c>
      <c r="B1700" s="74">
        <v>33370.76</v>
      </c>
      <c r="C1700" s="74">
        <v>753.45</v>
      </c>
      <c r="D1700" s="74">
        <f t="shared" si="53"/>
        <v>-1.0742861165757588E-2</v>
      </c>
      <c r="E1700" s="74">
        <f t="shared" si="54"/>
        <v>-4.0447646140913673E-2</v>
      </c>
      <c r="F1700" s="75"/>
    </row>
    <row r="1701" spans="1:6" ht="14.25" customHeight="1" x14ac:dyDescent="0.3">
      <c r="A1701" s="73">
        <v>43047</v>
      </c>
      <c r="B1701" s="74">
        <v>33218.81</v>
      </c>
      <c r="C1701" s="74">
        <v>745.65</v>
      </c>
      <c r="D1701" s="74">
        <f t="shared" si="53"/>
        <v>-4.5637857020621531E-3</v>
      </c>
      <c r="E1701" s="74">
        <f t="shared" si="54"/>
        <v>-1.0406337655372177E-2</v>
      </c>
      <c r="F1701" s="75"/>
    </row>
    <row r="1702" spans="1:6" ht="14.25" customHeight="1" x14ac:dyDescent="0.3">
      <c r="A1702" s="73">
        <v>43048</v>
      </c>
      <c r="B1702" s="74">
        <v>33250.93</v>
      </c>
      <c r="C1702" s="74">
        <v>777.7</v>
      </c>
      <c r="D1702" s="74">
        <f t="shared" si="53"/>
        <v>9.664548860910773E-4</v>
      </c>
      <c r="E1702" s="74">
        <f t="shared" si="54"/>
        <v>4.2084524492106312E-2</v>
      </c>
      <c r="F1702" s="75"/>
    </row>
    <row r="1703" spans="1:6" ht="14.25" customHeight="1" x14ac:dyDescent="0.3">
      <c r="A1703" s="73">
        <v>43049</v>
      </c>
      <c r="B1703" s="74">
        <v>33314.559999999998</v>
      </c>
      <c r="C1703" s="74">
        <v>782.2</v>
      </c>
      <c r="D1703" s="74">
        <f t="shared" si="53"/>
        <v>1.9118020277643683E-3</v>
      </c>
      <c r="E1703" s="74">
        <f t="shared" si="54"/>
        <v>5.7696166205162174E-3</v>
      </c>
      <c r="F1703" s="75"/>
    </row>
    <row r="1704" spans="1:6" ht="14.25" customHeight="1" x14ac:dyDescent="0.3">
      <c r="A1704" s="73">
        <v>43052</v>
      </c>
      <c r="B1704" s="74">
        <v>33033.56</v>
      </c>
      <c r="C1704" s="74">
        <v>764.75</v>
      </c>
      <c r="D1704" s="74">
        <f t="shared" si="53"/>
        <v>-8.4705242631954794E-3</v>
      </c>
      <c r="E1704" s="74">
        <f t="shared" si="54"/>
        <v>-2.2561479290400959E-2</v>
      </c>
      <c r="F1704" s="75"/>
    </row>
    <row r="1705" spans="1:6" ht="14.25" customHeight="1" x14ac:dyDescent="0.3">
      <c r="A1705" s="73">
        <v>43053</v>
      </c>
      <c r="B1705" s="74">
        <v>32941.870000000003</v>
      </c>
      <c r="C1705" s="74">
        <v>773.15</v>
      </c>
      <c r="D1705" s="74">
        <f t="shared" si="53"/>
        <v>-2.7795213773088262E-3</v>
      </c>
      <c r="E1705" s="74">
        <f t="shared" si="54"/>
        <v>1.0924095890426701E-2</v>
      </c>
      <c r="F1705" s="75"/>
    </row>
    <row r="1706" spans="1:6" ht="14.25" customHeight="1" x14ac:dyDescent="0.3">
      <c r="A1706" s="73">
        <v>43054</v>
      </c>
      <c r="B1706" s="74">
        <v>32760.44</v>
      </c>
      <c r="C1706" s="74">
        <v>769.9</v>
      </c>
      <c r="D1706" s="74">
        <f t="shared" si="53"/>
        <v>-5.5228031146797767E-3</v>
      </c>
      <c r="E1706" s="74">
        <f t="shared" si="54"/>
        <v>-4.212442637435615E-3</v>
      </c>
      <c r="F1706" s="75"/>
    </row>
    <row r="1707" spans="1:6" ht="14.25" customHeight="1" x14ac:dyDescent="0.3">
      <c r="A1707" s="73">
        <v>43055</v>
      </c>
      <c r="B1707" s="74">
        <v>33106.82</v>
      </c>
      <c r="C1707" s="74">
        <v>770.7</v>
      </c>
      <c r="D1707" s="74">
        <f t="shared" si="53"/>
        <v>1.0517613547186626E-2</v>
      </c>
      <c r="E1707" s="74">
        <f t="shared" si="54"/>
        <v>1.0385564999438345E-3</v>
      </c>
      <c r="F1707" s="75"/>
    </row>
    <row r="1708" spans="1:6" ht="14.25" customHeight="1" x14ac:dyDescent="0.3">
      <c r="A1708" s="73">
        <v>43056</v>
      </c>
      <c r="B1708" s="74">
        <v>33342.800000000003</v>
      </c>
      <c r="C1708" s="74">
        <v>786.45</v>
      </c>
      <c r="D1708" s="74">
        <f t="shared" si="53"/>
        <v>7.1025535443244719E-3</v>
      </c>
      <c r="E1708" s="74">
        <f t="shared" si="54"/>
        <v>2.022995490270392E-2</v>
      </c>
      <c r="F1708" s="75"/>
    </row>
    <row r="1709" spans="1:6" ht="14.25" customHeight="1" x14ac:dyDescent="0.3">
      <c r="A1709" s="73">
        <v>43059</v>
      </c>
      <c r="B1709" s="74">
        <v>33359.9</v>
      </c>
      <c r="C1709" s="74">
        <v>783.95</v>
      </c>
      <c r="D1709" s="74">
        <f t="shared" si="53"/>
        <v>5.1272288451911568E-4</v>
      </c>
      <c r="E1709" s="74">
        <f t="shared" si="54"/>
        <v>-3.1839048801919991E-3</v>
      </c>
      <c r="F1709" s="75"/>
    </row>
    <row r="1710" spans="1:6" ht="14.25" customHeight="1" x14ac:dyDescent="0.3">
      <c r="A1710" s="73">
        <v>43060</v>
      </c>
      <c r="B1710" s="74">
        <v>33478.35</v>
      </c>
      <c r="C1710" s="74">
        <v>816.55</v>
      </c>
      <c r="D1710" s="74">
        <f t="shared" si="53"/>
        <v>3.544381368563413E-3</v>
      </c>
      <c r="E1710" s="74">
        <f t="shared" si="54"/>
        <v>4.0742904716292758E-2</v>
      </c>
      <c r="F1710" s="75"/>
    </row>
    <row r="1711" spans="1:6" ht="14.25" customHeight="1" x14ac:dyDescent="0.3">
      <c r="A1711" s="73">
        <v>43061</v>
      </c>
      <c r="B1711" s="74">
        <v>33561.550000000003</v>
      </c>
      <c r="C1711" s="74">
        <v>812.25</v>
      </c>
      <c r="D1711" s="74">
        <f t="shared" si="53"/>
        <v>2.4821052154075959E-3</v>
      </c>
      <c r="E1711" s="74">
        <f t="shared" si="54"/>
        <v>-5.2799729735425165E-3</v>
      </c>
      <c r="F1711" s="75"/>
    </row>
    <row r="1712" spans="1:6" ht="14.25" customHeight="1" x14ac:dyDescent="0.3">
      <c r="A1712" s="73">
        <v>43062</v>
      </c>
      <c r="B1712" s="74">
        <v>33588.080000000002</v>
      </c>
      <c r="C1712" s="74">
        <v>805.25</v>
      </c>
      <c r="D1712" s="74">
        <f t="shared" si="53"/>
        <v>7.9017565339952562E-4</v>
      </c>
      <c r="E1712" s="74">
        <f t="shared" si="54"/>
        <v>-8.6553863379015064E-3</v>
      </c>
      <c r="F1712" s="75"/>
    </row>
    <row r="1713" spans="1:6" ht="14.25" customHeight="1" x14ac:dyDescent="0.3">
      <c r="A1713" s="73">
        <v>43063</v>
      </c>
      <c r="B1713" s="74">
        <v>33679.24</v>
      </c>
      <c r="C1713" s="74">
        <v>828.35</v>
      </c>
      <c r="D1713" s="74">
        <f t="shared" si="53"/>
        <v>2.7103816773548341E-3</v>
      </c>
      <c r="E1713" s="74">
        <f t="shared" si="54"/>
        <v>2.8282982173238231E-2</v>
      </c>
      <c r="F1713" s="75"/>
    </row>
    <row r="1714" spans="1:6" ht="14.25" customHeight="1" x14ac:dyDescent="0.3">
      <c r="A1714" s="73">
        <v>43066</v>
      </c>
      <c r="B1714" s="74">
        <v>33724.44</v>
      </c>
      <c r="C1714" s="74">
        <v>831.4</v>
      </c>
      <c r="D1714" s="74">
        <f t="shared" si="53"/>
        <v>1.3411732645836688E-3</v>
      </c>
      <c r="E1714" s="74">
        <f t="shared" si="54"/>
        <v>3.6752564339906806E-3</v>
      </c>
      <c r="F1714" s="75"/>
    </row>
    <row r="1715" spans="1:6" ht="14.25" customHeight="1" x14ac:dyDescent="0.3">
      <c r="A1715" s="73">
        <v>43067</v>
      </c>
      <c r="B1715" s="74">
        <v>33618.589999999997</v>
      </c>
      <c r="C1715" s="74">
        <v>818.1</v>
      </c>
      <c r="D1715" s="74">
        <f t="shared" si="53"/>
        <v>-3.1436092842846816E-3</v>
      </c>
      <c r="E1715" s="74">
        <f t="shared" si="54"/>
        <v>-1.6126448298884467E-2</v>
      </c>
      <c r="F1715" s="75"/>
    </row>
    <row r="1716" spans="1:6" ht="14.25" customHeight="1" x14ac:dyDescent="0.3">
      <c r="A1716" s="73">
        <v>43068</v>
      </c>
      <c r="B1716" s="74">
        <v>33602.76</v>
      </c>
      <c r="C1716" s="74">
        <v>819.25</v>
      </c>
      <c r="D1716" s="74">
        <f t="shared" si="53"/>
        <v>-4.7098132639754249E-4</v>
      </c>
      <c r="E1716" s="74">
        <f t="shared" si="54"/>
        <v>1.4047090592714266E-3</v>
      </c>
      <c r="F1716" s="75"/>
    </row>
    <row r="1717" spans="1:6" ht="14.25" customHeight="1" x14ac:dyDescent="0.3">
      <c r="A1717" s="73">
        <v>43069</v>
      </c>
      <c r="B1717" s="74">
        <v>33149.35</v>
      </c>
      <c r="C1717" s="74">
        <v>819.05</v>
      </c>
      <c r="D1717" s="74">
        <f t="shared" si="53"/>
        <v>-1.3585097856263726E-2</v>
      </c>
      <c r="E1717" s="74">
        <f t="shared" si="54"/>
        <v>-2.4415552828368125E-4</v>
      </c>
      <c r="F1717" s="75"/>
    </row>
    <row r="1718" spans="1:6" ht="14.25" customHeight="1" x14ac:dyDescent="0.3">
      <c r="A1718" s="73">
        <v>43070</v>
      </c>
      <c r="B1718" s="74">
        <v>32832.94</v>
      </c>
      <c r="C1718" s="74">
        <v>805.65</v>
      </c>
      <c r="D1718" s="74">
        <f t="shared" si="53"/>
        <v>-9.5908288537530067E-3</v>
      </c>
      <c r="E1718" s="74">
        <f t="shared" si="54"/>
        <v>-1.6495727031062231E-2</v>
      </c>
      <c r="F1718" s="75"/>
    </row>
    <row r="1719" spans="1:6" ht="14.25" customHeight="1" x14ac:dyDescent="0.3">
      <c r="A1719" s="73">
        <v>43073</v>
      </c>
      <c r="B1719" s="74">
        <v>32869.72</v>
      </c>
      <c r="C1719" s="74">
        <v>805.6</v>
      </c>
      <c r="D1719" s="74">
        <f t="shared" si="53"/>
        <v>1.1195894912600407E-3</v>
      </c>
      <c r="E1719" s="74">
        <f t="shared" si="54"/>
        <v>-6.2063615225428252E-5</v>
      </c>
      <c r="F1719" s="75"/>
    </row>
    <row r="1720" spans="1:6" ht="14.25" customHeight="1" x14ac:dyDescent="0.3">
      <c r="A1720" s="73">
        <v>43074</v>
      </c>
      <c r="B1720" s="74">
        <v>32802.44</v>
      </c>
      <c r="C1720" s="74">
        <v>793.1</v>
      </c>
      <c r="D1720" s="74">
        <f t="shared" si="53"/>
        <v>-2.0489663668215325E-3</v>
      </c>
      <c r="E1720" s="74">
        <f t="shared" si="54"/>
        <v>-1.5638024315078557E-2</v>
      </c>
      <c r="F1720" s="75"/>
    </row>
    <row r="1721" spans="1:6" ht="14.25" customHeight="1" x14ac:dyDescent="0.3">
      <c r="A1721" s="73">
        <v>43075</v>
      </c>
      <c r="B1721" s="74">
        <v>32597.18</v>
      </c>
      <c r="C1721" s="74">
        <v>775</v>
      </c>
      <c r="D1721" s="74">
        <f t="shared" si="53"/>
        <v>-6.27712130361242E-3</v>
      </c>
      <c r="E1721" s="74">
        <f t="shared" si="54"/>
        <v>-2.3086287735926973E-2</v>
      </c>
      <c r="F1721" s="75"/>
    </row>
    <row r="1722" spans="1:6" ht="14.25" customHeight="1" x14ac:dyDescent="0.3">
      <c r="A1722" s="73">
        <v>43076</v>
      </c>
      <c r="B1722" s="74">
        <v>32949.21</v>
      </c>
      <c r="C1722" s="74">
        <v>800.4</v>
      </c>
      <c r="D1722" s="74">
        <f t="shared" si="53"/>
        <v>1.0741503376733682E-2</v>
      </c>
      <c r="E1722" s="74">
        <f t="shared" si="54"/>
        <v>3.2248573356231429E-2</v>
      </c>
      <c r="F1722" s="75"/>
    </row>
    <row r="1723" spans="1:6" ht="14.25" customHeight="1" x14ac:dyDescent="0.3">
      <c r="A1723" s="73">
        <v>43077</v>
      </c>
      <c r="B1723" s="74">
        <v>33250.300000000003</v>
      </c>
      <c r="C1723" s="74">
        <v>812.5</v>
      </c>
      <c r="D1723" s="74">
        <f t="shared" si="53"/>
        <v>9.0965046772463164E-3</v>
      </c>
      <c r="E1723" s="74">
        <f t="shared" si="54"/>
        <v>1.5004311494314318E-2</v>
      </c>
      <c r="F1723" s="75"/>
    </row>
    <row r="1724" spans="1:6" ht="14.25" customHeight="1" x14ac:dyDescent="0.3">
      <c r="A1724" s="73">
        <v>43080</v>
      </c>
      <c r="B1724" s="74">
        <v>33455.79</v>
      </c>
      <c r="C1724" s="74">
        <v>820.55</v>
      </c>
      <c r="D1724" s="74">
        <f t="shared" si="53"/>
        <v>6.1610761480224291E-3</v>
      </c>
      <c r="E1724" s="74">
        <f t="shared" si="54"/>
        <v>9.8589329217441714E-3</v>
      </c>
      <c r="F1724" s="75"/>
    </row>
    <row r="1725" spans="1:6" ht="14.25" customHeight="1" x14ac:dyDescent="0.3">
      <c r="A1725" s="73">
        <v>43081</v>
      </c>
      <c r="B1725" s="74">
        <v>33227.99</v>
      </c>
      <c r="C1725" s="74">
        <v>821.25</v>
      </c>
      <c r="D1725" s="74">
        <f t="shared" si="53"/>
        <v>-6.8322727397990999E-3</v>
      </c>
      <c r="E1725" s="74">
        <f t="shared" si="54"/>
        <v>8.5272267318347715E-4</v>
      </c>
      <c r="F1725" s="75"/>
    </row>
    <row r="1726" spans="1:6" ht="14.25" customHeight="1" x14ac:dyDescent="0.3">
      <c r="A1726" s="73">
        <v>43082</v>
      </c>
      <c r="B1726" s="74">
        <v>33053.040000000001</v>
      </c>
      <c r="C1726" s="74">
        <v>819.95</v>
      </c>
      <c r="D1726" s="74">
        <f t="shared" si="53"/>
        <v>-5.2790491124615167E-3</v>
      </c>
      <c r="E1726" s="74">
        <f t="shared" si="54"/>
        <v>-1.5842070093655355E-3</v>
      </c>
      <c r="F1726" s="75"/>
    </row>
    <row r="1727" spans="1:6" ht="14.25" customHeight="1" x14ac:dyDescent="0.3">
      <c r="A1727" s="73">
        <v>43083</v>
      </c>
      <c r="B1727" s="74">
        <v>33246.699999999997</v>
      </c>
      <c r="C1727" s="74">
        <v>816.35</v>
      </c>
      <c r="D1727" s="74">
        <f t="shared" si="53"/>
        <v>5.8419701428286423E-3</v>
      </c>
      <c r="E1727" s="74">
        <f t="shared" si="54"/>
        <v>-4.4001782172812427E-3</v>
      </c>
      <c r="F1727" s="75"/>
    </row>
    <row r="1728" spans="1:6" ht="14.25" customHeight="1" x14ac:dyDescent="0.3">
      <c r="A1728" s="73">
        <v>43084</v>
      </c>
      <c r="B1728" s="74">
        <v>33462.97</v>
      </c>
      <c r="C1728" s="74">
        <v>832.75</v>
      </c>
      <c r="D1728" s="74">
        <f t="shared" si="53"/>
        <v>6.4839402650940549E-3</v>
      </c>
      <c r="E1728" s="74">
        <f t="shared" si="54"/>
        <v>1.989029250161551E-2</v>
      </c>
      <c r="F1728" s="75"/>
    </row>
    <row r="1729" spans="1:6" ht="14.25" customHeight="1" x14ac:dyDescent="0.3">
      <c r="A1729" s="73">
        <v>43087</v>
      </c>
      <c r="B1729" s="74">
        <v>33601.68</v>
      </c>
      <c r="C1729" s="74">
        <v>837.75</v>
      </c>
      <c r="D1729" s="74">
        <f t="shared" si="53"/>
        <v>4.1366113979644757E-3</v>
      </c>
      <c r="E1729" s="74">
        <f t="shared" si="54"/>
        <v>5.9862495436308052E-3</v>
      </c>
      <c r="F1729" s="75"/>
    </row>
    <row r="1730" spans="1:6" ht="14.25" customHeight="1" x14ac:dyDescent="0.3">
      <c r="A1730" s="73">
        <v>43088</v>
      </c>
      <c r="B1730" s="74">
        <v>33836.74</v>
      </c>
      <c r="C1730" s="74">
        <v>866.1</v>
      </c>
      <c r="D1730" s="74">
        <f t="shared" si="53"/>
        <v>6.9711286808413243E-3</v>
      </c>
      <c r="E1730" s="74">
        <f t="shared" si="54"/>
        <v>3.3280648719579246E-2</v>
      </c>
      <c r="F1730" s="75"/>
    </row>
    <row r="1731" spans="1:6" ht="14.25" customHeight="1" x14ac:dyDescent="0.3">
      <c r="A1731" s="73">
        <v>43089</v>
      </c>
      <c r="B1731" s="74">
        <v>33777.379999999997</v>
      </c>
      <c r="C1731" s="74">
        <v>863.2</v>
      </c>
      <c r="D1731" s="74">
        <f t="shared" si="53"/>
        <v>-1.7558467151702363E-3</v>
      </c>
      <c r="E1731" s="74">
        <f t="shared" si="54"/>
        <v>-3.3539613930741174E-3</v>
      </c>
      <c r="F1731" s="75"/>
    </row>
    <row r="1732" spans="1:6" ht="14.25" customHeight="1" x14ac:dyDescent="0.3">
      <c r="A1732" s="73">
        <v>43090</v>
      </c>
      <c r="B1732" s="74">
        <v>33756.28</v>
      </c>
      <c r="C1732" s="74">
        <v>860.9</v>
      </c>
      <c r="D1732" s="74">
        <f t="shared" ref="D1732:D1795" si="55">LN(B1732/B1731)</f>
        <v>-6.2487360189189057E-4</v>
      </c>
      <c r="E1732" s="74">
        <f t="shared" ref="E1732:E1795" si="56">LN(C1732/C1731)</f>
        <v>-2.6680602800160159E-3</v>
      </c>
      <c r="F1732" s="75"/>
    </row>
    <row r="1733" spans="1:6" ht="14.25" customHeight="1" x14ac:dyDescent="0.3">
      <c r="A1733" s="73">
        <v>43091</v>
      </c>
      <c r="B1733" s="74">
        <v>33940.300000000003</v>
      </c>
      <c r="C1733" s="74">
        <v>856.1</v>
      </c>
      <c r="D1733" s="74">
        <f t="shared" si="55"/>
        <v>5.4366248119086932E-3</v>
      </c>
      <c r="E1733" s="74">
        <f t="shared" si="56"/>
        <v>-5.5911619154688733E-3</v>
      </c>
      <c r="F1733" s="75"/>
    </row>
    <row r="1734" spans="1:6" ht="14.25" customHeight="1" x14ac:dyDescent="0.3">
      <c r="A1734" s="73">
        <v>43095</v>
      </c>
      <c r="B1734" s="74">
        <v>34010.61</v>
      </c>
      <c r="C1734" s="74">
        <v>855.1</v>
      </c>
      <c r="D1734" s="74">
        <f t="shared" si="55"/>
        <v>2.0694358645751676E-3</v>
      </c>
      <c r="E1734" s="74">
        <f t="shared" si="56"/>
        <v>-1.1687705865304019E-3</v>
      </c>
      <c r="F1734" s="75"/>
    </row>
    <row r="1735" spans="1:6" ht="14.25" customHeight="1" x14ac:dyDescent="0.3">
      <c r="A1735" s="73">
        <v>43096</v>
      </c>
      <c r="B1735" s="74">
        <v>33911.81</v>
      </c>
      <c r="C1735" s="74">
        <v>850.4</v>
      </c>
      <c r="D1735" s="74">
        <f t="shared" si="55"/>
        <v>-2.9092034613171637E-3</v>
      </c>
      <c r="E1735" s="74">
        <f t="shared" si="56"/>
        <v>-5.5115941341715071E-3</v>
      </c>
      <c r="F1735" s="75"/>
    </row>
    <row r="1736" spans="1:6" ht="14.25" customHeight="1" x14ac:dyDescent="0.3">
      <c r="A1736" s="73">
        <v>43097</v>
      </c>
      <c r="B1736" s="74">
        <v>33848.03</v>
      </c>
      <c r="C1736" s="74">
        <v>852.4</v>
      </c>
      <c r="D1736" s="74">
        <f t="shared" si="55"/>
        <v>-1.8825315654806677E-3</v>
      </c>
      <c r="E1736" s="74">
        <f t="shared" si="56"/>
        <v>2.3490731967237928E-3</v>
      </c>
      <c r="F1736" s="75"/>
    </row>
    <row r="1737" spans="1:6" ht="14.25" customHeight="1" x14ac:dyDescent="0.3">
      <c r="A1737" s="73">
        <v>43098</v>
      </c>
      <c r="B1737" s="74">
        <v>34056.83</v>
      </c>
      <c r="C1737" s="74">
        <v>856</v>
      </c>
      <c r="D1737" s="74">
        <f t="shared" si="55"/>
        <v>6.1498001194114941E-3</v>
      </c>
      <c r="E1737" s="74">
        <f t="shared" si="56"/>
        <v>4.2144759172799825E-3</v>
      </c>
      <c r="F1737" s="75"/>
    </row>
    <row r="1738" spans="1:6" ht="14.25" customHeight="1" x14ac:dyDescent="0.3">
      <c r="A1738" s="73">
        <v>43101</v>
      </c>
      <c r="B1738" s="74">
        <v>33812.75</v>
      </c>
      <c r="C1738" s="74">
        <v>853.6</v>
      </c>
      <c r="D1738" s="74">
        <f t="shared" si="55"/>
        <v>-7.1926495573680204E-3</v>
      </c>
      <c r="E1738" s="74">
        <f t="shared" si="56"/>
        <v>-2.8076761541984134E-3</v>
      </c>
      <c r="F1738" s="75"/>
    </row>
    <row r="1739" spans="1:6" ht="14.25" customHeight="1" x14ac:dyDescent="0.3">
      <c r="A1739" s="73">
        <v>43102</v>
      </c>
      <c r="B1739" s="74">
        <v>33812.26</v>
      </c>
      <c r="C1739" s="74">
        <v>845.4</v>
      </c>
      <c r="D1739" s="74">
        <f t="shared" si="55"/>
        <v>-1.4491679927500413E-5</v>
      </c>
      <c r="E1739" s="74">
        <f t="shared" si="56"/>
        <v>-9.6528118548541344E-3</v>
      </c>
      <c r="F1739" s="75"/>
    </row>
    <row r="1740" spans="1:6" ht="14.25" customHeight="1" x14ac:dyDescent="0.3">
      <c r="A1740" s="73">
        <v>43103</v>
      </c>
      <c r="B1740" s="74">
        <v>33793.379999999997</v>
      </c>
      <c r="C1740" s="74">
        <v>856.35</v>
      </c>
      <c r="D1740" s="74">
        <f t="shared" si="55"/>
        <v>-5.585332966545868E-4</v>
      </c>
      <c r="E1740" s="74">
        <f t="shared" si="56"/>
        <v>1.2869282945688308E-2</v>
      </c>
      <c r="F1740" s="75"/>
    </row>
    <row r="1741" spans="1:6" ht="14.25" customHeight="1" x14ac:dyDescent="0.3">
      <c r="A1741" s="73">
        <v>43104</v>
      </c>
      <c r="B1741" s="74">
        <v>33969.64</v>
      </c>
      <c r="C1741" s="74">
        <v>891.7</v>
      </c>
      <c r="D1741" s="74">
        <f t="shared" si="55"/>
        <v>5.2022592121054641E-3</v>
      </c>
      <c r="E1741" s="74">
        <f t="shared" si="56"/>
        <v>4.0450582062455977E-2</v>
      </c>
      <c r="F1741" s="75"/>
    </row>
    <row r="1742" spans="1:6" ht="14.25" customHeight="1" x14ac:dyDescent="0.3">
      <c r="A1742" s="73">
        <v>43105</v>
      </c>
      <c r="B1742" s="74">
        <v>34153.85</v>
      </c>
      <c r="C1742" s="74">
        <v>909.05</v>
      </c>
      <c r="D1742" s="74">
        <f t="shared" si="55"/>
        <v>5.4081330530619132E-3</v>
      </c>
      <c r="E1742" s="74">
        <f t="shared" si="56"/>
        <v>1.9270345024447917E-2</v>
      </c>
      <c r="F1742" s="75"/>
    </row>
    <row r="1743" spans="1:6" ht="14.25" customHeight="1" x14ac:dyDescent="0.3">
      <c r="A1743" s="73">
        <v>43108</v>
      </c>
      <c r="B1743" s="74">
        <v>34352.79</v>
      </c>
      <c r="C1743" s="74">
        <v>924.95</v>
      </c>
      <c r="D1743" s="74">
        <f t="shared" si="55"/>
        <v>5.8079204941020972E-3</v>
      </c>
      <c r="E1743" s="74">
        <f t="shared" si="56"/>
        <v>1.7339583832116298E-2</v>
      </c>
      <c r="F1743" s="75"/>
    </row>
    <row r="1744" spans="1:6" ht="14.25" customHeight="1" x14ac:dyDescent="0.3">
      <c r="A1744" s="73">
        <v>43109</v>
      </c>
      <c r="B1744" s="74">
        <v>34443.19</v>
      </c>
      <c r="C1744" s="74">
        <v>932.8</v>
      </c>
      <c r="D1744" s="74">
        <f t="shared" si="55"/>
        <v>2.6280620475367302E-3</v>
      </c>
      <c r="E1744" s="74">
        <f t="shared" si="56"/>
        <v>8.4511335988297128E-3</v>
      </c>
      <c r="F1744" s="75"/>
    </row>
    <row r="1745" spans="1:6" ht="14.25" customHeight="1" x14ac:dyDescent="0.3">
      <c r="A1745" s="73">
        <v>43110</v>
      </c>
      <c r="B1745" s="74">
        <v>34433.07</v>
      </c>
      <c r="C1745" s="74">
        <v>918</v>
      </c>
      <c r="D1745" s="74">
        <f t="shared" si="55"/>
        <v>-2.9386032496035345E-4</v>
      </c>
      <c r="E1745" s="74">
        <f t="shared" si="56"/>
        <v>-1.5993424975737438E-2</v>
      </c>
      <c r="F1745" s="75"/>
    </row>
    <row r="1746" spans="1:6" ht="14.25" customHeight="1" x14ac:dyDescent="0.3">
      <c r="A1746" s="73">
        <v>43111</v>
      </c>
      <c r="B1746" s="74">
        <v>34503.49</v>
      </c>
      <c r="C1746" s="74">
        <v>907.45</v>
      </c>
      <c r="D1746" s="74">
        <f t="shared" si="55"/>
        <v>2.0430385413620906E-3</v>
      </c>
      <c r="E1746" s="74">
        <f t="shared" si="56"/>
        <v>-1.155892241808083E-2</v>
      </c>
      <c r="F1746" s="75"/>
    </row>
    <row r="1747" spans="1:6" ht="14.25" customHeight="1" x14ac:dyDescent="0.3">
      <c r="A1747" s="73">
        <v>43112</v>
      </c>
      <c r="B1747" s="74">
        <v>34592.39</v>
      </c>
      <c r="C1747" s="74">
        <v>904.3</v>
      </c>
      <c r="D1747" s="74">
        <f t="shared" si="55"/>
        <v>2.5732373349799911E-3</v>
      </c>
      <c r="E1747" s="74">
        <f t="shared" si="56"/>
        <v>-3.4773044559752641E-3</v>
      </c>
      <c r="F1747" s="75"/>
    </row>
    <row r="1748" spans="1:6" ht="14.25" customHeight="1" x14ac:dyDescent="0.3">
      <c r="A1748" s="73">
        <v>43115</v>
      </c>
      <c r="B1748" s="74">
        <v>34843.51</v>
      </c>
      <c r="C1748" s="74">
        <v>919.25</v>
      </c>
      <c r="D1748" s="74">
        <f t="shared" si="55"/>
        <v>7.2331775020795692E-3</v>
      </c>
      <c r="E1748" s="74">
        <f t="shared" si="56"/>
        <v>1.6396956434947017E-2</v>
      </c>
      <c r="F1748" s="75"/>
    </row>
    <row r="1749" spans="1:6" ht="14.25" customHeight="1" x14ac:dyDescent="0.3">
      <c r="A1749" s="73">
        <v>43116</v>
      </c>
      <c r="B1749" s="74">
        <v>34771.050000000003</v>
      </c>
      <c r="C1749" s="74">
        <v>890.45</v>
      </c>
      <c r="D1749" s="74">
        <f t="shared" si="55"/>
        <v>-2.0817491676511455E-3</v>
      </c>
      <c r="E1749" s="74">
        <f t="shared" si="56"/>
        <v>-3.1831167259366695E-2</v>
      </c>
      <c r="F1749" s="75"/>
    </row>
    <row r="1750" spans="1:6" ht="14.25" customHeight="1" x14ac:dyDescent="0.3">
      <c r="A1750" s="73">
        <v>43117</v>
      </c>
      <c r="B1750" s="74">
        <v>35081.82</v>
      </c>
      <c r="C1750" s="74">
        <v>894.4</v>
      </c>
      <c r="D1750" s="74">
        <f t="shared" si="55"/>
        <v>8.8979035613561356E-3</v>
      </c>
      <c r="E1750" s="74">
        <f t="shared" si="56"/>
        <v>4.4261494788199879E-3</v>
      </c>
      <c r="F1750" s="75"/>
    </row>
    <row r="1751" spans="1:6" ht="14.25" customHeight="1" x14ac:dyDescent="0.3">
      <c r="A1751" s="73">
        <v>43118</v>
      </c>
      <c r="B1751" s="74">
        <v>35260.29</v>
      </c>
      <c r="C1751" s="74">
        <v>885.7</v>
      </c>
      <c r="D1751" s="74">
        <f t="shared" si="55"/>
        <v>5.0743539809327025E-3</v>
      </c>
      <c r="E1751" s="74">
        <f t="shared" si="56"/>
        <v>-9.7748095852973303E-3</v>
      </c>
      <c r="F1751" s="75"/>
    </row>
    <row r="1752" spans="1:6" ht="14.25" customHeight="1" x14ac:dyDescent="0.3">
      <c r="A1752" s="73">
        <v>43119</v>
      </c>
      <c r="B1752" s="74">
        <v>35511.58</v>
      </c>
      <c r="C1752" s="74">
        <v>892.5</v>
      </c>
      <c r="D1752" s="74">
        <f t="shared" si="55"/>
        <v>7.101438920702227E-3</v>
      </c>
      <c r="E1752" s="74">
        <f t="shared" si="56"/>
        <v>7.6482208382568188E-3</v>
      </c>
      <c r="F1752" s="75"/>
    </row>
    <row r="1753" spans="1:6" ht="14.25" customHeight="1" x14ac:dyDescent="0.3">
      <c r="A1753" s="73">
        <v>43122</v>
      </c>
      <c r="B1753" s="74">
        <v>35798.01</v>
      </c>
      <c r="C1753" s="74">
        <v>908.95</v>
      </c>
      <c r="D1753" s="74">
        <f t="shared" si="55"/>
        <v>8.0334647957495519E-3</v>
      </c>
      <c r="E1753" s="74">
        <f t="shared" si="56"/>
        <v>1.8263573510276725E-2</v>
      </c>
      <c r="F1753" s="75"/>
    </row>
    <row r="1754" spans="1:6" ht="14.25" customHeight="1" x14ac:dyDescent="0.3">
      <c r="A1754" s="73">
        <v>43123</v>
      </c>
      <c r="B1754" s="74">
        <v>36139.980000000003</v>
      </c>
      <c r="C1754" s="74">
        <v>903.85</v>
      </c>
      <c r="D1754" s="74">
        <f t="shared" si="55"/>
        <v>9.5074264910143414E-3</v>
      </c>
      <c r="E1754" s="74">
        <f t="shared" si="56"/>
        <v>-5.6266697432074157E-3</v>
      </c>
      <c r="F1754" s="75"/>
    </row>
    <row r="1755" spans="1:6" ht="14.25" customHeight="1" x14ac:dyDescent="0.3">
      <c r="A1755" s="73">
        <v>43124</v>
      </c>
      <c r="B1755" s="74">
        <v>36161.64</v>
      </c>
      <c r="C1755" s="74">
        <v>887.75</v>
      </c>
      <c r="D1755" s="74">
        <f t="shared" si="55"/>
        <v>5.9915671731762326E-4</v>
      </c>
      <c r="E1755" s="74">
        <f t="shared" si="56"/>
        <v>-1.7973245597666117E-2</v>
      </c>
      <c r="F1755" s="75"/>
    </row>
    <row r="1756" spans="1:6" ht="14.25" customHeight="1" x14ac:dyDescent="0.3">
      <c r="A1756" s="73">
        <v>43125</v>
      </c>
      <c r="B1756" s="74">
        <v>36050.44</v>
      </c>
      <c r="C1756" s="74">
        <v>885.3</v>
      </c>
      <c r="D1756" s="74">
        <f t="shared" si="55"/>
        <v>-3.0798195508837645E-3</v>
      </c>
      <c r="E1756" s="74">
        <f t="shared" si="56"/>
        <v>-2.7636012061939123E-3</v>
      </c>
      <c r="F1756" s="75"/>
    </row>
    <row r="1757" spans="1:6" ht="14.25" customHeight="1" x14ac:dyDescent="0.3">
      <c r="A1757" s="73">
        <v>43129</v>
      </c>
      <c r="B1757" s="74">
        <v>36283.25</v>
      </c>
      <c r="C1757" s="74">
        <v>897.1</v>
      </c>
      <c r="D1757" s="74">
        <f t="shared" si="55"/>
        <v>6.4371333442458881E-3</v>
      </c>
      <c r="E1757" s="74">
        <f t="shared" si="56"/>
        <v>1.3240767948234453E-2</v>
      </c>
      <c r="F1757" s="75"/>
    </row>
    <row r="1758" spans="1:6" ht="14.25" customHeight="1" x14ac:dyDescent="0.3">
      <c r="A1758" s="73">
        <v>43130</v>
      </c>
      <c r="B1758" s="74">
        <v>36033.730000000003</v>
      </c>
      <c r="C1758" s="74">
        <v>884.55</v>
      </c>
      <c r="D1758" s="74">
        <f t="shared" si="55"/>
        <v>-6.9007580290918928E-3</v>
      </c>
      <c r="E1758" s="74">
        <f t="shared" si="56"/>
        <v>-1.4088297450615102E-2</v>
      </c>
      <c r="F1758" s="75"/>
    </row>
    <row r="1759" spans="1:6" ht="14.25" customHeight="1" x14ac:dyDescent="0.3">
      <c r="A1759" s="73">
        <v>43131</v>
      </c>
      <c r="B1759" s="74">
        <v>35965.019999999997</v>
      </c>
      <c r="C1759" s="74">
        <v>869.05</v>
      </c>
      <c r="D1759" s="74">
        <f t="shared" si="55"/>
        <v>-1.9086448267168234E-3</v>
      </c>
      <c r="E1759" s="74">
        <f t="shared" si="56"/>
        <v>-1.7678380105133912E-2</v>
      </c>
      <c r="F1759" s="75"/>
    </row>
    <row r="1760" spans="1:6" ht="14.25" customHeight="1" x14ac:dyDescent="0.3">
      <c r="A1760" s="73">
        <v>43132</v>
      </c>
      <c r="B1760" s="74">
        <v>35906.660000000003</v>
      </c>
      <c r="C1760" s="74">
        <v>831.3</v>
      </c>
      <c r="D1760" s="74">
        <f t="shared" si="55"/>
        <v>-1.6240058066410528E-3</v>
      </c>
      <c r="E1760" s="74">
        <f t="shared" si="56"/>
        <v>-4.4409920472446504E-2</v>
      </c>
      <c r="F1760" s="75"/>
    </row>
    <row r="1761" spans="1:6" ht="14.25" customHeight="1" x14ac:dyDescent="0.3">
      <c r="A1761" s="73">
        <v>43133</v>
      </c>
      <c r="B1761" s="74">
        <v>35066.75</v>
      </c>
      <c r="C1761" s="74">
        <v>822.2</v>
      </c>
      <c r="D1761" s="74">
        <f t="shared" si="55"/>
        <v>-2.3669405550196834E-2</v>
      </c>
      <c r="E1761" s="74">
        <f t="shared" si="56"/>
        <v>-1.1007066073264272E-2</v>
      </c>
      <c r="F1761" s="75"/>
    </row>
    <row r="1762" spans="1:6" ht="14.25" customHeight="1" x14ac:dyDescent="0.3">
      <c r="A1762" s="73">
        <v>43136</v>
      </c>
      <c r="B1762" s="74">
        <v>34757.160000000003</v>
      </c>
      <c r="C1762" s="74">
        <v>803.5</v>
      </c>
      <c r="D1762" s="74">
        <f t="shared" si="55"/>
        <v>-8.8677941062404279E-3</v>
      </c>
      <c r="E1762" s="74">
        <f t="shared" si="56"/>
        <v>-2.3006489286210866E-2</v>
      </c>
      <c r="F1762" s="75"/>
    </row>
    <row r="1763" spans="1:6" ht="14.25" customHeight="1" x14ac:dyDescent="0.3">
      <c r="A1763" s="73">
        <v>43137</v>
      </c>
      <c r="B1763" s="74">
        <v>34195.94</v>
      </c>
      <c r="C1763" s="74">
        <v>779.85</v>
      </c>
      <c r="D1763" s="74">
        <f t="shared" si="55"/>
        <v>-1.627867038102343E-2</v>
      </c>
      <c r="E1763" s="74">
        <f t="shared" si="56"/>
        <v>-2.9875591679732808E-2</v>
      </c>
      <c r="F1763" s="75"/>
    </row>
    <row r="1764" spans="1:6" ht="14.25" customHeight="1" x14ac:dyDescent="0.3">
      <c r="A1764" s="73">
        <v>43138</v>
      </c>
      <c r="B1764" s="74">
        <v>34082.71</v>
      </c>
      <c r="C1764" s="74">
        <v>783.8</v>
      </c>
      <c r="D1764" s="74">
        <f t="shared" si="55"/>
        <v>-3.316705992260614E-3</v>
      </c>
      <c r="E1764" s="74">
        <f t="shared" si="56"/>
        <v>5.0522922676965766E-3</v>
      </c>
      <c r="F1764" s="75"/>
    </row>
    <row r="1765" spans="1:6" ht="14.25" customHeight="1" x14ac:dyDescent="0.3">
      <c r="A1765" s="73">
        <v>43139</v>
      </c>
      <c r="B1765" s="74">
        <v>34413.160000000003</v>
      </c>
      <c r="C1765" s="74">
        <v>800.65</v>
      </c>
      <c r="D1765" s="74">
        <f t="shared" si="55"/>
        <v>9.648831783172572E-3</v>
      </c>
      <c r="E1765" s="74">
        <f t="shared" si="56"/>
        <v>2.1270012002954659E-2</v>
      </c>
      <c r="F1765" s="75"/>
    </row>
    <row r="1766" spans="1:6" ht="14.25" customHeight="1" x14ac:dyDescent="0.3">
      <c r="A1766" s="73">
        <v>43140</v>
      </c>
      <c r="B1766" s="74">
        <v>34005.760000000002</v>
      </c>
      <c r="C1766" s="74">
        <v>797.3</v>
      </c>
      <c r="D1766" s="74">
        <f t="shared" si="55"/>
        <v>-1.1909127329864964E-2</v>
      </c>
      <c r="E1766" s="74">
        <f t="shared" si="56"/>
        <v>-4.1928782600360393E-3</v>
      </c>
      <c r="F1766" s="75"/>
    </row>
    <row r="1767" spans="1:6" ht="14.25" customHeight="1" x14ac:dyDescent="0.3">
      <c r="A1767" s="73">
        <v>43143</v>
      </c>
      <c r="B1767" s="74">
        <v>34300.47</v>
      </c>
      <c r="C1767" s="74">
        <v>807.55</v>
      </c>
      <c r="D1767" s="74">
        <f t="shared" si="55"/>
        <v>8.6291346696060322E-3</v>
      </c>
      <c r="E1767" s="74">
        <f t="shared" si="56"/>
        <v>1.2773953176072409E-2</v>
      </c>
      <c r="F1767" s="75"/>
    </row>
    <row r="1768" spans="1:6" ht="14.25" customHeight="1" x14ac:dyDescent="0.3">
      <c r="A1768" s="73">
        <v>43145</v>
      </c>
      <c r="B1768" s="74">
        <v>34155.949999999997</v>
      </c>
      <c r="C1768" s="74">
        <v>814.3</v>
      </c>
      <c r="D1768" s="74">
        <f t="shared" si="55"/>
        <v>-4.222254529280451E-3</v>
      </c>
      <c r="E1768" s="74">
        <f t="shared" si="56"/>
        <v>8.3238757885634989E-3</v>
      </c>
      <c r="F1768" s="75"/>
    </row>
    <row r="1769" spans="1:6" ht="14.25" customHeight="1" x14ac:dyDescent="0.3">
      <c r="A1769" s="73">
        <v>43146</v>
      </c>
      <c r="B1769" s="74">
        <v>34297.47</v>
      </c>
      <c r="C1769" s="74">
        <v>816.1</v>
      </c>
      <c r="D1769" s="74">
        <f t="shared" si="55"/>
        <v>4.1347883458379177E-3</v>
      </c>
      <c r="E1769" s="74">
        <f t="shared" si="56"/>
        <v>2.2080480021115477E-3</v>
      </c>
      <c r="F1769" s="75"/>
    </row>
    <row r="1770" spans="1:6" ht="14.25" customHeight="1" x14ac:dyDescent="0.3">
      <c r="A1770" s="73">
        <v>43147</v>
      </c>
      <c r="B1770" s="74">
        <v>34010.76</v>
      </c>
      <c r="C1770" s="74">
        <v>802.6</v>
      </c>
      <c r="D1770" s="74">
        <f t="shared" si="55"/>
        <v>-8.394645380335462E-3</v>
      </c>
      <c r="E1770" s="74">
        <f t="shared" si="56"/>
        <v>-1.6680438642380842E-2</v>
      </c>
      <c r="F1770" s="75"/>
    </row>
    <row r="1771" spans="1:6" ht="14.25" customHeight="1" x14ac:dyDescent="0.3">
      <c r="A1771" s="73">
        <v>43150</v>
      </c>
      <c r="B1771" s="74">
        <v>33774.660000000003</v>
      </c>
      <c r="C1771" s="74">
        <v>804.5</v>
      </c>
      <c r="D1771" s="74">
        <f t="shared" si="55"/>
        <v>-6.9661279598693913E-3</v>
      </c>
      <c r="E1771" s="74">
        <f t="shared" si="56"/>
        <v>2.3645085996215312E-3</v>
      </c>
      <c r="F1771" s="75"/>
    </row>
    <row r="1772" spans="1:6" ht="14.25" customHeight="1" x14ac:dyDescent="0.3">
      <c r="A1772" s="73">
        <v>43151</v>
      </c>
      <c r="B1772" s="74">
        <v>33703.589999999997</v>
      </c>
      <c r="C1772" s="74">
        <v>831.2</v>
      </c>
      <c r="D1772" s="74">
        <f t="shared" si="55"/>
        <v>-2.1064573037711605E-3</v>
      </c>
      <c r="E1772" s="74">
        <f t="shared" si="56"/>
        <v>3.2649473352579762E-2</v>
      </c>
      <c r="F1772" s="75"/>
    </row>
    <row r="1773" spans="1:6" ht="14.25" customHeight="1" x14ac:dyDescent="0.3">
      <c r="A1773" s="73">
        <v>43152</v>
      </c>
      <c r="B1773" s="74">
        <v>33844.86</v>
      </c>
      <c r="C1773" s="74">
        <v>822.9</v>
      </c>
      <c r="D1773" s="74">
        <f t="shared" si="55"/>
        <v>4.1827815728598793E-3</v>
      </c>
      <c r="E1773" s="74">
        <f t="shared" si="56"/>
        <v>-1.0035753173350431E-2</v>
      </c>
      <c r="F1773" s="75"/>
    </row>
    <row r="1774" spans="1:6" ht="14.25" customHeight="1" x14ac:dyDescent="0.3">
      <c r="A1774" s="73">
        <v>43153</v>
      </c>
      <c r="B1774" s="74">
        <v>33819.5</v>
      </c>
      <c r="C1774" s="74">
        <v>816.35</v>
      </c>
      <c r="D1774" s="74">
        <f t="shared" si="55"/>
        <v>-7.4958223760413151E-4</v>
      </c>
      <c r="E1774" s="74">
        <f t="shared" si="56"/>
        <v>-7.9915020394937843E-3</v>
      </c>
      <c r="F1774" s="75"/>
    </row>
    <row r="1775" spans="1:6" ht="14.25" customHeight="1" x14ac:dyDescent="0.3">
      <c r="A1775" s="73">
        <v>43154</v>
      </c>
      <c r="B1775" s="74">
        <v>34142.15</v>
      </c>
      <c r="C1775" s="74">
        <v>814.15</v>
      </c>
      <c r="D1775" s="74">
        <f t="shared" si="55"/>
        <v>9.4951321548864681E-3</v>
      </c>
      <c r="E1775" s="74">
        <f t="shared" si="56"/>
        <v>-2.6985603619442211E-3</v>
      </c>
      <c r="F1775" s="75"/>
    </row>
    <row r="1776" spans="1:6" ht="14.25" customHeight="1" x14ac:dyDescent="0.3">
      <c r="A1776" s="73">
        <v>43157</v>
      </c>
      <c r="B1776" s="74">
        <v>34445.75</v>
      </c>
      <c r="C1776" s="74">
        <v>819.9</v>
      </c>
      <c r="D1776" s="74">
        <f t="shared" si="55"/>
        <v>8.8529312858255053E-3</v>
      </c>
      <c r="E1776" s="74">
        <f t="shared" si="56"/>
        <v>7.0377573919027919E-3</v>
      </c>
      <c r="F1776" s="75"/>
    </row>
    <row r="1777" spans="1:6" ht="14.25" customHeight="1" x14ac:dyDescent="0.3">
      <c r="A1777" s="73">
        <v>43158</v>
      </c>
      <c r="B1777" s="74">
        <v>34346.39</v>
      </c>
      <c r="C1777" s="74">
        <v>821.5</v>
      </c>
      <c r="D1777" s="74">
        <f t="shared" si="55"/>
        <v>-2.8887041192023604E-3</v>
      </c>
      <c r="E1777" s="74">
        <f t="shared" si="56"/>
        <v>1.9495558751908206E-3</v>
      </c>
      <c r="F1777" s="75"/>
    </row>
    <row r="1778" spans="1:6" ht="14.25" customHeight="1" x14ac:dyDescent="0.3">
      <c r="A1778" s="73">
        <v>43159</v>
      </c>
      <c r="B1778" s="74">
        <v>34184.04</v>
      </c>
      <c r="C1778" s="74">
        <v>815.95</v>
      </c>
      <c r="D1778" s="74">
        <f t="shared" si="55"/>
        <v>-4.7380500521519943E-3</v>
      </c>
      <c r="E1778" s="74">
        <f t="shared" si="56"/>
        <v>-6.7788589003791293E-3</v>
      </c>
      <c r="F1778" s="75"/>
    </row>
    <row r="1779" spans="1:6" ht="14.25" customHeight="1" x14ac:dyDescent="0.3">
      <c r="A1779" s="73">
        <v>43160</v>
      </c>
      <c r="B1779" s="74">
        <v>34046.94</v>
      </c>
      <c r="C1779" s="74">
        <v>810.4</v>
      </c>
      <c r="D1779" s="74">
        <f t="shared" si="55"/>
        <v>-4.0187077633601709E-3</v>
      </c>
      <c r="E1779" s="74">
        <f t="shared" si="56"/>
        <v>-6.8251256424700958E-3</v>
      </c>
      <c r="F1779" s="75"/>
    </row>
    <row r="1780" spans="1:6" ht="14.25" customHeight="1" x14ac:dyDescent="0.3">
      <c r="A1780" s="73">
        <v>43164</v>
      </c>
      <c r="B1780" s="74">
        <v>33746.78</v>
      </c>
      <c r="C1780" s="74">
        <v>808.8</v>
      </c>
      <c r="D1780" s="74">
        <f t="shared" si="55"/>
        <v>-8.8551553562001093E-3</v>
      </c>
      <c r="E1780" s="74">
        <f t="shared" si="56"/>
        <v>-1.9762852282119926E-3</v>
      </c>
      <c r="F1780" s="75"/>
    </row>
    <row r="1781" spans="1:6" ht="14.25" customHeight="1" x14ac:dyDescent="0.3">
      <c r="A1781" s="73">
        <v>43165</v>
      </c>
      <c r="B1781" s="74">
        <v>33317.199999999997</v>
      </c>
      <c r="C1781" s="74">
        <v>806</v>
      </c>
      <c r="D1781" s="74">
        <f t="shared" si="55"/>
        <v>-1.2811225205380625E-2</v>
      </c>
      <c r="E1781" s="74">
        <f t="shared" si="56"/>
        <v>-3.4679251996333586E-3</v>
      </c>
      <c r="F1781" s="75"/>
    </row>
    <row r="1782" spans="1:6" ht="14.25" customHeight="1" x14ac:dyDescent="0.3">
      <c r="A1782" s="73">
        <v>43166</v>
      </c>
      <c r="B1782" s="74">
        <v>33033.089999999997</v>
      </c>
      <c r="C1782" s="74">
        <v>813.4</v>
      </c>
      <c r="D1782" s="74">
        <f t="shared" si="55"/>
        <v>-8.5639938101434079E-3</v>
      </c>
      <c r="E1782" s="74">
        <f t="shared" si="56"/>
        <v>9.1392509664959213E-3</v>
      </c>
      <c r="F1782" s="75"/>
    </row>
    <row r="1783" spans="1:6" ht="14.25" customHeight="1" x14ac:dyDescent="0.3">
      <c r="A1783" s="73">
        <v>43167</v>
      </c>
      <c r="B1783" s="74">
        <v>33351.57</v>
      </c>
      <c r="C1783" s="74">
        <v>817.2</v>
      </c>
      <c r="D1783" s="74">
        <f t="shared" si="55"/>
        <v>9.5950613713088953E-3</v>
      </c>
      <c r="E1783" s="74">
        <f t="shared" si="56"/>
        <v>4.6608694703428729E-3</v>
      </c>
      <c r="F1783" s="75"/>
    </row>
    <row r="1784" spans="1:6" ht="14.25" customHeight="1" x14ac:dyDescent="0.3">
      <c r="A1784" s="73">
        <v>43168</v>
      </c>
      <c r="B1784" s="74">
        <v>33307.14</v>
      </c>
      <c r="C1784" s="74">
        <v>818.4</v>
      </c>
      <c r="D1784" s="74">
        <f t="shared" si="55"/>
        <v>-1.3330592980127683E-3</v>
      </c>
      <c r="E1784" s="74">
        <f t="shared" si="56"/>
        <v>1.4673516939497444E-3</v>
      </c>
      <c r="F1784" s="75"/>
    </row>
    <row r="1785" spans="1:6" ht="14.25" customHeight="1" x14ac:dyDescent="0.3">
      <c r="A1785" s="73">
        <v>43171</v>
      </c>
      <c r="B1785" s="74">
        <v>33917.94</v>
      </c>
      <c r="C1785" s="74">
        <v>828.55</v>
      </c>
      <c r="D1785" s="74">
        <f t="shared" si="55"/>
        <v>1.8172289530089706E-2</v>
      </c>
      <c r="E1785" s="74">
        <f t="shared" si="56"/>
        <v>1.232597043838613E-2</v>
      </c>
      <c r="F1785" s="75"/>
    </row>
    <row r="1786" spans="1:6" ht="14.25" customHeight="1" x14ac:dyDescent="0.3">
      <c r="A1786" s="73">
        <v>43172</v>
      </c>
      <c r="B1786" s="74">
        <v>33856.78</v>
      </c>
      <c r="C1786" s="74">
        <v>849.55</v>
      </c>
      <c r="D1786" s="74">
        <f t="shared" si="55"/>
        <v>-1.8048032246079321E-3</v>
      </c>
      <c r="E1786" s="74">
        <f t="shared" si="56"/>
        <v>2.5029612455964915E-2</v>
      </c>
      <c r="F1786" s="75"/>
    </row>
    <row r="1787" spans="1:6" ht="14.25" customHeight="1" x14ac:dyDescent="0.3">
      <c r="A1787" s="73">
        <v>43173</v>
      </c>
      <c r="B1787" s="74">
        <v>33835.74</v>
      </c>
      <c r="C1787" s="74">
        <v>864</v>
      </c>
      <c r="D1787" s="74">
        <f t="shared" si="55"/>
        <v>-6.2163443398295887E-4</v>
      </c>
      <c r="E1787" s="74">
        <f t="shared" si="56"/>
        <v>1.6865971272287995E-2</v>
      </c>
      <c r="F1787" s="75"/>
    </row>
    <row r="1788" spans="1:6" ht="14.25" customHeight="1" x14ac:dyDescent="0.3">
      <c r="A1788" s="73">
        <v>43174</v>
      </c>
      <c r="B1788" s="74">
        <v>33685.54</v>
      </c>
      <c r="C1788" s="74">
        <v>872.25</v>
      </c>
      <c r="D1788" s="74">
        <f t="shared" si="55"/>
        <v>-4.4489751304196724E-3</v>
      </c>
      <c r="E1788" s="74">
        <f t="shared" si="56"/>
        <v>9.5033112628279248E-3</v>
      </c>
      <c r="F1788" s="75"/>
    </row>
    <row r="1789" spans="1:6" ht="14.25" customHeight="1" x14ac:dyDescent="0.3">
      <c r="A1789" s="73">
        <v>43175</v>
      </c>
      <c r="B1789" s="74">
        <v>33176</v>
      </c>
      <c r="C1789" s="74">
        <v>876.2</v>
      </c>
      <c r="D1789" s="74">
        <f t="shared" si="55"/>
        <v>-1.5241942214326256E-2</v>
      </c>
      <c r="E1789" s="74">
        <f t="shared" si="56"/>
        <v>4.5182953129146615E-3</v>
      </c>
      <c r="F1789" s="75"/>
    </row>
    <row r="1790" spans="1:6" ht="14.25" customHeight="1" x14ac:dyDescent="0.3">
      <c r="A1790" s="73">
        <v>43178</v>
      </c>
      <c r="B1790" s="74">
        <v>32923.120000000003</v>
      </c>
      <c r="C1790" s="74">
        <v>868.3</v>
      </c>
      <c r="D1790" s="74">
        <f t="shared" si="55"/>
        <v>-7.6515764134610165E-3</v>
      </c>
      <c r="E1790" s="74">
        <f t="shared" si="56"/>
        <v>-9.0570983131987217E-3</v>
      </c>
      <c r="F1790" s="75"/>
    </row>
    <row r="1791" spans="1:6" ht="14.25" customHeight="1" x14ac:dyDescent="0.3">
      <c r="A1791" s="73">
        <v>43179</v>
      </c>
      <c r="B1791" s="74">
        <v>32996.76</v>
      </c>
      <c r="C1791" s="74">
        <v>871.25</v>
      </c>
      <c r="D1791" s="74">
        <f t="shared" si="55"/>
        <v>2.234228297529246E-3</v>
      </c>
      <c r="E1791" s="74">
        <f t="shared" si="56"/>
        <v>3.3916850081341836E-3</v>
      </c>
      <c r="F1791" s="75"/>
    </row>
    <row r="1792" spans="1:6" ht="14.25" customHeight="1" x14ac:dyDescent="0.3">
      <c r="A1792" s="73">
        <v>43180</v>
      </c>
      <c r="B1792" s="74">
        <v>33136.18</v>
      </c>
      <c r="C1792" s="74">
        <v>871.8</v>
      </c>
      <c r="D1792" s="74">
        <f t="shared" si="55"/>
        <v>4.2163619687036061E-3</v>
      </c>
      <c r="E1792" s="74">
        <f t="shared" si="56"/>
        <v>6.3107772955845072E-4</v>
      </c>
      <c r="F1792" s="75"/>
    </row>
    <row r="1793" spans="1:6" ht="14.25" customHeight="1" x14ac:dyDescent="0.3">
      <c r="A1793" s="73">
        <v>43181</v>
      </c>
      <c r="B1793" s="74">
        <v>33006.269999999997</v>
      </c>
      <c r="C1793" s="74">
        <v>887.5</v>
      </c>
      <c r="D1793" s="74">
        <f t="shared" si="55"/>
        <v>-3.9281933780856695E-3</v>
      </c>
      <c r="E1793" s="74">
        <f t="shared" si="56"/>
        <v>1.7848481545278617E-2</v>
      </c>
      <c r="F1793" s="75"/>
    </row>
    <row r="1794" spans="1:6" ht="14.25" customHeight="1" x14ac:dyDescent="0.3">
      <c r="A1794" s="73">
        <v>43182</v>
      </c>
      <c r="B1794" s="74">
        <v>32596.54</v>
      </c>
      <c r="C1794" s="74">
        <v>894.5</v>
      </c>
      <c r="D1794" s="74">
        <f t="shared" si="55"/>
        <v>-1.2491395648143744E-2</v>
      </c>
      <c r="E1794" s="74">
        <f t="shared" si="56"/>
        <v>7.8563815992028913E-3</v>
      </c>
      <c r="F1794" s="75"/>
    </row>
    <row r="1795" spans="1:6" ht="14.25" customHeight="1" x14ac:dyDescent="0.3">
      <c r="A1795" s="73">
        <v>43185</v>
      </c>
      <c r="B1795" s="74">
        <v>33066.410000000003</v>
      </c>
      <c r="C1795" s="74">
        <v>938.45</v>
      </c>
      <c r="D1795" s="74">
        <f t="shared" si="55"/>
        <v>1.4311815725195782E-2</v>
      </c>
      <c r="E1795" s="74">
        <f t="shared" si="56"/>
        <v>4.7964675153485105E-2</v>
      </c>
      <c r="F1795" s="75"/>
    </row>
    <row r="1796" spans="1:6" ht="14.25" customHeight="1" x14ac:dyDescent="0.3">
      <c r="A1796" s="73">
        <v>43186</v>
      </c>
      <c r="B1796" s="74">
        <v>33174.39</v>
      </c>
      <c r="C1796" s="74">
        <v>942.25</v>
      </c>
      <c r="D1796" s="74">
        <f t="shared" ref="D1796:D1859" si="57">LN(B1796/B1795)</f>
        <v>3.2602292135395471E-3</v>
      </c>
      <c r="E1796" s="74">
        <f t="shared" ref="E1796:E1859" si="58">LN(C1796/C1795)</f>
        <v>4.0410540449858758E-3</v>
      </c>
      <c r="F1796" s="75"/>
    </row>
    <row r="1797" spans="1:6" ht="14.25" customHeight="1" x14ac:dyDescent="0.3">
      <c r="A1797" s="73">
        <v>43187</v>
      </c>
      <c r="B1797" s="74">
        <v>32968.68</v>
      </c>
      <c r="C1797" s="74">
        <v>941.2</v>
      </c>
      <c r="D1797" s="74">
        <f t="shared" si="57"/>
        <v>-6.2201728239201703E-3</v>
      </c>
      <c r="E1797" s="74">
        <f t="shared" si="58"/>
        <v>-1.1149752940373646E-3</v>
      </c>
      <c r="F1797" s="75"/>
    </row>
    <row r="1798" spans="1:6" ht="14.25" customHeight="1" x14ac:dyDescent="0.3">
      <c r="A1798" s="73">
        <v>43192</v>
      </c>
      <c r="B1798" s="74">
        <v>33255.360000000001</v>
      </c>
      <c r="C1798" s="74">
        <v>943.9</v>
      </c>
      <c r="D1798" s="74">
        <f t="shared" si="57"/>
        <v>8.6579372321358133E-3</v>
      </c>
      <c r="E1798" s="74">
        <f t="shared" si="58"/>
        <v>2.864571477691319E-3</v>
      </c>
      <c r="F1798" s="75"/>
    </row>
    <row r="1799" spans="1:6" ht="14.25" customHeight="1" x14ac:dyDescent="0.3">
      <c r="A1799" s="73">
        <v>43193</v>
      </c>
      <c r="B1799" s="74">
        <v>33370.629999999997</v>
      </c>
      <c r="C1799" s="74">
        <v>932.5</v>
      </c>
      <c r="D1799" s="74">
        <f t="shared" si="57"/>
        <v>3.4602147003425293E-3</v>
      </c>
      <c r="E1799" s="74">
        <f t="shared" si="58"/>
        <v>-1.2151076812928088E-2</v>
      </c>
      <c r="F1799" s="75"/>
    </row>
    <row r="1800" spans="1:6" ht="14.25" customHeight="1" x14ac:dyDescent="0.3">
      <c r="A1800" s="73">
        <v>43194</v>
      </c>
      <c r="B1800" s="74">
        <v>33019.07</v>
      </c>
      <c r="C1800" s="74">
        <v>904.6</v>
      </c>
      <c r="D1800" s="74">
        <f t="shared" si="57"/>
        <v>-1.0590898471205187E-2</v>
      </c>
      <c r="E1800" s="74">
        <f t="shared" si="58"/>
        <v>-3.0376294474227829E-2</v>
      </c>
      <c r="F1800" s="75"/>
    </row>
    <row r="1801" spans="1:6" ht="14.25" customHeight="1" x14ac:dyDescent="0.3">
      <c r="A1801" s="73">
        <v>43195</v>
      </c>
      <c r="B1801" s="74">
        <v>33596.800000000003</v>
      </c>
      <c r="C1801" s="74">
        <v>920.35</v>
      </c>
      <c r="D1801" s="74">
        <f t="shared" si="57"/>
        <v>1.7345550991774351E-2</v>
      </c>
      <c r="E1801" s="74">
        <f t="shared" si="58"/>
        <v>1.7261175434988292E-2</v>
      </c>
      <c r="F1801" s="75"/>
    </row>
    <row r="1802" spans="1:6" ht="14.25" customHeight="1" x14ac:dyDescent="0.3">
      <c r="A1802" s="73">
        <v>43196</v>
      </c>
      <c r="B1802" s="74">
        <v>33626.97</v>
      </c>
      <c r="C1802" s="74">
        <v>938.8</v>
      </c>
      <c r="D1802" s="74">
        <f t="shared" si="57"/>
        <v>8.9759922794047998E-4</v>
      </c>
      <c r="E1802" s="74">
        <f t="shared" si="58"/>
        <v>1.984843149813734E-2</v>
      </c>
      <c r="F1802" s="75"/>
    </row>
    <row r="1803" spans="1:6" ht="14.25" customHeight="1" x14ac:dyDescent="0.3">
      <c r="A1803" s="73">
        <v>43199</v>
      </c>
      <c r="B1803" s="74">
        <v>33788.54</v>
      </c>
      <c r="C1803" s="74">
        <v>960.65</v>
      </c>
      <c r="D1803" s="74">
        <f t="shared" si="57"/>
        <v>4.7932681765594952E-3</v>
      </c>
      <c r="E1803" s="74">
        <f t="shared" si="58"/>
        <v>2.3007674700841963E-2</v>
      </c>
      <c r="F1803" s="75"/>
    </row>
    <row r="1804" spans="1:6" ht="14.25" customHeight="1" x14ac:dyDescent="0.3">
      <c r="A1804" s="73">
        <v>43200</v>
      </c>
      <c r="B1804" s="74">
        <v>33880.25</v>
      </c>
      <c r="C1804" s="74">
        <v>962.55</v>
      </c>
      <c r="D1804" s="74">
        <f t="shared" si="57"/>
        <v>2.7105569982957783E-3</v>
      </c>
      <c r="E1804" s="74">
        <f t="shared" si="58"/>
        <v>1.9758741869236305E-3</v>
      </c>
      <c r="F1804" s="75"/>
    </row>
    <row r="1805" spans="1:6" ht="14.25" customHeight="1" x14ac:dyDescent="0.3">
      <c r="A1805" s="73">
        <v>43201</v>
      </c>
      <c r="B1805" s="74">
        <v>33940.44</v>
      </c>
      <c r="C1805" s="74">
        <v>978.5</v>
      </c>
      <c r="D1805" s="74">
        <f t="shared" si="57"/>
        <v>1.7749750349801358E-3</v>
      </c>
      <c r="E1805" s="74">
        <f t="shared" si="58"/>
        <v>1.6434773971496983E-2</v>
      </c>
      <c r="F1805" s="75"/>
    </row>
    <row r="1806" spans="1:6" ht="14.25" customHeight="1" x14ac:dyDescent="0.3">
      <c r="A1806" s="73">
        <v>43202</v>
      </c>
      <c r="B1806" s="74">
        <v>34101.129999999997</v>
      </c>
      <c r="C1806" s="74">
        <v>976.7</v>
      </c>
      <c r="D1806" s="74">
        <f t="shared" si="57"/>
        <v>4.7232977940763294E-3</v>
      </c>
      <c r="E1806" s="74">
        <f t="shared" si="58"/>
        <v>-1.8412443826995456E-3</v>
      </c>
      <c r="F1806" s="75"/>
    </row>
    <row r="1807" spans="1:6" ht="14.25" customHeight="1" x14ac:dyDescent="0.3">
      <c r="A1807" s="73">
        <v>43203</v>
      </c>
      <c r="B1807" s="74">
        <v>34192.65</v>
      </c>
      <c r="C1807" s="74">
        <v>985.5</v>
      </c>
      <c r="D1807" s="74">
        <f t="shared" si="57"/>
        <v>2.6801871205669025E-3</v>
      </c>
      <c r="E1807" s="74">
        <f t="shared" si="58"/>
        <v>8.969584139343411E-3</v>
      </c>
      <c r="F1807" s="75"/>
    </row>
    <row r="1808" spans="1:6" ht="14.25" customHeight="1" x14ac:dyDescent="0.3">
      <c r="A1808" s="73">
        <v>43206</v>
      </c>
      <c r="B1808" s="74">
        <v>34305.43</v>
      </c>
      <c r="C1808" s="74">
        <v>983.15</v>
      </c>
      <c r="D1808" s="74">
        <f t="shared" si="57"/>
        <v>3.2929419893374988E-3</v>
      </c>
      <c r="E1808" s="74">
        <f t="shared" si="58"/>
        <v>-2.3874239872089639E-3</v>
      </c>
      <c r="F1808" s="75"/>
    </row>
    <row r="1809" spans="1:6" ht="14.25" customHeight="1" x14ac:dyDescent="0.3">
      <c r="A1809" s="73">
        <v>43207</v>
      </c>
      <c r="B1809" s="74">
        <v>34395.06</v>
      </c>
      <c r="C1809" s="74">
        <v>998.35</v>
      </c>
      <c r="D1809" s="74">
        <f t="shared" si="57"/>
        <v>2.6092987358130181E-3</v>
      </c>
      <c r="E1809" s="74">
        <f t="shared" si="58"/>
        <v>1.5342213627340758E-2</v>
      </c>
      <c r="F1809" s="75"/>
    </row>
    <row r="1810" spans="1:6" ht="14.25" customHeight="1" x14ac:dyDescent="0.3">
      <c r="A1810" s="73">
        <v>43208</v>
      </c>
      <c r="B1810" s="74">
        <v>34331.68</v>
      </c>
      <c r="C1810" s="74">
        <v>977</v>
      </c>
      <c r="D1810" s="74">
        <f t="shared" si="57"/>
        <v>-1.8444063538399277E-3</v>
      </c>
      <c r="E1810" s="74">
        <f t="shared" si="58"/>
        <v>-2.1617264190123869E-2</v>
      </c>
      <c r="F1810" s="75"/>
    </row>
    <row r="1811" spans="1:6" ht="14.25" customHeight="1" x14ac:dyDescent="0.3">
      <c r="A1811" s="73">
        <v>43209</v>
      </c>
      <c r="B1811" s="74">
        <v>34427.29</v>
      </c>
      <c r="C1811" s="74">
        <v>954.25</v>
      </c>
      <c r="D1811" s="74">
        <f t="shared" si="57"/>
        <v>2.7810207634362894E-3</v>
      </c>
      <c r="E1811" s="74">
        <f t="shared" si="58"/>
        <v>-2.3560960417443603E-2</v>
      </c>
      <c r="F1811" s="75"/>
    </row>
    <row r="1812" spans="1:6" ht="14.25" customHeight="1" x14ac:dyDescent="0.3">
      <c r="A1812" s="73">
        <v>43210</v>
      </c>
      <c r="B1812" s="74">
        <v>34415.58</v>
      </c>
      <c r="C1812" s="74">
        <v>956.95</v>
      </c>
      <c r="D1812" s="74">
        <f t="shared" si="57"/>
        <v>-3.4019500096190916E-4</v>
      </c>
      <c r="E1812" s="74">
        <f t="shared" si="58"/>
        <v>2.8254518587430581E-3</v>
      </c>
      <c r="F1812" s="75"/>
    </row>
    <row r="1813" spans="1:6" ht="14.25" customHeight="1" x14ac:dyDescent="0.3">
      <c r="A1813" s="73">
        <v>43213</v>
      </c>
      <c r="B1813" s="74">
        <v>34450.769999999997</v>
      </c>
      <c r="C1813" s="74">
        <v>963.1</v>
      </c>
      <c r="D1813" s="74">
        <f t="shared" si="57"/>
        <v>1.0219796188653163E-3</v>
      </c>
      <c r="E1813" s="74">
        <f t="shared" si="58"/>
        <v>6.4061050827364787E-3</v>
      </c>
      <c r="F1813" s="75"/>
    </row>
    <row r="1814" spans="1:6" ht="14.25" customHeight="1" x14ac:dyDescent="0.3">
      <c r="A1814" s="73">
        <v>43214</v>
      </c>
      <c r="B1814" s="74">
        <v>34616.639999999999</v>
      </c>
      <c r="C1814" s="74">
        <v>962.7</v>
      </c>
      <c r="D1814" s="74">
        <f t="shared" si="57"/>
        <v>4.8031428683212992E-3</v>
      </c>
      <c r="E1814" s="74">
        <f t="shared" si="58"/>
        <v>-4.1541178289767049E-4</v>
      </c>
      <c r="F1814" s="75"/>
    </row>
    <row r="1815" spans="1:6" ht="14.25" customHeight="1" x14ac:dyDescent="0.3">
      <c r="A1815" s="73">
        <v>43215</v>
      </c>
      <c r="B1815" s="74">
        <v>34501.269999999997</v>
      </c>
      <c r="C1815" s="74">
        <v>960.5</v>
      </c>
      <c r="D1815" s="74">
        <f t="shared" si="57"/>
        <v>-3.3383563578889739E-3</v>
      </c>
      <c r="E1815" s="74">
        <f t="shared" si="58"/>
        <v>-2.2878545753095437E-3</v>
      </c>
      <c r="F1815" s="75"/>
    </row>
    <row r="1816" spans="1:6" ht="14.25" customHeight="1" x14ac:dyDescent="0.3">
      <c r="A1816" s="73">
        <v>43216</v>
      </c>
      <c r="B1816" s="74">
        <v>34713.599999999999</v>
      </c>
      <c r="C1816" s="74">
        <v>969.7</v>
      </c>
      <c r="D1816" s="74">
        <f t="shared" si="57"/>
        <v>6.1354060497338806E-3</v>
      </c>
      <c r="E1816" s="74">
        <f t="shared" si="58"/>
        <v>9.5327631018891669E-3</v>
      </c>
      <c r="F1816" s="75"/>
    </row>
    <row r="1817" spans="1:6" ht="14.25" customHeight="1" x14ac:dyDescent="0.3">
      <c r="A1817" s="73">
        <v>43217</v>
      </c>
      <c r="B1817" s="74">
        <v>34969.699999999997</v>
      </c>
      <c r="C1817" s="74">
        <v>973.45</v>
      </c>
      <c r="D1817" s="74">
        <f t="shared" si="57"/>
        <v>7.3504312529528897E-3</v>
      </c>
      <c r="E1817" s="74">
        <f t="shared" si="58"/>
        <v>3.8597171144186845E-3</v>
      </c>
      <c r="F1817" s="75"/>
    </row>
    <row r="1818" spans="1:6" ht="14.25" customHeight="1" x14ac:dyDescent="0.3">
      <c r="A1818" s="73">
        <v>43220</v>
      </c>
      <c r="B1818" s="74">
        <v>35160.36</v>
      </c>
      <c r="C1818" s="74">
        <v>981.05</v>
      </c>
      <c r="D1818" s="74">
        <f t="shared" si="57"/>
        <v>5.437339415735363E-3</v>
      </c>
      <c r="E1818" s="74">
        <f t="shared" si="58"/>
        <v>7.7769642411910965E-3</v>
      </c>
      <c r="F1818" s="75"/>
    </row>
    <row r="1819" spans="1:6" ht="14.25" customHeight="1" x14ac:dyDescent="0.3">
      <c r="A1819" s="73">
        <v>43222</v>
      </c>
      <c r="B1819" s="74">
        <v>35176.42</v>
      </c>
      <c r="C1819" s="74">
        <v>965.05</v>
      </c>
      <c r="D1819" s="74">
        <f t="shared" si="57"/>
        <v>4.566600938824442E-4</v>
      </c>
      <c r="E1819" s="74">
        <f t="shared" si="58"/>
        <v>-1.6443513197893628E-2</v>
      </c>
      <c r="F1819" s="75"/>
    </row>
    <row r="1820" spans="1:6" ht="14.25" customHeight="1" x14ac:dyDescent="0.3">
      <c r="A1820" s="73">
        <v>43223</v>
      </c>
      <c r="B1820" s="74">
        <v>35103.14</v>
      </c>
      <c r="C1820" s="74">
        <v>960.2</v>
      </c>
      <c r="D1820" s="74">
        <f t="shared" si="57"/>
        <v>-2.0853866062023152E-3</v>
      </c>
      <c r="E1820" s="74">
        <f t="shared" si="58"/>
        <v>-5.0383173713769045E-3</v>
      </c>
      <c r="F1820" s="75"/>
    </row>
    <row r="1821" spans="1:6" ht="14.25" customHeight="1" x14ac:dyDescent="0.3">
      <c r="A1821" s="73">
        <v>43224</v>
      </c>
      <c r="B1821" s="74">
        <v>34915.379999999997</v>
      </c>
      <c r="C1821" s="74">
        <v>958.55</v>
      </c>
      <c r="D1821" s="74">
        <f t="shared" si="57"/>
        <v>-5.3631653469210731E-3</v>
      </c>
      <c r="E1821" s="74">
        <f t="shared" si="58"/>
        <v>-1.7198701307816933E-3</v>
      </c>
      <c r="F1821" s="75"/>
    </row>
    <row r="1822" spans="1:6" ht="14.25" customHeight="1" x14ac:dyDescent="0.3">
      <c r="A1822" s="73">
        <v>43227</v>
      </c>
      <c r="B1822" s="74">
        <v>35208.14</v>
      </c>
      <c r="C1822" s="74">
        <v>969.25</v>
      </c>
      <c r="D1822" s="74">
        <f t="shared" si="57"/>
        <v>8.3498860567236769E-3</v>
      </c>
      <c r="E1822" s="74">
        <f t="shared" si="58"/>
        <v>1.1100850584980133E-2</v>
      </c>
      <c r="F1822" s="75"/>
    </row>
    <row r="1823" spans="1:6" ht="14.25" customHeight="1" x14ac:dyDescent="0.3">
      <c r="A1823" s="73">
        <v>43228</v>
      </c>
      <c r="B1823" s="74">
        <v>35216.32</v>
      </c>
      <c r="C1823" s="74">
        <v>968.05</v>
      </c>
      <c r="D1823" s="74">
        <f t="shared" si="57"/>
        <v>2.3230565166673244E-4</v>
      </c>
      <c r="E1823" s="74">
        <f t="shared" si="58"/>
        <v>-1.2388377158643303E-3</v>
      </c>
      <c r="F1823" s="75"/>
    </row>
    <row r="1824" spans="1:6" ht="14.25" customHeight="1" x14ac:dyDescent="0.3">
      <c r="A1824" s="73">
        <v>43229</v>
      </c>
      <c r="B1824" s="74">
        <v>35319.35</v>
      </c>
      <c r="C1824" s="74">
        <v>985.7</v>
      </c>
      <c r="D1824" s="74">
        <f t="shared" si="57"/>
        <v>2.9213608738525403E-3</v>
      </c>
      <c r="E1824" s="74">
        <f t="shared" si="58"/>
        <v>1.8068309836219154E-2</v>
      </c>
      <c r="F1824" s="75"/>
    </row>
    <row r="1825" spans="1:6" ht="14.25" customHeight="1" x14ac:dyDescent="0.3">
      <c r="A1825" s="73">
        <v>43230</v>
      </c>
      <c r="B1825" s="74">
        <v>35246.269999999997</v>
      </c>
      <c r="C1825" s="74">
        <v>972.6</v>
      </c>
      <c r="D1825" s="74">
        <f t="shared" si="57"/>
        <v>-2.0712643388360792E-3</v>
      </c>
      <c r="E1825" s="74">
        <f t="shared" si="58"/>
        <v>-1.3379150701707899E-2</v>
      </c>
      <c r="F1825" s="75"/>
    </row>
    <row r="1826" spans="1:6" ht="14.25" customHeight="1" x14ac:dyDescent="0.3">
      <c r="A1826" s="73">
        <v>43231</v>
      </c>
      <c r="B1826" s="74">
        <v>35535.79</v>
      </c>
      <c r="C1826" s="74">
        <v>956.15</v>
      </c>
      <c r="D1826" s="74">
        <f t="shared" si="57"/>
        <v>8.1806495778105944E-3</v>
      </c>
      <c r="E1826" s="74">
        <f t="shared" si="58"/>
        <v>-1.7058093460702237E-2</v>
      </c>
      <c r="F1826" s="75"/>
    </row>
    <row r="1827" spans="1:6" ht="14.25" customHeight="1" x14ac:dyDescent="0.3">
      <c r="A1827" s="73">
        <v>43234</v>
      </c>
      <c r="B1827" s="74">
        <v>35556.71</v>
      </c>
      <c r="C1827" s="74">
        <v>921</v>
      </c>
      <c r="D1827" s="74">
        <f t="shared" si="57"/>
        <v>5.8852904606908655E-4</v>
      </c>
      <c r="E1827" s="74">
        <f t="shared" si="58"/>
        <v>-3.7454768253676378E-2</v>
      </c>
      <c r="F1827" s="75"/>
    </row>
    <row r="1828" spans="1:6" ht="14.25" customHeight="1" x14ac:dyDescent="0.3">
      <c r="A1828" s="73">
        <v>43235</v>
      </c>
      <c r="B1828" s="74">
        <v>35543.94</v>
      </c>
      <c r="C1828" s="74">
        <v>931.4</v>
      </c>
      <c r="D1828" s="74">
        <f t="shared" si="57"/>
        <v>-3.5920909688756024E-4</v>
      </c>
      <c r="E1828" s="74">
        <f t="shared" si="58"/>
        <v>1.1228794292969952E-2</v>
      </c>
      <c r="F1828" s="75"/>
    </row>
    <row r="1829" spans="1:6" ht="14.25" customHeight="1" x14ac:dyDescent="0.3">
      <c r="A1829" s="73">
        <v>43236</v>
      </c>
      <c r="B1829" s="74">
        <v>35387.879999999997</v>
      </c>
      <c r="C1829" s="74">
        <v>930.95</v>
      </c>
      <c r="D1829" s="74">
        <f t="shared" si="57"/>
        <v>-4.4002889481700664E-3</v>
      </c>
      <c r="E1829" s="74">
        <f t="shared" si="58"/>
        <v>-4.8326040621547153E-4</v>
      </c>
      <c r="F1829" s="75"/>
    </row>
    <row r="1830" spans="1:6" ht="14.25" customHeight="1" x14ac:dyDescent="0.3">
      <c r="A1830" s="73">
        <v>43237</v>
      </c>
      <c r="B1830" s="74">
        <v>35149.120000000003</v>
      </c>
      <c r="C1830" s="74">
        <v>937</v>
      </c>
      <c r="D1830" s="74">
        <f t="shared" si="57"/>
        <v>-6.7698062539954529E-3</v>
      </c>
      <c r="E1830" s="74">
        <f t="shared" si="58"/>
        <v>6.4777120963607606E-3</v>
      </c>
      <c r="F1830" s="75"/>
    </row>
    <row r="1831" spans="1:6" ht="14.25" customHeight="1" x14ac:dyDescent="0.3">
      <c r="A1831" s="73">
        <v>43238</v>
      </c>
      <c r="B1831" s="74">
        <v>34848.300000000003</v>
      </c>
      <c r="C1831" s="74">
        <v>939.6</v>
      </c>
      <c r="D1831" s="74">
        <f t="shared" si="57"/>
        <v>-8.5952268524799851E-3</v>
      </c>
      <c r="E1831" s="74">
        <f t="shared" si="58"/>
        <v>2.7709705463355243E-3</v>
      </c>
      <c r="F1831" s="75"/>
    </row>
    <row r="1832" spans="1:6" ht="14.25" customHeight="1" x14ac:dyDescent="0.3">
      <c r="A1832" s="73">
        <v>43241</v>
      </c>
      <c r="B1832" s="74">
        <v>34616.129999999997</v>
      </c>
      <c r="C1832" s="74">
        <v>916.4</v>
      </c>
      <c r="D1832" s="74">
        <f t="shared" si="57"/>
        <v>-6.6845971245983711E-3</v>
      </c>
      <c r="E1832" s="74">
        <f t="shared" si="58"/>
        <v>-2.500130220541727E-2</v>
      </c>
      <c r="F1832" s="75"/>
    </row>
    <row r="1833" spans="1:6" ht="14.25" customHeight="1" x14ac:dyDescent="0.3">
      <c r="A1833" s="73">
        <v>43242</v>
      </c>
      <c r="B1833" s="74">
        <v>34651.24</v>
      </c>
      <c r="C1833" s="74">
        <v>914.9</v>
      </c>
      <c r="D1833" s="74">
        <f t="shared" si="57"/>
        <v>1.013753027056267E-3</v>
      </c>
      <c r="E1833" s="74">
        <f t="shared" si="58"/>
        <v>-1.6381808938509153E-3</v>
      </c>
      <c r="F1833" s="75"/>
    </row>
    <row r="1834" spans="1:6" ht="14.25" customHeight="1" x14ac:dyDescent="0.3">
      <c r="A1834" s="73">
        <v>43243</v>
      </c>
      <c r="B1834" s="74">
        <v>34344.910000000003</v>
      </c>
      <c r="C1834" s="74">
        <v>918.3</v>
      </c>
      <c r="D1834" s="74">
        <f t="shared" si="57"/>
        <v>-8.8796842377405292E-3</v>
      </c>
      <c r="E1834" s="74">
        <f t="shared" si="58"/>
        <v>3.7093649339869752E-3</v>
      </c>
      <c r="F1834" s="75"/>
    </row>
    <row r="1835" spans="1:6" ht="14.25" customHeight="1" x14ac:dyDescent="0.3">
      <c r="A1835" s="73">
        <v>43244</v>
      </c>
      <c r="B1835" s="74">
        <v>34663.11</v>
      </c>
      <c r="C1835" s="74">
        <v>921.25</v>
      </c>
      <c r="D1835" s="74">
        <f t="shared" si="57"/>
        <v>9.2221818624325016E-3</v>
      </c>
      <c r="E1835" s="74">
        <f t="shared" si="58"/>
        <v>3.2073088840698211E-3</v>
      </c>
      <c r="F1835" s="75"/>
    </row>
    <row r="1836" spans="1:6" ht="14.25" customHeight="1" x14ac:dyDescent="0.3">
      <c r="A1836" s="73">
        <v>43245</v>
      </c>
      <c r="B1836" s="74">
        <v>34924.870000000003</v>
      </c>
      <c r="C1836" s="74">
        <v>923.85</v>
      </c>
      <c r="D1836" s="74">
        <f t="shared" si="57"/>
        <v>7.5231738180366109E-3</v>
      </c>
      <c r="E1836" s="74">
        <f t="shared" si="58"/>
        <v>2.8182772976156059E-3</v>
      </c>
      <c r="F1836" s="75"/>
    </row>
    <row r="1837" spans="1:6" ht="14.25" customHeight="1" x14ac:dyDescent="0.3">
      <c r="A1837" s="73">
        <v>43248</v>
      </c>
      <c r="B1837" s="74">
        <v>35165.480000000003</v>
      </c>
      <c r="C1837" s="74">
        <v>929.15</v>
      </c>
      <c r="D1837" s="74">
        <f t="shared" si="57"/>
        <v>6.865736728730077E-3</v>
      </c>
      <c r="E1837" s="74">
        <f t="shared" si="58"/>
        <v>5.7204689184977772E-3</v>
      </c>
      <c r="F1837" s="75"/>
    </row>
    <row r="1838" spans="1:6" ht="14.25" customHeight="1" x14ac:dyDescent="0.3">
      <c r="A1838" s="73">
        <v>43249</v>
      </c>
      <c r="B1838" s="74">
        <v>34949.24</v>
      </c>
      <c r="C1838" s="74">
        <v>915.05</v>
      </c>
      <c r="D1838" s="74">
        <f t="shared" si="57"/>
        <v>-6.1681965099531205E-3</v>
      </c>
      <c r="E1838" s="74">
        <f t="shared" si="58"/>
        <v>-1.5291481128368395E-2</v>
      </c>
      <c r="F1838" s="75"/>
    </row>
    <row r="1839" spans="1:6" ht="14.25" customHeight="1" x14ac:dyDescent="0.3">
      <c r="A1839" s="73">
        <v>43250</v>
      </c>
      <c r="B1839" s="74">
        <v>34906.11</v>
      </c>
      <c r="C1839" s="74">
        <v>914.1</v>
      </c>
      <c r="D1839" s="74">
        <f t="shared" si="57"/>
        <v>-1.234837574515541E-3</v>
      </c>
      <c r="E1839" s="74">
        <f t="shared" si="58"/>
        <v>-1.0387339315181372E-3</v>
      </c>
      <c r="F1839" s="75"/>
    </row>
    <row r="1840" spans="1:6" ht="14.25" customHeight="1" x14ac:dyDescent="0.3">
      <c r="A1840" s="73">
        <v>43251</v>
      </c>
      <c r="B1840" s="74">
        <v>35322.379999999997</v>
      </c>
      <c r="C1840" s="74">
        <v>901.35</v>
      </c>
      <c r="D1840" s="74">
        <f t="shared" si="57"/>
        <v>1.1854871865655467E-2</v>
      </c>
      <c r="E1840" s="74">
        <f t="shared" si="58"/>
        <v>-1.4046335211726416E-2</v>
      </c>
      <c r="F1840" s="75"/>
    </row>
    <row r="1841" spans="1:6" ht="14.25" customHeight="1" x14ac:dyDescent="0.3">
      <c r="A1841" s="73">
        <v>43252</v>
      </c>
      <c r="B1841" s="74">
        <v>35227.26</v>
      </c>
      <c r="C1841" s="74">
        <v>901.4</v>
      </c>
      <c r="D1841" s="74">
        <f t="shared" si="57"/>
        <v>-2.6965426793813499E-3</v>
      </c>
      <c r="E1841" s="74">
        <f t="shared" si="58"/>
        <v>5.5470808501211519E-5</v>
      </c>
      <c r="F1841" s="75"/>
    </row>
    <row r="1842" spans="1:6" ht="14.25" customHeight="1" x14ac:dyDescent="0.3">
      <c r="A1842" s="73">
        <v>43255</v>
      </c>
      <c r="B1842" s="74">
        <v>35011.89</v>
      </c>
      <c r="C1842" s="74">
        <v>886.1</v>
      </c>
      <c r="D1842" s="74">
        <f t="shared" si="57"/>
        <v>-6.1324966193483368E-3</v>
      </c>
      <c r="E1842" s="74">
        <f t="shared" si="58"/>
        <v>-1.7119299203291128E-2</v>
      </c>
      <c r="F1842" s="75"/>
    </row>
    <row r="1843" spans="1:6" ht="14.25" customHeight="1" x14ac:dyDescent="0.3">
      <c r="A1843" s="73">
        <v>43256</v>
      </c>
      <c r="B1843" s="74">
        <v>34903.21</v>
      </c>
      <c r="C1843" s="74">
        <v>864.65</v>
      </c>
      <c r="D1843" s="74">
        <f t="shared" si="57"/>
        <v>-3.1089160291816759E-3</v>
      </c>
      <c r="E1843" s="74">
        <f t="shared" si="58"/>
        <v>-2.4505010281325568E-2</v>
      </c>
      <c r="F1843" s="75"/>
    </row>
    <row r="1844" spans="1:6" ht="14.25" customHeight="1" x14ac:dyDescent="0.3">
      <c r="A1844" s="73">
        <v>43257</v>
      </c>
      <c r="B1844" s="74">
        <v>35178.879999999997</v>
      </c>
      <c r="C1844" s="74">
        <v>899</v>
      </c>
      <c r="D1844" s="74">
        <f t="shared" si="57"/>
        <v>7.8671004759056449E-3</v>
      </c>
      <c r="E1844" s="74">
        <f t="shared" si="58"/>
        <v>3.8958233699689079E-2</v>
      </c>
      <c r="F1844" s="75"/>
    </row>
    <row r="1845" spans="1:6" ht="14.25" customHeight="1" x14ac:dyDescent="0.3">
      <c r="A1845" s="73">
        <v>43258</v>
      </c>
      <c r="B1845" s="74">
        <v>35463.08</v>
      </c>
      <c r="C1845" s="74">
        <v>888.7</v>
      </c>
      <c r="D1845" s="74">
        <f t="shared" si="57"/>
        <v>8.0462527741038577E-3</v>
      </c>
      <c r="E1845" s="74">
        <f t="shared" si="58"/>
        <v>-1.1523313727190711E-2</v>
      </c>
      <c r="F1845" s="75"/>
    </row>
    <row r="1846" spans="1:6" ht="14.25" customHeight="1" x14ac:dyDescent="0.3">
      <c r="A1846" s="73">
        <v>43259</v>
      </c>
      <c r="B1846" s="74">
        <v>35443.67</v>
      </c>
      <c r="C1846" s="74">
        <v>895.8</v>
      </c>
      <c r="D1846" s="74">
        <f t="shared" si="57"/>
        <v>-5.4747962598265777E-4</v>
      </c>
      <c r="E1846" s="74">
        <f t="shared" si="58"/>
        <v>7.9574530287700937E-3</v>
      </c>
      <c r="F1846" s="75"/>
    </row>
    <row r="1847" spans="1:6" ht="14.25" customHeight="1" x14ac:dyDescent="0.3">
      <c r="A1847" s="73">
        <v>43262</v>
      </c>
      <c r="B1847" s="74">
        <v>35483.47</v>
      </c>
      <c r="C1847" s="74">
        <v>901.75</v>
      </c>
      <c r="D1847" s="74">
        <f t="shared" si="57"/>
        <v>1.1222785573301065E-3</v>
      </c>
      <c r="E1847" s="74">
        <f t="shared" si="58"/>
        <v>6.6201460104486553E-3</v>
      </c>
      <c r="F1847" s="75"/>
    </row>
    <row r="1848" spans="1:6" ht="14.25" customHeight="1" x14ac:dyDescent="0.3">
      <c r="A1848" s="73">
        <v>43263</v>
      </c>
      <c r="B1848" s="74">
        <v>35692.519999999997</v>
      </c>
      <c r="C1848" s="74">
        <v>904</v>
      </c>
      <c r="D1848" s="74">
        <f t="shared" si="57"/>
        <v>5.8741887854194237E-3</v>
      </c>
      <c r="E1848" s="74">
        <f t="shared" si="58"/>
        <v>2.4920406085280817E-3</v>
      </c>
      <c r="F1848" s="75"/>
    </row>
    <row r="1849" spans="1:6" ht="14.25" customHeight="1" x14ac:dyDescent="0.3">
      <c r="A1849" s="73">
        <v>43264</v>
      </c>
      <c r="B1849" s="74">
        <v>35739.160000000003</v>
      </c>
      <c r="C1849" s="74">
        <v>918.65</v>
      </c>
      <c r="D1849" s="74">
        <f t="shared" si="57"/>
        <v>1.3058633544068686E-3</v>
      </c>
      <c r="E1849" s="74">
        <f t="shared" si="58"/>
        <v>1.6075840673567206E-2</v>
      </c>
      <c r="F1849" s="75"/>
    </row>
    <row r="1850" spans="1:6" ht="14.25" customHeight="1" x14ac:dyDescent="0.3">
      <c r="A1850" s="73">
        <v>43265</v>
      </c>
      <c r="B1850" s="74">
        <v>35599.82</v>
      </c>
      <c r="C1850" s="74">
        <v>905.3</v>
      </c>
      <c r="D1850" s="74">
        <f t="shared" si="57"/>
        <v>-3.9064247118694882E-3</v>
      </c>
      <c r="E1850" s="74">
        <f t="shared" si="58"/>
        <v>-1.4638820584349092E-2</v>
      </c>
      <c r="F1850" s="75"/>
    </row>
    <row r="1851" spans="1:6" ht="14.25" customHeight="1" x14ac:dyDescent="0.3">
      <c r="A1851" s="73">
        <v>43266</v>
      </c>
      <c r="B1851" s="74">
        <v>35622.14</v>
      </c>
      <c r="C1851" s="74">
        <v>903.55</v>
      </c>
      <c r="D1851" s="74">
        <f t="shared" si="57"/>
        <v>6.2677299896527242E-4</v>
      </c>
      <c r="E1851" s="74">
        <f t="shared" si="58"/>
        <v>-1.9349316372216741E-3</v>
      </c>
      <c r="F1851" s="75"/>
    </row>
    <row r="1852" spans="1:6" ht="14.25" customHeight="1" x14ac:dyDescent="0.3">
      <c r="A1852" s="73">
        <v>43269</v>
      </c>
      <c r="B1852" s="74">
        <v>35548.26</v>
      </c>
      <c r="C1852" s="74">
        <v>896.6</v>
      </c>
      <c r="D1852" s="74">
        <f t="shared" si="57"/>
        <v>-2.0761447606744308E-3</v>
      </c>
      <c r="E1852" s="74">
        <f t="shared" si="58"/>
        <v>-7.7216171228338196E-3</v>
      </c>
      <c r="F1852" s="75"/>
    </row>
    <row r="1853" spans="1:6" ht="14.25" customHeight="1" x14ac:dyDescent="0.3">
      <c r="A1853" s="73">
        <v>43270</v>
      </c>
      <c r="B1853" s="74">
        <v>35286.74</v>
      </c>
      <c r="C1853" s="74">
        <v>888.7</v>
      </c>
      <c r="D1853" s="74">
        <f t="shared" si="57"/>
        <v>-7.3839539276331096E-3</v>
      </c>
      <c r="E1853" s="74">
        <f t="shared" si="58"/>
        <v>-8.8501109769096101E-3</v>
      </c>
      <c r="F1853" s="75"/>
    </row>
    <row r="1854" spans="1:6" ht="14.25" customHeight="1" x14ac:dyDescent="0.3">
      <c r="A1854" s="73">
        <v>43271</v>
      </c>
      <c r="B1854" s="74">
        <v>35547.33</v>
      </c>
      <c r="C1854" s="74">
        <v>889.35</v>
      </c>
      <c r="D1854" s="74">
        <f t="shared" si="57"/>
        <v>7.3577919673750193E-3</v>
      </c>
      <c r="E1854" s="74">
        <f t="shared" si="58"/>
        <v>7.3113807705681502E-4</v>
      </c>
      <c r="F1854" s="75"/>
    </row>
    <row r="1855" spans="1:6" ht="14.25" customHeight="1" x14ac:dyDescent="0.3">
      <c r="A1855" s="73">
        <v>43272</v>
      </c>
      <c r="B1855" s="74">
        <v>35432.39</v>
      </c>
      <c r="C1855" s="74">
        <v>868.35</v>
      </c>
      <c r="D1855" s="74">
        <f t="shared" si="57"/>
        <v>-3.2386743838165514E-3</v>
      </c>
      <c r="E1855" s="74">
        <f t="shared" si="58"/>
        <v>-2.3895999628363127E-2</v>
      </c>
      <c r="F1855" s="75"/>
    </row>
    <row r="1856" spans="1:6" ht="14.25" customHeight="1" x14ac:dyDescent="0.3">
      <c r="A1856" s="73">
        <v>43273</v>
      </c>
      <c r="B1856" s="74">
        <v>35689.599999999999</v>
      </c>
      <c r="C1856" s="74">
        <v>876.7</v>
      </c>
      <c r="D1856" s="74">
        <f t="shared" si="57"/>
        <v>7.2329562584374672E-3</v>
      </c>
      <c r="E1856" s="74">
        <f t="shared" si="58"/>
        <v>9.5699994014165572E-3</v>
      </c>
      <c r="F1856" s="75"/>
    </row>
    <row r="1857" spans="1:6" ht="14.25" customHeight="1" x14ac:dyDescent="0.3">
      <c r="A1857" s="73">
        <v>43276</v>
      </c>
      <c r="B1857" s="74">
        <v>35470.35</v>
      </c>
      <c r="C1857" s="74">
        <v>863.45</v>
      </c>
      <c r="D1857" s="74">
        <f t="shared" si="57"/>
        <v>-6.1621935875770962E-3</v>
      </c>
      <c r="E1857" s="74">
        <f t="shared" si="58"/>
        <v>-1.5228866563860908E-2</v>
      </c>
      <c r="F1857" s="75"/>
    </row>
    <row r="1858" spans="1:6" ht="14.25" customHeight="1" x14ac:dyDescent="0.3">
      <c r="A1858" s="73">
        <v>43277</v>
      </c>
      <c r="B1858" s="74">
        <v>35490.04</v>
      </c>
      <c r="C1858" s="74">
        <v>871.9</v>
      </c>
      <c r="D1858" s="74">
        <f t="shared" si="57"/>
        <v>5.549575053163991E-4</v>
      </c>
      <c r="E1858" s="74">
        <f t="shared" si="58"/>
        <v>9.7387464030901597E-3</v>
      </c>
      <c r="F1858" s="75"/>
    </row>
    <row r="1859" spans="1:6" ht="14.25" customHeight="1" x14ac:dyDescent="0.3">
      <c r="A1859" s="73">
        <v>43278</v>
      </c>
      <c r="B1859" s="74">
        <v>35217.11</v>
      </c>
      <c r="C1859" s="74">
        <v>869.5</v>
      </c>
      <c r="D1859" s="74">
        <f t="shared" si="57"/>
        <v>-7.7200496847077693E-3</v>
      </c>
      <c r="E1859" s="74">
        <f t="shared" si="58"/>
        <v>-2.7564046394315499E-3</v>
      </c>
      <c r="F1859" s="75"/>
    </row>
    <row r="1860" spans="1:6" ht="14.25" customHeight="1" x14ac:dyDescent="0.3">
      <c r="A1860" s="73">
        <v>43279</v>
      </c>
      <c r="B1860" s="74">
        <v>35037.64</v>
      </c>
      <c r="C1860" s="74">
        <v>838.05</v>
      </c>
      <c r="D1860" s="74">
        <f t="shared" ref="D1860:D1923" si="59">LN(B1860/B1859)</f>
        <v>-5.1091318493158584E-3</v>
      </c>
      <c r="E1860" s="74">
        <f t="shared" ref="E1860:E1923" si="60">LN(C1860/C1859)</f>
        <v>-3.684056922107036E-2</v>
      </c>
      <c r="F1860" s="75"/>
    </row>
    <row r="1861" spans="1:6" ht="14.25" customHeight="1" x14ac:dyDescent="0.3">
      <c r="A1861" s="73">
        <v>43280</v>
      </c>
      <c r="B1861" s="74">
        <v>35423.480000000003</v>
      </c>
      <c r="C1861" s="74">
        <v>878.85</v>
      </c>
      <c r="D1861" s="74">
        <f t="shared" si="59"/>
        <v>1.0951964903228105E-2</v>
      </c>
      <c r="E1861" s="74">
        <f t="shared" si="60"/>
        <v>4.7536470085639861E-2</v>
      </c>
      <c r="F1861" s="75"/>
    </row>
    <row r="1862" spans="1:6" ht="14.25" customHeight="1" x14ac:dyDescent="0.3">
      <c r="A1862" s="73">
        <v>43283</v>
      </c>
      <c r="B1862" s="74">
        <v>35264.410000000003</v>
      </c>
      <c r="C1862" s="74">
        <v>897.05</v>
      </c>
      <c r="D1862" s="74">
        <f t="shared" si="59"/>
        <v>-4.5006370541415368E-3</v>
      </c>
      <c r="E1862" s="74">
        <f t="shared" si="60"/>
        <v>2.0497367206486046E-2</v>
      </c>
      <c r="F1862" s="75"/>
    </row>
    <row r="1863" spans="1:6" ht="14.25" customHeight="1" x14ac:dyDescent="0.3">
      <c r="A1863" s="73">
        <v>43284</v>
      </c>
      <c r="B1863" s="74">
        <v>35378.6</v>
      </c>
      <c r="C1863" s="74">
        <v>894.1</v>
      </c>
      <c r="D1863" s="74">
        <f t="shared" si="59"/>
        <v>3.2328775190831023E-3</v>
      </c>
      <c r="E1863" s="74">
        <f t="shared" si="60"/>
        <v>-3.2939761241209857E-3</v>
      </c>
      <c r="F1863" s="75"/>
    </row>
    <row r="1864" spans="1:6" ht="14.25" customHeight="1" x14ac:dyDescent="0.3">
      <c r="A1864" s="73">
        <v>43285</v>
      </c>
      <c r="B1864" s="74">
        <v>35645.4</v>
      </c>
      <c r="C1864" s="74">
        <v>887.4</v>
      </c>
      <c r="D1864" s="74">
        <f t="shared" si="59"/>
        <v>7.5129887068965629E-3</v>
      </c>
      <c r="E1864" s="74">
        <f t="shared" si="60"/>
        <v>-7.5217867964632798E-3</v>
      </c>
      <c r="F1864" s="75"/>
    </row>
    <row r="1865" spans="1:6" ht="14.25" customHeight="1" x14ac:dyDescent="0.3">
      <c r="A1865" s="73">
        <v>43286</v>
      </c>
      <c r="B1865" s="74">
        <v>35574.550000000003</v>
      </c>
      <c r="C1865" s="74">
        <v>837.9</v>
      </c>
      <c r="D1865" s="74">
        <f t="shared" si="59"/>
        <v>-1.9896117133461769E-3</v>
      </c>
      <c r="E1865" s="74">
        <f t="shared" si="60"/>
        <v>-5.7397077325568369E-2</v>
      </c>
      <c r="F1865" s="75"/>
    </row>
    <row r="1866" spans="1:6" ht="14.25" customHeight="1" x14ac:dyDescent="0.3">
      <c r="A1866" s="73">
        <v>43287</v>
      </c>
      <c r="B1866" s="74">
        <v>35657.86</v>
      </c>
      <c r="C1866" s="74">
        <v>830.95</v>
      </c>
      <c r="D1866" s="74">
        <f t="shared" si="59"/>
        <v>2.3391048536829961E-3</v>
      </c>
      <c r="E1866" s="74">
        <f t="shared" si="60"/>
        <v>-8.3291370457083853E-3</v>
      </c>
      <c r="F1866" s="75"/>
    </row>
    <row r="1867" spans="1:6" ht="14.25" customHeight="1" x14ac:dyDescent="0.3">
      <c r="A1867" s="73">
        <v>43290</v>
      </c>
      <c r="B1867" s="74">
        <v>35934.720000000001</v>
      </c>
      <c r="C1867" s="74">
        <v>821.95</v>
      </c>
      <c r="D1867" s="74">
        <f t="shared" si="59"/>
        <v>7.7343596264608083E-3</v>
      </c>
      <c r="E1867" s="74">
        <f t="shared" si="60"/>
        <v>-1.089005861801281E-2</v>
      </c>
      <c r="F1867" s="75"/>
    </row>
    <row r="1868" spans="1:6" ht="14.25" customHeight="1" x14ac:dyDescent="0.3">
      <c r="A1868" s="73">
        <v>43291</v>
      </c>
      <c r="B1868" s="74">
        <v>36239.620000000003</v>
      </c>
      <c r="C1868" s="74">
        <v>831.95</v>
      </c>
      <c r="D1868" s="74">
        <f t="shared" si="59"/>
        <v>8.449036424929569E-3</v>
      </c>
      <c r="E1868" s="74">
        <f t="shared" si="60"/>
        <v>1.209277690599693E-2</v>
      </c>
      <c r="F1868" s="75"/>
    </row>
    <row r="1869" spans="1:6" ht="14.25" customHeight="1" x14ac:dyDescent="0.3">
      <c r="A1869" s="73">
        <v>43292</v>
      </c>
      <c r="B1869" s="74">
        <v>36265.93</v>
      </c>
      <c r="C1869" s="74">
        <v>810.7</v>
      </c>
      <c r="D1869" s="74">
        <f t="shared" si="59"/>
        <v>7.2573757884117514E-4</v>
      </c>
      <c r="E1869" s="74">
        <f t="shared" si="60"/>
        <v>-2.5874270867854779E-2</v>
      </c>
      <c r="F1869" s="75"/>
    </row>
    <row r="1870" spans="1:6" ht="14.25" customHeight="1" x14ac:dyDescent="0.3">
      <c r="A1870" s="73">
        <v>43293</v>
      </c>
      <c r="B1870" s="74">
        <v>36548.410000000003</v>
      </c>
      <c r="C1870" s="74">
        <v>808.85</v>
      </c>
      <c r="D1870" s="74">
        <f t="shared" si="59"/>
        <v>7.7589501501314712E-3</v>
      </c>
      <c r="E1870" s="74">
        <f t="shared" si="60"/>
        <v>-2.284586217958491E-3</v>
      </c>
      <c r="F1870" s="75"/>
    </row>
    <row r="1871" spans="1:6" ht="14.25" customHeight="1" x14ac:dyDescent="0.3">
      <c r="A1871" s="73">
        <v>43294</v>
      </c>
      <c r="B1871" s="74">
        <v>36541.629999999997</v>
      </c>
      <c r="C1871" s="74">
        <v>836.5</v>
      </c>
      <c r="D1871" s="74">
        <f t="shared" si="59"/>
        <v>-1.8552459458094601E-4</v>
      </c>
      <c r="E1871" s="74">
        <f t="shared" si="60"/>
        <v>3.3613034651175495E-2</v>
      </c>
      <c r="F1871" s="75"/>
    </row>
    <row r="1872" spans="1:6" ht="14.25" customHeight="1" x14ac:dyDescent="0.3">
      <c r="A1872" s="73">
        <v>43297</v>
      </c>
      <c r="B1872" s="74">
        <v>36323.769999999997</v>
      </c>
      <c r="C1872" s="74">
        <v>829.7</v>
      </c>
      <c r="D1872" s="74">
        <f t="shared" si="59"/>
        <v>-5.9798106972190528E-3</v>
      </c>
      <c r="E1872" s="74">
        <f t="shared" si="60"/>
        <v>-8.1623307566389587E-3</v>
      </c>
      <c r="F1872" s="75"/>
    </row>
    <row r="1873" spans="1:6" ht="14.25" customHeight="1" x14ac:dyDescent="0.3">
      <c r="A1873" s="73">
        <v>43298</v>
      </c>
      <c r="B1873" s="74">
        <v>36519.96</v>
      </c>
      <c r="C1873" s="74">
        <v>844.15</v>
      </c>
      <c r="D1873" s="74">
        <f t="shared" si="59"/>
        <v>5.3866125301535858E-3</v>
      </c>
      <c r="E1873" s="74">
        <f t="shared" si="60"/>
        <v>1.7266014252962997E-2</v>
      </c>
      <c r="F1873" s="75"/>
    </row>
    <row r="1874" spans="1:6" ht="14.25" customHeight="1" x14ac:dyDescent="0.3">
      <c r="A1874" s="73">
        <v>43299</v>
      </c>
      <c r="B1874" s="74">
        <v>36373.440000000002</v>
      </c>
      <c r="C1874" s="74">
        <v>844.4</v>
      </c>
      <c r="D1874" s="74">
        <f t="shared" si="59"/>
        <v>-4.0201224618538998E-3</v>
      </c>
      <c r="E1874" s="74">
        <f t="shared" si="60"/>
        <v>2.9611205096282924E-4</v>
      </c>
      <c r="F1874" s="75"/>
    </row>
    <row r="1875" spans="1:6" ht="14.25" customHeight="1" x14ac:dyDescent="0.3">
      <c r="A1875" s="73">
        <v>43300</v>
      </c>
      <c r="B1875" s="74">
        <v>36351.230000000003</v>
      </c>
      <c r="C1875" s="74">
        <v>867.55</v>
      </c>
      <c r="D1875" s="74">
        <f t="shared" si="59"/>
        <v>-6.1079687788185037E-4</v>
      </c>
      <c r="E1875" s="74">
        <f t="shared" si="60"/>
        <v>2.704683107351508E-2</v>
      </c>
      <c r="F1875" s="75"/>
    </row>
    <row r="1876" spans="1:6" ht="14.25" customHeight="1" x14ac:dyDescent="0.3">
      <c r="A1876" s="73">
        <v>43301</v>
      </c>
      <c r="B1876" s="74">
        <v>36496.370000000003</v>
      </c>
      <c r="C1876" s="74">
        <v>860</v>
      </c>
      <c r="D1876" s="74">
        <f t="shared" si="59"/>
        <v>3.9847624917876429E-3</v>
      </c>
      <c r="E1876" s="74">
        <f t="shared" si="60"/>
        <v>-8.7407578001272562E-3</v>
      </c>
      <c r="F1876" s="75"/>
    </row>
    <row r="1877" spans="1:6" ht="14.25" customHeight="1" x14ac:dyDescent="0.3">
      <c r="A1877" s="73">
        <v>43304</v>
      </c>
      <c r="B1877" s="74">
        <v>36718.6</v>
      </c>
      <c r="C1877" s="74">
        <v>858.05</v>
      </c>
      <c r="D1877" s="74">
        <f t="shared" si="59"/>
        <v>6.0706350758377775E-3</v>
      </c>
      <c r="E1877" s="74">
        <f t="shared" si="60"/>
        <v>-2.2700163992413307E-3</v>
      </c>
      <c r="F1877" s="75"/>
    </row>
    <row r="1878" spans="1:6" ht="14.25" customHeight="1" x14ac:dyDescent="0.3">
      <c r="A1878" s="73">
        <v>43305</v>
      </c>
      <c r="B1878" s="74">
        <v>36825.1</v>
      </c>
      <c r="C1878" s="74">
        <v>859.45</v>
      </c>
      <c r="D1878" s="74">
        <f t="shared" si="59"/>
        <v>2.8962392277048776E-3</v>
      </c>
      <c r="E1878" s="74">
        <f t="shared" si="60"/>
        <v>1.6302769258540197E-3</v>
      </c>
      <c r="F1878" s="75"/>
    </row>
    <row r="1879" spans="1:6" ht="14.25" customHeight="1" x14ac:dyDescent="0.3">
      <c r="A1879" s="73">
        <v>43306</v>
      </c>
      <c r="B1879" s="74">
        <v>36858.230000000003</v>
      </c>
      <c r="C1879" s="74">
        <v>864.55</v>
      </c>
      <c r="D1879" s="74">
        <f t="shared" si="59"/>
        <v>8.9925366382261692E-4</v>
      </c>
      <c r="E1879" s="74">
        <f t="shared" si="60"/>
        <v>5.916490576632307E-3</v>
      </c>
      <c r="F1879" s="75"/>
    </row>
    <row r="1880" spans="1:6" ht="14.25" customHeight="1" x14ac:dyDescent="0.3">
      <c r="A1880" s="73">
        <v>43307</v>
      </c>
      <c r="B1880" s="74">
        <v>36984.639999999999</v>
      </c>
      <c r="C1880" s="74">
        <v>854.3</v>
      </c>
      <c r="D1880" s="74">
        <f t="shared" si="59"/>
        <v>3.4237597613107217E-3</v>
      </c>
      <c r="E1880" s="74">
        <f t="shared" si="60"/>
        <v>-1.192672019322541E-2</v>
      </c>
      <c r="F1880" s="75"/>
    </row>
    <row r="1881" spans="1:6" ht="14.25" customHeight="1" x14ac:dyDescent="0.3">
      <c r="A1881" s="73">
        <v>43308</v>
      </c>
      <c r="B1881" s="74">
        <v>37336.85</v>
      </c>
      <c r="C1881" s="74">
        <v>883.9</v>
      </c>
      <c r="D1881" s="74">
        <f t="shared" si="59"/>
        <v>9.4780833027072863E-3</v>
      </c>
      <c r="E1881" s="74">
        <f t="shared" si="60"/>
        <v>3.4061513909329329E-2</v>
      </c>
      <c r="F1881" s="75"/>
    </row>
    <row r="1882" spans="1:6" ht="14.25" customHeight="1" x14ac:dyDescent="0.3">
      <c r="A1882" s="73">
        <v>43311</v>
      </c>
      <c r="B1882" s="74">
        <v>37494.400000000001</v>
      </c>
      <c r="C1882" s="74">
        <v>891.45</v>
      </c>
      <c r="D1882" s="74">
        <f t="shared" si="59"/>
        <v>4.2108138723482014E-3</v>
      </c>
      <c r="E1882" s="74">
        <f t="shared" si="60"/>
        <v>8.5054164138770854E-3</v>
      </c>
      <c r="F1882" s="75"/>
    </row>
    <row r="1883" spans="1:6" ht="14.25" customHeight="1" x14ac:dyDescent="0.3">
      <c r="A1883" s="73">
        <v>43312</v>
      </c>
      <c r="B1883" s="74">
        <v>37606.58</v>
      </c>
      <c r="C1883" s="74">
        <v>910.45</v>
      </c>
      <c r="D1883" s="74">
        <f t="shared" si="59"/>
        <v>2.987446593435682E-3</v>
      </c>
      <c r="E1883" s="74">
        <f t="shared" si="60"/>
        <v>2.1089632297072929E-2</v>
      </c>
      <c r="F1883" s="75"/>
    </row>
    <row r="1884" spans="1:6" ht="14.25" customHeight="1" x14ac:dyDescent="0.3">
      <c r="A1884" s="73">
        <v>43313</v>
      </c>
      <c r="B1884" s="74">
        <v>37521.620000000003</v>
      </c>
      <c r="C1884" s="74">
        <v>916.85</v>
      </c>
      <c r="D1884" s="74">
        <f t="shared" si="59"/>
        <v>-2.2617349069283272E-3</v>
      </c>
      <c r="E1884" s="74">
        <f t="shared" si="60"/>
        <v>7.0048992173212758E-3</v>
      </c>
      <c r="F1884" s="75"/>
    </row>
    <row r="1885" spans="1:6" ht="14.25" customHeight="1" x14ac:dyDescent="0.3">
      <c r="A1885" s="73">
        <v>43314</v>
      </c>
      <c r="B1885" s="74">
        <v>37165.160000000003</v>
      </c>
      <c r="C1885" s="74">
        <v>920.7</v>
      </c>
      <c r="D1885" s="74">
        <f t="shared" si="59"/>
        <v>-9.5455368844265722E-3</v>
      </c>
      <c r="E1885" s="74">
        <f t="shared" si="60"/>
        <v>4.1903682986267291E-3</v>
      </c>
      <c r="F1885" s="75"/>
    </row>
    <row r="1886" spans="1:6" ht="14.25" customHeight="1" x14ac:dyDescent="0.3">
      <c r="A1886" s="73">
        <v>43315</v>
      </c>
      <c r="B1886" s="74">
        <v>37556.160000000003</v>
      </c>
      <c r="C1886" s="74">
        <v>918.3</v>
      </c>
      <c r="D1886" s="74">
        <f t="shared" si="59"/>
        <v>1.0465649398057643E-2</v>
      </c>
      <c r="E1886" s="74">
        <f t="shared" si="60"/>
        <v>-2.6101156743238135E-3</v>
      </c>
      <c r="F1886" s="75"/>
    </row>
    <row r="1887" spans="1:6" ht="14.25" customHeight="1" x14ac:dyDescent="0.3">
      <c r="A1887" s="73">
        <v>43318</v>
      </c>
      <c r="B1887" s="74">
        <v>37691.89</v>
      </c>
      <c r="C1887" s="74">
        <v>902.8</v>
      </c>
      <c r="D1887" s="74">
        <f t="shared" si="59"/>
        <v>3.6075392572428315E-3</v>
      </c>
      <c r="E1887" s="74">
        <f t="shared" si="60"/>
        <v>-1.7023089676095941E-2</v>
      </c>
      <c r="F1887" s="75"/>
    </row>
    <row r="1888" spans="1:6" ht="14.25" customHeight="1" x14ac:dyDescent="0.3">
      <c r="A1888" s="73">
        <v>43319</v>
      </c>
      <c r="B1888" s="74">
        <v>37665.800000000003</v>
      </c>
      <c r="C1888" s="74">
        <v>924.75</v>
      </c>
      <c r="D1888" s="74">
        <f t="shared" si="59"/>
        <v>-6.9243101911494376E-4</v>
      </c>
      <c r="E1888" s="74">
        <f t="shared" si="60"/>
        <v>2.4022385769182746E-2</v>
      </c>
      <c r="F1888" s="75"/>
    </row>
    <row r="1889" spans="1:6" ht="14.25" customHeight="1" x14ac:dyDescent="0.3">
      <c r="A1889" s="73">
        <v>43320</v>
      </c>
      <c r="B1889" s="74">
        <v>37887.56</v>
      </c>
      <c r="C1889" s="74">
        <v>935.2</v>
      </c>
      <c r="D1889" s="74">
        <f t="shared" si="59"/>
        <v>5.8703050884654469E-3</v>
      </c>
      <c r="E1889" s="74">
        <f t="shared" si="60"/>
        <v>1.1236979445295225E-2</v>
      </c>
      <c r="F1889" s="75"/>
    </row>
    <row r="1890" spans="1:6" ht="14.25" customHeight="1" x14ac:dyDescent="0.3">
      <c r="A1890" s="73">
        <v>43321</v>
      </c>
      <c r="B1890" s="74">
        <v>38024.370000000003</v>
      </c>
      <c r="C1890" s="74">
        <v>914.65</v>
      </c>
      <c r="D1890" s="74">
        <f t="shared" si="59"/>
        <v>3.6044439423363181E-3</v>
      </c>
      <c r="E1890" s="74">
        <f t="shared" si="60"/>
        <v>-2.2218931720551546E-2</v>
      </c>
      <c r="F1890" s="75"/>
    </row>
    <row r="1891" spans="1:6" ht="14.25" customHeight="1" x14ac:dyDescent="0.3">
      <c r="A1891" s="73">
        <v>43322</v>
      </c>
      <c r="B1891" s="74">
        <v>37869.230000000003</v>
      </c>
      <c r="C1891" s="74">
        <v>920.5</v>
      </c>
      <c r="D1891" s="74">
        <f t="shared" si="59"/>
        <v>-4.0883609709670239E-3</v>
      </c>
      <c r="E1891" s="74">
        <f t="shared" si="60"/>
        <v>6.3755222358253729E-3</v>
      </c>
      <c r="F1891" s="75"/>
    </row>
    <row r="1892" spans="1:6" ht="14.25" customHeight="1" x14ac:dyDescent="0.3">
      <c r="A1892" s="73">
        <v>43325</v>
      </c>
      <c r="B1892" s="74">
        <v>37644.9</v>
      </c>
      <c r="C1892" s="74">
        <v>915.5</v>
      </c>
      <c r="D1892" s="74">
        <f t="shared" si="59"/>
        <v>-5.9414220865148777E-3</v>
      </c>
      <c r="E1892" s="74">
        <f t="shared" si="60"/>
        <v>-5.4466365585671434E-3</v>
      </c>
      <c r="F1892" s="75"/>
    </row>
    <row r="1893" spans="1:6" ht="14.25" customHeight="1" x14ac:dyDescent="0.3">
      <c r="A1893" s="73">
        <v>43326</v>
      </c>
      <c r="B1893" s="74">
        <v>37852</v>
      </c>
      <c r="C1893" s="74">
        <v>925.9</v>
      </c>
      <c r="D1893" s="74">
        <f t="shared" si="59"/>
        <v>5.4863317427003844E-3</v>
      </c>
      <c r="E1893" s="74">
        <f t="shared" si="60"/>
        <v>1.1295873339436052E-2</v>
      </c>
      <c r="F1893" s="75"/>
    </row>
    <row r="1894" spans="1:6" ht="14.25" customHeight="1" x14ac:dyDescent="0.3">
      <c r="A1894" s="73">
        <v>43328</v>
      </c>
      <c r="B1894" s="74">
        <v>37663.56</v>
      </c>
      <c r="C1894" s="74">
        <v>919.25</v>
      </c>
      <c r="D1894" s="74">
        <f t="shared" si="59"/>
        <v>-4.9907698793486841E-3</v>
      </c>
      <c r="E1894" s="74">
        <f t="shared" si="60"/>
        <v>-7.2081172726199899E-3</v>
      </c>
      <c r="F1894" s="75"/>
    </row>
    <row r="1895" spans="1:6" ht="14.25" customHeight="1" x14ac:dyDescent="0.3">
      <c r="A1895" s="73">
        <v>43329</v>
      </c>
      <c r="B1895" s="74">
        <v>37947.879999999997</v>
      </c>
      <c r="C1895" s="74">
        <v>941.1</v>
      </c>
      <c r="D1895" s="74">
        <f t="shared" si="59"/>
        <v>7.5205905370050227E-3</v>
      </c>
      <c r="E1895" s="74">
        <f t="shared" si="60"/>
        <v>2.3491283683360824E-2</v>
      </c>
      <c r="F1895" s="75"/>
    </row>
    <row r="1896" spans="1:6" ht="14.25" customHeight="1" x14ac:dyDescent="0.3">
      <c r="A1896" s="73">
        <v>43332</v>
      </c>
      <c r="B1896" s="74">
        <v>38278.75</v>
      </c>
      <c r="C1896" s="74">
        <v>922.4</v>
      </c>
      <c r="D1896" s="74">
        <f t="shared" si="59"/>
        <v>8.6812726204717472E-3</v>
      </c>
      <c r="E1896" s="74">
        <f t="shared" si="60"/>
        <v>-2.0070434909892923E-2</v>
      </c>
      <c r="F1896" s="75"/>
    </row>
    <row r="1897" spans="1:6" ht="14.25" customHeight="1" x14ac:dyDescent="0.3">
      <c r="A1897" s="73">
        <v>43333</v>
      </c>
      <c r="B1897" s="74">
        <v>38285.75</v>
      </c>
      <c r="C1897" s="74">
        <v>916.05</v>
      </c>
      <c r="D1897" s="74">
        <f t="shared" si="59"/>
        <v>1.8285236681503638E-4</v>
      </c>
      <c r="E1897" s="74">
        <f t="shared" si="60"/>
        <v>-6.908020617595885E-3</v>
      </c>
      <c r="F1897" s="75"/>
    </row>
    <row r="1898" spans="1:6" ht="14.25" customHeight="1" x14ac:dyDescent="0.3">
      <c r="A1898" s="73">
        <v>43335</v>
      </c>
      <c r="B1898" s="74">
        <v>38336.76</v>
      </c>
      <c r="C1898" s="74">
        <v>911.9</v>
      </c>
      <c r="D1898" s="74">
        <f t="shared" si="59"/>
        <v>1.3314627133945874E-3</v>
      </c>
      <c r="E1898" s="74">
        <f t="shared" si="60"/>
        <v>-4.5406133976336272E-3</v>
      </c>
      <c r="F1898" s="75"/>
    </row>
    <row r="1899" spans="1:6" ht="14.25" customHeight="1" x14ac:dyDescent="0.3">
      <c r="A1899" s="73">
        <v>43336</v>
      </c>
      <c r="B1899" s="74">
        <v>38251.800000000003</v>
      </c>
      <c r="C1899" s="74">
        <v>887.95</v>
      </c>
      <c r="D1899" s="74">
        <f t="shared" si="59"/>
        <v>-2.2186090154810599E-3</v>
      </c>
      <c r="E1899" s="74">
        <f t="shared" si="60"/>
        <v>-2.6614899839015566E-2</v>
      </c>
      <c r="F1899" s="75"/>
    </row>
    <row r="1900" spans="1:6" ht="14.25" customHeight="1" x14ac:dyDescent="0.3">
      <c r="A1900" s="73">
        <v>43339</v>
      </c>
      <c r="B1900" s="74">
        <v>38694.11</v>
      </c>
      <c r="C1900" s="74">
        <v>892.9</v>
      </c>
      <c r="D1900" s="74">
        <f t="shared" si="59"/>
        <v>1.1496774081419851E-2</v>
      </c>
      <c r="E1900" s="74">
        <f t="shared" si="60"/>
        <v>5.5591574225664015E-3</v>
      </c>
      <c r="F1900" s="75"/>
    </row>
    <row r="1901" spans="1:6" ht="14.25" customHeight="1" x14ac:dyDescent="0.3">
      <c r="A1901" s="73">
        <v>43340</v>
      </c>
      <c r="B1901" s="74">
        <v>38896.629999999997</v>
      </c>
      <c r="C1901" s="74">
        <v>888.7</v>
      </c>
      <c r="D1901" s="74">
        <f t="shared" si="59"/>
        <v>5.2202224105902329E-3</v>
      </c>
      <c r="E1901" s="74">
        <f t="shared" si="60"/>
        <v>-4.7148717787411105E-3</v>
      </c>
      <c r="F1901" s="75"/>
    </row>
    <row r="1902" spans="1:6" ht="14.25" customHeight="1" x14ac:dyDescent="0.3">
      <c r="A1902" s="73">
        <v>43341</v>
      </c>
      <c r="B1902" s="74">
        <v>38722.93</v>
      </c>
      <c r="C1902" s="74">
        <v>882.05</v>
      </c>
      <c r="D1902" s="74">
        <f t="shared" si="59"/>
        <v>-4.4756834478157682E-3</v>
      </c>
      <c r="E1902" s="74">
        <f t="shared" si="60"/>
        <v>-7.5109770020147081E-3</v>
      </c>
      <c r="F1902" s="75"/>
    </row>
    <row r="1903" spans="1:6" ht="14.25" customHeight="1" x14ac:dyDescent="0.3">
      <c r="A1903" s="73">
        <v>43342</v>
      </c>
      <c r="B1903" s="74">
        <v>38690.1</v>
      </c>
      <c r="C1903" s="74">
        <v>878.4</v>
      </c>
      <c r="D1903" s="74">
        <f t="shared" si="59"/>
        <v>-8.4817767675993692E-4</v>
      </c>
      <c r="E1903" s="74">
        <f t="shared" si="60"/>
        <v>-4.1466729871486889E-3</v>
      </c>
      <c r="F1903" s="75"/>
    </row>
    <row r="1904" spans="1:6" ht="14.25" customHeight="1" x14ac:dyDescent="0.3">
      <c r="A1904" s="73">
        <v>43343</v>
      </c>
      <c r="B1904" s="74">
        <v>38645.07</v>
      </c>
      <c r="C1904" s="74">
        <v>890.7</v>
      </c>
      <c r="D1904" s="74">
        <f t="shared" si="59"/>
        <v>-1.1645414392695824E-3</v>
      </c>
      <c r="E1904" s="74">
        <f t="shared" si="60"/>
        <v>1.3905599682557708E-2</v>
      </c>
      <c r="F1904" s="75"/>
    </row>
    <row r="1905" spans="1:6" ht="14.25" customHeight="1" x14ac:dyDescent="0.3">
      <c r="A1905" s="73">
        <v>43346</v>
      </c>
      <c r="B1905" s="74">
        <v>38312.519999999997</v>
      </c>
      <c r="C1905" s="74">
        <v>910.5</v>
      </c>
      <c r="D1905" s="74">
        <f t="shared" si="59"/>
        <v>-8.6424761978751326E-3</v>
      </c>
      <c r="E1905" s="74">
        <f t="shared" si="60"/>
        <v>2.1986228729838891E-2</v>
      </c>
      <c r="F1905" s="75"/>
    </row>
    <row r="1906" spans="1:6" ht="14.25" customHeight="1" x14ac:dyDescent="0.3">
      <c r="A1906" s="73">
        <v>43347</v>
      </c>
      <c r="B1906" s="74">
        <v>38157.919999999998</v>
      </c>
      <c r="C1906" s="74">
        <v>880.9</v>
      </c>
      <c r="D1906" s="74">
        <f t="shared" si="59"/>
        <v>-4.0433979621516897E-3</v>
      </c>
      <c r="E1906" s="74">
        <f t="shared" si="60"/>
        <v>-3.3049787051912652E-2</v>
      </c>
      <c r="F1906" s="75"/>
    </row>
    <row r="1907" spans="1:6" ht="14.25" customHeight="1" x14ac:dyDescent="0.3">
      <c r="A1907" s="73">
        <v>43348</v>
      </c>
      <c r="B1907" s="74">
        <v>38018.31</v>
      </c>
      <c r="C1907" s="74">
        <v>863.4</v>
      </c>
      <c r="D1907" s="74">
        <f t="shared" si="59"/>
        <v>-3.6654519739623926E-3</v>
      </c>
      <c r="E1907" s="74">
        <f t="shared" si="60"/>
        <v>-2.0066028994372865E-2</v>
      </c>
      <c r="F1907" s="75"/>
    </row>
    <row r="1908" spans="1:6" ht="14.25" customHeight="1" x14ac:dyDescent="0.3">
      <c r="A1908" s="73">
        <v>43349</v>
      </c>
      <c r="B1908" s="74">
        <v>38242.81</v>
      </c>
      <c r="C1908" s="74">
        <v>866.45</v>
      </c>
      <c r="D1908" s="74">
        <f t="shared" si="59"/>
        <v>5.887682964017823E-3</v>
      </c>
      <c r="E1908" s="74">
        <f t="shared" si="60"/>
        <v>3.5263209648774196E-3</v>
      </c>
      <c r="F1908" s="75"/>
    </row>
    <row r="1909" spans="1:6" ht="14.25" customHeight="1" x14ac:dyDescent="0.3">
      <c r="A1909" s="73">
        <v>43350</v>
      </c>
      <c r="B1909" s="74">
        <v>38389.82</v>
      </c>
      <c r="C1909" s="74">
        <v>866.5</v>
      </c>
      <c r="D1909" s="74">
        <f t="shared" si="59"/>
        <v>3.8367515336570498E-3</v>
      </c>
      <c r="E1909" s="74">
        <f t="shared" si="60"/>
        <v>5.7705069406340969E-5</v>
      </c>
      <c r="F1909" s="75"/>
    </row>
    <row r="1910" spans="1:6" ht="14.25" customHeight="1" x14ac:dyDescent="0.3">
      <c r="A1910" s="73">
        <v>43353</v>
      </c>
      <c r="B1910" s="74">
        <v>37922.17</v>
      </c>
      <c r="C1910" s="74">
        <v>857</v>
      </c>
      <c r="D1910" s="74">
        <f t="shared" si="59"/>
        <v>-1.2256418792805665E-2</v>
      </c>
      <c r="E1910" s="74">
        <f t="shared" si="60"/>
        <v>-1.1024190557881015E-2</v>
      </c>
      <c r="F1910" s="75"/>
    </row>
    <row r="1911" spans="1:6" ht="14.25" customHeight="1" x14ac:dyDescent="0.3">
      <c r="A1911" s="73">
        <v>43354</v>
      </c>
      <c r="B1911" s="74">
        <v>37413.129999999997</v>
      </c>
      <c r="C1911" s="74">
        <v>820.6</v>
      </c>
      <c r="D1911" s="74">
        <f t="shared" si="59"/>
        <v>-1.3514189159168981E-2</v>
      </c>
      <c r="E1911" s="74">
        <f t="shared" si="60"/>
        <v>-4.3402138589694009E-2</v>
      </c>
      <c r="F1911" s="75"/>
    </row>
    <row r="1912" spans="1:6" ht="14.25" customHeight="1" x14ac:dyDescent="0.3">
      <c r="A1912" s="73">
        <v>43355</v>
      </c>
      <c r="B1912" s="74">
        <v>37717.96</v>
      </c>
      <c r="C1912" s="74">
        <v>827.25</v>
      </c>
      <c r="D1912" s="74">
        <f t="shared" si="59"/>
        <v>8.114661259275199E-3</v>
      </c>
      <c r="E1912" s="74">
        <f t="shared" si="60"/>
        <v>8.0711667936357624E-3</v>
      </c>
      <c r="F1912" s="75"/>
    </row>
    <row r="1913" spans="1:6" ht="14.25" customHeight="1" x14ac:dyDescent="0.3">
      <c r="A1913" s="73">
        <v>43357</v>
      </c>
      <c r="B1913" s="74">
        <v>38090.639999999999</v>
      </c>
      <c r="C1913" s="74">
        <v>842.2</v>
      </c>
      <c r="D1913" s="74">
        <f t="shared" si="59"/>
        <v>9.832209071679263E-3</v>
      </c>
      <c r="E1913" s="74">
        <f t="shared" si="60"/>
        <v>1.7910568926105805E-2</v>
      </c>
      <c r="F1913" s="75"/>
    </row>
    <row r="1914" spans="1:6" ht="14.25" customHeight="1" x14ac:dyDescent="0.3">
      <c r="A1914" s="73">
        <v>43360</v>
      </c>
      <c r="B1914" s="74">
        <v>37585.51</v>
      </c>
      <c r="C1914" s="74">
        <v>824.1</v>
      </c>
      <c r="D1914" s="74">
        <f t="shared" si="59"/>
        <v>-1.3349978879253129E-2</v>
      </c>
      <c r="E1914" s="74">
        <f t="shared" si="60"/>
        <v>-2.1725633958489525E-2</v>
      </c>
      <c r="F1914" s="75"/>
    </row>
    <row r="1915" spans="1:6" ht="14.25" customHeight="1" x14ac:dyDescent="0.3">
      <c r="A1915" s="73">
        <v>43361</v>
      </c>
      <c r="B1915" s="74">
        <v>37290.67</v>
      </c>
      <c r="C1915" s="74">
        <v>824.5</v>
      </c>
      <c r="D1915" s="74">
        <f t="shared" si="59"/>
        <v>-7.8754424676463486E-3</v>
      </c>
      <c r="E1915" s="74">
        <f t="shared" si="60"/>
        <v>4.8526023031569815E-4</v>
      </c>
      <c r="F1915" s="75"/>
    </row>
    <row r="1916" spans="1:6" ht="14.25" customHeight="1" x14ac:dyDescent="0.3">
      <c r="A1916" s="73">
        <v>43362</v>
      </c>
      <c r="B1916" s="74">
        <v>37121.22</v>
      </c>
      <c r="C1916" s="74">
        <v>823.95</v>
      </c>
      <c r="D1916" s="74">
        <f t="shared" si="59"/>
        <v>-4.5543875555510878E-3</v>
      </c>
      <c r="E1916" s="74">
        <f t="shared" si="60"/>
        <v>-6.6729354291448985E-4</v>
      </c>
      <c r="F1916" s="75"/>
    </row>
    <row r="1917" spans="1:6" ht="14.25" customHeight="1" x14ac:dyDescent="0.3">
      <c r="A1917" s="73">
        <v>43364</v>
      </c>
      <c r="B1917" s="74">
        <v>36841.599999999999</v>
      </c>
      <c r="C1917" s="74">
        <v>802.25</v>
      </c>
      <c r="D1917" s="74">
        <f t="shared" si="59"/>
        <v>-7.5611322600144335E-3</v>
      </c>
      <c r="E1917" s="74">
        <f t="shared" si="60"/>
        <v>-2.668956846677293E-2</v>
      </c>
      <c r="F1917" s="75"/>
    </row>
    <row r="1918" spans="1:6" ht="14.25" customHeight="1" x14ac:dyDescent="0.3">
      <c r="A1918" s="73">
        <v>43367</v>
      </c>
      <c r="B1918" s="74">
        <v>36305.019999999997</v>
      </c>
      <c r="C1918" s="74">
        <v>790.45</v>
      </c>
      <c r="D1918" s="74">
        <f t="shared" si="59"/>
        <v>-1.4671617776842619E-2</v>
      </c>
      <c r="E1918" s="74">
        <f t="shared" si="60"/>
        <v>-1.4817876447769504E-2</v>
      </c>
      <c r="F1918" s="75"/>
    </row>
    <row r="1919" spans="1:6" ht="14.25" customHeight="1" x14ac:dyDescent="0.3">
      <c r="A1919" s="73">
        <v>43368</v>
      </c>
      <c r="B1919" s="74">
        <v>36652.06</v>
      </c>
      <c r="C1919" s="74">
        <v>794.6</v>
      </c>
      <c r="D1919" s="74">
        <f t="shared" si="59"/>
        <v>9.5136103997048548E-3</v>
      </c>
      <c r="E1919" s="74">
        <f t="shared" si="60"/>
        <v>5.236439838301736E-3</v>
      </c>
      <c r="F1919" s="75"/>
    </row>
    <row r="1920" spans="1:6" ht="14.25" customHeight="1" x14ac:dyDescent="0.3">
      <c r="A1920" s="73">
        <v>43369</v>
      </c>
      <c r="B1920" s="74">
        <v>36542.269999999997</v>
      </c>
      <c r="C1920" s="74">
        <v>812.2</v>
      </c>
      <c r="D1920" s="74">
        <f t="shared" si="59"/>
        <v>-2.9999613997523464E-3</v>
      </c>
      <c r="E1920" s="74">
        <f t="shared" si="60"/>
        <v>2.190777187169882E-2</v>
      </c>
      <c r="F1920" s="75"/>
    </row>
    <row r="1921" spans="1:6" ht="14.25" customHeight="1" x14ac:dyDescent="0.3">
      <c r="A1921" s="73">
        <v>43370</v>
      </c>
      <c r="B1921" s="74">
        <v>36324.17</v>
      </c>
      <c r="C1921" s="74">
        <v>820</v>
      </c>
      <c r="D1921" s="74">
        <f t="shared" si="59"/>
        <v>-5.9863128023774879E-3</v>
      </c>
      <c r="E1921" s="74">
        <f t="shared" si="60"/>
        <v>9.5577250061013516E-3</v>
      </c>
      <c r="F1921" s="75"/>
    </row>
    <row r="1922" spans="1:6" ht="14.25" customHeight="1" x14ac:dyDescent="0.3">
      <c r="A1922" s="73">
        <v>43371</v>
      </c>
      <c r="B1922" s="74">
        <v>36227.14</v>
      </c>
      <c r="C1922" s="74">
        <v>805.5</v>
      </c>
      <c r="D1922" s="74">
        <f t="shared" si="59"/>
        <v>-2.6747982317742868E-3</v>
      </c>
      <c r="E1922" s="74">
        <f t="shared" si="60"/>
        <v>-1.7841137641269742E-2</v>
      </c>
      <c r="F1922" s="75"/>
    </row>
    <row r="1923" spans="1:6" ht="14.25" customHeight="1" x14ac:dyDescent="0.3">
      <c r="A1923" s="73">
        <v>43374</v>
      </c>
      <c r="B1923" s="74">
        <v>36526.14</v>
      </c>
      <c r="C1923" s="74">
        <v>810</v>
      </c>
      <c r="D1923" s="74">
        <f t="shared" si="59"/>
        <v>8.2196069625015324E-3</v>
      </c>
      <c r="E1923" s="74">
        <f t="shared" si="60"/>
        <v>5.5710450494554295E-3</v>
      </c>
      <c r="F1923" s="75"/>
    </row>
    <row r="1924" spans="1:6" ht="14.25" customHeight="1" x14ac:dyDescent="0.3">
      <c r="A1924" s="73">
        <v>43376</v>
      </c>
      <c r="B1924" s="74">
        <v>35975.629999999997</v>
      </c>
      <c r="C1924" s="74">
        <v>794.55</v>
      </c>
      <c r="D1924" s="74">
        <f t="shared" ref="D1924:D1987" si="61">LN(B1924/B1923)</f>
        <v>-1.5186403867349372E-2</v>
      </c>
      <c r="E1924" s="74">
        <f t="shared" ref="E1924:E1987" si="62">LN(C1924/C1923)</f>
        <v>-1.9258331007839132E-2</v>
      </c>
      <c r="F1924" s="75"/>
    </row>
    <row r="1925" spans="1:6" ht="14.25" customHeight="1" x14ac:dyDescent="0.3">
      <c r="A1925" s="73">
        <v>43377</v>
      </c>
      <c r="B1925" s="74">
        <v>35169.160000000003</v>
      </c>
      <c r="C1925" s="74">
        <v>776.15</v>
      </c>
      <c r="D1925" s="74">
        <f t="shared" si="61"/>
        <v>-2.2672202572692958E-2</v>
      </c>
      <c r="E1925" s="74">
        <f t="shared" si="62"/>
        <v>-2.3430116186193055E-2</v>
      </c>
      <c r="F1925" s="75"/>
    </row>
    <row r="1926" spans="1:6" ht="14.25" customHeight="1" x14ac:dyDescent="0.3">
      <c r="A1926" s="73">
        <v>43378</v>
      </c>
      <c r="B1926" s="74">
        <v>34376.99</v>
      </c>
      <c r="C1926" s="74">
        <v>792.75</v>
      </c>
      <c r="D1926" s="74">
        <f t="shared" si="61"/>
        <v>-2.2782116988413217E-2</v>
      </c>
      <c r="E1926" s="74">
        <f t="shared" si="62"/>
        <v>2.1162112946004411E-2</v>
      </c>
      <c r="F1926" s="75"/>
    </row>
    <row r="1927" spans="1:6" ht="14.25" customHeight="1" x14ac:dyDescent="0.3">
      <c r="A1927" s="73">
        <v>43381</v>
      </c>
      <c r="B1927" s="74">
        <v>34474.379999999997</v>
      </c>
      <c r="C1927" s="74">
        <v>812.7</v>
      </c>
      <c r="D1927" s="74">
        <f t="shared" si="61"/>
        <v>2.8289942510279524E-3</v>
      </c>
      <c r="E1927" s="74">
        <f t="shared" si="62"/>
        <v>2.4854124340702496E-2</v>
      </c>
      <c r="F1927" s="75"/>
    </row>
    <row r="1928" spans="1:6" ht="14.25" customHeight="1" x14ac:dyDescent="0.3">
      <c r="A1928" s="73">
        <v>43382</v>
      </c>
      <c r="B1928" s="74">
        <v>34299.47</v>
      </c>
      <c r="C1928" s="74">
        <v>750.35</v>
      </c>
      <c r="D1928" s="74">
        <f t="shared" si="61"/>
        <v>-5.0865373137713261E-3</v>
      </c>
      <c r="E1928" s="74">
        <f t="shared" si="62"/>
        <v>-7.9822273417160555E-2</v>
      </c>
      <c r="F1928" s="75"/>
    </row>
    <row r="1929" spans="1:6" ht="14.25" customHeight="1" x14ac:dyDescent="0.3">
      <c r="A1929" s="73">
        <v>43383</v>
      </c>
      <c r="B1929" s="74">
        <v>34760.89</v>
      </c>
      <c r="C1929" s="74">
        <v>787.85</v>
      </c>
      <c r="D1929" s="74">
        <f t="shared" si="61"/>
        <v>1.3363002054634695E-2</v>
      </c>
      <c r="E1929" s="74">
        <f t="shared" si="62"/>
        <v>4.8767952066055928E-2</v>
      </c>
      <c r="F1929" s="75"/>
    </row>
    <row r="1930" spans="1:6" ht="14.25" customHeight="1" x14ac:dyDescent="0.3">
      <c r="A1930" s="73">
        <v>43384</v>
      </c>
      <c r="B1930" s="74">
        <v>34001.15</v>
      </c>
      <c r="C1930" s="74">
        <v>779.9</v>
      </c>
      <c r="D1930" s="74">
        <f t="shared" si="61"/>
        <v>-2.2098556638533062E-2</v>
      </c>
      <c r="E1930" s="74">
        <f t="shared" si="62"/>
        <v>-1.0142010071602283E-2</v>
      </c>
      <c r="F1930" s="75"/>
    </row>
    <row r="1931" spans="1:6" ht="14.25" customHeight="1" x14ac:dyDescent="0.3">
      <c r="A1931" s="73">
        <v>43385</v>
      </c>
      <c r="B1931" s="74">
        <v>34733.58</v>
      </c>
      <c r="C1931" s="74">
        <v>805.6</v>
      </c>
      <c r="D1931" s="74">
        <f t="shared" si="61"/>
        <v>2.1312594779816445E-2</v>
      </c>
      <c r="E1931" s="74">
        <f t="shared" si="62"/>
        <v>3.2421635067900308E-2</v>
      </c>
      <c r="F1931" s="75"/>
    </row>
    <row r="1932" spans="1:6" ht="14.25" customHeight="1" x14ac:dyDescent="0.3">
      <c r="A1932" s="73">
        <v>43388</v>
      </c>
      <c r="B1932" s="74">
        <v>34865.1</v>
      </c>
      <c r="C1932" s="74">
        <v>808</v>
      </c>
      <c r="D1932" s="74">
        <f t="shared" si="61"/>
        <v>3.7793865214108334E-3</v>
      </c>
      <c r="E1932" s="74">
        <f t="shared" si="62"/>
        <v>2.9747171167428749E-3</v>
      </c>
      <c r="F1932" s="75"/>
    </row>
    <row r="1933" spans="1:6" ht="14.25" customHeight="1" x14ac:dyDescent="0.3">
      <c r="A1933" s="73">
        <v>43389</v>
      </c>
      <c r="B1933" s="74">
        <v>35162.480000000003</v>
      </c>
      <c r="C1933" s="74">
        <v>810.4</v>
      </c>
      <c r="D1933" s="74">
        <f t="shared" si="61"/>
        <v>8.493276153244524E-3</v>
      </c>
      <c r="E1933" s="74">
        <f t="shared" si="62"/>
        <v>2.965894413378248E-3</v>
      </c>
      <c r="F1933" s="75"/>
    </row>
    <row r="1934" spans="1:6" ht="14.25" customHeight="1" x14ac:dyDescent="0.3">
      <c r="A1934" s="73">
        <v>43390</v>
      </c>
      <c r="B1934" s="74">
        <v>34779.58</v>
      </c>
      <c r="C1934" s="74">
        <v>800.15</v>
      </c>
      <c r="D1934" s="74">
        <f t="shared" si="61"/>
        <v>-1.0949172080512789E-2</v>
      </c>
      <c r="E1934" s="74">
        <f t="shared" si="62"/>
        <v>-1.2728742842474329E-2</v>
      </c>
      <c r="F1934" s="75"/>
    </row>
    <row r="1935" spans="1:6" ht="14.25" customHeight="1" x14ac:dyDescent="0.3">
      <c r="A1935" s="73">
        <v>43392</v>
      </c>
      <c r="B1935" s="74">
        <v>34315.629999999997</v>
      </c>
      <c r="C1935" s="74">
        <v>789.3</v>
      </c>
      <c r="D1935" s="74">
        <f t="shared" si="61"/>
        <v>-1.3429497437379579E-2</v>
      </c>
      <c r="E1935" s="74">
        <f t="shared" si="62"/>
        <v>-1.3652733377642492E-2</v>
      </c>
      <c r="F1935" s="75"/>
    </row>
    <row r="1936" spans="1:6" ht="14.25" customHeight="1" x14ac:dyDescent="0.3">
      <c r="A1936" s="73">
        <v>43395</v>
      </c>
      <c r="B1936" s="74">
        <v>34134.379999999997</v>
      </c>
      <c r="C1936" s="74">
        <v>775.1</v>
      </c>
      <c r="D1936" s="74">
        <f t="shared" si="61"/>
        <v>-5.2958479804852254E-3</v>
      </c>
      <c r="E1936" s="74">
        <f t="shared" si="62"/>
        <v>-1.8154423426890963E-2</v>
      </c>
      <c r="F1936" s="75"/>
    </row>
    <row r="1937" spans="1:6" ht="14.25" customHeight="1" x14ac:dyDescent="0.3">
      <c r="A1937" s="73">
        <v>43396</v>
      </c>
      <c r="B1937" s="74">
        <v>33847.230000000003</v>
      </c>
      <c r="C1937" s="74">
        <v>778.3</v>
      </c>
      <c r="D1937" s="74">
        <f t="shared" si="61"/>
        <v>-8.447923129814008E-3</v>
      </c>
      <c r="E1937" s="74">
        <f t="shared" si="62"/>
        <v>4.1200006778765799E-3</v>
      </c>
      <c r="F1937" s="75"/>
    </row>
    <row r="1938" spans="1:6" ht="14.25" customHeight="1" x14ac:dyDescent="0.3">
      <c r="A1938" s="73">
        <v>43397</v>
      </c>
      <c r="B1938" s="74">
        <v>34033.96</v>
      </c>
      <c r="C1938" s="74">
        <v>790.85</v>
      </c>
      <c r="D1938" s="74">
        <f t="shared" si="61"/>
        <v>5.5016852534103804E-3</v>
      </c>
      <c r="E1938" s="74">
        <f t="shared" si="62"/>
        <v>1.5996262444155415E-2</v>
      </c>
      <c r="F1938" s="75"/>
    </row>
    <row r="1939" spans="1:6" ht="14.25" customHeight="1" x14ac:dyDescent="0.3">
      <c r="A1939" s="73">
        <v>43398</v>
      </c>
      <c r="B1939" s="74">
        <v>33690.089999999997</v>
      </c>
      <c r="C1939" s="74">
        <v>792.05</v>
      </c>
      <c r="D1939" s="74">
        <f t="shared" si="61"/>
        <v>-1.0155120822517729E-2</v>
      </c>
      <c r="E1939" s="74">
        <f t="shared" si="62"/>
        <v>1.5162047253617183E-3</v>
      </c>
      <c r="F1939" s="75"/>
    </row>
    <row r="1940" spans="1:6" ht="14.25" customHeight="1" x14ac:dyDescent="0.3">
      <c r="A1940" s="73">
        <v>43399</v>
      </c>
      <c r="B1940" s="74">
        <v>33349.31</v>
      </c>
      <c r="C1940" s="74">
        <v>807</v>
      </c>
      <c r="D1940" s="74">
        <f t="shared" si="61"/>
        <v>-1.0166646338317148E-2</v>
      </c>
      <c r="E1940" s="74">
        <f t="shared" si="62"/>
        <v>1.8699147135089238E-2</v>
      </c>
      <c r="F1940" s="75"/>
    </row>
    <row r="1941" spans="1:6" ht="14.25" customHeight="1" x14ac:dyDescent="0.3">
      <c r="A1941" s="73">
        <v>43402</v>
      </c>
      <c r="B1941" s="74">
        <v>34067.4</v>
      </c>
      <c r="C1941" s="74">
        <v>827.85</v>
      </c>
      <c r="D1941" s="74">
        <f t="shared" si="61"/>
        <v>2.1303832796164695E-2</v>
      </c>
      <c r="E1941" s="74">
        <f t="shared" si="62"/>
        <v>2.5508310283671204E-2</v>
      </c>
      <c r="F1941" s="75"/>
    </row>
    <row r="1942" spans="1:6" ht="14.25" customHeight="1" x14ac:dyDescent="0.3">
      <c r="A1942" s="73">
        <v>43403</v>
      </c>
      <c r="B1942" s="74">
        <v>33891.129999999997</v>
      </c>
      <c r="C1942" s="74">
        <v>829.65</v>
      </c>
      <c r="D1942" s="74">
        <f t="shared" si="61"/>
        <v>-5.1875870564258748E-3</v>
      </c>
      <c r="E1942" s="74">
        <f t="shared" si="62"/>
        <v>2.1719465551766717E-3</v>
      </c>
      <c r="F1942" s="75"/>
    </row>
    <row r="1943" spans="1:6" ht="14.25" customHeight="1" x14ac:dyDescent="0.3">
      <c r="A1943" s="73">
        <v>43404</v>
      </c>
      <c r="B1943" s="74">
        <v>34442.050000000003</v>
      </c>
      <c r="C1943" s="74">
        <v>844.05</v>
      </c>
      <c r="D1943" s="74">
        <f t="shared" si="61"/>
        <v>1.6124873365417007E-2</v>
      </c>
      <c r="E1943" s="74">
        <f t="shared" si="62"/>
        <v>1.7207809438601018E-2</v>
      </c>
      <c r="F1943" s="75"/>
    </row>
    <row r="1944" spans="1:6" ht="14.25" customHeight="1" x14ac:dyDescent="0.3">
      <c r="A1944" s="73">
        <v>43405</v>
      </c>
      <c r="B1944" s="74">
        <v>34431.97</v>
      </c>
      <c r="C1944" s="74">
        <v>852.75</v>
      </c>
      <c r="D1944" s="74">
        <f t="shared" si="61"/>
        <v>-2.9270834117051613E-4</v>
      </c>
      <c r="E1944" s="74">
        <f t="shared" si="62"/>
        <v>1.0254686751357413E-2</v>
      </c>
      <c r="F1944" s="75"/>
    </row>
    <row r="1945" spans="1:6" ht="14.25" customHeight="1" x14ac:dyDescent="0.3">
      <c r="A1945" s="73">
        <v>43406</v>
      </c>
      <c r="B1945" s="74">
        <v>35011.65</v>
      </c>
      <c r="C1945" s="74">
        <v>870.95</v>
      </c>
      <c r="D1945" s="74">
        <f t="shared" si="61"/>
        <v>1.6695369991209963E-2</v>
      </c>
      <c r="E1945" s="74">
        <f t="shared" si="62"/>
        <v>2.1118148624715605E-2</v>
      </c>
      <c r="F1945" s="75"/>
    </row>
    <row r="1946" spans="1:6" ht="14.25" customHeight="1" x14ac:dyDescent="0.3">
      <c r="A1946" s="73">
        <v>43409</v>
      </c>
      <c r="B1946" s="74">
        <v>34950.92</v>
      </c>
      <c r="C1946" s="74">
        <v>865.85</v>
      </c>
      <c r="D1946" s="74">
        <f t="shared" si="61"/>
        <v>-1.7360715952280043E-3</v>
      </c>
      <c r="E1946" s="74">
        <f t="shared" si="62"/>
        <v>-5.872886525310859E-3</v>
      </c>
      <c r="F1946" s="75"/>
    </row>
    <row r="1947" spans="1:6" ht="14.25" customHeight="1" x14ac:dyDescent="0.3">
      <c r="A1947" s="73">
        <v>43410</v>
      </c>
      <c r="B1947" s="74">
        <v>34991.910000000003</v>
      </c>
      <c r="C1947" s="74">
        <v>846.65</v>
      </c>
      <c r="D1947" s="74">
        <f t="shared" si="61"/>
        <v>1.1721002622496676E-3</v>
      </c>
      <c r="E1947" s="74">
        <f t="shared" si="62"/>
        <v>-2.24242972868103E-2</v>
      </c>
      <c r="F1947" s="75"/>
    </row>
    <row r="1948" spans="1:6" ht="14.25" customHeight="1" x14ac:dyDescent="0.3">
      <c r="A1948" s="73">
        <v>43411</v>
      </c>
      <c r="B1948" s="74">
        <v>35237.68</v>
      </c>
      <c r="C1948" s="74">
        <v>851.15</v>
      </c>
      <c r="D1948" s="74">
        <f t="shared" si="61"/>
        <v>6.9990727069357012E-3</v>
      </c>
      <c r="E1948" s="74">
        <f t="shared" si="62"/>
        <v>5.3009901492298691E-3</v>
      </c>
      <c r="F1948" s="75"/>
    </row>
    <row r="1949" spans="1:6" ht="14.25" customHeight="1" x14ac:dyDescent="0.3">
      <c r="A1949" s="73">
        <v>43413</v>
      </c>
      <c r="B1949" s="74">
        <v>35158.550000000003</v>
      </c>
      <c r="C1949" s="74">
        <v>848</v>
      </c>
      <c r="D1949" s="74">
        <f t="shared" si="61"/>
        <v>-2.2481327005033284E-3</v>
      </c>
      <c r="E1949" s="74">
        <f t="shared" si="62"/>
        <v>-3.7077404686763479E-3</v>
      </c>
      <c r="F1949" s="75"/>
    </row>
    <row r="1950" spans="1:6" ht="14.25" customHeight="1" x14ac:dyDescent="0.3">
      <c r="A1950" s="73">
        <v>43416</v>
      </c>
      <c r="B1950" s="74">
        <v>34812.99</v>
      </c>
      <c r="C1950" s="74">
        <v>892.8</v>
      </c>
      <c r="D1950" s="74">
        <f t="shared" si="61"/>
        <v>-9.8772389286810869E-3</v>
      </c>
      <c r="E1950" s="74">
        <f t="shared" si="62"/>
        <v>5.1481955835143409E-2</v>
      </c>
      <c r="F1950" s="75"/>
    </row>
    <row r="1951" spans="1:6" ht="14.25" customHeight="1" x14ac:dyDescent="0.3">
      <c r="A1951" s="73">
        <v>43417</v>
      </c>
      <c r="B1951" s="74">
        <v>35144.49</v>
      </c>
      <c r="C1951" s="74">
        <v>894.55</v>
      </c>
      <c r="D1951" s="74">
        <f t="shared" si="61"/>
        <v>9.4772562198977128E-3</v>
      </c>
      <c r="E1951" s="74">
        <f t="shared" si="62"/>
        <v>1.9582069087852342E-3</v>
      </c>
      <c r="F1951" s="75"/>
    </row>
    <row r="1952" spans="1:6" ht="14.25" customHeight="1" x14ac:dyDescent="0.3">
      <c r="A1952" s="73">
        <v>43418</v>
      </c>
      <c r="B1952" s="74">
        <v>35141.99</v>
      </c>
      <c r="C1952" s="74">
        <v>892.2</v>
      </c>
      <c r="D1952" s="74">
        <f t="shared" si="61"/>
        <v>-7.1137436418899737E-5</v>
      </c>
      <c r="E1952" s="74">
        <f t="shared" si="62"/>
        <v>-2.6304758416672899E-3</v>
      </c>
      <c r="F1952" s="75"/>
    </row>
    <row r="1953" spans="1:6" ht="14.25" customHeight="1" x14ac:dyDescent="0.3">
      <c r="A1953" s="73">
        <v>43419</v>
      </c>
      <c r="B1953" s="74">
        <v>35260.54</v>
      </c>
      <c r="C1953" s="74">
        <v>921.1</v>
      </c>
      <c r="D1953" s="74">
        <f t="shared" si="61"/>
        <v>3.3677798808909218E-3</v>
      </c>
      <c r="E1953" s="74">
        <f t="shared" si="62"/>
        <v>3.1878285300025379E-2</v>
      </c>
      <c r="F1953" s="75"/>
    </row>
    <row r="1954" spans="1:6" ht="14.25" customHeight="1" x14ac:dyDescent="0.3">
      <c r="A1954" s="73">
        <v>43420</v>
      </c>
      <c r="B1954" s="74">
        <v>35457.160000000003</v>
      </c>
      <c r="C1954" s="74">
        <v>918.35</v>
      </c>
      <c r="D1954" s="74">
        <f t="shared" si="61"/>
        <v>5.5607155393757228E-3</v>
      </c>
      <c r="E1954" s="74">
        <f t="shared" si="62"/>
        <v>-2.9900264196458864E-3</v>
      </c>
      <c r="F1954" s="75"/>
    </row>
    <row r="1955" spans="1:6" ht="14.25" customHeight="1" x14ac:dyDescent="0.3">
      <c r="A1955" s="73">
        <v>43423</v>
      </c>
      <c r="B1955" s="74">
        <v>35774.879999999997</v>
      </c>
      <c r="C1955" s="74">
        <v>920.7</v>
      </c>
      <c r="D1955" s="74">
        <f t="shared" si="61"/>
        <v>8.9207639430545736E-3</v>
      </c>
      <c r="E1955" s="74">
        <f t="shared" si="62"/>
        <v>2.5556687192561131E-3</v>
      </c>
      <c r="F1955" s="75"/>
    </row>
    <row r="1956" spans="1:6" ht="14.25" customHeight="1" x14ac:dyDescent="0.3">
      <c r="A1956" s="73">
        <v>43424</v>
      </c>
      <c r="B1956" s="74">
        <v>35474.51</v>
      </c>
      <c r="C1956" s="74">
        <v>915.35</v>
      </c>
      <c r="D1956" s="74">
        <f t="shared" si="61"/>
        <v>-8.4315607325276942E-3</v>
      </c>
      <c r="E1956" s="74">
        <f t="shared" si="62"/>
        <v>-5.8277444967764699E-3</v>
      </c>
      <c r="F1956" s="75"/>
    </row>
    <row r="1957" spans="1:6" ht="14.25" customHeight="1" x14ac:dyDescent="0.3">
      <c r="A1957" s="73">
        <v>43425</v>
      </c>
      <c r="B1957" s="74">
        <v>35199.800000000003</v>
      </c>
      <c r="C1957" s="74">
        <v>927.9</v>
      </c>
      <c r="D1957" s="74">
        <f t="shared" si="61"/>
        <v>-7.7740096369391188E-3</v>
      </c>
      <c r="E1957" s="74">
        <f t="shared" si="62"/>
        <v>1.3617462562109904E-2</v>
      </c>
      <c r="F1957" s="75"/>
    </row>
    <row r="1958" spans="1:6" ht="14.25" customHeight="1" x14ac:dyDescent="0.3">
      <c r="A1958" s="73">
        <v>43426</v>
      </c>
      <c r="B1958" s="74">
        <v>34981.019999999997</v>
      </c>
      <c r="C1958" s="74">
        <v>914.65</v>
      </c>
      <c r="D1958" s="74">
        <f t="shared" si="61"/>
        <v>-6.2347720846771156E-3</v>
      </c>
      <c r="E1958" s="74">
        <f t="shared" si="62"/>
        <v>-1.4382489921826344E-2</v>
      </c>
      <c r="F1958" s="75"/>
    </row>
    <row r="1959" spans="1:6" ht="14.25" customHeight="1" x14ac:dyDescent="0.3">
      <c r="A1959" s="73">
        <v>43430</v>
      </c>
      <c r="B1959" s="74">
        <v>35354.080000000002</v>
      </c>
      <c r="C1959" s="74">
        <v>916.15</v>
      </c>
      <c r="D1959" s="74">
        <f t="shared" si="61"/>
        <v>1.060817425348308E-2</v>
      </c>
      <c r="E1959" s="74">
        <f t="shared" si="62"/>
        <v>1.6386282888767466E-3</v>
      </c>
      <c r="F1959" s="75"/>
    </row>
    <row r="1960" spans="1:6" ht="14.25" customHeight="1" x14ac:dyDescent="0.3">
      <c r="A1960" s="73">
        <v>43431</v>
      </c>
      <c r="B1960" s="74">
        <v>35513.14</v>
      </c>
      <c r="C1960" s="74">
        <v>914</v>
      </c>
      <c r="D1960" s="74">
        <f t="shared" si="61"/>
        <v>4.4889659026828357E-3</v>
      </c>
      <c r="E1960" s="74">
        <f t="shared" si="62"/>
        <v>-2.3495352720339763E-3</v>
      </c>
      <c r="F1960" s="75"/>
    </row>
    <row r="1961" spans="1:6" ht="14.25" customHeight="1" x14ac:dyDescent="0.3">
      <c r="A1961" s="73">
        <v>43432</v>
      </c>
      <c r="B1961" s="74">
        <v>35716.949999999997</v>
      </c>
      <c r="C1961" s="74">
        <v>920.55</v>
      </c>
      <c r="D1961" s="74">
        <f t="shared" si="61"/>
        <v>5.7225971832745616E-3</v>
      </c>
      <c r="E1961" s="74">
        <f t="shared" si="62"/>
        <v>7.1407460490655605E-3</v>
      </c>
      <c r="F1961" s="75"/>
    </row>
    <row r="1962" spans="1:6" ht="14.25" customHeight="1" x14ac:dyDescent="0.3">
      <c r="A1962" s="73">
        <v>43433</v>
      </c>
      <c r="B1962" s="74">
        <v>36170.410000000003</v>
      </c>
      <c r="C1962" s="74">
        <v>929.9</v>
      </c>
      <c r="D1962" s="74">
        <f t="shared" si="61"/>
        <v>1.2616015236066785E-2</v>
      </c>
      <c r="E1962" s="74">
        <f t="shared" si="62"/>
        <v>1.0105735980936028E-2</v>
      </c>
      <c r="F1962" s="75"/>
    </row>
    <row r="1963" spans="1:6" ht="14.25" customHeight="1" x14ac:dyDescent="0.3">
      <c r="A1963" s="73">
        <v>43434</v>
      </c>
      <c r="B1963" s="74">
        <v>36194.300000000003</v>
      </c>
      <c r="C1963" s="74">
        <v>925.7</v>
      </c>
      <c r="D1963" s="74">
        <f t="shared" si="61"/>
        <v>6.6026660973018329E-4</v>
      </c>
      <c r="E1963" s="74">
        <f t="shared" si="62"/>
        <v>-4.5268454109859439E-3</v>
      </c>
      <c r="F1963" s="75"/>
    </row>
    <row r="1964" spans="1:6" ht="14.25" customHeight="1" x14ac:dyDescent="0.3">
      <c r="A1964" s="73">
        <v>43437</v>
      </c>
      <c r="B1964" s="74">
        <v>36241</v>
      </c>
      <c r="C1964" s="74">
        <v>935.5</v>
      </c>
      <c r="D1964" s="74">
        <f t="shared" si="61"/>
        <v>1.289426742772297E-3</v>
      </c>
      <c r="E1964" s="74">
        <f t="shared" si="62"/>
        <v>1.0530937640978713E-2</v>
      </c>
      <c r="F1964" s="75"/>
    </row>
    <row r="1965" spans="1:6" ht="14.25" customHeight="1" x14ac:dyDescent="0.3">
      <c r="A1965" s="73">
        <v>43438</v>
      </c>
      <c r="B1965" s="74">
        <v>36134.31</v>
      </c>
      <c r="C1965" s="74">
        <v>925.65</v>
      </c>
      <c r="D1965" s="74">
        <f t="shared" si="61"/>
        <v>-2.9482451206202906E-3</v>
      </c>
      <c r="E1965" s="74">
        <f t="shared" si="62"/>
        <v>-1.0584952278958818E-2</v>
      </c>
      <c r="F1965" s="75"/>
    </row>
    <row r="1966" spans="1:6" ht="14.25" customHeight="1" x14ac:dyDescent="0.3">
      <c r="A1966" s="73">
        <v>43439</v>
      </c>
      <c r="B1966" s="74">
        <v>35884.410000000003</v>
      </c>
      <c r="C1966" s="74">
        <v>922.3</v>
      </c>
      <c r="D1966" s="74">
        <f t="shared" si="61"/>
        <v>-6.9398901556264499E-3</v>
      </c>
      <c r="E1966" s="74">
        <f t="shared" si="62"/>
        <v>-3.625643193512391E-3</v>
      </c>
      <c r="F1966" s="75"/>
    </row>
    <row r="1967" spans="1:6" ht="14.25" customHeight="1" x14ac:dyDescent="0.3">
      <c r="A1967" s="73">
        <v>43440</v>
      </c>
      <c r="B1967" s="74">
        <v>35312.129999999997</v>
      </c>
      <c r="C1967" s="74">
        <v>907.55</v>
      </c>
      <c r="D1967" s="74">
        <f t="shared" si="61"/>
        <v>-1.6076408361153822E-2</v>
      </c>
      <c r="E1967" s="74">
        <f t="shared" si="62"/>
        <v>-1.6121889201686463E-2</v>
      </c>
      <c r="F1967" s="75"/>
    </row>
    <row r="1968" spans="1:6" ht="14.25" customHeight="1" x14ac:dyDescent="0.3">
      <c r="A1968" s="73">
        <v>43441</v>
      </c>
      <c r="B1968" s="74">
        <v>35673.25</v>
      </c>
      <c r="C1968" s="74">
        <v>914.7</v>
      </c>
      <c r="D1968" s="74">
        <f t="shared" si="61"/>
        <v>1.0174577224699905E-2</v>
      </c>
      <c r="E1968" s="74">
        <f t="shared" si="62"/>
        <v>7.8474816223322204E-3</v>
      </c>
      <c r="F1968" s="75"/>
    </row>
    <row r="1969" spans="1:6" ht="14.25" customHeight="1" x14ac:dyDescent="0.3">
      <c r="A1969" s="73">
        <v>43444</v>
      </c>
      <c r="B1969" s="74">
        <v>34959.72</v>
      </c>
      <c r="C1969" s="74">
        <v>906.75</v>
      </c>
      <c r="D1969" s="74">
        <f t="shared" si="61"/>
        <v>-2.0204566598416761E-2</v>
      </c>
      <c r="E1969" s="74">
        <f t="shared" si="62"/>
        <v>-8.729364499307106E-3</v>
      </c>
      <c r="F1969" s="75"/>
    </row>
    <row r="1970" spans="1:6" ht="14.25" customHeight="1" x14ac:dyDescent="0.3">
      <c r="A1970" s="73">
        <v>43445</v>
      </c>
      <c r="B1970" s="74">
        <v>35150.01</v>
      </c>
      <c r="C1970" s="74">
        <v>933.55</v>
      </c>
      <c r="D1970" s="74">
        <f t="shared" si="61"/>
        <v>5.4283611497116377E-3</v>
      </c>
      <c r="E1970" s="74">
        <f t="shared" si="62"/>
        <v>2.9127745248332934E-2</v>
      </c>
      <c r="F1970" s="75"/>
    </row>
    <row r="1971" spans="1:6" ht="14.25" customHeight="1" x14ac:dyDescent="0.3">
      <c r="A1971" s="73">
        <v>43446</v>
      </c>
      <c r="B1971" s="74">
        <v>35779.07</v>
      </c>
      <c r="C1971" s="74">
        <v>929.8</v>
      </c>
      <c r="D1971" s="74">
        <f t="shared" si="61"/>
        <v>1.7738182816716838E-2</v>
      </c>
      <c r="E1971" s="74">
        <f t="shared" si="62"/>
        <v>-4.0250141548603853E-3</v>
      </c>
      <c r="F1971" s="75"/>
    </row>
    <row r="1972" spans="1:6" ht="14.25" customHeight="1" x14ac:dyDescent="0.3">
      <c r="A1972" s="73">
        <v>43447</v>
      </c>
      <c r="B1972" s="74">
        <v>35929.64</v>
      </c>
      <c r="C1972" s="74">
        <v>944.85</v>
      </c>
      <c r="D1972" s="74">
        <f t="shared" si="61"/>
        <v>4.1994960245336161E-3</v>
      </c>
      <c r="E1972" s="74">
        <f t="shared" si="62"/>
        <v>1.6056675479563496E-2</v>
      </c>
      <c r="F1972" s="75"/>
    </row>
    <row r="1973" spans="1:6" ht="14.25" customHeight="1" x14ac:dyDescent="0.3">
      <c r="A1973" s="73">
        <v>43448</v>
      </c>
      <c r="B1973" s="74">
        <v>35962.93</v>
      </c>
      <c r="C1973" s="74">
        <v>931.55</v>
      </c>
      <c r="D1973" s="74">
        <f t="shared" si="61"/>
        <v>9.2610411282607928E-4</v>
      </c>
      <c r="E1973" s="74">
        <f t="shared" si="62"/>
        <v>-1.4176319269684937E-2</v>
      </c>
      <c r="F1973" s="75"/>
    </row>
    <row r="1974" spans="1:6" ht="14.25" customHeight="1" x14ac:dyDescent="0.3">
      <c r="A1974" s="73">
        <v>43451</v>
      </c>
      <c r="B1974" s="74">
        <v>36270.07</v>
      </c>
      <c r="C1974" s="74">
        <v>933.75</v>
      </c>
      <c r="D1974" s="74">
        <f t="shared" si="61"/>
        <v>8.5041975568892897E-3</v>
      </c>
      <c r="E1974" s="74">
        <f t="shared" si="62"/>
        <v>2.3588709806642281E-3</v>
      </c>
      <c r="F1974" s="75"/>
    </row>
    <row r="1975" spans="1:6" ht="14.25" customHeight="1" x14ac:dyDescent="0.3">
      <c r="A1975" s="73">
        <v>43452</v>
      </c>
      <c r="B1975" s="74">
        <v>36347.08</v>
      </c>
      <c r="C1975" s="74">
        <v>932.7</v>
      </c>
      <c r="D1975" s="74">
        <f t="shared" si="61"/>
        <v>2.1209873664743547E-3</v>
      </c>
      <c r="E1975" s="74">
        <f t="shared" si="62"/>
        <v>-1.1251307142091595E-3</v>
      </c>
      <c r="F1975" s="75"/>
    </row>
    <row r="1976" spans="1:6" ht="14.25" customHeight="1" x14ac:dyDescent="0.3">
      <c r="A1976" s="73">
        <v>43453</v>
      </c>
      <c r="B1976" s="74">
        <v>36484.33</v>
      </c>
      <c r="C1976" s="74">
        <v>928.9</v>
      </c>
      <c r="D1976" s="74">
        <f t="shared" si="61"/>
        <v>3.7689827087594506E-3</v>
      </c>
      <c r="E1976" s="74">
        <f t="shared" si="62"/>
        <v>-4.0825153393427294E-3</v>
      </c>
      <c r="F1976" s="75"/>
    </row>
    <row r="1977" spans="1:6" ht="14.25" customHeight="1" x14ac:dyDescent="0.3">
      <c r="A1977" s="73">
        <v>43454</v>
      </c>
      <c r="B1977" s="74">
        <v>36431.67</v>
      </c>
      <c r="C1977" s="74">
        <v>926.4</v>
      </c>
      <c r="D1977" s="74">
        <f t="shared" si="61"/>
        <v>-1.4444020285086839E-3</v>
      </c>
      <c r="E1977" s="74">
        <f t="shared" si="62"/>
        <v>-2.6949835747443526E-3</v>
      </c>
      <c r="F1977" s="75"/>
    </row>
    <row r="1978" spans="1:6" ht="14.25" customHeight="1" x14ac:dyDescent="0.3">
      <c r="A1978" s="73">
        <v>43455</v>
      </c>
      <c r="B1978" s="74">
        <v>35742.07</v>
      </c>
      <c r="C1978" s="74">
        <v>901.75</v>
      </c>
      <c r="D1978" s="74">
        <f t="shared" si="61"/>
        <v>-1.9110024956438692E-2</v>
      </c>
      <c r="E1978" s="74">
        <f t="shared" si="62"/>
        <v>-2.6968787035082445E-2</v>
      </c>
      <c r="F1978" s="75"/>
    </row>
    <row r="1979" spans="1:6" ht="14.25" customHeight="1" x14ac:dyDescent="0.3">
      <c r="A1979" s="73">
        <v>43458</v>
      </c>
      <c r="B1979" s="74">
        <v>35470.15</v>
      </c>
      <c r="C1979" s="74">
        <v>880.4</v>
      </c>
      <c r="D1979" s="74">
        <f t="shared" si="61"/>
        <v>-7.6369286504654483E-3</v>
      </c>
      <c r="E1979" s="74">
        <f t="shared" si="62"/>
        <v>-2.3960970131341824E-2</v>
      </c>
      <c r="F1979" s="75"/>
    </row>
    <row r="1980" spans="1:6" ht="14.25" customHeight="1" x14ac:dyDescent="0.3">
      <c r="A1980" s="73">
        <v>43460</v>
      </c>
      <c r="B1980" s="74">
        <v>35649.94</v>
      </c>
      <c r="C1980" s="74">
        <v>889.15</v>
      </c>
      <c r="D1980" s="74">
        <f t="shared" si="61"/>
        <v>5.0559661269942453E-3</v>
      </c>
      <c r="E1980" s="74">
        <f t="shared" si="62"/>
        <v>9.8896005373630917E-3</v>
      </c>
      <c r="F1980" s="75"/>
    </row>
    <row r="1981" spans="1:6" ht="14.25" customHeight="1" x14ac:dyDescent="0.3">
      <c r="A1981" s="73">
        <v>43461</v>
      </c>
      <c r="B1981" s="74">
        <v>35807.279999999999</v>
      </c>
      <c r="C1981" s="74">
        <v>888.15</v>
      </c>
      <c r="D1981" s="74">
        <f t="shared" si="61"/>
        <v>4.4037608593198649E-3</v>
      </c>
      <c r="E1981" s="74">
        <f t="shared" si="62"/>
        <v>-1.1253025437748343E-3</v>
      </c>
      <c r="F1981" s="75"/>
    </row>
    <row r="1982" spans="1:6" ht="14.25" customHeight="1" x14ac:dyDescent="0.3">
      <c r="A1982" s="73">
        <v>43462</v>
      </c>
      <c r="B1982" s="74">
        <v>36076.720000000001</v>
      </c>
      <c r="C1982" s="74">
        <v>922.5</v>
      </c>
      <c r="D1982" s="74">
        <f t="shared" si="61"/>
        <v>7.496557282276526E-3</v>
      </c>
      <c r="E1982" s="74">
        <f t="shared" si="62"/>
        <v>3.794672826878738E-2</v>
      </c>
      <c r="F1982" s="75"/>
    </row>
    <row r="1983" spans="1:6" ht="14.25" customHeight="1" x14ac:dyDescent="0.3">
      <c r="A1983" s="73">
        <v>43465</v>
      </c>
      <c r="B1983" s="74">
        <v>36068.33</v>
      </c>
      <c r="C1983" s="74">
        <v>929.95</v>
      </c>
      <c r="D1983" s="74">
        <f t="shared" si="61"/>
        <v>-2.325869907311279E-4</v>
      </c>
      <c r="E1983" s="74">
        <f t="shared" si="62"/>
        <v>8.0434453464536936E-3</v>
      </c>
      <c r="F1983" s="75"/>
    </row>
    <row r="1984" spans="1:6" ht="14.25" customHeight="1" x14ac:dyDescent="0.3">
      <c r="A1984" s="73">
        <v>43466</v>
      </c>
      <c r="B1984" s="74">
        <v>36254.57</v>
      </c>
      <c r="C1984" s="74">
        <v>927.6</v>
      </c>
      <c r="D1984" s="74">
        <f t="shared" si="61"/>
        <v>5.1502473398759973E-3</v>
      </c>
      <c r="E1984" s="74">
        <f t="shared" si="62"/>
        <v>-2.5302158797592834E-3</v>
      </c>
      <c r="F1984" s="75"/>
    </row>
    <row r="1985" spans="1:6" ht="14.25" customHeight="1" x14ac:dyDescent="0.3">
      <c r="A1985" s="73">
        <v>43467</v>
      </c>
      <c r="B1985" s="74">
        <v>35891.519999999997</v>
      </c>
      <c r="C1985" s="74">
        <v>931.7</v>
      </c>
      <c r="D1985" s="74">
        <f t="shared" si="61"/>
        <v>-1.0064386427485472E-2</v>
      </c>
      <c r="E1985" s="74">
        <f t="shared" si="62"/>
        <v>4.4102690750026504E-3</v>
      </c>
      <c r="F1985" s="75"/>
    </row>
    <row r="1986" spans="1:6" ht="14.25" customHeight="1" x14ac:dyDescent="0.3">
      <c r="A1986" s="73">
        <v>43468</v>
      </c>
      <c r="B1986" s="74">
        <v>35513.71</v>
      </c>
      <c r="C1986" s="74">
        <v>928.7</v>
      </c>
      <c r="D1986" s="74">
        <f t="shared" si="61"/>
        <v>-1.0582236783160092E-2</v>
      </c>
      <c r="E1986" s="74">
        <f t="shared" si="62"/>
        <v>-3.2251156744166538E-3</v>
      </c>
      <c r="F1986" s="75"/>
    </row>
    <row r="1987" spans="1:6" ht="14.25" customHeight="1" x14ac:dyDescent="0.3">
      <c r="A1987" s="73">
        <v>43469</v>
      </c>
      <c r="B1987" s="74">
        <v>35695.1</v>
      </c>
      <c r="C1987" s="74">
        <v>928.55</v>
      </c>
      <c r="D1987" s="74">
        <f t="shared" si="61"/>
        <v>5.0946053537853477E-3</v>
      </c>
      <c r="E1987" s="74">
        <f t="shared" si="62"/>
        <v>-1.6152914290075687E-4</v>
      </c>
      <c r="F1987" s="75"/>
    </row>
    <row r="1988" spans="1:6" ht="14.25" customHeight="1" x14ac:dyDescent="0.3">
      <c r="A1988" s="73">
        <v>43472</v>
      </c>
      <c r="B1988" s="74">
        <v>35850.160000000003</v>
      </c>
      <c r="C1988" s="74">
        <v>943.5</v>
      </c>
      <c r="D1988" s="74">
        <f t="shared" ref="D1988:D2051" si="63">LN(B1988/B1987)</f>
        <v>4.3346056127998413E-3</v>
      </c>
      <c r="E1988" s="74">
        <f t="shared" ref="E1988:E2051" si="64">LN(C1988/C1987)</f>
        <v>1.5972135169543048E-2</v>
      </c>
      <c r="F1988" s="75"/>
    </row>
    <row r="1989" spans="1:6" ht="14.25" customHeight="1" x14ac:dyDescent="0.3">
      <c r="A1989" s="73">
        <v>43473</v>
      </c>
      <c r="B1989" s="74">
        <v>35980.93</v>
      </c>
      <c r="C1989" s="74">
        <v>946.05</v>
      </c>
      <c r="D1989" s="74">
        <f t="shared" si="63"/>
        <v>3.6410458053875625E-3</v>
      </c>
      <c r="E1989" s="74">
        <f t="shared" si="64"/>
        <v>2.6990569691649835E-3</v>
      </c>
      <c r="F1989" s="75"/>
    </row>
    <row r="1990" spans="1:6" ht="14.25" customHeight="1" x14ac:dyDescent="0.3">
      <c r="A1990" s="73">
        <v>43474</v>
      </c>
      <c r="B1990" s="74">
        <v>36212.910000000003</v>
      </c>
      <c r="C1990" s="74">
        <v>952.5</v>
      </c>
      <c r="D1990" s="74">
        <f t="shared" si="63"/>
        <v>6.4266092071714794E-3</v>
      </c>
      <c r="E1990" s="74">
        <f t="shared" si="64"/>
        <v>6.7946852230861589E-3</v>
      </c>
      <c r="F1990" s="75"/>
    </row>
    <row r="1991" spans="1:6" ht="14.25" customHeight="1" x14ac:dyDescent="0.3">
      <c r="A1991" s="73">
        <v>43475</v>
      </c>
      <c r="B1991" s="74">
        <v>36106.5</v>
      </c>
      <c r="C1991" s="74">
        <v>965.5</v>
      </c>
      <c r="D1991" s="74">
        <f t="shared" si="63"/>
        <v>-2.9427805562065811E-3</v>
      </c>
      <c r="E1991" s="74">
        <f t="shared" si="64"/>
        <v>1.355599486771302E-2</v>
      </c>
      <c r="F1991" s="75"/>
    </row>
    <row r="1992" spans="1:6" ht="14.25" customHeight="1" x14ac:dyDescent="0.3">
      <c r="A1992" s="73">
        <v>43476</v>
      </c>
      <c r="B1992" s="74">
        <v>36009.839999999997</v>
      </c>
      <c r="C1992" s="74">
        <v>957.55</v>
      </c>
      <c r="D1992" s="74">
        <f t="shared" si="63"/>
        <v>-2.6806700917757398E-3</v>
      </c>
      <c r="E1992" s="74">
        <f t="shared" si="64"/>
        <v>-8.2681628560006288E-3</v>
      </c>
      <c r="F1992" s="75"/>
    </row>
    <row r="1993" spans="1:6" ht="14.25" customHeight="1" x14ac:dyDescent="0.3">
      <c r="A1993" s="73">
        <v>43479</v>
      </c>
      <c r="B1993" s="74">
        <v>35853.56</v>
      </c>
      <c r="C1993" s="74">
        <v>957.25</v>
      </c>
      <c r="D1993" s="74">
        <f t="shared" si="63"/>
        <v>-4.349369675315534E-3</v>
      </c>
      <c r="E1993" s="74">
        <f t="shared" si="64"/>
        <v>-3.1334865516463323E-4</v>
      </c>
      <c r="F1993" s="75"/>
    </row>
    <row r="1994" spans="1:6" ht="14.25" customHeight="1" x14ac:dyDescent="0.3">
      <c r="A1994" s="73">
        <v>43480</v>
      </c>
      <c r="B1994" s="74">
        <v>36318.33</v>
      </c>
      <c r="C1994" s="74">
        <v>965.95</v>
      </c>
      <c r="D1994" s="74">
        <f t="shared" si="63"/>
        <v>1.287970773438258E-2</v>
      </c>
      <c r="E1994" s="74">
        <f t="shared" si="64"/>
        <v>9.04748268115909E-3</v>
      </c>
      <c r="F1994" s="75"/>
    </row>
    <row r="1995" spans="1:6" ht="14.25" customHeight="1" x14ac:dyDescent="0.3">
      <c r="A1995" s="73">
        <v>43481</v>
      </c>
      <c r="B1995" s="74">
        <v>36321.29</v>
      </c>
      <c r="C1995" s="74">
        <v>961.75</v>
      </c>
      <c r="D1995" s="74">
        <f t="shared" si="63"/>
        <v>8.1498223741667322E-5</v>
      </c>
      <c r="E1995" s="74">
        <f t="shared" si="64"/>
        <v>-4.3575314061585829E-3</v>
      </c>
      <c r="F1995" s="75"/>
    </row>
    <row r="1996" spans="1:6" ht="14.25" customHeight="1" x14ac:dyDescent="0.3">
      <c r="A1996" s="73">
        <v>43482</v>
      </c>
      <c r="B1996" s="74">
        <v>36374.080000000002</v>
      </c>
      <c r="C1996" s="74">
        <v>961.35</v>
      </c>
      <c r="D1996" s="74">
        <f t="shared" si="63"/>
        <v>1.4523623520841383E-3</v>
      </c>
      <c r="E1996" s="74">
        <f t="shared" si="64"/>
        <v>-4.1599501405894856E-4</v>
      </c>
      <c r="F1996" s="75"/>
    </row>
    <row r="1997" spans="1:6" ht="14.25" customHeight="1" x14ac:dyDescent="0.3">
      <c r="A1997" s="73">
        <v>43483</v>
      </c>
      <c r="B1997" s="74">
        <v>36386.61</v>
      </c>
      <c r="C1997" s="74">
        <v>960.5</v>
      </c>
      <c r="D1997" s="74">
        <f t="shared" si="63"/>
        <v>3.4441674821560043E-4</v>
      </c>
      <c r="E1997" s="74">
        <f t="shared" si="64"/>
        <v>-8.8456440973421803E-4</v>
      </c>
      <c r="F1997" s="75"/>
    </row>
    <row r="1998" spans="1:6" ht="14.25" customHeight="1" x14ac:dyDescent="0.3">
      <c r="A1998" s="73">
        <v>43486</v>
      </c>
      <c r="B1998" s="74">
        <v>36578.959999999999</v>
      </c>
      <c r="C1998" s="74">
        <v>964.35</v>
      </c>
      <c r="D1998" s="74">
        <f t="shared" si="63"/>
        <v>5.2723618982311688E-3</v>
      </c>
      <c r="E1998" s="74">
        <f t="shared" si="64"/>
        <v>4.0003170471941303E-3</v>
      </c>
      <c r="F1998" s="75"/>
    </row>
    <row r="1999" spans="1:6" ht="14.25" customHeight="1" x14ac:dyDescent="0.3">
      <c r="A1999" s="73">
        <v>43487</v>
      </c>
      <c r="B1999" s="74">
        <v>36444.639999999999</v>
      </c>
      <c r="C1999" s="74">
        <v>982.6</v>
      </c>
      <c r="D1999" s="74">
        <f t="shared" si="63"/>
        <v>-3.6788148348462987E-3</v>
      </c>
      <c r="E1999" s="74">
        <f t="shared" si="64"/>
        <v>1.8747820478742499E-2</v>
      </c>
      <c r="F1999" s="75"/>
    </row>
    <row r="2000" spans="1:6" ht="14.25" customHeight="1" x14ac:dyDescent="0.3">
      <c r="A2000" s="73">
        <v>43488</v>
      </c>
      <c r="B2000" s="74">
        <v>36108.47</v>
      </c>
      <c r="C2000" s="74">
        <v>962.6</v>
      </c>
      <c r="D2000" s="74">
        <f t="shared" si="63"/>
        <v>-9.2669330299547468E-3</v>
      </c>
      <c r="E2000" s="74">
        <f t="shared" si="64"/>
        <v>-2.0564162865538839E-2</v>
      </c>
      <c r="F2000" s="75"/>
    </row>
    <row r="2001" spans="1:6" ht="14.25" customHeight="1" x14ac:dyDescent="0.3">
      <c r="A2001" s="73">
        <v>43489</v>
      </c>
      <c r="B2001" s="74">
        <v>36195.1</v>
      </c>
      <c r="C2001" s="74">
        <v>967.75</v>
      </c>
      <c r="D2001" s="74">
        <f t="shared" si="63"/>
        <v>2.3962866965993898E-3</v>
      </c>
      <c r="E2001" s="74">
        <f t="shared" si="64"/>
        <v>5.3358325887485538E-3</v>
      </c>
      <c r="F2001" s="75"/>
    </row>
    <row r="2002" spans="1:6" ht="14.25" customHeight="1" x14ac:dyDescent="0.3">
      <c r="A2002" s="73">
        <v>43490</v>
      </c>
      <c r="B2002" s="74">
        <v>36025.54</v>
      </c>
      <c r="C2002" s="74">
        <v>976.35</v>
      </c>
      <c r="D2002" s="74">
        <f t="shared" si="63"/>
        <v>-4.6956191900262116E-3</v>
      </c>
      <c r="E2002" s="74">
        <f t="shared" si="64"/>
        <v>8.8473392287485974E-3</v>
      </c>
      <c r="F2002" s="75"/>
    </row>
    <row r="2003" spans="1:6" ht="14.25" customHeight="1" x14ac:dyDescent="0.3">
      <c r="A2003" s="73">
        <v>43493</v>
      </c>
      <c r="B2003" s="74">
        <v>35656.699999999997</v>
      </c>
      <c r="C2003" s="74">
        <v>957.95</v>
      </c>
      <c r="D2003" s="74">
        <f t="shared" si="63"/>
        <v>-1.0291063872768E-2</v>
      </c>
      <c r="E2003" s="74">
        <f t="shared" si="64"/>
        <v>-1.902554414450465E-2</v>
      </c>
      <c r="F2003" s="75"/>
    </row>
    <row r="2004" spans="1:6" ht="14.25" customHeight="1" x14ac:dyDescent="0.3">
      <c r="A2004" s="73">
        <v>43494</v>
      </c>
      <c r="B2004" s="74">
        <v>35592.5</v>
      </c>
      <c r="C2004" s="74">
        <v>966.5</v>
      </c>
      <c r="D2004" s="74">
        <f t="shared" si="63"/>
        <v>-1.8021259852733433E-3</v>
      </c>
      <c r="E2004" s="74">
        <f t="shared" si="64"/>
        <v>8.8857141063841353E-3</v>
      </c>
      <c r="F2004" s="75"/>
    </row>
    <row r="2005" spans="1:6" ht="14.25" customHeight="1" x14ac:dyDescent="0.3">
      <c r="A2005" s="73">
        <v>43495</v>
      </c>
      <c r="B2005" s="74">
        <v>35591.25</v>
      </c>
      <c r="C2005" s="74">
        <v>966.45</v>
      </c>
      <c r="D2005" s="74">
        <f t="shared" si="63"/>
        <v>-3.5120375089265484E-5</v>
      </c>
      <c r="E2005" s="74">
        <f t="shared" si="64"/>
        <v>-5.1734395624443385E-5</v>
      </c>
      <c r="F2005" s="75"/>
    </row>
    <row r="2006" spans="1:6" ht="14.25" customHeight="1" x14ac:dyDescent="0.3">
      <c r="A2006" s="73">
        <v>43496</v>
      </c>
      <c r="B2006" s="74">
        <v>36256.69</v>
      </c>
      <c r="C2006" s="74">
        <v>995.4</v>
      </c>
      <c r="D2006" s="74">
        <f t="shared" si="63"/>
        <v>1.8524094866572756E-2</v>
      </c>
      <c r="E2006" s="74">
        <f t="shared" si="64"/>
        <v>2.9515102171692679E-2</v>
      </c>
      <c r="F2006" s="75"/>
    </row>
    <row r="2007" spans="1:6" ht="14.25" customHeight="1" x14ac:dyDescent="0.3">
      <c r="A2007" s="73">
        <v>43497</v>
      </c>
      <c r="B2007" s="74">
        <v>36469.43</v>
      </c>
      <c r="C2007" s="74">
        <v>991.3</v>
      </c>
      <c r="D2007" s="74">
        <f t="shared" si="63"/>
        <v>5.8504594168597174E-3</v>
      </c>
      <c r="E2007" s="74">
        <f t="shared" si="64"/>
        <v>-4.1274533856020205E-3</v>
      </c>
      <c r="F2007" s="75"/>
    </row>
    <row r="2008" spans="1:6" ht="14.25" customHeight="1" x14ac:dyDescent="0.3">
      <c r="A2008" s="73">
        <v>43500</v>
      </c>
      <c r="B2008" s="74">
        <v>36582.74</v>
      </c>
      <c r="C2008" s="74">
        <v>1025.7</v>
      </c>
      <c r="D2008" s="74">
        <f t="shared" si="63"/>
        <v>3.102169062724207E-3</v>
      </c>
      <c r="E2008" s="74">
        <f t="shared" si="64"/>
        <v>3.4113372274513665E-2</v>
      </c>
      <c r="F2008" s="75"/>
    </row>
    <row r="2009" spans="1:6" ht="14.25" customHeight="1" x14ac:dyDescent="0.3">
      <c r="A2009" s="73">
        <v>43501</v>
      </c>
      <c r="B2009" s="74">
        <v>36616.81</v>
      </c>
      <c r="C2009" s="74">
        <v>1066.6500000000001</v>
      </c>
      <c r="D2009" s="74">
        <f t="shared" si="63"/>
        <v>9.3088010678328255E-4</v>
      </c>
      <c r="E2009" s="74">
        <f t="shared" si="64"/>
        <v>3.9147589684271303E-2</v>
      </c>
      <c r="F2009" s="75"/>
    </row>
    <row r="2010" spans="1:6" ht="14.25" customHeight="1" x14ac:dyDescent="0.3">
      <c r="A2010" s="73">
        <v>43502</v>
      </c>
      <c r="B2010" s="74">
        <v>36975.230000000003</v>
      </c>
      <c r="C2010" s="74">
        <v>1059.0999999999999</v>
      </c>
      <c r="D2010" s="74">
        <f t="shared" si="63"/>
        <v>9.7408044131044921E-3</v>
      </c>
      <c r="E2010" s="74">
        <f t="shared" si="64"/>
        <v>-7.1034051480132615E-3</v>
      </c>
      <c r="F2010" s="75"/>
    </row>
    <row r="2011" spans="1:6" ht="14.25" customHeight="1" x14ac:dyDescent="0.3">
      <c r="A2011" s="73">
        <v>43503</v>
      </c>
      <c r="B2011" s="74">
        <v>36971.089999999997</v>
      </c>
      <c r="C2011" s="74">
        <v>1057.7</v>
      </c>
      <c r="D2011" s="74">
        <f t="shared" si="63"/>
        <v>-1.1197311791396176E-4</v>
      </c>
      <c r="E2011" s="74">
        <f t="shared" si="64"/>
        <v>-1.3227515156161759E-3</v>
      </c>
      <c r="F2011" s="75"/>
    </row>
    <row r="2012" spans="1:6" ht="14.25" customHeight="1" x14ac:dyDescent="0.3">
      <c r="A2012" s="73">
        <v>43504</v>
      </c>
      <c r="B2012" s="74">
        <v>36546.480000000003</v>
      </c>
      <c r="C2012" s="74">
        <v>1053.9000000000001</v>
      </c>
      <c r="D2012" s="74">
        <f t="shared" si="63"/>
        <v>-1.1551380750327927E-2</v>
      </c>
      <c r="E2012" s="74">
        <f t="shared" si="64"/>
        <v>-3.599170394116153E-3</v>
      </c>
      <c r="F2012" s="75"/>
    </row>
    <row r="2013" spans="1:6" ht="14.25" customHeight="1" x14ac:dyDescent="0.3">
      <c r="A2013" s="73">
        <v>43507</v>
      </c>
      <c r="B2013" s="74">
        <v>36395.03</v>
      </c>
      <c r="C2013" s="74">
        <v>1055.8499999999999</v>
      </c>
      <c r="D2013" s="74">
        <f t="shared" si="63"/>
        <v>-4.1526482695448987E-3</v>
      </c>
      <c r="E2013" s="74">
        <f t="shared" si="64"/>
        <v>1.8485607823591154E-3</v>
      </c>
      <c r="F2013" s="75"/>
    </row>
    <row r="2014" spans="1:6" ht="14.25" customHeight="1" x14ac:dyDescent="0.3">
      <c r="A2014" s="73">
        <v>43508</v>
      </c>
      <c r="B2014" s="74">
        <v>36153.620000000003</v>
      </c>
      <c r="C2014" s="74">
        <v>1066.6500000000001</v>
      </c>
      <c r="D2014" s="74">
        <f t="shared" si="63"/>
        <v>-6.655144955078067E-3</v>
      </c>
      <c r="E2014" s="74">
        <f t="shared" si="64"/>
        <v>1.0176766275386533E-2</v>
      </c>
      <c r="F2014" s="75"/>
    </row>
    <row r="2015" spans="1:6" ht="14.25" customHeight="1" x14ac:dyDescent="0.3">
      <c r="A2015" s="73">
        <v>43509</v>
      </c>
      <c r="B2015" s="74">
        <v>36034.11</v>
      </c>
      <c r="C2015" s="74">
        <v>1052.2</v>
      </c>
      <c r="D2015" s="74">
        <f t="shared" si="63"/>
        <v>-3.311092042529037E-3</v>
      </c>
      <c r="E2015" s="74">
        <f t="shared" si="64"/>
        <v>-1.3639685700929867E-2</v>
      </c>
      <c r="F2015" s="75"/>
    </row>
    <row r="2016" spans="1:6" ht="14.25" customHeight="1" x14ac:dyDescent="0.3">
      <c r="A2016" s="73">
        <v>43510</v>
      </c>
      <c r="B2016" s="74">
        <v>35876.22</v>
      </c>
      <c r="C2016" s="74">
        <v>1044.7</v>
      </c>
      <c r="D2016" s="74">
        <f t="shared" si="63"/>
        <v>-4.39130939112258E-3</v>
      </c>
      <c r="E2016" s="74">
        <f t="shared" si="64"/>
        <v>-7.1534474532446183E-3</v>
      </c>
      <c r="F2016" s="75"/>
    </row>
    <row r="2017" spans="1:6" ht="14.25" customHeight="1" x14ac:dyDescent="0.3">
      <c r="A2017" s="73">
        <v>43511</v>
      </c>
      <c r="B2017" s="74">
        <v>35808.949999999997</v>
      </c>
      <c r="C2017" s="74">
        <v>1039.3499999999999</v>
      </c>
      <c r="D2017" s="74">
        <f t="shared" si="63"/>
        <v>-1.876818308340621E-3</v>
      </c>
      <c r="E2017" s="74">
        <f t="shared" si="64"/>
        <v>-5.1342451019624636E-3</v>
      </c>
      <c r="F2017" s="75"/>
    </row>
    <row r="2018" spans="1:6" ht="14.25" customHeight="1" x14ac:dyDescent="0.3">
      <c r="A2018" s="73">
        <v>43514</v>
      </c>
      <c r="B2018" s="74">
        <v>35498.44</v>
      </c>
      <c r="C2018" s="74">
        <v>1028.8499999999999</v>
      </c>
      <c r="D2018" s="74">
        <f t="shared" si="63"/>
        <v>-8.7091103080145903E-3</v>
      </c>
      <c r="E2018" s="74">
        <f t="shared" si="64"/>
        <v>-1.015384412805995E-2</v>
      </c>
      <c r="F2018" s="75"/>
    </row>
    <row r="2019" spans="1:6" ht="14.25" customHeight="1" x14ac:dyDescent="0.3">
      <c r="A2019" s="73">
        <v>43515</v>
      </c>
      <c r="B2019" s="74">
        <v>35352.61</v>
      </c>
      <c r="C2019" s="74">
        <v>1029.1500000000001</v>
      </c>
      <c r="D2019" s="74">
        <f t="shared" si="63"/>
        <v>-4.1165291391990462E-3</v>
      </c>
      <c r="E2019" s="74">
        <f t="shared" si="64"/>
        <v>2.9154519156955323E-4</v>
      </c>
      <c r="F2019" s="75"/>
    </row>
    <row r="2020" spans="1:6" ht="14.25" customHeight="1" x14ac:dyDescent="0.3">
      <c r="A2020" s="73">
        <v>43516</v>
      </c>
      <c r="B2020" s="74">
        <v>35756.26</v>
      </c>
      <c r="C2020" s="74">
        <v>1033.25</v>
      </c>
      <c r="D2020" s="74">
        <f t="shared" si="63"/>
        <v>1.1353135991400715E-2</v>
      </c>
      <c r="E2020" s="74">
        <f t="shared" si="64"/>
        <v>3.9759555868320523E-3</v>
      </c>
      <c r="F2020" s="75"/>
    </row>
    <row r="2021" spans="1:6" ht="14.25" customHeight="1" x14ac:dyDescent="0.3">
      <c r="A2021" s="73">
        <v>43517</v>
      </c>
      <c r="B2021" s="74">
        <v>35898.35</v>
      </c>
      <c r="C2021" s="74">
        <v>1042.4000000000001</v>
      </c>
      <c r="D2021" s="74">
        <f t="shared" si="63"/>
        <v>3.9659747291595259E-3</v>
      </c>
      <c r="E2021" s="74">
        <f t="shared" si="64"/>
        <v>8.8165724187936854E-3</v>
      </c>
      <c r="F2021" s="75"/>
    </row>
    <row r="2022" spans="1:6" ht="14.25" customHeight="1" x14ac:dyDescent="0.3">
      <c r="A2022" s="73">
        <v>43518</v>
      </c>
      <c r="B2022" s="74">
        <v>35871.480000000003</v>
      </c>
      <c r="C2022" s="74">
        <v>1040.05</v>
      </c>
      <c r="D2022" s="74">
        <f t="shared" si="63"/>
        <v>-7.4878263625371099E-4</v>
      </c>
      <c r="E2022" s="74">
        <f t="shared" si="64"/>
        <v>-2.2569579077983929E-3</v>
      </c>
      <c r="F2022" s="75"/>
    </row>
    <row r="2023" spans="1:6" ht="14.25" customHeight="1" x14ac:dyDescent="0.3">
      <c r="A2023" s="73">
        <v>43521</v>
      </c>
      <c r="B2023" s="74">
        <v>36213.379999999997</v>
      </c>
      <c r="C2023" s="74">
        <v>1044.5</v>
      </c>
      <c r="D2023" s="74">
        <f t="shared" si="63"/>
        <v>9.4861130022851434E-3</v>
      </c>
      <c r="E2023" s="74">
        <f t="shared" si="64"/>
        <v>4.2695130937834532E-3</v>
      </c>
      <c r="F2023" s="75"/>
    </row>
    <row r="2024" spans="1:6" ht="14.25" customHeight="1" x14ac:dyDescent="0.3">
      <c r="A2024" s="73">
        <v>43522</v>
      </c>
      <c r="B2024" s="74">
        <v>35973.71</v>
      </c>
      <c r="C2024" s="74">
        <v>1037.7</v>
      </c>
      <c r="D2024" s="74">
        <f t="shared" si="63"/>
        <v>-6.6402699056154766E-3</v>
      </c>
      <c r="E2024" s="74">
        <f t="shared" si="64"/>
        <v>-6.5315763853877546E-3</v>
      </c>
      <c r="F2024" s="75"/>
    </row>
    <row r="2025" spans="1:6" ht="14.25" customHeight="1" x14ac:dyDescent="0.3">
      <c r="A2025" s="73">
        <v>43523</v>
      </c>
      <c r="B2025" s="74">
        <v>35905.43</v>
      </c>
      <c r="C2025" s="74">
        <v>1017.65</v>
      </c>
      <c r="D2025" s="74">
        <f t="shared" si="63"/>
        <v>-1.8998563571515105E-3</v>
      </c>
      <c r="E2025" s="74">
        <f t="shared" si="64"/>
        <v>-1.951067801234466E-2</v>
      </c>
      <c r="F2025" s="75"/>
    </row>
    <row r="2026" spans="1:6" ht="14.25" customHeight="1" x14ac:dyDescent="0.3">
      <c r="A2026" s="73">
        <v>43524</v>
      </c>
      <c r="B2026" s="74">
        <v>35867.440000000002</v>
      </c>
      <c r="C2026" s="74">
        <v>1026.95</v>
      </c>
      <c r="D2026" s="74">
        <f t="shared" si="63"/>
        <v>-1.0586173730506763E-3</v>
      </c>
      <c r="E2026" s="74">
        <f t="shared" si="64"/>
        <v>9.0971966527698053E-3</v>
      </c>
      <c r="F2026" s="75"/>
    </row>
    <row r="2027" spans="1:6" ht="14.25" customHeight="1" x14ac:dyDescent="0.3">
      <c r="A2027" s="73">
        <v>43525</v>
      </c>
      <c r="B2027" s="74">
        <v>36063.81</v>
      </c>
      <c r="C2027" s="74">
        <v>1022.9</v>
      </c>
      <c r="D2027" s="74">
        <f t="shared" si="63"/>
        <v>5.459949266352928E-3</v>
      </c>
      <c r="E2027" s="74">
        <f t="shared" si="64"/>
        <v>-3.9515137886961598E-3</v>
      </c>
      <c r="F2027" s="75"/>
    </row>
    <row r="2028" spans="1:6" ht="14.25" customHeight="1" x14ac:dyDescent="0.3">
      <c r="A2028" s="73">
        <v>43529</v>
      </c>
      <c r="B2028" s="74">
        <v>36442.54</v>
      </c>
      <c r="C2028" s="74">
        <v>1033.3499999999999</v>
      </c>
      <c r="D2028" s="74">
        <f t="shared" si="63"/>
        <v>1.0446904153190929E-2</v>
      </c>
      <c r="E2028" s="74">
        <f t="shared" si="64"/>
        <v>1.0164221244352718E-2</v>
      </c>
      <c r="F2028" s="75"/>
    </row>
    <row r="2029" spans="1:6" ht="14.25" customHeight="1" x14ac:dyDescent="0.3">
      <c r="A2029" s="73">
        <v>43530</v>
      </c>
      <c r="B2029" s="74">
        <v>36636.1</v>
      </c>
      <c r="C2029" s="74">
        <v>1054.55</v>
      </c>
      <c r="D2029" s="74">
        <f t="shared" si="63"/>
        <v>5.2973195076782189E-3</v>
      </c>
      <c r="E2029" s="74">
        <f t="shared" si="64"/>
        <v>2.030818392430913E-2</v>
      </c>
      <c r="F2029" s="75"/>
    </row>
    <row r="2030" spans="1:6" ht="14.25" customHeight="1" x14ac:dyDescent="0.3">
      <c r="A2030" s="73">
        <v>43531</v>
      </c>
      <c r="B2030" s="74">
        <v>36725.42</v>
      </c>
      <c r="C2030" s="74">
        <v>1045.25</v>
      </c>
      <c r="D2030" s="74">
        <f t="shared" si="63"/>
        <v>2.4350652531616506E-3</v>
      </c>
      <c r="E2030" s="74">
        <f t="shared" si="64"/>
        <v>-8.8580443949490915E-3</v>
      </c>
      <c r="F2030" s="75"/>
    </row>
    <row r="2031" spans="1:6" ht="14.25" customHeight="1" x14ac:dyDescent="0.3">
      <c r="A2031" s="73">
        <v>43532</v>
      </c>
      <c r="B2031" s="74">
        <v>36671.43</v>
      </c>
      <c r="C2031" s="74">
        <v>1053.6500000000001</v>
      </c>
      <c r="D2031" s="74">
        <f t="shared" si="63"/>
        <v>-1.4711805680452988E-3</v>
      </c>
      <c r="E2031" s="74">
        <f t="shared" si="64"/>
        <v>8.0042354065475371E-3</v>
      </c>
      <c r="F2031" s="75"/>
    </row>
    <row r="2032" spans="1:6" ht="14.25" customHeight="1" x14ac:dyDescent="0.3">
      <c r="A2032" s="73">
        <v>43535</v>
      </c>
      <c r="B2032" s="74">
        <v>37054.1</v>
      </c>
      <c r="C2032" s="74">
        <v>1067.95</v>
      </c>
      <c r="D2032" s="74">
        <f t="shared" si="63"/>
        <v>1.0381029110384883E-2</v>
      </c>
      <c r="E2032" s="74">
        <f t="shared" si="64"/>
        <v>1.3480596301591947E-2</v>
      </c>
      <c r="F2032" s="75"/>
    </row>
    <row r="2033" spans="1:6" ht="14.25" customHeight="1" x14ac:dyDescent="0.3">
      <c r="A2033" s="73">
        <v>43536</v>
      </c>
      <c r="B2033" s="74">
        <v>37535.660000000003</v>
      </c>
      <c r="C2033" s="74">
        <v>1083.3</v>
      </c>
      <c r="D2033" s="74">
        <f t="shared" si="63"/>
        <v>1.2912407570881499E-2</v>
      </c>
      <c r="E2033" s="74">
        <f t="shared" si="64"/>
        <v>1.4271015006707879E-2</v>
      </c>
      <c r="F2033" s="75"/>
    </row>
    <row r="2034" spans="1:6" ht="14.25" customHeight="1" x14ac:dyDescent="0.3">
      <c r="A2034" s="73">
        <v>43537</v>
      </c>
      <c r="B2034" s="74">
        <v>37752.17</v>
      </c>
      <c r="C2034" s="74">
        <v>1077.8499999999999</v>
      </c>
      <c r="D2034" s="74">
        <f t="shared" si="63"/>
        <v>5.7515430276056422E-3</v>
      </c>
      <c r="E2034" s="74">
        <f t="shared" si="64"/>
        <v>-5.0436217320790708E-3</v>
      </c>
      <c r="F2034" s="75"/>
    </row>
    <row r="2035" spans="1:6" ht="14.25" customHeight="1" x14ac:dyDescent="0.3">
      <c r="A2035" s="73">
        <v>43538</v>
      </c>
      <c r="B2035" s="74">
        <v>37754.89</v>
      </c>
      <c r="C2035" s="74">
        <v>1084.8499999999999</v>
      </c>
      <c r="D2035" s="74">
        <f t="shared" si="63"/>
        <v>7.2046243124177116E-5</v>
      </c>
      <c r="E2035" s="74">
        <f t="shared" si="64"/>
        <v>6.4734123499381692E-3</v>
      </c>
      <c r="F2035" s="75"/>
    </row>
    <row r="2036" spans="1:6" ht="14.25" customHeight="1" x14ac:dyDescent="0.3">
      <c r="A2036" s="73">
        <v>43539</v>
      </c>
      <c r="B2036" s="74">
        <v>38024.32</v>
      </c>
      <c r="C2036" s="74">
        <v>1095.45</v>
      </c>
      <c r="D2036" s="74">
        <f t="shared" si="63"/>
        <v>7.1109512839684745E-3</v>
      </c>
      <c r="E2036" s="74">
        <f t="shared" si="64"/>
        <v>9.7235091648478437E-3</v>
      </c>
      <c r="F2036" s="75"/>
    </row>
    <row r="2037" spans="1:6" ht="14.25" customHeight="1" x14ac:dyDescent="0.3">
      <c r="A2037" s="73">
        <v>43542</v>
      </c>
      <c r="B2037" s="74">
        <v>38095.07</v>
      </c>
      <c r="C2037" s="74">
        <v>1102.3</v>
      </c>
      <c r="D2037" s="74">
        <f t="shared" si="63"/>
        <v>1.8589224210439411E-3</v>
      </c>
      <c r="E2037" s="74">
        <f t="shared" si="64"/>
        <v>6.2336682350413028E-3</v>
      </c>
      <c r="F2037" s="75"/>
    </row>
    <row r="2038" spans="1:6" ht="14.25" customHeight="1" x14ac:dyDescent="0.3">
      <c r="A2038" s="73">
        <v>43543</v>
      </c>
      <c r="B2038" s="74">
        <v>38363.47</v>
      </c>
      <c r="C2038" s="74">
        <v>1109.1500000000001</v>
      </c>
      <c r="D2038" s="74">
        <f t="shared" si="63"/>
        <v>7.0208273005784201E-3</v>
      </c>
      <c r="E2038" s="74">
        <f t="shared" si="64"/>
        <v>6.1950502229733287E-3</v>
      </c>
      <c r="F2038" s="75"/>
    </row>
    <row r="2039" spans="1:6" ht="14.25" customHeight="1" x14ac:dyDescent="0.3">
      <c r="A2039" s="73">
        <v>43544</v>
      </c>
      <c r="B2039" s="74">
        <v>38386.75</v>
      </c>
      <c r="C2039" s="74">
        <v>1102.6500000000001</v>
      </c>
      <c r="D2039" s="74">
        <f t="shared" si="63"/>
        <v>6.0664323083251957E-4</v>
      </c>
      <c r="E2039" s="74">
        <f t="shared" si="64"/>
        <v>-5.8775827040367396E-3</v>
      </c>
      <c r="F2039" s="75"/>
    </row>
    <row r="2040" spans="1:6" ht="14.25" customHeight="1" x14ac:dyDescent="0.3">
      <c r="A2040" s="73">
        <v>43546</v>
      </c>
      <c r="B2040" s="74">
        <v>38164.61</v>
      </c>
      <c r="C2040" s="74">
        <v>1104.7</v>
      </c>
      <c r="D2040" s="74">
        <f t="shared" si="63"/>
        <v>-5.8037015548051867E-3</v>
      </c>
      <c r="E2040" s="74">
        <f t="shared" si="64"/>
        <v>1.8574313900229591E-3</v>
      </c>
      <c r="F2040" s="75"/>
    </row>
    <row r="2041" spans="1:6" ht="14.25" customHeight="1" x14ac:dyDescent="0.3">
      <c r="A2041" s="73">
        <v>43549</v>
      </c>
      <c r="B2041" s="74">
        <v>37808.910000000003</v>
      </c>
      <c r="C2041" s="74">
        <v>1100.9000000000001</v>
      </c>
      <c r="D2041" s="74">
        <f t="shared" si="63"/>
        <v>-9.3638572763660652E-3</v>
      </c>
      <c r="E2041" s="74">
        <f t="shared" si="64"/>
        <v>-3.445777801871901E-3</v>
      </c>
      <c r="F2041" s="75"/>
    </row>
    <row r="2042" spans="1:6" ht="14.25" customHeight="1" x14ac:dyDescent="0.3">
      <c r="A2042" s="73">
        <v>43550</v>
      </c>
      <c r="B2042" s="74">
        <v>38233.410000000003</v>
      </c>
      <c r="C2042" s="74">
        <v>1116.25</v>
      </c>
      <c r="D2042" s="74">
        <f t="shared" si="63"/>
        <v>1.1164951561233535E-2</v>
      </c>
      <c r="E2042" s="74">
        <f t="shared" si="64"/>
        <v>1.3846826114351216E-2</v>
      </c>
      <c r="F2042" s="75"/>
    </row>
    <row r="2043" spans="1:6" ht="14.25" customHeight="1" x14ac:dyDescent="0.3">
      <c r="A2043" s="73">
        <v>43551</v>
      </c>
      <c r="B2043" s="74">
        <v>38132.879999999997</v>
      </c>
      <c r="C2043" s="74">
        <v>1114.3</v>
      </c>
      <c r="D2043" s="74">
        <f t="shared" si="63"/>
        <v>-2.6328386012068909E-3</v>
      </c>
      <c r="E2043" s="74">
        <f t="shared" si="64"/>
        <v>-1.7484481377005798E-3</v>
      </c>
      <c r="F2043" s="75"/>
    </row>
    <row r="2044" spans="1:6" ht="14.25" customHeight="1" x14ac:dyDescent="0.3">
      <c r="A2044" s="73">
        <v>43552</v>
      </c>
      <c r="B2044" s="74">
        <v>38545.72</v>
      </c>
      <c r="C2044" s="74">
        <v>1129.75</v>
      </c>
      <c r="D2044" s="74">
        <f t="shared" si="63"/>
        <v>1.0768167107290642E-2</v>
      </c>
      <c r="E2044" s="74">
        <f t="shared" si="64"/>
        <v>1.376996423838078E-2</v>
      </c>
      <c r="F2044" s="75"/>
    </row>
    <row r="2045" spans="1:6" ht="14.25" customHeight="1" x14ac:dyDescent="0.3">
      <c r="A2045" s="73">
        <v>43553</v>
      </c>
      <c r="B2045" s="74">
        <v>38672.910000000003</v>
      </c>
      <c r="C2045" s="74">
        <v>1137.5</v>
      </c>
      <c r="D2045" s="74">
        <f t="shared" si="63"/>
        <v>3.2942857190166276E-3</v>
      </c>
      <c r="E2045" s="74">
        <f t="shared" si="64"/>
        <v>6.836502533716403E-3</v>
      </c>
      <c r="F2045" s="75"/>
    </row>
    <row r="2046" spans="1:6" ht="14.25" customHeight="1" x14ac:dyDescent="0.3">
      <c r="A2046" s="73">
        <v>43556</v>
      </c>
      <c r="B2046" s="74">
        <v>38871.870000000003</v>
      </c>
      <c r="C2046" s="74">
        <v>1121.75</v>
      </c>
      <c r="D2046" s="74">
        <f t="shared" si="63"/>
        <v>5.1314978671380832E-3</v>
      </c>
      <c r="E2046" s="74">
        <f t="shared" si="64"/>
        <v>-1.394290596901275E-2</v>
      </c>
      <c r="F2046" s="75"/>
    </row>
    <row r="2047" spans="1:6" ht="14.25" customHeight="1" x14ac:dyDescent="0.3">
      <c r="A2047" s="73">
        <v>43557</v>
      </c>
      <c r="B2047" s="74">
        <v>39056.65</v>
      </c>
      <c r="C2047" s="74">
        <v>1112.2</v>
      </c>
      <c r="D2047" s="74">
        <f t="shared" si="63"/>
        <v>4.7423034929908476E-3</v>
      </c>
      <c r="E2047" s="74">
        <f t="shared" si="64"/>
        <v>-8.5499301026291281E-3</v>
      </c>
      <c r="F2047" s="75"/>
    </row>
    <row r="2048" spans="1:6" ht="14.25" customHeight="1" x14ac:dyDescent="0.3">
      <c r="A2048" s="73">
        <v>43558</v>
      </c>
      <c r="B2048" s="74">
        <v>38877.120000000003</v>
      </c>
      <c r="C2048" s="74">
        <v>1100.1500000000001</v>
      </c>
      <c r="D2048" s="74">
        <f t="shared" si="63"/>
        <v>-4.6072535069271768E-3</v>
      </c>
      <c r="E2048" s="74">
        <f t="shared" si="64"/>
        <v>-1.0893501627313541E-2</v>
      </c>
      <c r="F2048" s="75"/>
    </row>
    <row r="2049" spans="1:6" ht="14.25" customHeight="1" x14ac:dyDescent="0.3">
      <c r="A2049" s="73">
        <v>43559</v>
      </c>
      <c r="B2049" s="74">
        <v>38684.720000000001</v>
      </c>
      <c r="C2049" s="74">
        <v>1106.9000000000001</v>
      </c>
      <c r="D2049" s="74">
        <f t="shared" si="63"/>
        <v>-4.961212746845689E-3</v>
      </c>
      <c r="E2049" s="74">
        <f t="shared" si="64"/>
        <v>6.1167812654282869E-3</v>
      </c>
      <c r="F2049" s="75"/>
    </row>
    <row r="2050" spans="1:6" ht="14.25" customHeight="1" x14ac:dyDescent="0.3">
      <c r="A2050" s="73">
        <v>43560</v>
      </c>
      <c r="B2050" s="74">
        <v>38862.230000000003</v>
      </c>
      <c r="C2050" s="74">
        <v>1107.4000000000001</v>
      </c>
      <c r="D2050" s="74">
        <f t="shared" si="63"/>
        <v>4.5781377614725911E-3</v>
      </c>
      <c r="E2050" s="74">
        <f t="shared" si="64"/>
        <v>4.5160999728853258E-4</v>
      </c>
      <c r="F2050" s="75"/>
    </row>
    <row r="2051" spans="1:6" ht="14.25" customHeight="1" x14ac:dyDescent="0.3">
      <c r="A2051" s="73">
        <v>43563</v>
      </c>
      <c r="B2051" s="74">
        <v>38700.53</v>
      </c>
      <c r="C2051" s="74">
        <v>1103.9000000000001</v>
      </c>
      <c r="D2051" s="74">
        <f t="shared" si="63"/>
        <v>-4.1695327567729135E-3</v>
      </c>
      <c r="E2051" s="74">
        <f t="shared" si="64"/>
        <v>-3.1655613645607569E-3</v>
      </c>
      <c r="F2051" s="75"/>
    </row>
    <row r="2052" spans="1:6" ht="14.25" customHeight="1" x14ac:dyDescent="0.3">
      <c r="A2052" s="73">
        <v>43564</v>
      </c>
      <c r="B2052" s="74">
        <v>38939.22</v>
      </c>
      <c r="C2052" s="74">
        <v>1099.0999999999999</v>
      </c>
      <c r="D2052" s="74">
        <f t="shared" ref="D2052:D2115" si="65">LN(B2052/B2051)</f>
        <v>6.1486738943946073E-3</v>
      </c>
      <c r="E2052" s="74">
        <f t="shared" ref="E2052:E2115" si="66">LN(C2052/C2051)</f>
        <v>-4.3577009494514584E-3</v>
      </c>
      <c r="F2052" s="75"/>
    </row>
    <row r="2053" spans="1:6" ht="14.25" customHeight="1" x14ac:dyDescent="0.3">
      <c r="A2053" s="73">
        <v>43565</v>
      </c>
      <c r="B2053" s="74">
        <v>38585.35</v>
      </c>
      <c r="C2053" s="74">
        <v>1099.95</v>
      </c>
      <c r="D2053" s="74">
        <f t="shared" si="65"/>
        <v>-9.1292981758997731E-3</v>
      </c>
      <c r="E2053" s="74">
        <f t="shared" si="66"/>
        <v>7.730611330637265E-4</v>
      </c>
      <c r="F2053" s="75"/>
    </row>
    <row r="2054" spans="1:6" ht="14.25" customHeight="1" x14ac:dyDescent="0.3">
      <c r="A2054" s="73">
        <v>43566</v>
      </c>
      <c r="B2054" s="74">
        <v>38607.01</v>
      </c>
      <c r="C2054" s="74">
        <v>1105.6500000000001</v>
      </c>
      <c r="D2054" s="74">
        <f t="shared" si="65"/>
        <v>5.6119544909559221E-4</v>
      </c>
      <c r="E2054" s="74">
        <f t="shared" si="66"/>
        <v>5.168673095489228E-3</v>
      </c>
      <c r="F2054" s="75"/>
    </row>
    <row r="2055" spans="1:6" ht="14.25" customHeight="1" x14ac:dyDescent="0.3">
      <c r="A2055" s="73">
        <v>43567</v>
      </c>
      <c r="B2055" s="74">
        <v>38767.11</v>
      </c>
      <c r="C2055" s="74">
        <v>1096.0999999999999</v>
      </c>
      <c r="D2055" s="74">
        <f t="shared" si="65"/>
        <v>4.1383405326608363E-3</v>
      </c>
      <c r="E2055" s="74">
        <f t="shared" si="66"/>
        <v>-8.6749720817299453E-3</v>
      </c>
      <c r="F2055" s="75"/>
    </row>
    <row r="2056" spans="1:6" ht="14.25" customHeight="1" x14ac:dyDescent="0.3">
      <c r="A2056" s="73">
        <v>43570</v>
      </c>
      <c r="B2056" s="74">
        <v>38905.839999999997</v>
      </c>
      <c r="C2056" s="74">
        <v>1090.25</v>
      </c>
      <c r="D2056" s="74">
        <f t="shared" si="65"/>
        <v>3.5721611582945592E-3</v>
      </c>
      <c r="E2056" s="74">
        <f t="shared" si="66"/>
        <v>-5.3513974988018244E-3</v>
      </c>
      <c r="F2056" s="75"/>
    </row>
    <row r="2057" spans="1:6" ht="14.25" customHeight="1" x14ac:dyDescent="0.3">
      <c r="A2057" s="73">
        <v>43571</v>
      </c>
      <c r="B2057" s="74">
        <v>39275.64</v>
      </c>
      <c r="C2057" s="74">
        <v>1122.2</v>
      </c>
      <c r="D2057" s="74">
        <f t="shared" si="65"/>
        <v>9.4601114712509655E-3</v>
      </c>
      <c r="E2057" s="74">
        <f t="shared" si="66"/>
        <v>2.8884016593995931E-2</v>
      </c>
      <c r="F2057" s="75"/>
    </row>
    <row r="2058" spans="1:6" ht="14.25" customHeight="1" x14ac:dyDescent="0.3">
      <c r="A2058" s="73">
        <v>43573</v>
      </c>
      <c r="B2058" s="74">
        <v>39140.28</v>
      </c>
      <c r="C2058" s="74">
        <v>1125.75</v>
      </c>
      <c r="D2058" s="74">
        <f t="shared" si="65"/>
        <v>-3.4523636130062169E-3</v>
      </c>
      <c r="E2058" s="74">
        <f t="shared" si="66"/>
        <v>3.1584358648093763E-3</v>
      </c>
      <c r="F2058" s="75"/>
    </row>
    <row r="2059" spans="1:6" ht="14.25" customHeight="1" x14ac:dyDescent="0.3">
      <c r="A2059" s="73">
        <v>43577</v>
      </c>
      <c r="B2059" s="74">
        <v>38645.18</v>
      </c>
      <c r="C2059" s="74">
        <v>1121.9000000000001</v>
      </c>
      <c r="D2059" s="74">
        <f t="shared" si="65"/>
        <v>-1.27300574188241E-2</v>
      </c>
      <c r="E2059" s="74">
        <f t="shared" si="66"/>
        <v>-3.4258036307619087E-3</v>
      </c>
      <c r="F2059" s="75"/>
    </row>
    <row r="2060" spans="1:6" ht="14.25" customHeight="1" x14ac:dyDescent="0.3">
      <c r="A2060" s="73">
        <v>43578</v>
      </c>
      <c r="B2060" s="74">
        <v>38564.879999999997</v>
      </c>
      <c r="C2060" s="74">
        <v>1127.8499999999999</v>
      </c>
      <c r="D2060" s="74">
        <f t="shared" si="65"/>
        <v>-2.08004057895974E-3</v>
      </c>
      <c r="E2060" s="74">
        <f t="shared" si="66"/>
        <v>5.2894889412265101E-3</v>
      </c>
      <c r="F2060" s="75"/>
    </row>
    <row r="2061" spans="1:6" ht="14.25" customHeight="1" x14ac:dyDescent="0.3">
      <c r="A2061" s="73">
        <v>43579</v>
      </c>
      <c r="B2061" s="74">
        <v>39054.68</v>
      </c>
      <c r="C2061" s="74">
        <v>1147.55</v>
      </c>
      <c r="D2061" s="74">
        <f t="shared" si="65"/>
        <v>1.2620697704121818E-2</v>
      </c>
      <c r="E2061" s="74">
        <f t="shared" si="66"/>
        <v>1.731606947802914E-2</v>
      </c>
      <c r="F2061" s="75"/>
    </row>
    <row r="2062" spans="1:6" ht="14.25" customHeight="1" x14ac:dyDescent="0.3">
      <c r="A2062" s="73">
        <v>43580</v>
      </c>
      <c r="B2062" s="74">
        <v>38730.86</v>
      </c>
      <c r="C2062" s="74">
        <v>1141.05</v>
      </c>
      <c r="D2062" s="74">
        <f t="shared" si="65"/>
        <v>-8.3260171663569298E-3</v>
      </c>
      <c r="E2062" s="74">
        <f t="shared" si="66"/>
        <v>-5.6803438587548763E-3</v>
      </c>
      <c r="F2062" s="75"/>
    </row>
    <row r="2063" spans="1:6" ht="14.25" customHeight="1" x14ac:dyDescent="0.3">
      <c r="A2063" s="73">
        <v>43581</v>
      </c>
      <c r="B2063" s="74">
        <v>39067.33</v>
      </c>
      <c r="C2063" s="74">
        <v>1138.1500000000001</v>
      </c>
      <c r="D2063" s="74">
        <f t="shared" si="65"/>
        <v>8.6498695636661738E-3</v>
      </c>
      <c r="E2063" s="74">
        <f t="shared" si="66"/>
        <v>-2.5447539180221087E-3</v>
      </c>
      <c r="F2063" s="75"/>
    </row>
    <row r="2064" spans="1:6" ht="14.25" customHeight="1" x14ac:dyDescent="0.3">
      <c r="A2064" s="73">
        <v>43585</v>
      </c>
      <c r="B2064" s="74">
        <v>39031.550000000003</v>
      </c>
      <c r="C2064" s="74">
        <v>1156.1500000000001</v>
      </c>
      <c r="D2064" s="74">
        <f t="shared" si="65"/>
        <v>-9.162744076043394E-4</v>
      </c>
      <c r="E2064" s="74">
        <f t="shared" si="66"/>
        <v>1.5691382406579048E-2</v>
      </c>
      <c r="F2064" s="75"/>
    </row>
    <row r="2065" spans="1:6" ht="14.25" customHeight="1" x14ac:dyDescent="0.3">
      <c r="A2065" s="73">
        <v>43587</v>
      </c>
      <c r="B2065" s="74">
        <v>38981.43</v>
      </c>
      <c r="C2065" s="74">
        <v>1138.25</v>
      </c>
      <c r="D2065" s="74">
        <f t="shared" si="65"/>
        <v>-1.2849145589798022E-3</v>
      </c>
      <c r="E2065" s="74">
        <f t="shared" si="66"/>
        <v>-1.560352438508528E-2</v>
      </c>
      <c r="F2065" s="75"/>
    </row>
    <row r="2066" spans="1:6" ht="14.25" customHeight="1" x14ac:dyDescent="0.3">
      <c r="A2066" s="73">
        <v>43588</v>
      </c>
      <c r="B2066" s="74">
        <v>38963.26</v>
      </c>
      <c r="C2066" s="74">
        <v>1145.55</v>
      </c>
      <c r="D2066" s="74">
        <f t="shared" si="65"/>
        <v>-4.6622804784088155E-4</v>
      </c>
      <c r="E2066" s="74">
        <f t="shared" si="66"/>
        <v>6.392875787611392E-3</v>
      </c>
      <c r="F2066" s="75"/>
    </row>
    <row r="2067" spans="1:6" ht="14.25" customHeight="1" x14ac:dyDescent="0.3">
      <c r="A2067" s="73">
        <v>43591</v>
      </c>
      <c r="B2067" s="74">
        <v>38600.339999999997</v>
      </c>
      <c r="C2067" s="74">
        <v>1081.8</v>
      </c>
      <c r="D2067" s="74">
        <f t="shared" si="65"/>
        <v>-9.3580661162636254E-3</v>
      </c>
      <c r="E2067" s="74">
        <f t="shared" si="66"/>
        <v>-5.7258550565176293E-2</v>
      </c>
      <c r="F2067" s="75"/>
    </row>
    <row r="2068" spans="1:6" ht="14.25" customHeight="1" x14ac:dyDescent="0.3">
      <c r="A2068" s="73">
        <v>43592</v>
      </c>
      <c r="B2068" s="74">
        <v>38276.629999999997</v>
      </c>
      <c r="C2068" s="74">
        <v>1085.8499999999999</v>
      </c>
      <c r="D2068" s="74">
        <f t="shared" si="65"/>
        <v>-8.4215575404395938E-3</v>
      </c>
      <c r="E2068" s="74">
        <f t="shared" si="66"/>
        <v>3.7367699699335315E-3</v>
      </c>
      <c r="F2068" s="75"/>
    </row>
    <row r="2069" spans="1:6" ht="14.25" customHeight="1" x14ac:dyDescent="0.3">
      <c r="A2069" s="73">
        <v>43593</v>
      </c>
      <c r="B2069" s="74">
        <v>37789.129999999997</v>
      </c>
      <c r="C2069" s="74">
        <v>1088.3499999999999</v>
      </c>
      <c r="D2069" s="74">
        <f t="shared" si="65"/>
        <v>-1.2818032048802587E-2</v>
      </c>
      <c r="E2069" s="74">
        <f t="shared" si="66"/>
        <v>2.2996974535860137E-3</v>
      </c>
      <c r="F2069" s="75"/>
    </row>
    <row r="2070" spans="1:6" ht="14.25" customHeight="1" x14ac:dyDescent="0.3">
      <c r="A2070" s="73">
        <v>43594</v>
      </c>
      <c r="B2070" s="74">
        <v>37558.910000000003</v>
      </c>
      <c r="C2070" s="74">
        <v>1100.45</v>
      </c>
      <c r="D2070" s="74">
        <f t="shared" si="65"/>
        <v>-6.1108614482303179E-3</v>
      </c>
      <c r="E2070" s="74">
        <f t="shared" si="66"/>
        <v>1.1056399179835025E-2</v>
      </c>
      <c r="F2070" s="75"/>
    </row>
    <row r="2071" spans="1:6" ht="14.25" customHeight="1" x14ac:dyDescent="0.3">
      <c r="A2071" s="73">
        <v>43595</v>
      </c>
      <c r="B2071" s="74">
        <v>37462.99</v>
      </c>
      <c r="C2071" s="74">
        <v>1131.8</v>
      </c>
      <c r="D2071" s="74">
        <f t="shared" si="65"/>
        <v>-2.5571213810198722E-3</v>
      </c>
      <c r="E2071" s="74">
        <f t="shared" si="66"/>
        <v>2.8090098667742418E-2</v>
      </c>
      <c r="F2071" s="75"/>
    </row>
    <row r="2072" spans="1:6" ht="14.25" customHeight="1" x14ac:dyDescent="0.3">
      <c r="A2072" s="73">
        <v>43598</v>
      </c>
      <c r="B2072" s="74">
        <v>37090.82</v>
      </c>
      <c r="C2072" s="74">
        <v>1143.75</v>
      </c>
      <c r="D2072" s="74">
        <f t="shared" si="65"/>
        <v>-9.9840126615333737E-3</v>
      </c>
      <c r="E2072" s="74">
        <f t="shared" si="66"/>
        <v>1.0503051881307682E-2</v>
      </c>
      <c r="F2072" s="75"/>
    </row>
    <row r="2073" spans="1:6" ht="14.25" customHeight="1" x14ac:dyDescent="0.3">
      <c r="A2073" s="73">
        <v>43599</v>
      </c>
      <c r="B2073" s="74">
        <v>37318.53</v>
      </c>
      <c r="C2073" s="74">
        <v>1153.4000000000001</v>
      </c>
      <c r="D2073" s="74">
        <f t="shared" si="65"/>
        <v>6.1204864937271239E-3</v>
      </c>
      <c r="E2073" s="74">
        <f t="shared" si="66"/>
        <v>8.4017645915812379E-3</v>
      </c>
      <c r="F2073" s="75"/>
    </row>
    <row r="2074" spans="1:6" ht="14.25" customHeight="1" x14ac:dyDescent="0.3">
      <c r="A2074" s="73">
        <v>43600</v>
      </c>
      <c r="B2074" s="74">
        <v>37114.879999999997</v>
      </c>
      <c r="C2074" s="74">
        <v>1158.8499999999999</v>
      </c>
      <c r="D2074" s="74">
        <f t="shared" si="65"/>
        <v>-5.4720187656921897E-3</v>
      </c>
      <c r="E2074" s="74">
        <f t="shared" si="66"/>
        <v>4.7140318672561129E-3</v>
      </c>
      <c r="F2074" s="75"/>
    </row>
    <row r="2075" spans="1:6" ht="14.25" customHeight="1" x14ac:dyDescent="0.3">
      <c r="A2075" s="73">
        <v>43601</v>
      </c>
      <c r="B2075" s="74">
        <v>37393.480000000003</v>
      </c>
      <c r="C2075" s="74">
        <v>1183.4000000000001</v>
      </c>
      <c r="D2075" s="74">
        <f t="shared" si="65"/>
        <v>7.4783903020160941E-3</v>
      </c>
      <c r="E2075" s="74">
        <f t="shared" si="66"/>
        <v>2.0963517194025217E-2</v>
      </c>
      <c r="F2075" s="75"/>
    </row>
    <row r="2076" spans="1:6" ht="14.25" customHeight="1" x14ac:dyDescent="0.3">
      <c r="A2076" s="73">
        <v>43602</v>
      </c>
      <c r="B2076" s="74">
        <v>37930.769999999997</v>
      </c>
      <c r="C2076" s="74">
        <v>1190.25</v>
      </c>
      <c r="D2076" s="74">
        <f t="shared" si="65"/>
        <v>1.4266298376232327E-2</v>
      </c>
      <c r="E2076" s="74">
        <f t="shared" si="66"/>
        <v>5.7717178320344509E-3</v>
      </c>
      <c r="F2076" s="75"/>
    </row>
    <row r="2077" spans="1:6" ht="14.25" customHeight="1" x14ac:dyDescent="0.3">
      <c r="A2077" s="73">
        <v>43605</v>
      </c>
      <c r="B2077" s="74">
        <v>39352.67</v>
      </c>
      <c r="C2077" s="74">
        <v>1230.75</v>
      </c>
      <c r="D2077" s="74">
        <f t="shared" si="65"/>
        <v>3.6801169117951282E-2</v>
      </c>
      <c r="E2077" s="74">
        <f t="shared" si="66"/>
        <v>3.3460370563681924E-2</v>
      </c>
      <c r="F2077" s="75"/>
    </row>
    <row r="2078" spans="1:6" ht="14.25" customHeight="1" x14ac:dyDescent="0.3">
      <c r="A2078" s="73">
        <v>43606</v>
      </c>
      <c r="B2078" s="74">
        <v>38969.800000000003</v>
      </c>
      <c r="C2078" s="74">
        <v>1248.3499999999999</v>
      </c>
      <c r="D2078" s="74">
        <f t="shared" si="65"/>
        <v>-9.7768379818465451E-3</v>
      </c>
      <c r="E2078" s="74">
        <f t="shared" si="66"/>
        <v>1.4198939690621026E-2</v>
      </c>
      <c r="F2078" s="75"/>
    </row>
    <row r="2079" spans="1:6" ht="14.25" customHeight="1" x14ac:dyDescent="0.3">
      <c r="A2079" s="73">
        <v>43607</v>
      </c>
      <c r="B2079" s="74">
        <v>39110.21</v>
      </c>
      <c r="C2079" s="74">
        <v>1240.45</v>
      </c>
      <c r="D2079" s="74">
        <f t="shared" si="65"/>
        <v>3.596571039220434E-3</v>
      </c>
      <c r="E2079" s="74">
        <f t="shared" si="66"/>
        <v>-6.3484623374906266E-3</v>
      </c>
      <c r="F2079" s="75"/>
    </row>
    <row r="2080" spans="1:6" ht="14.25" customHeight="1" x14ac:dyDescent="0.3">
      <c r="A2080" s="73">
        <v>43608</v>
      </c>
      <c r="B2080" s="74">
        <v>38811.39</v>
      </c>
      <c r="C2080" s="74">
        <v>1219.1500000000001</v>
      </c>
      <c r="D2080" s="74">
        <f t="shared" si="65"/>
        <v>-7.6697979728098395E-3</v>
      </c>
      <c r="E2080" s="74">
        <f t="shared" si="66"/>
        <v>-1.732032239869959E-2</v>
      </c>
      <c r="F2080" s="75"/>
    </row>
    <row r="2081" spans="1:6" ht="14.25" customHeight="1" x14ac:dyDescent="0.3">
      <c r="A2081" s="73">
        <v>43609</v>
      </c>
      <c r="B2081" s="74">
        <v>39434.720000000001</v>
      </c>
      <c r="C2081" s="74">
        <v>1221.3</v>
      </c>
      <c r="D2081" s="74">
        <f t="shared" si="65"/>
        <v>1.5932886282206956E-2</v>
      </c>
      <c r="E2081" s="74">
        <f t="shared" si="66"/>
        <v>1.7619705843020302E-3</v>
      </c>
      <c r="F2081" s="75"/>
    </row>
    <row r="2082" spans="1:6" ht="14.25" customHeight="1" x14ac:dyDescent="0.3">
      <c r="A2082" s="73">
        <v>43612</v>
      </c>
      <c r="B2082" s="74">
        <v>39683.29</v>
      </c>
      <c r="C2082" s="74">
        <v>1239.3</v>
      </c>
      <c r="D2082" s="74">
        <f t="shared" si="65"/>
        <v>6.283545752877504E-3</v>
      </c>
      <c r="E2082" s="74">
        <f t="shared" si="66"/>
        <v>1.4630838893785714E-2</v>
      </c>
      <c r="F2082" s="75"/>
    </row>
    <row r="2083" spans="1:6" ht="14.25" customHeight="1" x14ac:dyDescent="0.3">
      <c r="A2083" s="73">
        <v>43613</v>
      </c>
      <c r="B2083" s="74">
        <v>39749.730000000003</v>
      </c>
      <c r="C2083" s="74">
        <v>1233.3</v>
      </c>
      <c r="D2083" s="74">
        <f t="shared" si="65"/>
        <v>1.6728563384364875E-3</v>
      </c>
      <c r="E2083" s="74">
        <f t="shared" si="66"/>
        <v>-4.8532004988861175E-3</v>
      </c>
      <c r="F2083" s="75"/>
    </row>
    <row r="2084" spans="1:6" ht="14.25" customHeight="1" x14ac:dyDescent="0.3">
      <c r="A2084" s="73">
        <v>43614</v>
      </c>
      <c r="B2084" s="74">
        <v>39502.050000000003</v>
      </c>
      <c r="C2084" s="74">
        <v>1235.5</v>
      </c>
      <c r="D2084" s="74">
        <f t="shared" si="65"/>
        <v>-6.2504793298812054E-3</v>
      </c>
      <c r="E2084" s="74">
        <f t="shared" si="66"/>
        <v>1.7822428567222924E-3</v>
      </c>
      <c r="F2084" s="75"/>
    </row>
    <row r="2085" spans="1:6" ht="14.25" customHeight="1" x14ac:dyDescent="0.3">
      <c r="A2085" s="73">
        <v>43615</v>
      </c>
      <c r="B2085" s="74">
        <v>39831.97</v>
      </c>
      <c r="C2085" s="74">
        <v>1240.9000000000001</v>
      </c>
      <c r="D2085" s="74">
        <f t="shared" si="65"/>
        <v>8.317286881751389E-3</v>
      </c>
      <c r="E2085" s="74">
        <f t="shared" si="66"/>
        <v>4.3611763519092054E-3</v>
      </c>
      <c r="F2085" s="75"/>
    </row>
    <row r="2086" spans="1:6" ht="14.25" customHeight="1" x14ac:dyDescent="0.3">
      <c r="A2086" s="73">
        <v>43616</v>
      </c>
      <c r="B2086" s="74">
        <v>39714.199999999997</v>
      </c>
      <c r="C2086" s="74">
        <v>1233.55</v>
      </c>
      <c r="D2086" s="74">
        <f t="shared" si="65"/>
        <v>-2.9610498166988382E-3</v>
      </c>
      <c r="E2086" s="74">
        <f t="shared" si="66"/>
        <v>-5.9407315698567003E-3</v>
      </c>
      <c r="F2086" s="75"/>
    </row>
    <row r="2087" spans="1:6" ht="14.25" customHeight="1" x14ac:dyDescent="0.3">
      <c r="A2087" s="73">
        <v>43619</v>
      </c>
      <c r="B2087" s="74">
        <v>40267.620000000003</v>
      </c>
      <c r="C2087" s="74">
        <v>1264.5999999999999</v>
      </c>
      <c r="D2087" s="74">
        <f t="shared" si="65"/>
        <v>1.3838865689420254E-2</v>
      </c>
      <c r="E2087" s="74">
        <f t="shared" si="66"/>
        <v>2.4859675413795562E-2</v>
      </c>
      <c r="F2087" s="75"/>
    </row>
    <row r="2088" spans="1:6" ht="14.25" customHeight="1" x14ac:dyDescent="0.3">
      <c r="A2088" s="73">
        <v>43620</v>
      </c>
      <c r="B2088" s="74">
        <v>40083.54</v>
      </c>
      <c r="C2088" s="74">
        <v>1252.4000000000001</v>
      </c>
      <c r="D2088" s="74">
        <f t="shared" si="65"/>
        <v>-4.5818958194084394E-3</v>
      </c>
      <c r="E2088" s="74">
        <f t="shared" si="66"/>
        <v>-9.6941561722620039E-3</v>
      </c>
      <c r="F2088" s="75"/>
    </row>
    <row r="2089" spans="1:6" ht="14.25" customHeight="1" x14ac:dyDescent="0.3">
      <c r="A2089" s="73">
        <v>43622</v>
      </c>
      <c r="B2089" s="74">
        <v>39529.72</v>
      </c>
      <c r="C2089" s="74">
        <v>1267.05</v>
      </c>
      <c r="D2089" s="74">
        <f t="shared" si="65"/>
        <v>-1.3912982174045196E-2</v>
      </c>
      <c r="E2089" s="74">
        <f t="shared" si="66"/>
        <v>1.1629653389364667E-2</v>
      </c>
      <c r="F2089" s="75"/>
    </row>
    <row r="2090" spans="1:6" ht="14.25" customHeight="1" x14ac:dyDescent="0.3">
      <c r="A2090" s="73">
        <v>43623</v>
      </c>
      <c r="B2090" s="74">
        <v>39615.9</v>
      </c>
      <c r="C2090" s="74">
        <v>1266.4000000000001</v>
      </c>
      <c r="D2090" s="74">
        <f t="shared" si="65"/>
        <v>2.177758770732023E-3</v>
      </c>
      <c r="E2090" s="74">
        <f t="shared" si="66"/>
        <v>-5.1313427481287064E-4</v>
      </c>
      <c r="F2090" s="75"/>
    </row>
    <row r="2091" spans="1:6" ht="14.25" customHeight="1" x14ac:dyDescent="0.3">
      <c r="A2091" s="73">
        <v>43626</v>
      </c>
      <c r="B2091" s="74">
        <v>39784.519999999997</v>
      </c>
      <c r="C2091" s="74">
        <v>1273.4000000000001</v>
      </c>
      <c r="D2091" s="74">
        <f t="shared" si="65"/>
        <v>4.2473390818443891E-3</v>
      </c>
      <c r="E2091" s="74">
        <f t="shared" si="66"/>
        <v>5.5122590161226425E-3</v>
      </c>
      <c r="F2091" s="75"/>
    </row>
    <row r="2092" spans="1:6" ht="14.25" customHeight="1" x14ac:dyDescent="0.3">
      <c r="A2092" s="73">
        <v>43627</v>
      </c>
      <c r="B2092" s="74">
        <v>39950.46</v>
      </c>
      <c r="C2092" s="74">
        <v>1280.5999999999999</v>
      </c>
      <c r="D2092" s="74">
        <f t="shared" si="65"/>
        <v>4.1622946308286666E-3</v>
      </c>
      <c r="E2092" s="74">
        <f t="shared" si="66"/>
        <v>5.6382295017767814E-3</v>
      </c>
      <c r="F2092" s="75"/>
    </row>
    <row r="2093" spans="1:6" ht="14.25" customHeight="1" x14ac:dyDescent="0.3">
      <c r="A2093" s="73">
        <v>43628</v>
      </c>
      <c r="B2093" s="74">
        <v>39756.81</v>
      </c>
      <c r="C2093" s="74">
        <v>1285.45</v>
      </c>
      <c r="D2093" s="74">
        <f t="shared" si="65"/>
        <v>-4.8590393576515315E-3</v>
      </c>
      <c r="E2093" s="74">
        <f t="shared" si="66"/>
        <v>3.7801334933471788E-3</v>
      </c>
      <c r="F2093" s="75"/>
    </row>
    <row r="2094" spans="1:6" ht="14.25" customHeight="1" x14ac:dyDescent="0.3">
      <c r="A2094" s="73">
        <v>43629</v>
      </c>
      <c r="B2094" s="74">
        <v>39741.360000000001</v>
      </c>
      <c r="C2094" s="74">
        <v>1293.5999999999999</v>
      </c>
      <c r="D2094" s="74">
        <f t="shared" si="65"/>
        <v>-3.8868819733863647E-4</v>
      </c>
      <c r="E2094" s="74">
        <f t="shared" si="66"/>
        <v>6.3201776848481033E-3</v>
      </c>
      <c r="F2094" s="75"/>
    </row>
    <row r="2095" spans="1:6" ht="14.25" customHeight="1" x14ac:dyDescent="0.3">
      <c r="A2095" s="73">
        <v>43630</v>
      </c>
      <c r="B2095" s="74">
        <v>39452.07</v>
      </c>
      <c r="C2095" s="74">
        <v>1280.8499999999999</v>
      </c>
      <c r="D2095" s="74">
        <f t="shared" si="65"/>
        <v>-7.3059415858017776E-3</v>
      </c>
      <c r="E2095" s="74">
        <f t="shared" si="66"/>
        <v>-9.905109241172284E-3</v>
      </c>
      <c r="F2095" s="75"/>
    </row>
    <row r="2096" spans="1:6" ht="14.25" customHeight="1" x14ac:dyDescent="0.3">
      <c r="A2096" s="73">
        <v>43633</v>
      </c>
      <c r="B2096" s="74">
        <v>38960.79</v>
      </c>
      <c r="C2096" s="74">
        <v>1256.25</v>
      </c>
      <c r="D2096" s="74">
        <f t="shared" si="65"/>
        <v>-1.2530761622046123E-2</v>
      </c>
      <c r="E2096" s="74">
        <f t="shared" si="66"/>
        <v>-1.9392827214338847E-2</v>
      </c>
      <c r="F2096" s="75"/>
    </row>
    <row r="2097" spans="1:6" ht="14.25" customHeight="1" x14ac:dyDescent="0.3">
      <c r="A2097" s="73">
        <v>43634</v>
      </c>
      <c r="B2097" s="74">
        <v>39046.339999999997</v>
      </c>
      <c r="C2097" s="74">
        <v>1258.0999999999999</v>
      </c>
      <c r="D2097" s="74">
        <f t="shared" si="65"/>
        <v>2.1933901246752878E-3</v>
      </c>
      <c r="E2097" s="74">
        <f t="shared" si="66"/>
        <v>1.4715535496992915E-3</v>
      </c>
      <c r="F2097" s="75"/>
    </row>
    <row r="2098" spans="1:6" ht="14.25" customHeight="1" x14ac:dyDescent="0.3">
      <c r="A2098" s="73">
        <v>43635</v>
      </c>
      <c r="B2098" s="74">
        <v>39112.74</v>
      </c>
      <c r="C2098" s="74">
        <v>1274.7</v>
      </c>
      <c r="D2098" s="74">
        <f t="shared" si="65"/>
        <v>1.699099221085718E-3</v>
      </c>
      <c r="E2098" s="74">
        <f t="shared" si="66"/>
        <v>1.3108210431790472E-2</v>
      </c>
      <c r="F2098" s="75"/>
    </row>
    <row r="2099" spans="1:6" ht="14.25" customHeight="1" x14ac:dyDescent="0.3">
      <c r="A2099" s="73">
        <v>43636</v>
      </c>
      <c r="B2099" s="74">
        <v>39601.629999999997</v>
      </c>
      <c r="C2099" s="74">
        <v>1305.95</v>
      </c>
      <c r="D2099" s="74">
        <f t="shared" si="65"/>
        <v>1.2422033907572533E-2</v>
      </c>
      <c r="E2099" s="74">
        <f t="shared" si="66"/>
        <v>2.4219888475413957E-2</v>
      </c>
      <c r="F2099" s="75"/>
    </row>
    <row r="2100" spans="1:6" ht="14.25" customHeight="1" x14ac:dyDescent="0.3">
      <c r="A2100" s="73">
        <v>43637</v>
      </c>
      <c r="B2100" s="74">
        <v>39194.49</v>
      </c>
      <c r="C2100" s="74">
        <v>1291.95</v>
      </c>
      <c r="D2100" s="74">
        <f t="shared" si="65"/>
        <v>-1.0334103337208026E-2</v>
      </c>
      <c r="E2100" s="74">
        <f t="shared" si="66"/>
        <v>-1.077804036099715E-2</v>
      </c>
      <c r="F2100" s="75"/>
    </row>
    <row r="2101" spans="1:6" ht="14.25" customHeight="1" x14ac:dyDescent="0.3">
      <c r="A2101" s="73">
        <v>43640</v>
      </c>
      <c r="B2101" s="74">
        <v>39122.959999999999</v>
      </c>
      <c r="C2101" s="74">
        <v>1299.3499999999999</v>
      </c>
      <c r="D2101" s="74">
        <f t="shared" si="65"/>
        <v>-1.8266687664019799E-3</v>
      </c>
      <c r="E2101" s="74">
        <f t="shared" si="66"/>
        <v>5.711434504653422E-3</v>
      </c>
      <c r="F2101" s="75"/>
    </row>
    <row r="2102" spans="1:6" ht="14.25" customHeight="1" x14ac:dyDescent="0.3">
      <c r="A2102" s="73">
        <v>43641</v>
      </c>
      <c r="B2102" s="74">
        <v>39434.94</v>
      </c>
      <c r="C2102" s="74">
        <v>1318.25</v>
      </c>
      <c r="D2102" s="74">
        <f t="shared" si="65"/>
        <v>7.9427184318651804E-3</v>
      </c>
      <c r="E2102" s="74">
        <f t="shared" si="66"/>
        <v>1.4440960002633519E-2</v>
      </c>
      <c r="F2102" s="75"/>
    </row>
    <row r="2103" spans="1:6" ht="14.25" customHeight="1" x14ac:dyDescent="0.3">
      <c r="A2103" s="73">
        <v>43642</v>
      </c>
      <c r="B2103" s="74">
        <v>39592.080000000002</v>
      </c>
      <c r="C2103" s="74">
        <v>1309.3</v>
      </c>
      <c r="D2103" s="74">
        <f t="shared" si="65"/>
        <v>3.9768729000322902E-3</v>
      </c>
      <c r="E2103" s="74">
        <f t="shared" si="66"/>
        <v>-6.8124561768716247E-3</v>
      </c>
      <c r="F2103" s="75"/>
    </row>
    <row r="2104" spans="1:6" ht="14.25" customHeight="1" x14ac:dyDescent="0.3">
      <c r="A2104" s="73">
        <v>43643</v>
      </c>
      <c r="B2104" s="74">
        <v>39586.410000000003</v>
      </c>
      <c r="C2104" s="74">
        <v>1328.8</v>
      </c>
      <c r="D2104" s="74">
        <f t="shared" si="65"/>
        <v>-1.4322071587099608E-4</v>
      </c>
      <c r="E2104" s="74">
        <f t="shared" si="66"/>
        <v>1.4783636065377624E-2</v>
      </c>
      <c r="F2104" s="75"/>
    </row>
    <row r="2105" spans="1:6" ht="14.25" customHeight="1" x14ac:dyDescent="0.3">
      <c r="A2105" s="73">
        <v>43644</v>
      </c>
      <c r="B2105" s="74">
        <v>39394.639999999999</v>
      </c>
      <c r="C2105" s="74">
        <v>1334.85</v>
      </c>
      <c r="D2105" s="74">
        <f t="shared" si="65"/>
        <v>-4.8561111015088228E-3</v>
      </c>
      <c r="E2105" s="74">
        <f t="shared" si="66"/>
        <v>4.5426466718956858E-3</v>
      </c>
      <c r="F2105" s="75"/>
    </row>
    <row r="2106" spans="1:6" ht="14.25" customHeight="1" x14ac:dyDescent="0.3">
      <c r="A2106" s="73">
        <v>43647</v>
      </c>
      <c r="B2106" s="74">
        <v>39686.5</v>
      </c>
      <c r="C2106" s="74">
        <v>1323.65</v>
      </c>
      <c r="D2106" s="74">
        <f t="shared" si="65"/>
        <v>7.3813130446827493E-3</v>
      </c>
      <c r="E2106" s="74">
        <f t="shared" si="66"/>
        <v>-8.4258538739394578E-3</v>
      </c>
      <c r="F2106" s="75"/>
    </row>
    <row r="2107" spans="1:6" ht="14.25" customHeight="1" x14ac:dyDescent="0.3">
      <c r="A2107" s="73">
        <v>43648</v>
      </c>
      <c r="B2107" s="74">
        <v>39816.480000000003</v>
      </c>
      <c r="C2107" s="74">
        <v>1324.5</v>
      </c>
      <c r="D2107" s="74">
        <f t="shared" si="65"/>
        <v>3.2698174536094087E-3</v>
      </c>
      <c r="E2107" s="74">
        <f t="shared" si="66"/>
        <v>6.4195761508295947E-4</v>
      </c>
      <c r="F2107" s="75"/>
    </row>
    <row r="2108" spans="1:6" ht="14.25" customHeight="1" x14ac:dyDescent="0.3">
      <c r="A2108" s="73">
        <v>43649</v>
      </c>
      <c r="B2108" s="74">
        <v>39839.25</v>
      </c>
      <c r="C2108" s="74">
        <v>1327.9</v>
      </c>
      <c r="D2108" s="74">
        <f t="shared" si="65"/>
        <v>5.7171029931433071E-4</v>
      </c>
      <c r="E2108" s="74">
        <f t="shared" si="66"/>
        <v>2.5637172841574472E-3</v>
      </c>
      <c r="F2108" s="75"/>
    </row>
    <row r="2109" spans="1:6" ht="14.25" customHeight="1" x14ac:dyDescent="0.3">
      <c r="A2109" s="73">
        <v>43650</v>
      </c>
      <c r="B2109" s="74">
        <v>39908.06</v>
      </c>
      <c r="C2109" s="74">
        <v>1290.6500000000001</v>
      </c>
      <c r="D2109" s="74">
        <f t="shared" si="65"/>
        <v>1.7257012700892277E-3</v>
      </c>
      <c r="E2109" s="74">
        <f t="shared" si="66"/>
        <v>-2.8452779574440711E-2</v>
      </c>
      <c r="F2109" s="75"/>
    </row>
    <row r="2110" spans="1:6" ht="14.25" customHeight="1" x14ac:dyDescent="0.3">
      <c r="A2110" s="73">
        <v>43651</v>
      </c>
      <c r="B2110" s="74">
        <v>39513.39</v>
      </c>
      <c r="C2110" s="74">
        <v>1277.75</v>
      </c>
      <c r="D2110" s="74">
        <f t="shared" si="65"/>
        <v>-9.9387067024630672E-3</v>
      </c>
      <c r="E2110" s="74">
        <f t="shared" si="66"/>
        <v>-1.0045248773452172E-2</v>
      </c>
      <c r="F2110" s="75"/>
    </row>
    <row r="2111" spans="1:6" ht="14.25" customHeight="1" x14ac:dyDescent="0.3">
      <c r="A2111" s="73">
        <v>43654</v>
      </c>
      <c r="B2111" s="74">
        <v>38720.57</v>
      </c>
      <c r="C2111" s="74">
        <v>1252.6500000000001</v>
      </c>
      <c r="D2111" s="74">
        <f t="shared" si="65"/>
        <v>-2.0268618431218254E-2</v>
      </c>
      <c r="E2111" s="74">
        <f t="shared" si="66"/>
        <v>-1.9839411381040749E-2</v>
      </c>
      <c r="F2111" s="75"/>
    </row>
    <row r="2112" spans="1:6" ht="14.25" customHeight="1" x14ac:dyDescent="0.3">
      <c r="A2112" s="73">
        <v>43655</v>
      </c>
      <c r="B2112" s="74">
        <v>38730.82</v>
      </c>
      <c r="C2112" s="74">
        <v>1099.0999999999999</v>
      </c>
      <c r="D2112" s="74">
        <f t="shared" si="65"/>
        <v>2.6468214604891539E-4</v>
      </c>
      <c r="E2112" s="74">
        <f t="shared" si="66"/>
        <v>-0.13076964419249354</v>
      </c>
      <c r="F2112" s="75"/>
    </row>
    <row r="2113" spans="1:6" ht="14.25" customHeight="1" x14ac:dyDescent="0.3">
      <c r="A2113" s="73">
        <v>43656</v>
      </c>
      <c r="B2113" s="74">
        <v>38557.040000000001</v>
      </c>
      <c r="C2113" s="74">
        <v>1101.2</v>
      </c>
      <c r="D2113" s="74">
        <f t="shared" si="65"/>
        <v>-4.4969622100508953E-3</v>
      </c>
      <c r="E2113" s="74">
        <f t="shared" si="66"/>
        <v>1.9088311935975886E-3</v>
      </c>
      <c r="F2113" s="75"/>
    </row>
    <row r="2114" spans="1:6" ht="14.25" customHeight="1" x14ac:dyDescent="0.3">
      <c r="A2114" s="73">
        <v>43657</v>
      </c>
      <c r="B2114" s="74">
        <v>38823.11</v>
      </c>
      <c r="C2114" s="74">
        <v>1095.7</v>
      </c>
      <c r="D2114" s="74">
        <f t="shared" si="65"/>
        <v>6.8769845651983916E-3</v>
      </c>
      <c r="E2114" s="74">
        <f t="shared" si="66"/>
        <v>-5.0070658571046284E-3</v>
      </c>
      <c r="F2114" s="75"/>
    </row>
    <row r="2115" spans="1:6" ht="14.25" customHeight="1" x14ac:dyDescent="0.3">
      <c r="A2115" s="73">
        <v>43658</v>
      </c>
      <c r="B2115" s="74">
        <v>38736.230000000003</v>
      </c>
      <c r="C2115" s="74">
        <v>1101.25</v>
      </c>
      <c r="D2115" s="74">
        <f t="shared" si="65"/>
        <v>-2.2403500684450269E-3</v>
      </c>
      <c r="E2115" s="74">
        <f t="shared" si="66"/>
        <v>5.0524698390415346E-3</v>
      </c>
      <c r="F2115" s="75"/>
    </row>
    <row r="2116" spans="1:6" ht="14.25" customHeight="1" x14ac:dyDescent="0.3">
      <c r="A2116" s="73">
        <v>43661</v>
      </c>
      <c r="B2116" s="74">
        <v>38896.71</v>
      </c>
      <c r="C2116" s="74">
        <v>1088.9000000000001</v>
      </c>
      <c r="D2116" s="74">
        <f t="shared" ref="D2116:D2179" si="67">LN(B2116/B2115)</f>
        <v>4.1343334050334066E-3</v>
      </c>
      <c r="E2116" s="74">
        <f t="shared" ref="E2116:E2179" si="68">LN(C2116/C2115)</f>
        <v>-1.127788589837396E-2</v>
      </c>
      <c r="F2116" s="75"/>
    </row>
    <row r="2117" spans="1:6" ht="14.25" customHeight="1" x14ac:dyDescent="0.3">
      <c r="A2117" s="73">
        <v>43662</v>
      </c>
      <c r="B2117" s="74">
        <v>39131.040000000001</v>
      </c>
      <c r="C2117" s="74">
        <v>1114.9000000000001</v>
      </c>
      <c r="D2117" s="74">
        <f t="shared" si="67"/>
        <v>6.0063427300327101E-3</v>
      </c>
      <c r="E2117" s="74">
        <f t="shared" si="68"/>
        <v>2.3596702421510494E-2</v>
      </c>
      <c r="F2117" s="75"/>
    </row>
    <row r="2118" spans="1:6" ht="14.25" customHeight="1" x14ac:dyDescent="0.3">
      <c r="A2118" s="73">
        <v>43663</v>
      </c>
      <c r="B2118" s="74">
        <v>39215.64</v>
      </c>
      <c r="C2118" s="74">
        <v>1109.55</v>
      </c>
      <c r="D2118" s="74">
        <f t="shared" si="67"/>
        <v>2.1596328748402101E-3</v>
      </c>
      <c r="E2118" s="74">
        <f t="shared" si="68"/>
        <v>-4.8101870715395335E-3</v>
      </c>
      <c r="F2118" s="75"/>
    </row>
    <row r="2119" spans="1:6" ht="14.25" customHeight="1" x14ac:dyDescent="0.3">
      <c r="A2119" s="73">
        <v>43664</v>
      </c>
      <c r="B2119" s="74">
        <v>38897.46</v>
      </c>
      <c r="C2119" s="74">
        <v>1080.9000000000001</v>
      </c>
      <c r="D2119" s="74">
        <f t="shared" si="67"/>
        <v>-8.1466939543323319E-3</v>
      </c>
      <c r="E2119" s="74">
        <f t="shared" si="68"/>
        <v>-2.6160500279828969E-2</v>
      </c>
      <c r="F2119" s="75"/>
    </row>
    <row r="2120" spans="1:6" ht="14.25" customHeight="1" x14ac:dyDescent="0.3">
      <c r="A2120" s="73">
        <v>43665</v>
      </c>
      <c r="B2120" s="74">
        <v>38337.01</v>
      </c>
      <c r="C2120" s="74">
        <v>1090.5999999999999</v>
      </c>
      <c r="D2120" s="74">
        <f t="shared" si="67"/>
        <v>-1.451320472347126E-2</v>
      </c>
      <c r="E2120" s="74">
        <f t="shared" si="68"/>
        <v>8.9339760698038447E-3</v>
      </c>
      <c r="F2120" s="75"/>
    </row>
    <row r="2121" spans="1:6" ht="14.25" customHeight="1" x14ac:dyDescent="0.3">
      <c r="A2121" s="73">
        <v>43668</v>
      </c>
      <c r="B2121" s="74">
        <v>38031.129999999997</v>
      </c>
      <c r="C2121" s="74">
        <v>1083.5</v>
      </c>
      <c r="D2121" s="74">
        <f t="shared" si="67"/>
        <v>-8.0107132563520273E-3</v>
      </c>
      <c r="E2121" s="74">
        <f t="shared" si="68"/>
        <v>-6.5314615155473753E-3</v>
      </c>
      <c r="F2121" s="75"/>
    </row>
    <row r="2122" spans="1:6" ht="14.25" customHeight="1" x14ac:dyDescent="0.3">
      <c r="A2122" s="73">
        <v>43669</v>
      </c>
      <c r="B2122" s="74">
        <v>37982.74</v>
      </c>
      <c r="C2122" s="74">
        <v>1099.05</v>
      </c>
      <c r="D2122" s="74">
        <f t="shared" si="67"/>
        <v>-1.2731888676822463E-3</v>
      </c>
      <c r="E2122" s="74">
        <f t="shared" si="68"/>
        <v>1.424962829766873E-2</v>
      </c>
      <c r="F2122" s="75"/>
    </row>
    <row r="2123" spans="1:6" ht="14.25" customHeight="1" x14ac:dyDescent="0.3">
      <c r="A2123" s="73">
        <v>43670</v>
      </c>
      <c r="B2123" s="74">
        <v>37847.65</v>
      </c>
      <c r="C2123" s="74">
        <v>1086.8499999999999</v>
      </c>
      <c r="D2123" s="74">
        <f t="shared" si="67"/>
        <v>-3.562955245515401E-3</v>
      </c>
      <c r="E2123" s="74">
        <f t="shared" si="68"/>
        <v>-1.1162566155208256E-2</v>
      </c>
      <c r="F2123" s="75"/>
    </row>
    <row r="2124" spans="1:6" ht="14.25" customHeight="1" x14ac:dyDescent="0.3">
      <c r="A2124" s="73">
        <v>43671</v>
      </c>
      <c r="B2124" s="74">
        <v>37830.980000000003</v>
      </c>
      <c r="C2124" s="74">
        <v>1090.3</v>
      </c>
      <c r="D2124" s="74">
        <f t="shared" si="67"/>
        <v>-4.4054709419585262E-4</v>
      </c>
      <c r="E2124" s="74">
        <f t="shared" si="68"/>
        <v>3.169283593461854E-3</v>
      </c>
      <c r="F2124" s="75"/>
    </row>
    <row r="2125" spans="1:6" ht="14.25" customHeight="1" x14ac:dyDescent="0.3">
      <c r="A2125" s="73">
        <v>43672</v>
      </c>
      <c r="B2125" s="74">
        <v>37882.79</v>
      </c>
      <c r="C2125" s="74">
        <v>1106.05</v>
      </c>
      <c r="D2125" s="74">
        <f t="shared" si="67"/>
        <v>1.3685755731531592E-3</v>
      </c>
      <c r="E2125" s="74">
        <f t="shared" si="68"/>
        <v>1.4342222304695436E-2</v>
      </c>
      <c r="F2125" s="75"/>
    </row>
    <row r="2126" spans="1:6" ht="14.25" customHeight="1" x14ac:dyDescent="0.3">
      <c r="A2126" s="73">
        <v>43675</v>
      </c>
      <c r="B2126" s="74">
        <v>37686.370000000003</v>
      </c>
      <c r="C2126" s="74">
        <v>1079.1500000000001</v>
      </c>
      <c r="D2126" s="74">
        <f t="shared" si="67"/>
        <v>-5.1984286270239533E-3</v>
      </c>
      <c r="E2126" s="74">
        <f t="shared" si="68"/>
        <v>-2.4621415812052034E-2</v>
      </c>
      <c r="F2126" s="75"/>
    </row>
    <row r="2127" spans="1:6" ht="14.25" customHeight="1" x14ac:dyDescent="0.3">
      <c r="A2127" s="73">
        <v>43676</v>
      </c>
      <c r="B2127" s="74">
        <v>37397.24</v>
      </c>
      <c r="C2127" s="74">
        <v>1079.05</v>
      </c>
      <c r="D2127" s="74">
        <f t="shared" si="67"/>
        <v>-7.7015857157154595E-3</v>
      </c>
      <c r="E2127" s="74">
        <f t="shared" si="68"/>
        <v>-9.2669817506850792E-5</v>
      </c>
      <c r="F2127" s="75"/>
    </row>
    <row r="2128" spans="1:6" ht="14.25" customHeight="1" x14ac:dyDescent="0.3">
      <c r="A2128" s="73">
        <v>43677</v>
      </c>
      <c r="B2128" s="74">
        <v>37481.120000000003</v>
      </c>
      <c r="C2128" s="74">
        <v>1056.1500000000001</v>
      </c>
      <c r="D2128" s="74">
        <f t="shared" si="67"/>
        <v>2.2404346218758194E-3</v>
      </c>
      <c r="E2128" s="74">
        <f t="shared" si="68"/>
        <v>-2.1450803754220687E-2</v>
      </c>
      <c r="F2128" s="75"/>
    </row>
    <row r="2129" spans="1:6" ht="14.25" customHeight="1" x14ac:dyDescent="0.3">
      <c r="A2129" s="73">
        <v>43678</v>
      </c>
      <c r="B2129" s="74">
        <v>37018.32</v>
      </c>
      <c r="C2129" s="74">
        <v>1056.4000000000001</v>
      </c>
      <c r="D2129" s="74">
        <f t="shared" si="67"/>
        <v>-1.2424414287395135E-2</v>
      </c>
      <c r="E2129" s="74">
        <f t="shared" si="68"/>
        <v>2.36680789725297E-4</v>
      </c>
      <c r="F2129" s="75"/>
    </row>
    <row r="2130" spans="1:6" ht="14.25" customHeight="1" x14ac:dyDescent="0.3">
      <c r="A2130" s="73">
        <v>43679</v>
      </c>
      <c r="B2130" s="74">
        <v>37118.22</v>
      </c>
      <c r="C2130" s="74">
        <v>1064.8</v>
      </c>
      <c r="D2130" s="74">
        <f t="shared" si="67"/>
        <v>2.6950289416251428E-3</v>
      </c>
      <c r="E2130" s="74">
        <f t="shared" si="68"/>
        <v>7.9200866579246174E-3</v>
      </c>
      <c r="F2130" s="75"/>
    </row>
    <row r="2131" spans="1:6" ht="14.25" customHeight="1" x14ac:dyDescent="0.3">
      <c r="A2131" s="73">
        <v>43682</v>
      </c>
      <c r="B2131" s="74">
        <v>36699.839999999997</v>
      </c>
      <c r="C2131" s="74">
        <v>1036.8</v>
      </c>
      <c r="D2131" s="74">
        <f t="shared" si="67"/>
        <v>-1.1335558804034428E-2</v>
      </c>
      <c r="E2131" s="74">
        <f t="shared" si="68"/>
        <v>-2.6647941482891641E-2</v>
      </c>
      <c r="F2131" s="75"/>
    </row>
    <row r="2132" spans="1:6" ht="14.25" customHeight="1" x14ac:dyDescent="0.3">
      <c r="A2132" s="73">
        <v>43683</v>
      </c>
      <c r="B2132" s="74">
        <v>36976.85</v>
      </c>
      <c r="C2132" s="74">
        <v>1038.05</v>
      </c>
      <c r="D2132" s="74">
        <f t="shared" si="67"/>
        <v>7.5196457738438364E-3</v>
      </c>
      <c r="E2132" s="74">
        <f t="shared" si="68"/>
        <v>1.204906524548E-3</v>
      </c>
      <c r="F2132" s="75"/>
    </row>
    <row r="2133" spans="1:6" ht="14.25" customHeight="1" x14ac:dyDescent="0.3">
      <c r="A2133" s="73">
        <v>43684</v>
      </c>
      <c r="B2133" s="74">
        <v>36690.5</v>
      </c>
      <c r="C2133" s="74">
        <v>1029.5</v>
      </c>
      <c r="D2133" s="74">
        <f t="shared" si="67"/>
        <v>-7.7741751860368078E-3</v>
      </c>
      <c r="E2133" s="74">
        <f t="shared" si="68"/>
        <v>-8.270705654713946E-3</v>
      </c>
      <c r="F2133" s="75"/>
    </row>
    <row r="2134" spans="1:6" ht="14.25" customHeight="1" x14ac:dyDescent="0.3">
      <c r="A2134" s="73">
        <v>43685</v>
      </c>
      <c r="B2134" s="74">
        <v>37327.360000000001</v>
      </c>
      <c r="C2134" s="74">
        <v>1044.6500000000001</v>
      </c>
      <c r="D2134" s="74">
        <f t="shared" si="67"/>
        <v>1.7208703859815801E-2</v>
      </c>
      <c r="E2134" s="74">
        <f t="shared" si="68"/>
        <v>1.4608653600415871E-2</v>
      </c>
      <c r="F2134" s="75"/>
    </row>
    <row r="2135" spans="1:6" ht="14.25" customHeight="1" x14ac:dyDescent="0.3">
      <c r="A2135" s="73">
        <v>43686</v>
      </c>
      <c r="B2135" s="74">
        <v>37581.910000000003</v>
      </c>
      <c r="C2135" s="74">
        <v>1067.55</v>
      </c>
      <c r="D2135" s="74">
        <f t="shared" si="67"/>
        <v>6.7962477750234196E-3</v>
      </c>
      <c r="E2135" s="74">
        <f t="shared" si="68"/>
        <v>2.1684402345129677E-2</v>
      </c>
      <c r="F2135" s="75"/>
    </row>
    <row r="2136" spans="1:6" ht="14.25" customHeight="1" x14ac:dyDescent="0.3">
      <c r="A2136" s="73">
        <v>43690</v>
      </c>
      <c r="B2136" s="74">
        <v>36958.160000000003</v>
      </c>
      <c r="C2136" s="74">
        <v>1062.25</v>
      </c>
      <c r="D2136" s="74">
        <f t="shared" si="67"/>
        <v>-1.6736355616185007E-2</v>
      </c>
      <c r="E2136" s="74">
        <f t="shared" si="68"/>
        <v>-4.9770034184687629E-3</v>
      </c>
      <c r="F2136" s="75"/>
    </row>
    <row r="2137" spans="1:6" ht="14.25" customHeight="1" x14ac:dyDescent="0.3">
      <c r="A2137" s="73">
        <v>43691</v>
      </c>
      <c r="B2137" s="74">
        <v>37311.53</v>
      </c>
      <c r="C2137" s="74">
        <v>1083.5999999999999</v>
      </c>
      <c r="D2137" s="74">
        <f t="shared" si="67"/>
        <v>9.515932180527811E-3</v>
      </c>
      <c r="E2137" s="74">
        <f t="shared" si="68"/>
        <v>1.989953121601911E-2</v>
      </c>
      <c r="F2137" s="75"/>
    </row>
    <row r="2138" spans="1:6" ht="14.25" customHeight="1" x14ac:dyDescent="0.3">
      <c r="A2138" s="73">
        <v>43693</v>
      </c>
      <c r="B2138" s="74">
        <v>37350.33</v>
      </c>
      <c r="C2138" s="74">
        <v>1075.75</v>
      </c>
      <c r="D2138" s="74">
        <f t="shared" si="67"/>
        <v>1.0393527161745436E-3</v>
      </c>
      <c r="E2138" s="74">
        <f t="shared" si="68"/>
        <v>-7.2707384922309345E-3</v>
      </c>
      <c r="F2138" s="75"/>
    </row>
    <row r="2139" spans="1:6" ht="14.25" customHeight="1" x14ac:dyDescent="0.3">
      <c r="A2139" s="73">
        <v>43696</v>
      </c>
      <c r="B2139" s="74">
        <v>37402.49</v>
      </c>
      <c r="C2139" s="74">
        <v>1088.55</v>
      </c>
      <c r="D2139" s="74">
        <f t="shared" si="67"/>
        <v>1.3955328632467262E-3</v>
      </c>
      <c r="E2139" s="74">
        <f t="shared" si="68"/>
        <v>1.1828442673546626E-2</v>
      </c>
      <c r="F2139" s="75"/>
    </row>
    <row r="2140" spans="1:6" ht="14.25" customHeight="1" x14ac:dyDescent="0.3">
      <c r="A2140" s="73">
        <v>43697</v>
      </c>
      <c r="B2140" s="74">
        <v>37328.01</v>
      </c>
      <c r="C2140" s="74">
        <v>1092.95</v>
      </c>
      <c r="D2140" s="74">
        <f t="shared" si="67"/>
        <v>-1.9932965699550839E-3</v>
      </c>
      <c r="E2140" s="74">
        <f t="shared" si="68"/>
        <v>4.0339270837557884E-3</v>
      </c>
      <c r="F2140" s="75"/>
    </row>
    <row r="2141" spans="1:6" ht="14.25" customHeight="1" x14ac:dyDescent="0.3">
      <c r="A2141" s="73">
        <v>43698</v>
      </c>
      <c r="B2141" s="74">
        <v>37060.370000000003</v>
      </c>
      <c r="C2141" s="74">
        <v>1064.8499999999999</v>
      </c>
      <c r="D2141" s="74">
        <f t="shared" si="67"/>
        <v>-7.1957785570383294E-3</v>
      </c>
      <c r="E2141" s="74">
        <f t="shared" si="68"/>
        <v>-2.6046518322506901E-2</v>
      </c>
      <c r="F2141" s="75"/>
    </row>
    <row r="2142" spans="1:6" ht="14.25" customHeight="1" x14ac:dyDescent="0.3">
      <c r="A2142" s="73">
        <v>43699</v>
      </c>
      <c r="B2142" s="74">
        <v>36472.93</v>
      </c>
      <c r="C2142" s="74">
        <v>1062.3499999999999</v>
      </c>
      <c r="D2142" s="74">
        <f t="shared" si="67"/>
        <v>-1.5977863018426235E-2</v>
      </c>
      <c r="E2142" s="74">
        <f t="shared" si="68"/>
        <v>-2.3505087918569163E-3</v>
      </c>
      <c r="F2142" s="75"/>
    </row>
    <row r="2143" spans="1:6" ht="14.25" customHeight="1" x14ac:dyDescent="0.3">
      <c r="A2143" s="73">
        <v>43700</v>
      </c>
      <c r="B2143" s="74">
        <v>36701.160000000003</v>
      </c>
      <c r="C2143" s="74">
        <v>1076.8</v>
      </c>
      <c r="D2143" s="74">
        <f t="shared" si="67"/>
        <v>6.2380205914545645E-3</v>
      </c>
      <c r="E2143" s="74">
        <f t="shared" si="68"/>
        <v>1.3510244528815624E-2</v>
      </c>
      <c r="F2143" s="75"/>
    </row>
    <row r="2144" spans="1:6" ht="14.25" customHeight="1" x14ac:dyDescent="0.3">
      <c r="A2144" s="73">
        <v>43703</v>
      </c>
      <c r="B2144" s="74">
        <v>37494.120000000003</v>
      </c>
      <c r="C2144" s="74">
        <v>1102.45</v>
      </c>
      <c r="D2144" s="74">
        <f t="shared" si="67"/>
        <v>2.1375758491518231E-2</v>
      </c>
      <c r="E2144" s="74">
        <f t="shared" si="68"/>
        <v>2.3541295928205638E-2</v>
      </c>
      <c r="F2144" s="75"/>
    </row>
    <row r="2145" spans="1:6" ht="14.25" customHeight="1" x14ac:dyDescent="0.3">
      <c r="A2145" s="73">
        <v>43704</v>
      </c>
      <c r="B2145" s="74">
        <v>37641.269999999997</v>
      </c>
      <c r="C2145" s="74">
        <v>1124.3</v>
      </c>
      <c r="D2145" s="74">
        <f t="shared" si="67"/>
        <v>3.9169341673957235E-3</v>
      </c>
      <c r="E2145" s="74">
        <f t="shared" si="68"/>
        <v>1.9625643937044933E-2</v>
      </c>
      <c r="F2145" s="75"/>
    </row>
    <row r="2146" spans="1:6" ht="14.25" customHeight="1" x14ac:dyDescent="0.3">
      <c r="A2146" s="73">
        <v>43705</v>
      </c>
      <c r="B2146" s="74">
        <v>37451.839999999997</v>
      </c>
      <c r="C2146" s="74">
        <v>1110.8</v>
      </c>
      <c r="D2146" s="74">
        <f t="shared" si="67"/>
        <v>-5.0452139168380697E-3</v>
      </c>
      <c r="E2146" s="74">
        <f t="shared" si="68"/>
        <v>-1.2080143323069436E-2</v>
      </c>
      <c r="F2146" s="75"/>
    </row>
    <row r="2147" spans="1:6" ht="14.25" customHeight="1" x14ac:dyDescent="0.3">
      <c r="A2147" s="73">
        <v>43706</v>
      </c>
      <c r="B2147" s="74">
        <v>37068.93</v>
      </c>
      <c r="C2147" s="74">
        <v>1102.7</v>
      </c>
      <c r="D2147" s="74">
        <f t="shared" si="67"/>
        <v>-1.0276688497222243E-2</v>
      </c>
      <c r="E2147" s="74">
        <f t="shared" si="68"/>
        <v>-7.3187586680115539E-3</v>
      </c>
      <c r="F2147" s="75"/>
    </row>
    <row r="2148" spans="1:6" ht="14.25" customHeight="1" x14ac:dyDescent="0.3">
      <c r="A2148" s="73">
        <v>43707</v>
      </c>
      <c r="B2148" s="74">
        <v>37332.79</v>
      </c>
      <c r="C2148" s="74">
        <v>1104.95</v>
      </c>
      <c r="D2148" s="74">
        <f t="shared" si="67"/>
        <v>7.0928765143567609E-3</v>
      </c>
      <c r="E2148" s="74">
        <f t="shared" si="68"/>
        <v>2.0383672946812648E-3</v>
      </c>
      <c r="F2148" s="75"/>
    </row>
    <row r="2149" spans="1:6" ht="14.25" customHeight="1" x14ac:dyDescent="0.3">
      <c r="A2149" s="73">
        <v>43711</v>
      </c>
      <c r="B2149" s="74">
        <v>36562.910000000003</v>
      </c>
      <c r="C2149" s="74">
        <v>1061.25</v>
      </c>
      <c r="D2149" s="74">
        <f t="shared" si="67"/>
        <v>-2.0837690345235835E-2</v>
      </c>
      <c r="E2149" s="74">
        <f t="shared" si="68"/>
        <v>-4.035262643375695E-2</v>
      </c>
      <c r="F2149" s="75"/>
    </row>
    <row r="2150" spans="1:6" ht="14.25" customHeight="1" x14ac:dyDescent="0.3">
      <c r="A2150" s="73">
        <v>43712</v>
      </c>
      <c r="B2150" s="74">
        <v>36724.74</v>
      </c>
      <c r="C2150" s="74">
        <v>1037.5</v>
      </c>
      <c r="D2150" s="74">
        <f t="shared" si="67"/>
        <v>4.4163037844462258E-3</v>
      </c>
      <c r="E2150" s="74">
        <f t="shared" si="68"/>
        <v>-2.2633485520703756E-2</v>
      </c>
      <c r="F2150" s="75"/>
    </row>
    <row r="2151" spans="1:6" ht="14.25" customHeight="1" x14ac:dyDescent="0.3">
      <c r="A2151" s="73">
        <v>43713</v>
      </c>
      <c r="B2151" s="74">
        <v>36644.42</v>
      </c>
      <c r="C2151" s="74">
        <v>1048.7</v>
      </c>
      <c r="D2151" s="74">
        <f t="shared" si="67"/>
        <v>-2.1894766707579107E-3</v>
      </c>
      <c r="E2151" s="74">
        <f t="shared" si="68"/>
        <v>1.073732873550616E-2</v>
      </c>
      <c r="F2151" s="75"/>
    </row>
    <row r="2152" spans="1:6" ht="14.25" customHeight="1" x14ac:dyDescent="0.3">
      <c r="A2152" s="73">
        <v>43714</v>
      </c>
      <c r="B2152" s="74">
        <v>36981.769999999997</v>
      </c>
      <c r="C2152" s="74">
        <v>1068.2</v>
      </c>
      <c r="D2152" s="74">
        <f t="shared" si="67"/>
        <v>9.1639228055569351E-3</v>
      </c>
      <c r="E2152" s="74">
        <f t="shared" si="68"/>
        <v>1.8423687065310439E-2</v>
      </c>
      <c r="F2152" s="75"/>
    </row>
    <row r="2153" spans="1:6" ht="14.25" customHeight="1" x14ac:dyDescent="0.3">
      <c r="A2153" s="73">
        <v>43717</v>
      </c>
      <c r="B2153" s="74">
        <v>37145.449999999997</v>
      </c>
      <c r="C2153" s="74">
        <v>1087.3</v>
      </c>
      <c r="D2153" s="74">
        <f t="shared" si="67"/>
        <v>4.4161986924170201E-3</v>
      </c>
      <c r="E2153" s="74">
        <f t="shared" si="68"/>
        <v>1.7722570098033699E-2</v>
      </c>
      <c r="F2153" s="75"/>
    </row>
    <row r="2154" spans="1:6" ht="14.25" customHeight="1" x14ac:dyDescent="0.3">
      <c r="A2154" s="73">
        <v>43719</v>
      </c>
      <c r="B2154" s="74">
        <v>37270.82</v>
      </c>
      <c r="C2154" s="74">
        <v>1100.55</v>
      </c>
      <c r="D2154" s="74">
        <f t="shared" si="67"/>
        <v>3.3694276429306206E-3</v>
      </c>
      <c r="E2154" s="74">
        <f t="shared" si="68"/>
        <v>1.2112495824409071E-2</v>
      </c>
      <c r="F2154" s="75"/>
    </row>
    <row r="2155" spans="1:6" ht="14.25" customHeight="1" x14ac:dyDescent="0.3">
      <c r="A2155" s="73">
        <v>43720</v>
      </c>
      <c r="B2155" s="74">
        <v>37104.28</v>
      </c>
      <c r="C2155" s="74">
        <v>1085.6500000000001</v>
      </c>
      <c r="D2155" s="74">
        <f t="shared" si="67"/>
        <v>-4.4783880181188899E-3</v>
      </c>
      <c r="E2155" s="74">
        <f t="shared" si="68"/>
        <v>-1.363116888833185E-2</v>
      </c>
      <c r="F2155" s="75"/>
    </row>
    <row r="2156" spans="1:6" ht="14.25" customHeight="1" x14ac:dyDescent="0.3">
      <c r="A2156" s="73">
        <v>43721</v>
      </c>
      <c r="B2156" s="74">
        <v>37384.99</v>
      </c>
      <c r="C2156" s="74">
        <v>1123.0999999999999</v>
      </c>
      <c r="D2156" s="74">
        <f t="shared" si="67"/>
        <v>7.5369601239927446E-3</v>
      </c>
      <c r="E2156" s="74">
        <f t="shared" si="68"/>
        <v>3.3913833029209237E-2</v>
      </c>
      <c r="F2156" s="75"/>
    </row>
    <row r="2157" spans="1:6" ht="14.25" customHeight="1" x14ac:dyDescent="0.3">
      <c r="A2157" s="73">
        <v>43724</v>
      </c>
      <c r="B2157" s="74">
        <v>37123.31</v>
      </c>
      <c r="C2157" s="74">
        <v>1148.5</v>
      </c>
      <c r="D2157" s="74">
        <f t="shared" si="67"/>
        <v>-7.024212763693762E-3</v>
      </c>
      <c r="E2157" s="74">
        <f t="shared" si="68"/>
        <v>2.2364024160162529E-2</v>
      </c>
      <c r="F2157" s="75"/>
    </row>
    <row r="2158" spans="1:6" ht="14.25" customHeight="1" x14ac:dyDescent="0.3">
      <c r="A2158" s="73">
        <v>43725</v>
      </c>
      <c r="B2158" s="74">
        <v>36481.089999999997</v>
      </c>
      <c r="C2158" s="74">
        <v>1158.5999999999999</v>
      </c>
      <c r="D2158" s="74">
        <f t="shared" si="67"/>
        <v>-1.7451030055473746E-2</v>
      </c>
      <c r="E2158" s="74">
        <f t="shared" si="68"/>
        <v>8.7556365333706816E-3</v>
      </c>
      <c r="F2158" s="75"/>
    </row>
    <row r="2159" spans="1:6" ht="14.25" customHeight="1" x14ac:dyDescent="0.3">
      <c r="A2159" s="73">
        <v>43726</v>
      </c>
      <c r="B2159" s="74">
        <v>36563.879999999997</v>
      </c>
      <c r="C2159" s="74">
        <v>1161.5999999999999</v>
      </c>
      <c r="D2159" s="74">
        <f t="shared" si="67"/>
        <v>2.266823723831946E-3</v>
      </c>
      <c r="E2159" s="74">
        <f t="shared" si="68"/>
        <v>2.585985408007814E-3</v>
      </c>
      <c r="F2159" s="75"/>
    </row>
    <row r="2160" spans="1:6" ht="14.25" customHeight="1" x14ac:dyDescent="0.3">
      <c r="A2160" s="73">
        <v>43727</v>
      </c>
      <c r="B2160" s="74">
        <v>36093.47</v>
      </c>
      <c r="C2160" s="74">
        <v>1152.95</v>
      </c>
      <c r="D2160" s="74">
        <f t="shared" si="67"/>
        <v>-1.2948905319227768E-2</v>
      </c>
      <c r="E2160" s="74">
        <f t="shared" si="68"/>
        <v>-7.4744898761990169E-3</v>
      </c>
      <c r="F2160" s="75"/>
    </row>
    <row r="2161" spans="1:6" ht="14.25" customHeight="1" x14ac:dyDescent="0.3">
      <c r="A2161" s="73">
        <v>43728</v>
      </c>
      <c r="B2161" s="74">
        <v>38014.620000000003</v>
      </c>
      <c r="C2161" s="74">
        <v>1262.0999999999999</v>
      </c>
      <c r="D2161" s="74">
        <f t="shared" si="67"/>
        <v>5.1858860025930348E-2</v>
      </c>
      <c r="E2161" s="74">
        <f t="shared" si="68"/>
        <v>9.0453125070252341E-2</v>
      </c>
      <c r="F2161" s="75"/>
    </row>
    <row r="2162" spans="1:6" ht="14.25" customHeight="1" x14ac:dyDescent="0.3">
      <c r="A2162" s="73">
        <v>43731</v>
      </c>
      <c r="B2162" s="74">
        <v>39090.03</v>
      </c>
      <c r="C2162" s="74">
        <v>1313.3</v>
      </c>
      <c r="D2162" s="74">
        <f t="shared" si="67"/>
        <v>2.7896624688027213E-2</v>
      </c>
      <c r="E2162" s="74">
        <f t="shared" si="68"/>
        <v>3.9766053326529417E-2</v>
      </c>
      <c r="F2162" s="75"/>
    </row>
    <row r="2163" spans="1:6" ht="14.25" customHeight="1" x14ac:dyDescent="0.3">
      <c r="A2163" s="73">
        <v>43732</v>
      </c>
      <c r="B2163" s="74">
        <v>39097.14</v>
      </c>
      <c r="C2163" s="74">
        <v>1292.45</v>
      </c>
      <c r="D2163" s="74">
        <f t="shared" si="67"/>
        <v>1.8187127170872416E-4</v>
      </c>
      <c r="E2163" s="74">
        <f t="shared" si="68"/>
        <v>-1.6003411676338789E-2</v>
      </c>
      <c r="F2163" s="75"/>
    </row>
    <row r="2164" spans="1:6" ht="14.25" customHeight="1" x14ac:dyDescent="0.3">
      <c r="A2164" s="73">
        <v>43733</v>
      </c>
      <c r="B2164" s="74">
        <v>38593.519999999997</v>
      </c>
      <c r="C2164" s="74">
        <v>1269.05</v>
      </c>
      <c r="D2164" s="74">
        <f t="shared" si="67"/>
        <v>-1.2964931805562926E-2</v>
      </c>
      <c r="E2164" s="74">
        <f t="shared" si="68"/>
        <v>-1.8271052873359908E-2</v>
      </c>
      <c r="F2164" s="75"/>
    </row>
    <row r="2165" spans="1:6" ht="14.25" customHeight="1" x14ac:dyDescent="0.3">
      <c r="A2165" s="73">
        <v>43734</v>
      </c>
      <c r="B2165" s="74">
        <v>38989.74</v>
      </c>
      <c r="C2165" s="74">
        <v>1287.7</v>
      </c>
      <c r="D2165" s="74">
        <f t="shared" si="67"/>
        <v>1.0214147865342483E-2</v>
      </c>
      <c r="E2165" s="74">
        <f t="shared" si="68"/>
        <v>1.4589092238322656E-2</v>
      </c>
      <c r="F2165" s="75"/>
    </row>
    <row r="2166" spans="1:6" ht="14.25" customHeight="1" x14ac:dyDescent="0.3">
      <c r="A2166" s="73">
        <v>43735</v>
      </c>
      <c r="B2166" s="74">
        <v>38822.57</v>
      </c>
      <c r="C2166" s="74">
        <v>1284.3499999999999</v>
      </c>
      <c r="D2166" s="74">
        <f t="shared" si="67"/>
        <v>-4.2967560580718205E-3</v>
      </c>
      <c r="E2166" s="74">
        <f t="shared" si="68"/>
        <v>-2.6049275047736378E-3</v>
      </c>
      <c r="F2166" s="75"/>
    </row>
    <row r="2167" spans="1:6" ht="14.25" customHeight="1" x14ac:dyDescent="0.3">
      <c r="A2167" s="73">
        <v>43738</v>
      </c>
      <c r="B2167" s="74">
        <v>38667.33</v>
      </c>
      <c r="C2167" s="74">
        <v>1272.8</v>
      </c>
      <c r="D2167" s="74">
        <f t="shared" si="67"/>
        <v>-4.0067210741730405E-3</v>
      </c>
      <c r="E2167" s="74">
        <f t="shared" si="68"/>
        <v>-9.033555751387496E-3</v>
      </c>
      <c r="F2167" s="75"/>
    </row>
    <row r="2168" spans="1:6" ht="14.25" customHeight="1" x14ac:dyDescent="0.3">
      <c r="A2168" s="73">
        <v>43739</v>
      </c>
      <c r="B2168" s="74">
        <v>38305.410000000003</v>
      </c>
      <c r="C2168" s="74">
        <v>1279.95</v>
      </c>
      <c r="D2168" s="74">
        <f t="shared" si="67"/>
        <v>-9.4039179885154773E-3</v>
      </c>
      <c r="E2168" s="74">
        <f t="shared" si="68"/>
        <v>5.6018166271264288E-3</v>
      </c>
      <c r="F2168" s="75"/>
    </row>
    <row r="2169" spans="1:6" ht="14.25" customHeight="1" x14ac:dyDescent="0.3">
      <c r="A2169" s="73">
        <v>43741</v>
      </c>
      <c r="B2169" s="74">
        <v>38106.870000000003</v>
      </c>
      <c r="C2169" s="74">
        <v>1295</v>
      </c>
      <c r="D2169" s="74">
        <f t="shared" si="67"/>
        <v>-5.1965586365083785E-3</v>
      </c>
      <c r="E2169" s="74">
        <f t="shared" si="68"/>
        <v>1.1689680482934565E-2</v>
      </c>
      <c r="F2169" s="75"/>
    </row>
    <row r="2170" spans="1:6" ht="14.25" customHeight="1" x14ac:dyDescent="0.3">
      <c r="A2170" s="73">
        <v>43742</v>
      </c>
      <c r="B2170" s="74">
        <v>37673.31</v>
      </c>
      <c r="C2170" s="74">
        <v>1251.3</v>
      </c>
      <c r="D2170" s="74">
        <f t="shared" si="67"/>
        <v>-1.1442694664506365E-2</v>
      </c>
      <c r="E2170" s="74">
        <f t="shared" si="68"/>
        <v>-3.4327684262628957E-2</v>
      </c>
      <c r="F2170" s="75"/>
    </row>
    <row r="2171" spans="1:6" ht="14.25" customHeight="1" x14ac:dyDescent="0.3">
      <c r="A2171" s="73">
        <v>43745</v>
      </c>
      <c r="B2171" s="74">
        <v>37531.980000000003</v>
      </c>
      <c r="C2171" s="74">
        <v>1259.3499999999999</v>
      </c>
      <c r="D2171" s="74">
        <f t="shared" si="67"/>
        <v>-3.7585166249392257E-3</v>
      </c>
      <c r="E2171" s="74">
        <f t="shared" si="68"/>
        <v>6.4127039503771733E-3</v>
      </c>
      <c r="F2171" s="75"/>
    </row>
    <row r="2172" spans="1:6" ht="14.25" customHeight="1" x14ac:dyDescent="0.3">
      <c r="A2172" s="73">
        <v>43747</v>
      </c>
      <c r="B2172" s="74">
        <v>38177.949999999997</v>
      </c>
      <c r="C2172" s="74">
        <v>1229.6500000000001</v>
      </c>
      <c r="D2172" s="74">
        <f t="shared" si="67"/>
        <v>1.7064754274026234E-2</v>
      </c>
      <c r="E2172" s="74">
        <f t="shared" si="68"/>
        <v>-2.3866138793294245E-2</v>
      </c>
      <c r="F2172" s="75"/>
    </row>
    <row r="2173" spans="1:6" ht="14.25" customHeight="1" x14ac:dyDescent="0.3">
      <c r="A2173" s="73">
        <v>43748</v>
      </c>
      <c r="B2173" s="74">
        <v>37880.400000000001</v>
      </c>
      <c r="C2173" s="74">
        <v>1235</v>
      </c>
      <c r="D2173" s="74">
        <f t="shared" si="67"/>
        <v>-7.8242958988619191E-3</v>
      </c>
      <c r="E2173" s="74">
        <f t="shared" si="68"/>
        <v>4.3413940339854093E-3</v>
      </c>
      <c r="F2173" s="75"/>
    </row>
    <row r="2174" spans="1:6" ht="14.25" customHeight="1" x14ac:dyDescent="0.3">
      <c r="A2174" s="73">
        <v>43749</v>
      </c>
      <c r="B2174" s="74">
        <v>38127.08</v>
      </c>
      <c r="C2174" s="74">
        <v>1243.25</v>
      </c>
      <c r="D2174" s="74">
        <f t="shared" si="67"/>
        <v>6.4909628922097959E-3</v>
      </c>
      <c r="E2174" s="74">
        <f t="shared" si="68"/>
        <v>6.6579485327704011E-3</v>
      </c>
      <c r="F2174" s="75"/>
    </row>
    <row r="2175" spans="1:6" ht="14.25" customHeight="1" x14ac:dyDescent="0.3">
      <c r="A2175" s="73">
        <v>43752</v>
      </c>
      <c r="B2175" s="74">
        <v>38214.47</v>
      </c>
      <c r="C2175" s="74">
        <v>1249.05</v>
      </c>
      <c r="D2175" s="74">
        <f t="shared" si="67"/>
        <v>2.2894488826012893E-3</v>
      </c>
      <c r="E2175" s="74">
        <f t="shared" si="68"/>
        <v>4.6543437550900704E-3</v>
      </c>
      <c r="F2175" s="75"/>
    </row>
    <row r="2176" spans="1:6" ht="14.25" customHeight="1" x14ac:dyDescent="0.3">
      <c r="A2176" s="73">
        <v>43753</v>
      </c>
      <c r="B2176" s="74">
        <v>38506.089999999997</v>
      </c>
      <c r="C2176" s="74">
        <v>1272.2</v>
      </c>
      <c r="D2176" s="74">
        <f t="shared" si="67"/>
        <v>7.6021709034689439E-3</v>
      </c>
      <c r="E2176" s="74">
        <f t="shared" si="68"/>
        <v>1.8364422894765867E-2</v>
      </c>
      <c r="F2176" s="75"/>
    </row>
    <row r="2177" spans="1:6" ht="14.25" customHeight="1" x14ac:dyDescent="0.3">
      <c r="A2177" s="73">
        <v>43754</v>
      </c>
      <c r="B2177" s="74">
        <v>38598.99</v>
      </c>
      <c r="C2177" s="74">
        <v>1274.8</v>
      </c>
      <c r="D2177" s="74">
        <f t="shared" si="67"/>
        <v>2.409699722849986E-3</v>
      </c>
      <c r="E2177" s="74">
        <f t="shared" si="68"/>
        <v>2.0416182984773767E-3</v>
      </c>
      <c r="F2177" s="75"/>
    </row>
    <row r="2178" spans="1:6" ht="14.25" customHeight="1" x14ac:dyDescent="0.3">
      <c r="A2178" s="73">
        <v>43755</v>
      </c>
      <c r="B2178" s="74">
        <v>39052.06</v>
      </c>
      <c r="C2178" s="74">
        <v>1276.8499999999999</v>
      </c>
      <c r="D2178" s="74">
        <f t="shared" si="67"/>
        <v>1.1669517449886818E-2</v>
      </c>
      <c r="E2178" s="74">
        <f t="shared" si="68"/>
        <v>1.6068037866169482E-3</v>
      </c>
      <c r="F2178" s="75"/>
    </row>
    <row r="2179" spans="1:6" ht="14.25" customHeight="1" x14ac:dyDescent="0.3">
      <c r="A2179" s="73">
        <v>43756</v>
      </c>
      <c r="B2179" s="74">
        <v>39298.379999999997</v>
      </c>
      <c r="C2179" s="74">
        <v>1300.5999999999999</v>
      </c>
      <c r="D2179" s="74">
        <f t="shared" si="67"/>
        <v>6.2876688763129308E-3</v>
      </c>
      <c r="E2179" s="74">
        <f t="shared" si="68"/>
        <v>1.8429589105253032E-2</v>
      </c>
      <c r="F2179" s="75"/>
    </row>
    <row r="2180" spans="1:6" ht="14.25" customHeight="1" x14ac:dyDescent="0.3">
      <c r="A2180" s="73">
        <v>43760</v>
      </c>
      <c r="B2180" s="74">
        <v>38963.839999999997</v>
      </c>
      <c r="C2180" s="74">
        <v>1329.5</v>
      </c>
      <c r="D2180" s="74">
        <f t="shared" ref="D2180:D2243" si="69">LN(B2180/B2179)</f>
        <v>-8.5492601058511641E-3</v>
      </c>
      <c r="E2180" s="74">
        <f t="shared" ref="E2180:E2243" si="70">LN(C2180/C2179)</f>
        <v>2.1977235248023162E-2</v>
      </c>
      <c r="F2180" s="75"/>
    </row>
    <row r="2181" spans="1:6" ht="14.25" customHeight="1" x14ac:dyDescent="0.3">
      <c r="A2181" s="73">
        <v>43761</v>
      </c>
      <c r="B2181" s="74">
        <v>39058.83</v>
      </c>
      <c r="C2181" s="74">
        <v>1351.5</v>
      </c>
      <c r="D2181" s="74">
        <f t="shared" si="69"/>
        <v>2.4349345371604985E-3</v>
      </c>
      <c r="E2181" s="74">
        <f t="shared" si="70"/>
        <v>1.6412155033427862E-2</v>
      </c>
      <c r="F2181" s="75"/>
    </row>
    <row r="2182" spans="1:6" ht="14.25" customHeight="1" x14ac:dyDescent="0.3">
      <c r="A2182" s="73">
        <v>43762</v>
      </c>
      <c r="B2182" s="74">
        <v>39020.39</v>
      </c>
      <c r="C2182" s="74">
        <v>1374.3</v>
      </c>
      <c r="D2182" s="74">
        <f t="shared" si="69"/>
        <v>-9.8464106341466227E-4</v>
      </c>
      <c r="E2182" s="74">
        <f t="shared" si="70"/>
        <v>1.6729423844303898E-2</v>
      </c>
      <c r="F2182" s="75"/>
    </row>
    <row r="2183" spans="1:6" ht="14.25" customHeight="1" x14ac:dyDescent="0.3">
      <c r="A2183" s="73">
        <v>43763</v>
      </c>
      <c r="B2183" s="74">
        <v>39058.06</v>
      </c>
      <c r="C2183" s="74">
        <v>1333.85</v>
      </c>
      <c r="D2183" s="74">
        <f t="shared" si="69"/>
        <v>9.6492701693808264E-4</v>
      </c>
      <c r="E2183" s="74">
        <f t="shared" si="70"/>
        <v>-2.987501318562363E-2</v>
      </c>
      <c r="F2183" s="75"/>
    </row>
    <row r="2184" spans="1:6" ht="14.25" customHeight="1" x14ac:dyDescent="0.3">
      <c r="A2184" s="73">
        <v>43765</v>
      </c>
      <c r="B2184" s="74">
        <v>39250.199999999997</v>
      </c>
      <c r="C2184" s="74">
        <v>1320.05</v>
      </c>
      <c r="D2184" s="74">
        <f t="shared" si="69"/>
        <v>4.9072827204582449E-3</v>
      </c>
      <c r="E2184" s="74">
        <f t="shared" si="70"/>
        <v>-1.0399882724270351E-2</v>
      </c>
      <c r="F2184" s="75"/>
    </row>
    <row r="2185" spans="1:6" ht="14.25" customHeight="1" x14ac:dyDescent="0.3">
      <c r="A2185" s="73">
        <v>43767</v>
      </c>
      <c r="B2185" s="74">
        <v>39831.839999999997</v>
      </c>
      <c r="C2185" s="74">
        <v>1332.9</v>
      </c>
      <c r="D2185" s="74">
        <f t="shared" si="69"/>
        <v>1.471005270411979E-2</v>
      </c>
      <c r="E2185" s="74">
        <f t="shared" si="70"/>
        <v>9.6874049590604527E-3</v>
      </c>
      <c r="F2185" s="75"/>
    </row>
    <row r="2186" spans="1:6" ht="14.25" customHeight="1" x14ac:dyDescent="0.3">
      <c r="A2186" s="73">
        <v>43768</v>
      </c>
      <c r="B2186" s="74">
        <v>40051.870000000003</v>
      </c>
      <c r="C2186" s="74">
        <v>1315.45</v>
      </c>
      <c r="D2186" s="74">
        <f t="shared" si="69"/>
        <v>5.5087715988472417E-3</v>
      </c>
      <c r="E2186" s="74">
        <f t="shared" si="70"/>
        <v>-1.3178207213800809E-2</v>
      </c>
      <c r="F2186" s="75"/>
    </row>
    <row r="2187" spans="1:6" ht="14.25" customHeight="1" x14ac:dyDescent="0.3">
      <c r="A2187" s="73">
        <v>43769</v>
      </c>
      <c r="B2187" s="74">
        <v>40129.050000000003</v>
      </c>
      <c r="C2187" s="74">
        <v>1332.35</v>
      </c>
      <c r="D2187" s="74">
        <f t="shared" si="69"/>
        <v>1.9251468762639065E-3</v>
      </c>
      <c r="E2187" s="74">
        <f t="shared" si="70"/>
        <v>1.2765487950836905E-2</v>
      </c>
      <c r="F2187" s="75"/>
    </row>
    <row r="2188" spans="1:6" ht="14.25" customHeight="1" x14ac:dyDescent="0.3">
      <c r="A2188" s="73">
        <v>43770</v>
      </c>
      <c r="B2188" s="74">
        <v>40165.03</v>
      </c>
      <c r="C2188" s="74">
        <v>1301.45</v>
      </c>
      <c r="D2188" s="74">
        <f t="shared" si="69"/>
        <v>8.9620560838891343E-4</v>
      </c>
      <c r="E2188" s="74">
        <f t="shared" si="70"/>
        <v>-2.3465272861258907E-2</v>
      </c>
      <c r="F2188" s="75"/>
    </row>
    <row r="2189" spans="1:6" ht="14.25" customHeight="1" x14ac:dyDescent="0.3">
      <c r="A2189" s="73">
        <v>43773</v>
      </c>
      <c r="B2189" s="74">
        <v>40301.96</v>
      </c>
      <c r="C2189" s="74">
        <v>1299.45</v>
      </c>
      <c r="D2189" s="74">
        <f t="shared" si="69"/>
        <v>3.4033864612583709E-3</v>
      </c>
      <c r="E2189" s="74">
        <f t="shared" si="70"/>
        <v>-1.537929481490665E-3</v>
      </c>
      <c r="F2189" s="75"/>
    </row>
    <row r="2190" spans="1:6" ht="14.25" customHeight="1" x14ac:dyDescent="0.3">
      <c r="A2190" s="73">
        <v>43774</v>
      </c>
      <c r="B2190" s="74">
        <v>40248.230000000003</v>
      </c>
      <c r="C2190" s="74">
        <v>1283.8499999999999</v>
      </c>
      <c r="D2190" s="74">
        <f t="shared" si="69"/>
        <v>-1.3340752633570411E-3</v>
      </c>
      <c r="E2190" s="74">
        <f t="shared" si="70"/>
        <v>-1.2077722008530738E-2</v>
      </c>
      <c r="F2190" s="75"/>
    </row>
    <row r="2191" spans="1:6" ht="14.25" customHeight="1" x14ac:dyDescent="0.3">
      <c r="A2191" s="73">
        <v>43775</v>
      </c>
      <c r="B2191" s="74">
        <v>40469.78</v>
      </c>
      <c r="C2191" s="74">
        <v>1156</v>
      </c>
      <c r="D2191" s="74">
        <f t="shared" si="69"/>
        <v>5.4894950051157772E-3</v>
      </c>
      <c r="E2191" s="74">
        <f t="shared" si="70"/>
        <v>-0.10489760576340552</v>
      </c>
      <c r="F2191" s="75"/>
    </row>
    <row r="2192" spans="1:6" ht="14.25" customHeight="1" x14ac:dyDescent="0.3">
      <c r="A2192" s="73">
        <v>43776</v>
      </c>
      <c r="B2192" s="74">
        <v>40653.74</v>
      </c>
      <c r="C2192" s="74">
        <v>1167.25</v>
      </c>
      <c r="D2192" s="74">
        <f t="shared" si="69"/>
        <v>4.5353139342024281E-3</v>
      </c>
      <c r="E2192" s="74">
        <f t="shared" si="70"/>
        <v>9.6847846187235395E-3</v>
      </c>
      <c r="F2192" s="75"/>
    </row>
    <row r="2193" spans="1:6" ht="14.25" customHeight="1" x14ac:dyDescent="0.3">
      <c r="A2193" s="73">
        <v>43777</v>
      </c>
      <c r="B2193" s="74">
        <v>40323.61</v>
      </c>
      <c r="C2193" s="74">
        <v>1156.3499999999999</v>
      </c>
      <c r="D2193" s="74">
        <f t="shared" si="69"/>
        <v>-8.1536831963089865E-3</v>
      </c>
      <c r="E2193" s="74">
        <f t="shared" si="70"/>
        <v>-9.3820622776655885E-3</v>
      </c>
      <c r="F2193" s="75"/>
    </row>
    <row r="2194" spans="1:6" ht="14.25" customHeight="1" x14ac:dyDescent="0.3">
      <c r="A2194" s="73">
        <v>43780</v>
      </c>
      <c r="B2194" s="74">
        <v>40345.08</v>
      </c>
      <c r="C2194" s="74">
        <v>1156.25</v>
      </c>
      <c r="D2194" s="74">
        <f t="shared" si="69"/>
        <v>5.3230071064614521E-4</v>
      </c>
      <c r="E2194" s="74">
        <f t="shared" si="70"/>
        <v>-8.6482746745858836E-5</v>
      </c>
      <c r="F2194" s="75"/>
    </row>
    <row r="2195" spans="1:6" ht="14.25" customHeight="1" x14ac:dyDescent="0.3">
      <c r="A2195" s="73">
        <v>43782</v>
      </c>
      <c r="B2195" s="74">
        <v>40116.06</v>
      </c>
      <c r="C2195" s="74">
        <v>1159.5</v>
      </c>
      <c r="D2195" s="74">
        <f t="shared" si="69"/>
        <v>-5.6927013085911072E-3</v>
      </c>
      <c r="E2195" s="74">
        <f t="shared" si="70"/>
        <v>2.8068678689514986E-3</v>
      </c>
      <c r="F2195" s="75"/>
    </row>
    <row r="2196" spans="1:6" ht="14.25" customHeight="1" x14ac:dyDescent="0.3">
      <c r="A2196" s="73">
        <v>43783</v>
      </c>
      <c r="B2196" s="74">
        <v>40286.480000000003</v>
      </c>
      <c r="C2196" s="74">
        <v>1168.6500000000001</v>
      </c>
      <c r="D2196" s="74">
        <f t="shared" si="69"/>
        <v>4.2391759069446405E-3</v>
      </c>
      <c r="E2196" s="74">
        <f t="shared" si="70"/>
        <v>7.8603587493905509E-3</v>
      </c>
      <c r="F2196" s="75"/>
    </row>
    <row r="2197" spans="1:6" ht="14.25" customHeight="1" x14ac:dyDescent="0.3">
      <c r="A2197" s="73">
        <v>43784</v>
      </c>
      <c r="B2197" s="74">
        <v>40356.69</v>
      </c>
      <c r="C2197" s="74">
        <v>1158.3</v>
      </c>
      <c r="D2197" s="74">
        <f t="shared" si="69"/>
        <v>1.7412514349193233E-3</v>
      </c>
      <c r="E2197" s="74">
        <f t="shared" si="70"/>
        <v>-8.8958235066766284E-3</v>
      </c>
      <c r="F2197" s="75"/>
    </row>
    <row r="2198" spans="1:6" ht="14.25" customHeight="1" x14ac:dyDescent="0.3">
      <c r="A2198" s="73">
        <v>43787</v>
      </c>
      <c r="B2198" s="74">
        <v>40284.19</v>
      </c>
      <c r="C2198" s="74">
        <v>1158.75</v>
      </c>
      <c r="D2198" s="74">
        <f t="shared" si="69"/>
        <v>-1.7980959417507924E-3</v>
      </c>
      <c r="E2198" s="74">
        <f t="shared" si="70"/>
        <v>3.8842494176462696E-4</v>
      </c>
      <c r="F2198" s="75"/>
    </row>
    <row r="2199" spans="1:6" ht="14.25" customHeight="1" x14ac:dyDescent="0.3">
      <c r="A2199" s="73">
        <v>43788</v>
      </c>
      <c r="B2199" s="74">
        <v>40469.699999999997</v>
      </c>
      <c r="C2199" s="74">
        <v>1163.3</v>
      </c>
      <c r="D2199" s="74">
        <f t="shared" si="69"/>
        <v>4.5944616743202301E-3</v>
      </c>
      <c r="E2199" s="74">
        <f t="shared" si="70"/>
        <v>3.9189559426556619E-3</v>
      </c>
      <c r="F2199" s="75"/>
    </row>
    <row r="2200" spans="1:6" ht="14.25" customHeight="1" x14ac:dyDescent="0.3">
      <c r="A2200" s="73">
        <v>43789</v>
      </c>
      <c r="B2200" s="74">
        <v>40651.64</v>
      </c>
      <c r="C2200" s="74">
        <v>1162.25</v>
      </c>
      <c r="D2200" s="74">
        <f t="shared" si="69"/>
        <v>4.4856336215948651E-3</v>
      </c>
      <c r="E2200" s="74">
        <f t="shared" si="70"/>
        <v>-9.0301225202656186E-4</v>
      </c>
      <c r="F2200" s="75"/>
    </row>
    <row r="2201" spans="1:6" ht="14.25" customHeight="1" x14ac:dyDescent="0.3">
      <c r="A2201" s="73">
        <v>43790</v>
      </c>
      <c r="B2201" s="74">
        <v>40575.17</v>
      </c>
      <c r="C2201" s="74">
        <v>1148.2</v>
      </c>
      <c r="D2201" s="74">
        <f t="shared" si="69"/>
        <v>-1.8828764195451635E-3</v>
      </c>
      <c r="E2201" s="74">
        <f t="shared" si="70"/>
        <v>-1.216228283715768E-2</v>
      </c>
      <c r="F2201" s="75"/>
    </row>
    <row r="2202" spans="1:6" ht="14.25" customHeight="1" x14ac:dyDescent="0.3">
      <c r="A2202" s="73">
        <v>43791</v>
      </c>
      <c r="B2202" s="74">
        <v>40359.410000000003</v>
      </c>
      <c r="C2202" s="74">
        <v>1135.7</v>
      </c>
      <c r="D2202" s="74">
        <f t="shared" si="69"/>
        <v>-5.331726219440132E-3</v>
      </c>
      <c r="E2202" s="74">
        <f t="shared" si="70"/>
        <v>-1.0946297835935866E-2</v>
      </c>
      <c r="F2202" s="75"/>
    </row>
    <row r="2203" spans="1:6" ht="14.25" customHeight="1" x14ac:dyDescent="0.3">
      <c r="A2203" s="73">
        <v>43794</v>
      </c>
      <c r="B2203" s="74">
        <v>40889.230000000003</v>
      </c>
      <c r="C2203" s="74">
        <v>1163.5</v>
      </c>
      <c r="D2203" s="74">
        <f t="shared" si="69"/>
        <v>1.3042126244753665E-2</v>
      </c>
      <c r="E2203" s="74">
        <f t="shared" si="70"/>
        <v>2.4183502844745856E-2</v>
      </c>
      <c r="F2203" s="75"/>
    </row>
    <row r="2204" spans="1:6" ht="14.25" customHeight="1" x14ac:dyDescent="0.3">
      <c r="A2204" s="73">
        <v>43795</v>
      </c>
      <c r="B2204" s="74">
        <v>40821.300000000003</v>
      </c>
      <c r="C2204" s="74">
        <v>1164.7</v>
      </c>
      <c r="D2204" s="74">
        <f t="shared" si="69"/>
        <v>-1.6626991808708247E-3</v>
      </c>
      <c r="E2204" s="74">
        <f t="shared" si="70"/>
        <v>1.0308393662596834E-3</v>
      </c>
      <c r="F2204" s="75"/>
    </row>
    <row r="2205" spans="1:6" ht="14.25" customHeight="1" x14ac:dyDescent="0.3">
      <c r="A2205" s="73">
        <v>43796</v>
      </c>
      <c r="B2205" s="74">
        <v>41020.61</v>
      </c>
      <c r="C2205" s="74">
        <v>1167</v>
      </c>
      <c r="D2205" s="74">
        <f t="shared" si="69"/>
        <v>4.8706193200520461E-3</v>
      </c>
      <c r="E2205" s="74">
        <f t="shared" si="70"/>
        <v>1.9728101779496721E-3</v>
      </c>
      <c r="F2205" s="75"/>
    </row>
    <row r="2206" spans="1:6" ht="14.25" customHeight="1" x14ac:dyDescent="0.3">
      <c r="A2206" s="73">
        <v>43797</v>
      </c>
      <c r="B2206" s="74">
        <v>41130.17</v>
      </c>
      <c r="C2206" s="74">
        <v>1169.1500000000001</v>
      </c>
      <c r="D2206" s="74">
        <f t="shared" si="69"/>
        <v>2.6672921414719981E-3</v>
      </c>
      <c r="E2206" s="74">
        <f t="shared" si="70"/>
        <v>1.8406357528463983E-3</v>
      </c>
      <c r="F2206" s="75"/>
    </row>
    <row r="2207" spans="1:6" ht="14.25" customHeight="1" x14ac:dyDescent="0.3">
      <c r="A2207" s="73">
        <v>43798</v>
      </c>
      <c r="B2207" s="74">
        <v>40793.81</v>
      </c>
      <c r="C2207" s="74">
        <v>1160.75</v>
      </c>
      <c r="D2207" s="74">
        <f t="shared" si="69"/>
        <v>-8.2115612560190454E-3</v>
      </c>
      <c r="E2207" s="74">
        <f t="shared" si="70"/>
        <v>-7.210641139371224E-3</v>
      </c>
      <c r="F2207" s="75"/>
    </row>
    <row r="2208" spans="1:6" ht="14.25" customHeight="1" x14ac:dyDescent="0.3">
      <c r="A2208" s="73">
        <v>43801</v>
      </c>
      <c r="B2208" s="74">
        <v>40802.17</v>
      </c>
      <c r="C2208" s="74">
        <v>1153.4000000000001</v>
      </c>
      <c r="D2208" s="74">
        <f t="shared" si="69"/>
        <v>2.0491205643352064E-4</v>
      </c>
      <c r="E2208" s="74">
        <f t="shared" si="70"/>
        <v>-6.3522457187187202E-3</v>
      </c>
      <c r="F2208" s="75"/>
    </row>
    <row r="2209" spans="1:6" ht="14.25" customHeight="1" x14ac:dyDescent="0.3">
      <c r="A2209" s="73">
        <v>43802</v>
      </c>
      <c r="B2209" s="74">
        <v>40675.449999999997</v>
      </c>
      <c r="C2209" s="74">
        <v>1159.25</v>
      </c>
      <c r="D2209" s="74">
        <f t="shared" si="69"/>
        <v>-3.1105499196830743E-3</v>
      </c>
      <c r="E2209" s="74">
        <f t="shared" si="70"/>
        <v>5.0591420902579556E-3</v>
      </c>
      <c r="F2209" s="75"/>
    </row>
    <row r="2210" spans="1:6" ht="14.25" customHeight="1" x14ac:dyDescent="0.3">
      <c r="A2210" s="73">
        <v>43803</v>
      </c>
      <c r="B2210" s="74">
        <v>40850.29</v>
      </c>
      <c r="C2210" s="74">
        <v>1174.3</v>
      </c>
      <c r="D2210" s="74">
        <f t="shared" si="69"/>
        <v>4.2892040734169596E-3</v>
      </c>
      <c r="E2210" s="74">
        <f t="shared" si="70"/>
        <v>1.2898981099465238E-2</v>
      </c>
      <c r="F2210" s="75"/>
    </row>
    <row r="2211" spans="1:6" ht="14.25" customHeight="1" x14ac:dyDescent="0.3">
      <c r="A2211" s="73">
        <v>43804</v>
      </c>
      <c r="B2211" s="74">
        <v>40779.589999999997</v>
      </c>
      <c r="C2211" s="74">
        <v>1183.5999999999999</v>
      </c>
      <c r="D2211" s="74">
        <f t="shared" si="69"/>
        <v>-1.7322092762659281E-3</v>
      </c>
      <c r="E2211" s="74">
        <f t="shared" si="70"/>
        <v>7.8884161550190016E-3</v>
      </c>
      <c r="F2211" s="75"/>
    </row>
    <row r="2212" spans="1:6" ht="14.25" customHeight="1" x14ac:dyDescent="0.3">
      <c r="A2212" s="73">
        <v>43805</v>
      </c>
      <c r="B2212" s="74">
        <v>40445.15</v>
      </c>
      <c r="C2212" s="74">
        <v>1172.25</v>
      </c>
      <c r="D2212" s="74">
        <f t="shared" si="69"/>
        <v>-8.2349759444508546E-3</v>
      </c>
      <c r="E2212" s="74">
        <f t="shared" si="70"/>
        <v>-9.6356625563588788E-3</v>
      </c>
      <c r="F2212" s="75"/>
    </row>
    <row r="2213" spans="1:6" ht="14.25" customHeight="1" x14ac:dyDescent="0.3">
      <c r="A2213" s="73">
        <v>43808</v>
      </c>
      <c r="B2213" s="74">
        <v>40487.43</v>
      </c>
      <c r="C2213" s="74">
        <v>1177.8</v>
      </c>
      <c r="D2213" s="74">
        <f t="shared" si="69"/>
        <v>1.0448203639682946E-3</v>
      </c>
      <c r="E2213" s="74">
        <f t="shared" si="70"/>
        <v>4.7233125407746537E-3</v>
      </c>
      <c r="F2213" s="75"/>
    </row>
    <row r="2214" spans="1:6" ht="14.25" customHeight="1" x14ac:dyDescent="0.3">
      <c r="A2214" s="73">
        <v>43809</v>
      </c>
      <c r="B2214" s="74">
        <v>40239.879999999997</v>
      </c>
      <c r="C2214" s="74">
        <v>1179.3</v>
      </c>
      <c r="D2214" s="74">
        <f t="shared" si="69"/>
        <v>-6.1330118875900222E-3</v>
      </c>
      <c r="E2214" s="74">
        <f t="shared" si="70"/>
        <v>1.2727505854538443E-3</v>
      </c>
      <c r="F2214" s="75"/>
    </row>
    <row r="2215" spans="1:6" ht="14.25" customHeight="1" x14ac:dyDescent="0.3">
      <c r="A2215" s="73">
        <v>43810</v>
      </c>
      <c r="B2215" s="74">
        <v>40412.57</v>
      </c>
      <c r="C2215" s="74">
        <v>1179.5</v>
      </c>
      <c r="D2215" s="74">
        <f t="shared" si="69"/>
        <v>4.2823315077037388E-3</v>
      </c>
      <c r="E2215" s="74">
        <f t="shared" si="70"/>
        <v>1.6957775180553167E-4</v>
      </c>
      <c r="F2215" s="75"/>
    </row>
    <row r="2216" spans="1:6" ht="14.25" customHeight="1" x14ac:dyDescent="0.3">
      <c r="A2216" s="73">
        <v>43811</v>
      </c>
      <c r="B2216" s="74">
        <v>40581.71</v>
      </c>
      <c r="C2216" s="74">
        <v>1187.75</v>
      </c>
      <c r="D2216" s="74">
        <f t="shared" si="69"/>
        <v>4.1765973071830158E-3</v>
      </c>
      <c r="E2216" s="74">
        <f t="shared" si="70"/>
        <v>6.9701412193009498E-3</v>
      </c>
      <c r="F2216" s="75"/>
    </row>
    <row r="2217" spans="1:6" ht="14.25" customHeight="1" x14ac:dyDescent="0.3">
      <c r="A2217" s="73">
        <v>43812</v>
      </c>
      <c r="B2217" s="74">
        <v>41009.71</v>
      </c>
      <c r="C2217" s="74">
        <v>1186.2</v>
      </c>
      <c r="D2217" s="74">
        <f t="shared" si="69"/>
        <v>1.0491395438408073E-2</v>
      </c>
      <c r="E2217" s="74">
        <f t="shared" si="70"/>
        <v>-1.3058406624044925E-3</v>
      </c>
      <c r="F2217" s="75"/>
    </row>
    <row r="2218" spans="1:6" ht="14.25" customHeight="1" x14ac:dyDescent="0.3">
      <c r="A2218" s="73">
        <v>43815</v>
      </c>
      <c r="B2218" s="74">
        <v>40938.720000000001</v>
      </c>
      <c r="C2218" s="74">
        <v>1166.45</v>
      </c>
      <c r="D2218" s="74">
        <f t="shared" si="69"/>
        <v>-1.7325534548447135E-3</v>
      </c>
      <c r="E2218" s="74">
        <f t="shared" si="70"/>
        <v>-1.6789972127978482E-2</v>
      </c>
      <c r="F2218" s="75"/>
    </row>
    <row r="2219" spans="1:6" ht="14.25" customHeight="1" x14ac:dyDescent="0.3">
      <c r="A2219" s="73">
        <v>43816</v>
      </c>
      <c r="B2219" s="74">
        <v>41352.17</v>
      </c>
      <c r="C2219" s="74">
        <v>1158.25</v>
      </c>
      <c r="D2219" s="74">
        <f t="shared" si="69"/>
        <v>1.0048584453780249E-2</v>
      </c>
      <c r="E2219" s="74">
        <f t="shared" si="70"/>
        <v>-7.0547029798900384E-3</v>
      </c>
      <c r="F2219" s="75"/>
    </row>
    <row r="2220" spans="1:6" ht="14.25" customHeight="1" x14ac:dyDescent="0.3">
      <c r="A2220" s="73">
        <v>43817</v>
      </c>
      <c r="B2220" s="74">
        <v>41558.57</v>
      </c>
      <c r="C2220" s="74">
        <v>1158.8499999999999</v>
      </c>
      <c r="D2220" s="74">
        <f t="shared" si="69"/>
        <v>4.978858622446145E-3</v>
      </c>
      <c r="E2220" s="74">
        <f t="shared" si="70"/>
        <v>5.1788875181076435E-4</v>
      </c>
      <c r="F2220" s="75"/>
    </row>
    <row r="2221" spans="1:6" ht="14.25" customHeight="1" x14ac:dyDescent="0.3">
      <c r="A2221" s="73">
        <v>43818</v>
      </c>
      <c r="B2221" s="74">
        <v>41673.919999999998</v>
      </c>
      <c r="C2221" s="74">
        <v>1159.7</v>
      </c>
      <c r="D2221" s="74">
        <f t="shared" si="69"/>
        <v>2.7717559296683908E-3</v>
      </c>
      <c r="E2221" s="74">
        <f t="shared" si="70"/>
        <v>7.3321691408919341E-4</v>
      </c>
      <c r="F2221" s="75"/>
    </row>
    <row r="2222" spans="1:6" ht="14.25" customHeight="1" x14ac:dyDescent="0.3">
      <c r="A2222" s="73">
        <v>43819</v>
      </c>
      <c r="B2222" s="74">
        <v>41681.54</v>
      </c>
      <c r="C2222" s="74">
        <v>1201.95</v>
      </c>
      <c r="D2222" s="74">
        <f t="shared" si="69"/>
        <v>1.8283145510162151E-4</v>
      </c>
      <c r="E2222" s="74">
        <f t="shared" si="70"/>
        <v>3.5783886929531696E-2</v>
      </c>
      <c r="F2222" s="75"/>
    </row>
    <row r="2223" spans="1:6" ht="14.25" customHeight="1" x14ac:dyDescent="0.3">
      <c r="A2223" s="73">
        <v>43822</v>
      </c>
      <c r="B2223" s="74">
        <v>41642.660000000003</v>
      </c>
      <c r="C2223" s="74">
        <v>1208.4000000000001</v>
      </c>
      <c r="D2223" s="74">
        <f t="shared" si="69"/>
        <v>-9.3322234889089137E-4</v>
      </c>
      <c r="E2223" s="74">
        <f t="shared" si="70"/>
        <v>5.3519326203277399E-3</v>
      </c>
      <c r="F2223" s="75"/>
    </row>
    <row r="2224" spans="1:6" ht="14.25" customHeight="1" x14ac:dyDescent="0.3">
      <c r="A2224" s="73">
        <v>43823</v>
      </c>
      <c r="B2224" s="74">
        <v>41461.26</v>
      </c>
      <c r="C2224" s="74">
        <v>1204</v>
      </c>
      <c r="D2224" s="74">
        <f t="shared" si="69"/>
        <v>-4.3656253063318736E-3</v>
      </c>
      <c r="E2224" s="74">
        <f t="shared" si="70"/>
        <v>-3.6478236437506896E-3</v>
      </c>
      <c r="F2224" s="75"/>
    </row>
    <row r="2225" spans="1:6" ht="14.25" customHeight="1" x14ac:dyDescent="0.3">
      <c r="A2225" s="73">
        <v>43825</v>
      </c>
      <c r="B2225" s="74">
        <v>41163.760000000002</v>
      </c>
      <c r="C2225" s="74">
        <v>1192.55</v>
      </c>
      <c r="D2225" s="74">
        <f t="shared" si="69"/>
        <v>-7.201239664244222E-3</v>
      </c>
      <c r="E2225" s="74">
        <f t="shared" si="70"/>
        <v>-9.5554752640803573E-3</v>
      </c>
      <c r="F2225" s="75"/>
    </row>
    <row r="2226" spans="1:6" ht="14.25" customHeight="1" x14ac:dyDescent="0.3">
      <c r="A2226" s="73">
        <v>43826</v>
      </c>
      <c r="B2226" s="74">
        <v>41575.14</v>
      </c>
      <c r="C2226" s="74">
        <v>1191.1500000000001</v>
      </c>
      <c r="D2226" s="74">
        <f t="shared" si="69"/>
        <v>9.9441348619589733E-3</v>
      </c>
      <c r="E2226" s="74">
        <f t="shared" si="70"/>
        <v>-1.1746445953562483E-3</v>
      </c>
      <c r="F2226" s="75"/>
    </row>
    <row r="2227" spans="1:6" ht="14.25" customHeight="1" x14ac:dyDescent="0.3">
      <c r="A2227" s="73">
        <v>43829</v>
      </c>
      <c r="B2227" s="74">
        <v>41558</v>
      </c>
      <c r="C2227" s="74">
        <v>1194.4000000000001</v>
      </c>
      <c r="D2227" s="74">
        <f t="shared" si="69"/>
        <v>-4.1235060393151512E-4</v>
      </c>
      <c r="E2227" s="74">
        <f t="shared" si="70"/>
        <v>2.7247402156510224E-3</v>
      </c>
      <c r="F2227" s="75"/>
    </row>
    <row r="2228" spans="1:6" ht="14.25" customHeight="1" x14ac:dyDescent="0.3">
      <c r="A2228" s="73">
        <v>43830</v>
      </c>
      <c r="B2228" s="74">
        <v>41253.74</v>
      </c>
      <c r="C2228" s="74">
        <v>1187.5999999999999</v>
      </c>
      <c r="D2228" s="74">
        <f t="shared" si="69"/>
        <v>-7.3482665403055607E-3</v>
      </c>
      <c r="E2228" s="74">
        <f t="shared" si="70"/>
        <v>-5.7095033353760536E-3</v>
      </c>
      <c r="F2228" s="75"/>
    </row>
    <row r="2229" spans="1:6" ht="14.25" customHeight="1" x14ac:dyDescent="0.3">
      <c r="A2229" s="73">
        <v>43831</v>
      </c>
      <c r="B2229" s="74">
        <v>41306.019999999997</v>
      </c>
      <c r="C2229" s="74">
        <v>1154.8499999999999</v>
      </c>
      <c r="D2229" s="74">
        <f t="shared" si="69"/>
        <v>1.2664767191167461E-3</v>
      </c>
      <c r="E2229" s="74">
        <f t="shared" si="70"/>
        <v>-2.7963998497436537E-2</v>
      </c>
      <c r="F2229" s="75"/>
    </row>
    <row r="2230" spans="1:6" ht="14.25" customHeight="1" x14ac:dyDescent="0.3">
      <c r="A2230" s="73">
        <v>43832</v>
      </c>
      <c r="B2230" s="74">
        <v>41626.639999999999</v>
      </c>
      <c r="C2230" s="74">
        <v>1155.45</v>
      </c>
      <c r="D2230" s="74">
        <f t="shared" si="69"/>
        <v>7.7320948673718099E-3</v>
      </c>
      <c r="E2230" s="74">
        <f t="shared" si="70"/>
        <v>5.1941307491641599E-4</v>
      </c>
      <c r="F2230" s="75"/>
    </row>
    <row r="2231" spans="1:6" ht="14.25" customHeight="1" x14ac:dyDescent="0.3">
      <c r="A2231" s="73">
        <v>43833</v>
      </c>
      <c r="B2231" s="74">
        <v>41464.61</v>
      </c>
      <c r="C2231" s="74">
        <v>1139.5</v>
      </c>
      <c r="D2231" s="74">
        <f t="shared" si="69"/>
        <v>-3.9000545876664424E-3</v>
      </c>
      <c r="E2231" s="74">
        <f t="shared" si="70"/>
        <v>-1.3900308781345639E-2</v>
      </c>
      <c r="F2231" s="75"/>
    </row>
    <row r="2232" spans="1:6" ht="14.25" customHeight="1" x14ac:dyDescent="0.3">
      <c r="A2232" s="73">
        <v>43836</v>
      </c>
      <c r="B2232" s="74">
        <v>40676.629999999997</v>
      </c>
      <c r="C2232" s="74">
        <v>1158.3499999999999</v>
      </c>
      <c r="D2232" s="74">
        <f t="shared" si="69"/>
        <v>-1.9186566278656874E-2</v>
      </c>
      <c r="E2232" s="74">
        <f t="shared" si="70"/>
        <v>1.640700903073913E-2</v>
      </c>
      <c r="F2232" s="75"/>
    </row>
    <row r="2233" spans="1:6" ht="14.25" customHeight="1" x14ac:dyDescent="0.3">
      <c r="A2233" s="73">
        <v>43837</v>
      </c>
      <c r="B2233" s="74">
        <v>40869.47</v>
      </c>
      <c r="C2233" s="74">
        <v>1159.9000000000001</v>
      </c>
      <c r="D2233" s="74">
        <f t="shared" si="69"/>
        <v>4.7296034874040336E-3</v>
      </c>
      <c r="E2233" s="74">
        <f t="shared" si="70"/>
        <v>1.3372157713526477E-3</v>
      </c>
      <c r="F2233" s="75"/>
    </row>
    <row r="2234" spans="1:6" ht="14.25" customHeight="1" x14ac:dyDescent="0.3">
      <c r="A2234" s="73">
        <v>43838</v>
      </c>
      <c r="B2234" s="74">
        <v>40817.74</v>
      </c>
      <c r="C2234" s="74">
        <v>1143.3</v>
      </c>
      <c r="D2234" s="74">
        <f t="shared" si="69"/>
        <v>-1.2665387131008292E-3</v>
      </c>
      <c r="E2234" s="74">
        <f t="shared" si="70"/>
        <v>-1.441497693990642E-2</v>
      </c>
      <c r="F2234" s="75"/>
    </row>
    <row r="2235" spans="1:6" ht="14.25" customHeight="1" x14ac:dyDescent="0.3">
      <c r="A2235" s="73">
        <v>43839</v>
      </c>
      <c r="B2235" s="74">
        <v>41452.35</v>
      </c>
      <c r="C2235" s="74">
        <v>1162.75</v>
      </c>
      <c r="D2235" s="74">
        <f t="shared" si="69"/>
        <v>1.5427783955390403E-2</v>
      </c>
      <c r="E2235" s="74">
        <f t="shared" si="70"/>
        <v>1.6869071556282249E-2</v>
      </c>
      <c r="F2235" s="75"/>
    </row>
    <row r="2236" spans="1:6" ht="14.25" customHeight="1" x14ac:dyDescent="0.3">
      <c r="A2236" s="73">
        <v>43840</v>
      </c>
      <c r="B2236" s="74">
        <v>41599.72</v>
      </c>
      <c r="C2236" s="74">
        <v>1154.05</v>
      </c>
      <c r="D2236" s="74">
        <f t="shared" si="69"/>
        <v>3.5488616880937013E-3</v>
      </c>
      <c r="E2236" s="74">
        <f t="shared" si="70"/>
        <v>-7.5103944184471728E-3</v>
      </c>
      <c r="F2236" s="75"/>
    </row>
    <row r="2237" spans="1:6" ht="14.25" customHeight="1" x14ac:dyDescent="0.3">
      <c r="A2237" s="73">
        <v>43843</v>
      </c>
      <c r="B2237" s="74">
        <v>41859.69</v>
      </c>
      <c r="C2237" s="74">
        <v>1159.3</v>
      </c>
      <c r="D2237" s="74">
        <f t="shared" si="69"/>
        <v>6.2298748772562909E-3</v>
      </c>
      <c r="E2237" s="74">
        <f t="shared" si="70"/>
        <v>4.5388799905965076E-3</v>
      </c>
      <c r="F2237" s="75"/>
    </row>
    <row r="2238" spans="1:6" ht="14.25" customHeight="1" x14ac:dyDescent="0.3">
      <c r="A2238" s="73">
        <v>43844</v>
      </c>
      <c r="B2238" s="74">
        <v>41952.63</v>
      </c>
      <c r="C2238" s="74">
        <v>1166.8</v>
      </c>
      <c r="D2238" s="74">
        <f t="shared" si="69"/>
        <v>2.2178132784126982E-3</v>
      </c>
      <c r="E2238" s="74">
        <f t="shared" si="70"/>
        <v>6.448584317210718E-3</v>
      </c>
      <c r="F2238" s="75"/>
    </row>
    <row r="2239" spans="1:6" ht="14.25" customHeight="1" x14ac:dyDescent="0.3">
      <c r="A2239" s="73">
        <v>43845</v>
      </c>
      <c r="B2239" s="74">
        <v>41872.730000000003</v>
      </c>
      <c r="C2239" s="74">
        <v>1184.75</v>
      </c>
      <c r="D2239" s="74">
        <f t="shared" si="69"/>
        <v>-1.9063449103560257E-3</v>
      </c>
      <c r="E2239" s="74">
        <f t="shared" si="70"/>
        <v>1.526682285413144E-2</v>
      </c>
      <c r="F2239" s="75"/>
    </row>
    <row r="2240" spans="1:6" ht="14.25" customHeight="1" x14ac:dyDescent="0.3">
      <c r="A2240" s="73">
        <v>43846</v>
      </c>
      <c r="B2240" s="74">
        <v>41932.559999999998</v>
      </c>
      <c r="C2240" s="74">
        <v>1193.0999999999999</v>
      </c>
      <c r="D2240" s="74">
        <f t="shared" si="69"/>
        <v>1.4278337361439274E-3</v>
      </c>
      <c r="E2240" s="74">
        <f t="shared" si="70"/>
        <v>7.0231800340567752E-3</v>
      </c>
      <c r="F2240" s="75"/>
    </row>
    <row r="2241" spans="1:6" ht="14.25" customHeight="1" x14ac:dyDescent="0.3">
      <c r="A2241" s="73">
        <v>43847</v>
      </c>
      <c r="B2241" s="74">
        <v>41945.37</v>
      </c>
      <c r="C2241" s="74">
        <v>1188.25</v>
      </c>
      <c r="D2241" s="74">
        <f t="shared" si="69"/>
        <v>3.0544387777805496E-4</v>
      </c>
      <c r="E2241" s="74">
        <f t="shared" si="70"/>
        <v>-4.0733253876357864E-3</v>
      </c>
      <c r="F2241" s="75"/>
    </row>
    <row r="2242" spans="1:6" ht="14.25" customHeight="1" x14ac:dyDescent="0.3">
      <c r="A2242" s="73">
        <v>43850</v>
      </c>
      <c r="B2242" s="74">
        <v>41528.910000000003</v>
      </c>
      <c r="C2242" s="74">
        <v>1187.6500000000001</v>
      </c>
      <c r="D2242" s="74">
        <f t="shared" si="69"/>
        <v>-9.9782461235083317E-3</v>
      </c>
      <c r="E2242" s="74">
        <f t="shared" si="70"/>
        <v>-5.0507177301633861E-4</v>
      </c>
      <c r="F2242" s="75"/>
    </row>
    <row r="2243" spans="1:6" ht="14.25" customHeight="1" x14ac:dyDescent="0.3">
      <c r="A2243" s="73">
        <v>43851</v>
      </c>
      <c r="B2243" s="74">
        <v>41323.81</v>
      </c>
      <c r="C2243" s="74">
        <v>1176.8499999999999</v>
      </c>
      <c r="D2243" s="74">
        <f t="shared" si="69"/>
        <v>-4.9509640468420697E-3</v>
      </c>
      <c r="E2243" s="74">
        <f t="shared" si="70"/>
        <v>-9.1351872331375764E-3</v>
      </c>
      <c r="F2243" s="75"/>
    </row>
    <row r="2244" spans="1:6" ht="14.25" customHeight="1" x14ac:dyDescent="0.3">
      <c r="A2244" s="73">
        <v>43852</v>
      </c>
      <c r="B2244" s="74">
        <v>41115.379999999997</v>
      </c>
      <c r="C2244" s="74">
        <v>1177.6500000000001</v>
      </c>
      <c r="D2244" s="74">
        <f t="shared" ref="D2244:D2307" si="71">LN(B2244/B2243)</f>
        <v>-5.056586415106307E-3</v>
      </c>
      <c r="E2244" s="74">
        <f t="shared" ref="E2244:E2307" si="72">LN(C2244/C2243)</f>
        <v>6.795498244093857E-4</v>
      </c>
      <c r="F2244" s="75"/>
    </row>
    <row r="2245" spans="1:6" ht="14.25" customHeight="1" x14ac:dyDescent="0.3">
      <c r="A2245" s="73">
        <v>43853</v>
      </c>
      <c r="B2245" s="74">
        <v>41386.400000000001</v>
      </c>
      <c r="C2245" s="74">
        <v>1204.0999999999999</v>
      </c>
      <c r="D2245" s="74">
        <f t="shared" si="71"/>
        <v>6.5700636979582946E-3</v>
      </c>
      <c r="E2245" s="74">
        <f t="shared" si="72"/>
        <v>2.221147258579902E-2</v>
      </c>
      <c r="F2245" s="75"/>
    </row>
    <row r="2246" spans="1:6" ht="14.25" customHeight="1" x14ac:dyDescent="0.3">
      <c r="A2246" s="73">
        <v>43854</v>
      </c>
      <c r="B2246" s="74">
        <v>41613.19</v>
      </c>
      <c r="C2246" s="74">
        <v>1227.05</v>
      </c>
      <c r="D2246" s="74">
        <f t="shared" si="71"/>
        <v>5.464859872621932E-3</v>
      </c>
      <c r="E2246" s="74">
        <f t="shared" si="72"/>
        <v>1.8880514778738797E-2</v>
      </c>
      <c r="F2246" s="75"/>
    </row>
    <row r="2247" spans="1:6" ht="14.25" customHeight="1" x14ac:dyDescent="0.3">
      <c r="A2247" s="73">
        <v>43857</v>
      </c>
      <c r="B2247" s="74">
        <v>41155.120000000003</v>
      </c>
      <c r="C2247" s="74">
        <v>1214.25</v>
      </c>
      <c r="D2247" s="74">
        <f t="shared" si="71"/>
        <v>-1.1068842093238456E-2</v>
      </c>
      <c r="E2247" s="74">
        <f t="shared" si="72"/>
        <v>-1.0486312451057798E-2</v>
      </c>
      <c r="F2247" s="75"/>
    </row>
    <row r="2248" spans="1:6" ht="14.25" customHeight="1" x14ac:dyDescent="0.3">
      <c r="A2248" s="73">
        <v>43858</v>
      </c>
      <c r="B2248" s="74">
        <v>40966.86</v>
      </c>
      <c r="C2248" s="74">
        <v>1194.75</v>
      </c>
      <c r="D2248" s="74">
        <f t="shared" si="71"/>
        <v>-4.5848950497409469E-3</v>
      </c>
      <c r="E2248" s="74">
        <f t="shared" si="72"/>
        <v>-1.6189643767586623E-2</v>
      </c>
      <c r="F2248" s="75"/>
    </row>
    <row r="2249" spans="1:6" ht="14.25" customHeight="1" x14ac:dyDescent="0.3">
      <c r="A2249" s="73">
        <v>43859</v>
      </c>
      <c r="B2249" s="74">
        <v>41198.660000000003</v>
      </c>
      <c r="C2249" s="74">
        <v>1186.6500000000001</v>
      </c>
      <c r="D2249" s="74">
        <f t="shared" si="71"/>
        <v>5.6422843779960798E-3</v>
      </c>
      <c r="E2249" s="74">
        <f t="shared" si="72"/>
        <v>-6.8027473227524121E-3</v>
      </c>
      <c r="F2249" s="75"/>
    </row>
    <row r="2250" spans="1:6" ht="14.25" customHeight="1" x14ac:dyDescent="0.3">
      <c r="A2250" s="73">
        <v>43860</v>
      </c>
      <c r="B2250" s="74">
        <v>40913.82</v>
      </c>
      <c r="C2250" s="74">
        <v>1179.1500000000001</v>
      </c>
      <c r="D2250" s="74">
        <f t="shared" si="71"/>
        <v>-6.9378282698807064E-3</v>
      </c>
      <c r="E2250" s="74">
        <f t="shared" si="72"/>
        <v>-6.3403712276399356E-3</v>
      </c>
      <c r="F2250" s="75"/>
    </row>
    <row r="2251" spans="1:6" ht="14.25" customHeight="1" x14ac:dyDescent="0.3">
      <c r="A2251" s="73">
        <v>43861</v>
      </c>
      <c r="B2251" s="74">
        <v>40723.49</v>
      </c>
      <c r="C2251" s="74">
        <v>1188.0999999999999</v>
      </c>
      <c r="D2251" s="74">
        <f t="shared" si="71"/>
        <v>-4.6628274460654845E-3</v>
      </c>
      <c r="E2251" s="74">
        <f t="shared" si="72"/>
        <v>7.5615525563663584E-3</v>
      </c>
      <c r="F2251" s="75"/>
    </row>
    <row r="2252" spans="1:6" ht="14.25" customHeight="1" x14ac:dyDescent="0.3">
      <c r="A2252" s="73">
        <v>43862</v>
      </c>
      <c r="B2252" s="74">
        <v>39735.53</v>
      </c>
      <c r="C2252" s="74">
        <v>1174.25</v>
      </c>
      <c r="D2252" s="74">
        <f t="shared" si="71"/>
        <v>-2.4559326168897572E-2</v>
      </c>
      <c r="E2252" s="74">
        <f t="shared" si="72"/>
        <v>-1.17257465571372E-2</v>
      </c>
      <c r="F2252" s="75"/>
    </row>
    <row r="2253" spans="1:6" ht="14.25" customHeight="1" x14ac:dyDescent="0.3">
      <c r="A2253" s="73">
        <v>43864</v>
      </c>
      <c r="B2253" s="74">
        <v>39872.31</v>
      </c>
      <c r="C2253" s="74">
        <v>1185.95</v>
      </c>
      <c r="D2253" s="74">
        <f t="shared" si="71"/>
        <v>3.4363483445117539E-3</v>
      </c>
      <c r="E2253" s="74">
        <f t="shared" si="72"/>
        <v>9.914495245850875E-3</v>
      </c>
      <c r="F2253" s="75"/>
    </row>
    <row r="2254" spans="1:6" ht="14.25" customHeight="1" x14ac:dyDescent="0.3">
      <c r="A2254" s="73">
        <v>43865</v>
      </c>
      <c r="B2254" s="74">
        <v>40789.379999999997</v>
      </c>
      <c r="C2254" s="74">
        <v>1275.5</v>
      </c>
      <c r="D2254" s="74">
        <f t="shared" si="71"/>
        <v>2.2739655395696969E-2</v>
      </c>
      <c r="E2254" s="74">
        <f t="shared" si="72"/>
        <v>7.2794117428910815E-2</v>
      </c>
      <c r="F2254" s="75"/>
    </row>
    <row r="2255" spans="1:6" ht="14.25" customHeight="1" x14ac:dyDescent="0.3">
      <c r="A2255" s="73">
        <v>43866</v>
      </c>
      <c r="B2255" s="74">
        <v>41142.660000000003</v>
      </c>
      <c r="C2255" s="74">
        <v>1279.9000000000001</v>
      </c>
      <c r="D2255" s="74">
        <f t="shared" si="71"/>
        <v>8.6237859924106364E-3</v>
      </c>
      <c r="E2255" s="74">
        <f t="shared" si="72"/>
        <v>3.4436912798800528E-3</v>
      </c>
      <c r="F2255" s="75"/>
    </row>
    <row r="2256" spans="1:6" ht="14.25" customHeight="1" x14ac:dyDescent="0.3">
      <c r="A2256" s="73">
        <v>43867</v>
      </c>
      <c r="B2256" s="74">
        <v>41306.03</v>
      </c>
      <c r="C2256" s="74">
        <v>1258.7</v>
      </c>
      <c r="D2256" s="74">
        <f t="shared" si="71"/>
        <v>3.962954749446506E-3</v>
      </c>
      <c r="E2256" s="74">
        <f t="shared" si="72"/>
        <v>-1.6702507564286886E-2</v>
      </c>
      <c r="F2256" s="75"/>
    </row>
    <row r="2257" spans="1:6" ht="14.25" customHeight="1" x14ac:dyDescent="0.3">
      <c r="A2257" s="73">
        <v>43868</v>
      </c>
      <c r="B2257" s="74">
        <v>41141.85</v>
      </c>
      <c r="C2257" s="74">
        <v>1274.4000000000001</v>
      </c>
      <c r="D2257" s="74">
        <f t="shared" si="71"/>
        <v>-3.9826425375862114E-3</v>
      </c>
      <c r="E2257" s="74">
        <f t="shared" si="72"/>
        <v>1.2396037298379431E-2</v>
      </c>
      <c r="F2257" s="75"/>
    </row>
    <row r="2258" spans="1:6" ht="14.25" customHeight="1" x14ac:dyDescent="0.3">
      <c r="A2258" s="73">
        <v>43871</v>
      </c>
      <c r="B2258" s="74">
        <v>40979.620000000003</v>
      </c>
      <c r="C2258" s="74">
        <v>1257.4000000000001</v>
      </c>
      <c r="D2258" s="74">
        <f t="shared" si="71"/>
        <v>-3.9509816625931064E-3</v>
      </c>
      <c r="E2258" s="74">
        <f t="shared" si="72"/>
        <v>-1.3429382646878029E-2</v>
      </c>
      <c r="F2258" s="75"/>
    </row>
    <row r="2259" spans="1:6" ht="14.25" customHeight="1" x14ac:dyDescent="0.3">
      <c r="A2259" s="73">
        <v>43872</v>
      </c>
      <c r="B2259" s="74">
        <v>41216.14</v>
      </c>
      <c r="C2259" s="74">
        <v>1271</v>
      </c>
      <c r="D2259" s="74">
        <f t="shared" si="71"/>
        <v>5.7550572634968008E-3</v>
      </c>
      <c r="E2259" s="74">
        <f t="shared" si="72"/>
        <v>1.0757895240493334E-2</v>
      </c>
      <c r="F2259" s="75"/>
    </row>
    <row r="2260" spans="1:6" ht="14.25" customHeight="1" x14ac:dyDescent="0.3">
      <c r="A2260" s="73">
        <v>43873</v>
      </c>
      <c r="B2260" s="74">
        <v>41565.9</v>
      </c>
      <c r="C2260" s="74">
        <v>1268.6500000000001</v>
      </c>
      <c r="D2260" s="74">
        <f t="shared" si="71"/>
        <v>8.4501923662947086E-3</v>
      </c>
      <c r="E2260" s="74">
        <f t="shared" si="72"/>
        <v>-1.8506492396275355E-3</v>
      </c>
      <c r="F2260" s="75"/>
    </row>
    <row r="2261" spans="1:6" ht="14.25" customHeight="1" x14ac:dyDescent="0.3">
      <c r="A2261" s="73">
        <v>43874</v>
      </c>
      <c r="B2261" s="74">
        <v>41459.79</v>
      </c>
      <c r="C2261" s="74">
        <v>1298.7</v>
      </c>
      <c r="D2261" s="74">
        <f t="shared" si="71"/>
        <v>-2.5560777097489015E-3</v>
      </c>
      <c r="E2261" s="74">
        <f t="shared" si="72"/>
        <v>2.3410421166218116E-2</v>
      </c>
      <c r="F2261" s="75"/>
    </row>
    <row r="2262" spans="1:6" ht="14.25" customHeight="1" x14ac:dyDescent="0.3">
      <c r="A2262" s="73">
        <v>43875</v>
      </c>
      <c r="B2262" s="74">
        <v>41257.74</v>
      </c>
      <c r="C2262" s="74">
        <v>1292.25</v>
      </c>
      <c r="D2262" s="74">
        <f t="shared" si="71"/>
        <v>-4.885310328970079E-3</v>
      </c>
      <c r="E2262" s="74">
        <f t="shared" si="72"/>
        <v>-4.9788790398958794E-3</v>
      </c>
      <c r="F2262" s="75"/>
    </row>
    <row r="2263" spans="1:6" ht="14.25" customHeight="1" x14ac:dyDescent="0.3">
      <c r="A2263" s="73">
        <v>43878</v>
      </c>
      <c r="B2263" s="74">
        <v>41055.69</v>
      </c>
      <c r="C2263" s="74">
        <v>1316.35</v>
      </c>
      <c r="D2263" s="74">
        <f t="shared" si="71"/>
        <v>-4.909293800615739E-3</v>
      </c>
      <c r="E2263" s="74">
        <f t="shared" si="72"/>
        <v>1.8477869895509969E-2</v>
      </c>
      <c r="F2263" s="75"/>
    </row>
    <row r="2264" spans="1:6" ht="14.25" customHeight="1" x14ac:dyDescent="0.3">
      <c r="A2264" s="73">
        <v>43879</v>
      </c>
      <c r="B2264" s="74">
        <v>40894.379999999997</v>
      </c>
      <c r="C2264" s="74">
        <v>1311.1</v>
      </c>
      <c r="D2264" s="74">
        <f t="shared" si="71"/>
        <v>-3.9367924477993702E-3</v>
      </c>
      <c r="E2264" s="74">
        <f t="shared" si="72"/>
        <v>-3.9962754663025492E-3</v>
      </c>
      <c r="F2264" s="75"/>
    </row>
    <row r="2265" spans="1:6" ht="14.25" customHeight="1" x14ac:dyDescent="0.3">
      <c r="A2265" s="73">
        <v>43880</v>
      </c>
      <c r="B2265" s="74">
        <v>41323</v>
      </c>
      <c r="C2265" s="74">
        <v>1329.9</v>
      </c>
      <c r="D2265" s="74">
        <f t="shared" si="71"/>
        <v>1.0426600387307441E-2</v>
      </c>
      <c r="E2265" s="74">
        <f t="shared" si="72"/>
        <v>1.4237271913761536E-2</v>
      </c>
      <c r="F2265" s="75"/>
    </row>
    <row r="2266" spans="1:6" ht="14.25" customHeight="1" x14ac:dyDescent="0.3">
      <c r="A2266" s="73">
        <v>43881</v>
      </c>
      <c r="B2266" s="74">
        <v>41170.120000000003</v>
      </c>
      <c r="C2266" s="74">
        <v>1322.7</v>
      </c>
      <c r="D2266" s="74">
        <f t="shared" si="71"/>
        <v>-3.7064951604068985E-3</v>
      </c>
      <c r="E2266" s="74">
        <f t="shared" si="72"/>
        <v>-5.428649387115919E-3</v>
      </c>
      <c r="F2266" s="75"/>
    </row>
    <row r="2267" spans="1:6" ht="14.25" customHeight="1" x14ac:dyDescent="0.3">
      <c r="A2267" s="73">
        <v>43885</v>
      </c>
      <c r="B2267" s="74">
        <v>40363.230000000003</v>
      </c>
      <c r="C2267" s="74">
        <v>1279.8</v>
      </c>
      <c r="D2267" s="74">
        <f t="shared" si="71"/>
        <v>-1.979352850570253E-2</v>
      </c>
      <c r="E2267" s="74">
        <f t="shared" si="72"/>
        <v>-3.2971286326641862E-2</v>
      </c>
      <c r="F2267" s="75"/>
    </row>
    <row r="2268" spans="1:6" ht="14.25" customHeight="1" x14ac:dyDescent="0.3">
      <c r="A2268" s="73">
        <v>43886</v>
      </c>
      <c r="B2268" s="74">
        <v>40281.199999999997</v>
      </c>
      <c r="C2268" s="74">
        <v>1260.25</v>
      </c>
      <c r="D2268" s="74">
        <f t="shared" si="71"/>
        <v>-2.034363149222181E-3</v>
      </c>
      <c r="E2268" s="74">
        <f t="shared" si="72"/>
        <v>-1.5393701742619613E-2</v>
      </c>
      <c r="F2268" s="75"/>
    </row>
    <row r="2269" spans="1:6" ht="14.25" customHeight="1" x14ac:dyDescent="0.3">
      <c r="A2269" s="73">
        <v>43887</v>
      </c>
      <c r="B2269" s="74">
        <v>39888.959999999999</v>
      </c>
      <c r="C2269" s="74">
        <v>1255.55</v>
      </c>
      <c r="D2269" s="74">
        <f t="shared" si="71"/>
        <v>-9.7852649861108754E-3</v>
      </c>
      <c r="E2269" s="74">
        <f t="shared" si="72"/>
        <v>-3.7363903870781365E-3</v>
      </c>
      <c r="F2269" s="75"/>
    </row>
    <row r="2270" spans="1:6" ht="14.25" customHeight="1" x14ac:dyDescent="0.3">
      <c r="A2270" s="73">
        <v>43888</v>
      </c>
      <c r="B2270" s="74">
        <v>39745.660000000003</v>
      </c>
      <c r="C2270" s="74">
        <v>1280</v>
      </c>
      <c r="D2270" s="74">
        <f t="shared" si="71"/>
        <v>-3.5989411307025291E-3</v>
      </c>
      <c r="E2270" s="74">
        <f t="shared" si="72"/>
        <v>1.9286354338000855E-2</v>
      </c>
      <c r="F2270" s="75"/>
    </row>
    <row r="2271" spans="1:6" ht="14.25" customHeight="1" x14ac:dyDescent="0.3">
      <c r="A2271" s="73">
        <v>43889</v>
      </c>
      <c r="B2271" s="74">
        <v>38297.29</v>
      </c>
      <c r="C2271" s="74">
        <v>1254.75</v>
      </c>
      <c r="D2271" s="74">
        <f t="shared" si="71"/>
        <v>-3.7121516246536618E-2</v>
      </c>
      <c r="E2271" s="74">
        <f t="shared" si="72"/>
        <v>-1.9923728378619849E-2</v>
      </c>
      <c r="F2271" s="75"/>
    </row>
    <row r="2272" spans="1:6" ht="14.25" customHeight="1" x14ac:dyDescent="0.3">
      <c r="A2272" s="73">
        <v>43892</v>
      </c>
      <c r="B2272" s="74">
        <v>38144.019999999997</v>
      </c>
      <c r="C2272" s="74">
        <v>1243.5</v>
      </c>
      <c r="D2272" s="74">
        <f t="shared" si="71"/>
        <v>-4.0101407314301948E-3</v>
      </c>
      <c r="E2272" s="74">
        <f t="shared" si="72"/>
        <v>-9.0063652915837195E-3</v>
      </c>
      <c r="F2272" s="75"/>
    </row>
    <row r="2273" spans="1:6" ht="14.25" customHeight="1" x14ac:dyDescent="0.3">
      <c r="A2273" s="73">
        <v>43893</v>
      </c>
      <c r="B2273" s="74">
        <v>38623.699999999997</v>
      </c>
      <c r="C2273" s="74">
        <v>1247.05</v>
      </c>
      <c r="D2273" s="74">
        <f t="shared" si="71"/>
        <v>1.2497081921966484E-2</v>
      </c>
      <c r="E2273" s="74">
        <f t="shared" si="72"/>
        <v>2.8507778636990403E-3</v>
      </c>
      <c r="F2273" s="75"/>
    </row>
    <row r="2274" spans="1:6" ht="14.25" customHeight="1" x14ac:dyDescent="0.3">
      <c r="A2274" s="73">
        <v>43894</v>
      </c>
      <c r="B2274" s="74">
        <v>38409.480000000003</v>
      </c>
      <c r="C2274" s="74">
        <v>1250.55</v>
      </c>
      <c r="D2274" s="74">
        <f t="shared" si="71"/>
        <v>-5.5617735685095284E-3</v>
      </c>
      <c r="E2274" s="74">
        <f t="shared" si="72"/>
        <v>2.8026924175737454E-3</v>
      </c>
      <c r="F2274" s="75"/>
    </row>
    <row r="2275" spans="1:6" ht="14.25" customHeight="1" x14ac:dyDescent="0.3">
      <c r="A2275" s="73">
        <v>43895</v>
      </c>
      <c r="B2275" s="74">
        <v>38470.61</v>
      </c>
      <c r="C2275" s="74">
        <v>1260.4000000000001</v>
      </c>
      <c r="D2275" s="74">
        <f t="shared" si="71"/>
        <v>1.5902690249950137E-3</v>
      </c>
      <c r="E2275" s="74">
        <f t="shared" si="72"/>
        <v>7.8456763583875985E-3</v>
      </c>
      <c r="F2275" s="75"/>
    </row>
    <row r="2276" spans="1:6" ht="14.25" customHeight="1" x14ac:dyDescent="0.3">
      <c r="A2276" s="73">
        <v>43896</v>
      </c>
      <c r="B2276" s="74">
        <v>37576.620000000003</v>
      </c>
      <c r="C2276" s="74">
        <v>1244.3</v>
      </c>
      <c r="D2276" s="74">
        <f t="shared" si="71"/>
        <v>-2.3512524667936702E-2</v>
      </c>
      <c r="E2276" s="74">
        <f t="shared" si="72"/>
        <v>-1.2856008101534137E-2</v>
      </c>
      <c r="F2276" s="75"/>
    </row>
    <row r="2277" spans="1:6" ht="14.25" customHeight="1" x14ac:dyDescent="0.3">
      <c r="A2277" s="73">
        <v>43899</v>
      </c>
      <c r="B2277" s="74">
        <v>35634.949999999997</v>
      </c>
      <c r="C2277" s="74">
        <v>1202.9000000000001</v>
      </c>
      <c r="D2277" s="74">
        <f t="shared" si="71"/>
        <v>-5.3055150644186935E-2</v>
      </c>
      <c r="E2277" s="74">
        <f t="shared" si="72"/>
        <v>-3.3837814781558485E-2</v>
      </c>
      <c r="F2277" s="75"/>
    </row>
    <row r="2278" spans="1:6" ht="14.25" customHeight="1" x14ac:dyDescent="0.3">
      <c r="A2278" s="73">
        <v>43901</v>
      </c>
      <c r="B2278" s="74">
        <v>35697.4</v>
      </c>
      <c r="C2278" s="74">
        <v>1188.8499999999999</v>
      </c>
      <c r="D2278" s="74">
        <f t="shared" si="71"/>
        <v>1.7509591638363855E-3</v>
      </c>
      <c r="E2278" s="74">
        <f t="shared" si="72"/>
        <v>-1.1748854701615569E-2</v>
      </c>
      <c r="F2278" s="75"/>
    </row>
    <row r="2279" spans="1:6" ht="14.25" customHeight="1" x14ac:dyDescent="0.3">
      <c r="A2279" s="73">
        <v>43902</v>
      </c>
      <c r="B2279" s="74">
        <v>32778.14</v>
      </c>
      <c r="C2279" s="74">
        <v>1078.2</v>
      </c>
      <c r="D2279" s="74">
        <f t="shared" si="71"/>
        <v>-8.5316027211772852E-2</v>
      </c>
      <c r="E2279" s="74">
        <f t="shared" si="72"/>
        <v>-9.7693469280843021E-2</v>
      </c>
      <c r="F2279" s="75"/>
    </row>
    <row r="2280" spans="1:6" ht="14.25" customHeight="1" x14ac:dyDescent="0.3">
      <c r="A2280" s="73">
        <v>43903</v>
      </c>
      <c r="B2280" s="74">
        <v>34103.480000000003</v>
      </c>
      <c r="C2280" s="74">
        <v>1084.0999999999999</v>
      </c>
      <c r="D2280" s="74">
        <f t="shared" si="71"/>
        <v>3.9637602078365669E-2</v>
      </c>
      <c r="E2280" s="74">
        <f t="shared" si="72"/>
        <v>5.4571656496774914E-3</v>
      </c>
      <c r="F2280" s="75"/>
    </row>
    <row r="2281" spans="1:6" ht="14.25" customHeight="1" x14ac:dyDescent="0.3">
      <c r="A2281" s="73">
        <v>43906</v>
      </c>
      <c r="B2281" s="74">
        <v>31390.07</v>
      </c>
      <c r="C2281" s="74">
        <v>1011.15</v>
      </c>
      <c r="D2281" s="74">
        <f t="shared" si="71"/>
        <v>-8.2907831007430724E-2</v>
      </c>
      <c r="E2281" s="74">
        <f t="shared" si="72"/>
        <v>-6.966185269968847E-2</v>
      </c>
      <c r="F2281" s="75"/>
    </row>
    <row r="2282" spans="1:6" ht="14.25" customHeight="1" x14ac:dyDescent="0.3">
      <c r="A2282" s="73">
        <v>43907</v>
      </c>
      <c r="B2282" s="74">
        <v>30579.09</v>
      </c>
      <c r="C2282" s="74">
        <v>1001.7</v>
      </c>
      <c r="D2282" s="74">
        <f t="shared" si="71"/>
        <v>-2.6175158814567435E-2</v>
      </c>
      <c r="E2282" s="74">
        <f t="shared" si="72"/>
        <v>-9.3897403498389188E-3</v>
      </c>
      <c r="F2282" s="75"/>
    </row>
    <row r="2283" spans="1:6" ht="14.25" customHeight="1" x14ac:dyDescent="0.3">
      <c r="A2283" s="73">
        <v>43908</v>
      </c>
      <c r="B2283" s="74">
        <v>28869.51</v>
      </c>
      <c r="C2283" s="74">
        <v>930.4</v>
      </c>
      <c r="D2283" s="74">
        <f t="shared" si="71"/>
        <v>-5.7530421151512801E-2</v>
      </c>
      <c r="E2283" s="74">
        <f t="shared" si="72"/>
        <v>-7.3839234413263954E-2</v>
      </c>
      <c r="F2283" s="75"/>
    </row>
    <row r="2284" spans="1:6" ht="14.25" customHeight="1" x14ac:dyDescent="0.3">
      <c r="A2284" s="73">
        <v>43909</v>
      </c>
      <c r="B2284" s="74">
        <v>28288.23</v>
      </c>
      <c r="C2284" s="74">
        <v>899.8</v>
      </c>
      <c r="D2284" s="74">
        <f t="shared" si="71"/>
        <v>-2.0340203816564647E-2</v>
      </c>
      <c r="E2284" s="74">
        <f t="shared" si="72"/>
        <v>-3.3442084797382754E-2</v>
      </c>
      <c r="F2284" s="75"/>
    </row>
    <row r="2285" spans="1:6" ht="14.25" customHeight="1" x14ac:dyDescent="0.3">
      <c r="A2285" s="73">
        <v>43910</v>
      </c>
      <c r="B2285" s="74">
        <v>29915.96</v>
      </c>
      <c r="C2285" s="74">
        <v>906.55</v>
      </c>
      <c r="D2285" s="74">
        <f t="shared" si="71"/>
        <v>5.5946300173089936E-2</v>
      </c>
      <c r="E2285" s="74">
        <f t="shared" si="72"/>
        <v>7.4736694647457953E-3</v>
      </c>
      <c r="F2285" s="75"/>
    </row>
    <row r="2286" spans="1:6" ht="14.25" customHeight="1" x14ac:dyDescent="0.3">
      <c r="A2286" s="73">
        <v>43913</v>
      </c>
      <c r="B2286" s="74">
        <v>25981.24</v>
      </c>
      <c r="C2286" s="74">
        <v>798.05</v>
      </c>
      <c r="D2286" s="74">
        <f t="shared" si="71"/>
        <v>-0.14101737812559303</v>
      </c>
      <c r="E2286" s="74">
        <f t="shared" si="72"/>
        <v>-0.12747493374325036</v>
      </c>
      <c r="F2286" s="75"/>
    </row>
    <row r="2287" spans="1:6" ht="14.25" customHeight="1" x14ac:dyDescent="0.3">
      <c r="A2287" s="73">
        <v>43914</v>
      </c>
      <c r="B2287" s="74">
        <v>26674.03</v>
      </c>
      <c r="C2287" s="74">
        <v>816.25</v>
      </c>
      <c r="D2287" s="74">
        <f t="shared" si="71"/>
        <v>2.6315693764495499E-2</v>
      </c>
      <c r="E2287" s="74">
        <f t="shared" si="72"/>
        <v>2.2549428462073536E-2</v>
      </c>
      <c r="F2287" s="75"/>
    </row>
    <row r="2288" spans="1:6" ht="14.25" customHeight="1" x14ac:dyDescent="0.3">
      <c r="A2288" s="73">
        <v>43915</v>
      </c>
      <c r="B2288" s="74">
        <v>28535.78</v>
      </c>
      <c r="C2288" s="74">
        <v>883.5</v>
      </c>
      <c r="D2288" s="74">
        <f t="shared" si="71"/>
        <v>6.7468305576736901E-2</v>
      </c>
      <c r="E2288" s="74">
        <f t="shared" si="72"/>
        <v>7.9170611169110214E-2</v>
      </c>
      <c r="F2288" s="75"/>
    </row>
    <row r="2289" spans="1:6" ht="14.25" customHeight="1" x14ac:dyDescent="0.3">
      <c r="A2289" s="73">
        <v>43916</v>
      </c>
      <c r="B2289" s="74">
        <v>29946.77</v>
      </c>
      <c r="C2289" s="74">
        <v>928.45</v>
      </c>
      <c r="D2289" s="74">
        <f t="shared" si="71"/>
        <v>4.8262733867914305E-2</v>
      </c>
      <c r="E2289" s="74">
        <f t="shared" si="72"/>
        <v>4.9625237286853661E-2</v>
      </c>
      <c r="F2289" s="75"/>
    </row>
    <row r="2290" spans="1:6" ht="14.25" customHeight="1" x14ac:dyDescent="0.3">
      <c r="A2290" s="73">
        <v>43917</v>
      </c>
      <c r="B2290" s="74">
        <v>29815.59</v>
      </c>
      <c r="C2290" s="74">
        <v>936.95</v>
      </c>
      <c r="D2290" s="74">
        <f t="shared" si="71"/>
        <v>-4.390061258691483E-3</v>
      </c>
      <c r="E2290" s="74">
        <f t="shared" si="72"/>
        <v>9.113389975070111E-3</v>
      </c>
      <c r="F2290" s="75"/>
    </row>
    <row r="2291" spans="1:6" ht="14.25" customHeight="1" x14ac:dyDescent="0.3">
      <c r="A2291" s="73">
        <v>43920</v>
      </c>
      <c r="B2291" s="74">
        <v>28440.32</v>
      </c>
      <c r="C2291" s="74">
        <v>944.15</v>
      </c>
      <c r="D2291" s="74">
        <f t="shared" si="71"/>
        <v>-4.7223554446413393E-2</v>
      </c>
      <c r="E2291" s="74">
        <f t="shared" si="72"/>
        <v>7.6551328059120361E-3</v>
      </c>
      <c r="F2291" s="75"/>
    </row>
    <row r="2292" spans="1:6" ht="14.25" customHeight="1" x14ac:dyDescent="0.3">
      <c r="A2292" s="73">
        <v>43921</v>
      </c>
      <c r="B2292" s="74">
        <v>29468.49</v>
      </c>
      <c r="C2292" s="74">
        <v>933.5</v>
      </c>
      <c r="D2292" s="74">
        <f t="shared" si="71"/>
        <v>3.5513700259361833E-2</v>
      </c>
      <c r="E2292" s="74">
        <f t="shared" si="72"/>
        <v>-1.1344088845809562E-2</v>
      </c>
      <c r="F2292" s="75"/>
    </row>
    <row r="2293" spans="1:6" ht="14.25" customHeight="1" x14ac:dyDescent="0.3">
      <c r="A2293" s="73">
        <v>43922</v>
      </c>
      <c r="B2293" s="74">
        <v>28265.31</v>
      </c>
      <c r="C2293" s="74">
        <v>936.75</v>
      </c>
      <c r="D2293" s="74">
        <f t="shared" si="71"/>
        <v>-4.16862991942702E-2</v>
      </c>
      <c r="E2293" s="74">
        <f t="shared" si="72"/>
        <v>3.4754746920195221E-3</v>
      </c>
      <c r="F2293" s="75"/>
    </row>
    <row r="2294" spans="1:6" ht="14.25" customHeight="1" x14ac:dyDescent="0.3">
      <c r="A2294" s="73">
        <v>43924</v>
      </c>
      <c r="B2294" s="74">
        <v>27590.95</v>
      </c>
      <c r="C2294" s="74">
        <v>862.7</v>
      </c>
      <c r="D2294" s="74">
        <f t="shared" si="71"/>
        <v>-2.4147437293023044E-2</v>
      </c>
      <c r="E2294" s="74">
        <f t="shared" si="72"/>
        <v>-8.234943159126365E-2</v>
      </c>
      <c r="F2294" s="75"/>
    </row>
    <row r="2295" spans="1:6" ht="14.25" customHeight="1" x14ac:dyDescent="0.3">
      <c r="A2295" s="73">
        <v>43928</v>
      </c>
      <c r="B2295" s="74">
        <v>30067.21</v>
      </c>
      <c r="C2295" s="74">
        <v>946.65</v>
      </c>
      <c r="D2295" s="74">
        <f t="shared" si="71"/>
        <v>8.5947388788731885E-2</v>
      </c>
      <c r="E2295" s="74">
        <f t="shared" si="72"/>
        <v>9.2862430615825151E-2</v>
      </c>
      <c r="F2295" s="75"/>
    </row>
    <row r="2296" spans="1:6" ht="14.25" customHeight="1" x14ac:dyDescent="0.3">
      <c r="A2296" s="73">
        <v>43929</v>
      </c>
      <c r="B2296" s="74">
        <v>29893.96</v>
      </c>
      <c r="C2296" s="74">
        <v>913.8</v>
      </c>
      <c r="D2296" s="74">
        <f t="shared" si="71"/>
        <v>-5.7787558890491451E-3</v>
      </c>
      <c r="E2296" s="74">
        <f t="shared" si="72"/>
        <v>-3.5317707569187173E-2</v>
      </c>
      <c r="F2296" s="75"/>
    </row>
    <row r="2297" spans="1:6" ht="14.25" customHeight="1" x14ac:dyDescent="0.3">
      <c r="A2297" s="73">
        <v>43930</v>
      </c>
      <c r="B2297" s="74">
        <v>31159.62</v>
      </c>
      <c r="C2297" s="74">
        <v>1015.4</v>
      </c>
      <c r="D2297" s="74">
        <f t="shared" si="71"/>
        <v>4.1466572504657004E-2</v>
      </c>
      <c r="E2297" s="74">
        <f t="shared" si="72"/>
        <v>0.10542617338412288</v>
      </c>
      <c r="F2297" s="75"/>
    </row>
    <row r="2298" spans="1:6" ht="14.25" customHeight="1" x14ac:dyDescent="0.3">
      <c r="A2298" s="73">
        <v>43934</v>
      </c>
      <c r="B2298" s="74">
        <v>30690.02</v>
      </c>
      <c r="C2298" s="74">
        <v>967.35</v>
      </c>
      <c r="D2298" s="74">
        <f t="shared" si="71"/>
        <v>-1.5185505496731606E-2</v>
      </c>
      <c r="E2298" s="74">
        <f t="shared" si="72"/>
        <v>-4.8477528388797812E-2</v>
      </c>
      <c r="F2298" s="75"/>
    </row>
    <row r="2299" spans="1:6" ht="14.25" customHeight="1" x14ac:dyDescent="0.3">
      <c r="A2299" s="73">
        <v>43936</v>
      </c>
      <c r="B2299" s="74">
        <v>30379.81</v>
      </c>
      <c r="C2299" s="74">
        <v>949.9</v>
      </c>
      <c r="D2299" s="74">
        <f t="shared" si="71"/>
        <v>-1.0159277275982721E-2</v>
      </c>
      <c r="E2299" s="74">
        <f t="shared" si="72"/>
        <v>-1.8203658228359308E-2</v>
      </c>
      <c r="F2299" s="75"/>
    </row>
    <row r="2300" spans="1:6" ht="14.25" customHeight="1" x14ac:dyDescent="0.3">
      <c r="A2300" s="73">
        <v>43937</v>
      </c>
      <c r="B2300" s="74">
        <v>30602.61</v>
      </c>
      <c r="C2300" s="74">
        <v>986.65</v>
      </c>
      <c r="D2300" s="74">
        <f t="shared" si="71"/>
        <v>7.3070564051250439E-3</v>
      </c>
      <c r="E2300" s="74">
        <f t="shared" si="72"/>
        <v>3.7958650719298145E-2</v>
      </c>
      <c r="F2300" s="75"/>
    </row>
    <row r="2301" spans="1:6" ht="14.25" customHeight="1" x14ac:dyDescent="0.3">
      <c r="A2301" s="73">
        <v>43938</v>
      </c>
      <c r="B2301" s="74">
        <v>31588.720000000001</v>
      </c>
      <c r="C2301" s="74">
        <v>975.05</v>
      </c>
      <c r="D2301" s="74">
        <f t="shared" si="71"/>
        <v>3.1714795402794892E-2</v>
      </c>
      <c r="E2301" s="74">
        <f t="shared" si="72"/>
        <v>-1.1826614881185082E-2</v>
      </c>
      <c r="F2301" s="75"/>
    </row>
    <row r="2302" spans="1:6" ht="14.25" customHeight="1" x14ac:dyDescent="0.3">
      <c r="A2302" s="73">
        <v>43941</v>
      </c>
      <c r="B2302" s="74">
        <v>31648</v>
      </c>
      <c r="C2302" s="74">
        <v>975.45</v>
      </c>
      <c r="D2302" s="74">
        <f t="shared" si="71"/>
        <v>1.8748605988609774E-3</v>
      </c>
      <c r="E2302" s="74">
        <f t="shared" si="72"/>
        <v>4.1015124902076498E-4</v>
      </c>
      <c r="F2302" s="75"/>
    </row>
    <row r="2303" spans="1:6" ht="14.25" customHeight="1" x14ac:dyDescent="0.3">
      <c r="A2303" s="73">
        <v>43942</v>
      </c>
      <c r="B2303" s="74">
        <v>30636.71</v>
      </c>
      <c r="C2303" s="74">
        <v>936.7</v>
      </c>
      <c r="D2303" s="74">
        <f t="shared" si="71"/>
        <v>-3.2475992312236544E-2</v>
      </c>
      <c r="E2303" s="74">
        <f t="shared" si="72"/>
        <v>-4.0535842768185608E-2</v>
      </c>
      <c r="F2303" s="75"/>
    </row>
    <row r="2304" spans="1:6" ht="14.25" customHeight="1" x14ac:dyDescent="0.3">
      <c r="A2304" s="73">
        <v>43943</v>
      </c>
      <c r="B2304" s="74">
        <v>31379.55</v>
      </c>
      <c r="C2304" s="74">
        <v>952.2</v>
      </c>
      <c r="D2304" s="74">
        <f t="shared" si="71"/>
        <v>2.395744372982939E-2</v>
      </c>
      <c r="E2304" s="74">
        <f t="shared" si="72"/>
        <v>1.6412036545333429E-2</v>
      </c>
      <c r="F2304" s="75"/>
    </row>
    <row r="2305" spans="1:6" ht="14.25" customHeight="1" x14ac:dyDescent="0.3">
      <c r="A2305" s="73">
        <v>43944</v>
      </c>
      <c r="B2305" s="74">
        <v>31863.08</v>
      </c>
      <c r="C2305" s="74">
        <v>912.4</v>
      </c>
      <c r="D2305" s="74">
        <f t="shared" si="71"/>
        <v>1.5291565895610629E-2</v>
      </c>
      <c r="E2305" s="74">
        <f t="shared" si="72"/>
        <v>-4.2696606350185441E-2</v>
      </c>
      <c r="F2305" s="75"/>
    </row>
    <row r="2306" spans="1:6" ht="14.25" customHeight="1" x14ac:dyDescent="0.3">
      <c r="A2306" s="73">
        <v>43945</v>
      </c>
      <c r="B2306" s="74">
        <v>31327.22</v>
      </c>
      <c r="C2306" s="74">
        <v>905.3</v>
      </c>
      <c r="D2306" s="74">
        <f t="shared" si="71"/>
        <v>-1.6960604570316031E-2</v>
      </c>
      <c r="E2306" s="74">
        <f t="shared" si="72"/>
        <v>-7.8121099288383363E-3</v>
      </c>
      <c r="F2306" s="75"/>
    </row>
    <row r="2307" spans="1:6" ht="14.25" customHeight="1" x14ac:dyDescent="0.3">
      <c r="A2307" s="73">
        <v>43948</v>
      </c>
      <c r="B2307" s="74">
        <v>31743.08</v>
      </c>
      <c r="C2307" s="74">
        <v>928</v>
      </c>
      <c r="D2307" s="74">
        <f t="shared" si="71"/>
        <v>1.3187380644452518E-2</v>
      </c>
      <c r="E2307" s="74">
        <f t="shared" si="72"/>
        <v>2.4765352304805911E-2</v>
      </c>
      <c r="F2307" s="75"/>
    </row>
    <row r="2308" spans="1:6" ht="14.25" customHeight="1" x14ac:dyDescent="0.3">
      <c r="A2308" s="73">
        <v>43949</v>
      </c>
      <c r="B2308" s="74">
        <v>32114.52</v>
      </c>
      <c r="C2308" s="74">
        <v>932.75</v>
      </c>
      <c r="D2308" s="74">
        <f t="shared" ref="D2308:D2371" si="73">LN(B2308/B2307)</f>
        <v>1.1633515483635464E-2</v>
      </c>
      <c r="E2308" s="74">
        <f t="shared" ref="E2308:E2371" si="74">LN(C2308/C2307)</f>
        <v>5.1054793150667049E-3</v>
      </c>
      <c r="F2308" s="75"/>
    </row>
    <row r="2309" spans="1:6" ht="14.25" customHeight="1" x14ac:dyDescent="0.3">
      <c r="A2309" s="73">
        <v>43950</v>
      </c>
      <c r="B2309" s="74">
        <v>32720.16</v>
      </c>
      <c r="C2309" s="74">
        <v>925</v>
      </c>
      <c r="D2309" s="74">
        <f t="shared" si="73"/>
        <v>1.8683137386863436E-2</v>
      </c>
      <c r="E2309" s="74">
        <f t="shared" si="74"/>
        <v>-8.3434745888419804E-3</v>
      </c>
      <c r="F2309" s="75"/>
    </row>
    <row r="2310" spans="1:6" ht="14.25" customHeight="1" x14ac:dyDescent="0.3">
      <c r="A2310" s="73">
        <v>43951</v>
      </c>
      <c r="B2310" s="74">
        <v>33717.620000000003</v>
      </c>
      <c r="C2310" s="74">
        <v>969.8</v>
      </c>
      <c r="D2310" s="74">
        <f t="shared" si="73"/>
        <v>3.0029147687126185E-2</v>
      </c>
      <c r="E2310" s="74">
        <f t="shared" si="74"/>
        <v>4.7296127158826619E-2</v>
      </c>
      <c r="F2310" s="75"/>
    </row>
    <row r="2311" spans="1:6" ht="14.25" customHeight="1" x14ac:dyDescent="0.3">
      <c r="A2311" s="73">
        <v>43955</v>
      </c>
      <c r="B2311" s="74">
        <v>31715.35</v>
      </c>
      <c r="C2311" s="74">
        <v>891.2</v>
      </c>
      <c r="D2311" s="74">
        <f t="shared" si="73"/>
        <v>-6.1219758572817765E-2</v>
      </c>
      <c r="E2311" s="74">
        <f t="shared" si="74"/>
        <v>-8.4520995498232235E-2</v>
      </c>
      <c r="F2311" s="75"/>
    </row>
    <row r="2312" spans="1:6" ht="14.25" customHeight="1" x14ac:dyDescent="0.3">
      <c r="A2312" s="73">
        <v>43956</v>
      </c>
      <c r="B2312" s="74">
        <v>31453.51</v>
      </c>
      <c r="C2312" s="74">
        <v>887.2</v>
      </c>
      <c r="D2312" s="74">
        <f t="shared" si="73"/>
        <v>-8.2902081700843323E-3</v>
      </c>
      <c r="E2312" s="74">
        <f t="shared" si="74"/>
        <v>-4.4984331368622572E-3</v>
      </c>
      <c r="F2312" s="75"/>
    </row>
    <row r="2313" spans="1:6" ht="14.25" customHeight="1" x14ac:dyDescent="0.3">
      <c r="A2313" s="73">
        <v>43957</v>
      </c>
      <c r="B2313" s="74">
        <v>31685.75</v>
      </c>
      <c r="C2313" s="74">
        <v>877</v>
      </c>
      <c r="D2313" s="74">
        <f t="shared" si="73"/>
        <v>7.3564703595225571E-3</v>
      </c>
      <c r="E2313" s="74">
        <f t="shared" si="74"/>
        <v>-1.156344366397434E-2</v>
      </c>
      <c r="F2313" s="75"/>
    </row>
    <row r="2314" spans="1:6" ht="14.25" customHeight="1" x14ac:dyDescent="0.3">
      <c r="A2314" s="73">
        <v>43958</v>
      </c>
      <c r="B2314" s="74">
        <v>31443.38</v>
      </c>
      <c r="C2314" s="74">
        <v>849.3</v>
      </c>
      <c r="D2314" s="74">
        <f t="shared" si="73"/>
        <v>-7.6785848579528212E-3</v>
      </c>
      <c r="E2314" s="74">
        <f t="shared" si="74"/>
        <v>-3.2094511586219447E-2</v>
      </c>
      <c r="F2314" s="75"/>
    </row>
    <row r="2315" spans="1:6" ht="14.25" customHeight="1" x14ac:dyDescent="0.3">
      <c r="A2315" s="73">
        <v>43959</v>
      </c>
      <c r="B2315" s="74">
        <v>31642.7</v>
      </c>
      <c r="C2315" s="74">
        <v>833.1</v>
      </c>
      <c r="D2315" s="74">
        <f t="shared" si="73"/>
        <v>6.3190061336566607E-3</v>
      </c>
      <c r="E2315" s="74">
        <f t="shared" si="74"/>
        <v>-1.9258797805099929E-2</v>
      </c>
      <c r="F2315" s="75"/>
    </row>
    <row r="2316" spans="1:6" ht="14.25" customHeight="1" x14ac:dyDescent="0.3">
      <c r="A2316" s="73">
        <v>43962</v>
      </c>
      <c r="B2316" s="74">
        <v>31561.22</v>
      </c>
      <c r="C2316" s="74">
        <v>830</v>
      </c>
      <c r="D2316" s="74">
        <f t="shared" si="73"/>
        <v>-2.5783225198119501E-3</v>
      </c>
      <c r="E2316" s="74">
        <f t="shared" si="74"/>
        <v>-3.7279821902199898E-3</v>
      </c>
      <c r="F2316" s="75"/>
    </row>
    <row r="2317" spans="1:6" ht="14.25" customHeight="1" x14ac:dyDescent="0.3">
      <c r="A2317" s="73">
        <v>43963</v>
      </c>
      <c r="B2317" s="74">
        <v>31371.119999999999</v>
      </c>
      <c r="C2317" s="74">
        <v>847.3</v>
      </c>
      <c r="D2317" s="74">
        <f t="shared" si="73"/>
        <v>-6.0414272916648583E-3</v>
      </c>
      <c r="E2317" s="74">
        <f t="shared" si="74"/>
        <v>2.0629122413774813E-2</v>
      </c>
      <c r="F2317" s="75"/>
    </row>
    <row r="2318" spans="1:6" ht="14.25" customHeight="1" x14ac:dyDescent="0.3">
      <c r="A2318" s="73">
        <v>43964</v>
      </c>
      <c r="B2318" s="74">
        <v>32008.61</v>
      </c>
      <c r="C2318" s="74">
        <v>860.15</v>
      </c>
      <c r="D2318" s="74">
        <f t="shared" si="73"/>
        <v>2.0117204642789665E-2</v>
      </c>
      <c r="E2318" s="74">
        <f t="shared" si="74"/>
        <v>1.5051969438629902E-2</v>
      </c>
      <c r="F2318" s="75"/>
    </row>
    <row r="2319" spans="1:6" ht="14.25" customHeight="1" x14ac:dyDescent="0.3">
      <c r="A2319" s="73">
        <v>43965</v>
      </c>
      <c r="B2319" s="74">
        <v>31122.89</v>
      </c>
      <c r="C2319" s="74">
        <v>846.45</v>
      </c>
      <c r="D2319" s="74">
        <f t="shared" si="73"/>
        <v>-2.8061367786615533E-2</v>
      </c>
      <c r="E2319" s="74">
        <f t="shared" si="74"/>
        <v>-1.6055659559789409E-2</v>
      </c>
      <c r="F2319" s="75"/>
    </row>
    <row r="2320" spans="1:6" ht="14.25" customHeight="1" x14ac:dyDescent="0.3">
      <c r="A2320" s="73">
        <v>43966</v>
      </c>
      <c r="B2320" s="74">
        <v>31097.73</v>
      </c>
      <c r="C2320" s="74">
        <v>845.4</v>
      </c>
      <c r="D2320" s="74">
        <f t="shared" si="73"/>
        <v>-8.0873515472296696E-4</v>
      </c>
      <c r="E2320" s="74">
        <f t="shared" si="74"/>
        <v>-1.2412449505692777E-3</v>
      </c>
      <c r="F2320" s="75"/>
    </row>
    <row r="2321" spans="1:6" ht="14.25" customHeight="1" x14ac:dyDescent="0.3">
      <c r="A2321" s="73">
        <v>43969</v>
      </c>
      <c r="B2321" s="74">
        <v>30028.98</v>
      </c>
      <c r="C2321" s="74">
        <v>816.4</v>
      </c>
      <c r="D2321" s="74">
        <f t="shared" si="73"/>
        <v>-3.4971910783151088E-2</v>
      </c>
      <c r="E2321" s="74">
        <f t="shared" si="74"/>
        <v>-3.4905457196999806E-2</v>
      </c>
      <c r="F2321" s="75"/>
    </row>
    <row r="2322" spans="1:6" ht="14.25" customHeight="1" x14ac:dyDescent="0.3">
      <c r="A2322" s="73">
        <v>43970</v>
      </c>
      <c r="B2322" s="74">
        <v>30196.17</v>
      </c>
      <c r="C2322" s="74">
        <v>826.65</v>
      </c>
      <c r="D2322" s="74">
        <f t="shared" si="73"/>
        <v>5.5521797618695743E-3</v>
      </c>
      <c r="E2322" s="74">
        <f t="shared" si="74"/>
        <v>1.2476958061664295E-2</v>
      </c>
      <c r="F2322" s="75"/>
    </row>
    <row r="2323" spans="1:6" ht="14.25" customHeight="1" x14ac:dyDescent="0.3">
      <c r="A2323" s="73">
        <v>43971</v>
      </c>
      <c r="B2323" s="74">
        <v>30818.61</v>
      </c>
      <c r="C2323" s="74">
        <v>850.15</v>
      </c>
      <c r="D2323" s="74">
        <f t="shared" si="73"/>
        <v>2.0403633144587839E-2</v>
      </c>
      <c r="E2323" s="74">
        <f t="shared" si="74"/>
        <v>2.8031415506140713E-2</v>
      </c>
      <c r="F2323" s="75"/>
    </row>
    <row r="2324" spans="1:6" ht="14.25" customHeight="1" x14ac:dyDescent="0.3">
      <c r="A2324" s="73">
        <v>43972</v>
      </c>
      <c r="B2324" s="74">
        <v>30932.9</v>
      </c>
      <c r="C2324" s="74">
        <v>849.7</v>
      </c>
      <c r="D2324" s="74">
        <f t="shared" si="73"/>
        <v>3.7016141143624164E-3</v>
      </c>
      <c r="E2324" s="74">
        <f t="shared" si="74"/>
        <v>-5.2945849399908091E-4</v>
      </c>
      <c r="F2324" s="75"/>
    </row>
    <row r="2325" spans="1:6" ht="14.25" customHeight="1" x14ac:dyDescent="0.3">
      <c r="A2325" s="73">
        <v>43973</v>
      </c>
      <c r="B2325" s="74">
        <v>30672.59</v>
      </c>
      <c r="C2325" s="74">
        <v>849.45</v>
      </c>
      <c r="D2325" s="74">
        <f t="shared" si="73"/>
        <v>-8.4509205018697912E-3</v>
      </c>
      <c r="E2325" s="74">
        <f t="shared" si="74"/>
        <v>-2.9426478157196099E-4</v>
      </c>
      <c r="F2325" s="75"/>
    </row>
    <row r="2326" spans="1:6" ht="14.25" customHeight="1" x14ac:dyDescent="0.3">
      <c r="A2326" s="73">
        <v>43977</v>
      </c>
      <c r="B2326" s="74">
        <v>30609.3</v>
      </c>
      <c r="C2326" s="74">
        <v>893.15</v>
      </c>
      <c r="D2326" s="74">
        <f t="shared" si="73"/>
        <v>-2.0655375512062014E-3</v>
      </c>
      <c r="E2326" s="74">
        <f t="shared" si="74"/>
        <v>5.0165458666969712E-2</v>
      </c>
      <c r="F2326" s="75"/>
    </row>
    <row r="2327" spans="1:6" ht="14.25" customHeight="1" x14ac:dyDescent="0.3">
      <c r="A2327" s="73">
        <v>43978</v>
      </c>
      <c r="B2327" s="74">
        <v>31605.22</v>
      </c>
      <c r="C2327" s="74">
        <v>886.85</v>
      </c>
      <c r="D2327" s="74">
        <f t="shared" si="73"/>
        <v>3.2018412471781339E-2</v>
      </c>
      <c r="E2327" s="74">
        <f t="shared" si="74"/>
        <v>-7.0786812432980899E-3</v>
      </c>
      <c r="F2327" s="75"/>
    </row>
    <row r="2328" spans="1:6" ht="14.25" customHeight="1" x14ac:dyDescent="0.3">
      <c r="A2328" s="73">
        <v>43979</v>
      </c>
      <c r="B2328" s="74">
        <v>32200.59</v>
      </c>
      <c r="C2328" s="74">
        <v>899.8</v>
      </c>
      <c r="D2328" s="74">
        <f t="shared" si="73"/>
        <v>1.8662478539925975E-2</v>
      </c>
      <c r="E2328" s="74">
        <f t="shared" si="74"/>
        <v>1.4496657755476337E-2</v>
      </c>
      <c r="F2328" s="75"/>
    </row>
    <row r="2329" spans="1:6" ht="14.25" customHeight="1" x14ac:dyDescent="0.3">
      <c r="A2329" s="73">
        <v>43980</v>
      </c>
      <c r="B2329" s="74">
        <v>32424.1</v>
      </c>
      <c r="C2329" s="74">
        <v>890.6</v>
      </c>
      <c r="D2329" s="74">
        <f t="shared" si="73"/>
        <v>6.9171980925947091E-3</v>
      </c>
      <c r="E2329" s="74">
        <f t="shared" si="74"/>
        <v>-1.0277123519469848E-2</v>
      </c>
      <c r="F2329" s="75"/>
    </row>
    <row r="2330" spans="1:6" ht="14.25" customHeight="1" x14ac:dyDescent="0.3">
      <c r="A2330" s="73">
        <v>43983</v>
      </c>
      <c r="B2330" s="74">
        <v>33303.519999999997</v>
      </c>
      <c r="C2330" s="74">
        <v>958.35</v>
      </c>
      <c r="D2330" s="74">
        <f t="shared" si="73"/>
        <v>2.6761123649189374E-2</v>
      </c>
      <c r="E2330" s="74">
        <f t="shared" si="74"/>
        <v>7.3317662828859986E-2</v>
      </c>
      <c r="F2330" s="75"/>
    </row>
    <row r="2331" spans="1:6" ht="14.25" customHeight="1" x14ac:dyDescent="0.3">
      <c r="A2331" s="73">
        <v>43984</v>
      </c>
      <c r="B2331" s="74">
        <v>33825.53</v>
      </c>
      <c r="C2331" s="74">
        <v>975.75</v>
      </c>
      <c r="D2331" s="74">
        <f t="shared" si="73"/>
        <v>1.5552745712408229E-2</v>
      </c>
      <c r="E2331" s="74">
        <f t="shared" si="74"/>
        <v>1.799335034426227E-2</v>
      </c>
      <c r="F2331" s="75"/>
    </row>
    <row r="2332" spans="1:6" ht="14.25" customHeight="1" x14ac:dyDescent="0.3">
      <c r="A2332" s="73">
        <v>43985</v>
      </c>
      <c r="B2332" s="74">
        <v>34109.54</v>
      </c>
      <c r="C2332" s="74">
        <v>984</v>
      </c>
      <c r="D2332" s="74">
        <f t="shared" si="73"/>
        <v>8.3612677402671188E-3</v>
      </c>
      <c r="E2332" s="74">
        <f t="shared" si="74"/>
        <v>8.4194909915291556E-3</v>
      </c>
      <c r="F2332" s="75"/>
    </row>
    <row r="2333" spans="1:6" ht="14.25" customHeight="1" x14ac:dyDescent="0.3">
      <c r="A2333" s="73">
        <v>43986</v>
      </c>
      <c r="B2333" s="74">
        <v>33980.699999999997</v>
      </c>
      <c r="C2333" s="74">
        <v>971.45</v>
      </c>
      <c r="D2333" s="74">
        <f t="shared" si="73"/>
        <v>-3.7843941735741676E-3</v>
      </c>
      <c r="E2333" s="74">
        <f t="shared" si="74"/>
        <v>-1.2836096363131466E-2</v>
      </c>
      <c r="F2333" s="75"/>
    </row>
    <row r="2334" spans="1:6" ht="14.25" customHeight="1" x14ac:dyDescent="0.3">
      <c r="A2334" s="73">
        <v>43987</v>
      </c>
      <c r="B2334" s="74">
        <v>34287.24</v>
      </c>
      <c r="C2334" s="74">
        <v>991.05</v>
      </c>
      <c r="D2334" s="74">
        <f t="shared" si="73"/>
        <v>8.9805569118318121E-3</v>
      </c>
      <c r="E2334" s="74">
        <f t="shared" si="74"/>
        <v>1.9975186454882426E-2</v>
      </c>
      <c r="F2334" s="75"/>
    </row>
    <row r="2335" spans="1:6" ht="14.25" customHeight="1" x14ac:dyDescent="0.3">
      <c r="A2335" s="73">
        <v>43990</v>
      </c>
      <c r="B2335" s="74">
        <v>34370.58</v>
      </c>
      <c r="C2335" s="74">
        <v>1019.5</v>
      </c>
      <c r="D2335" s="74">
        <f t="shared" si="73"/>
        <v>2.4276926046205927E-3</v>
      </c>
      <c r="E2335" s="74">
        <f t="shared" si="74"/>
        <v>2.8302602870505532E-2</v>
      </c>
      <c r="F2335" s="75"/>
    </row>
    <row r="2336" spans="1:6" ht="14.25" customHeight="1" x14ac:dyDescent="0.3">
      <c r="A2336" s="73">
        <v>43991</v>
      </c>
      <c r="B2336" s="74">
        <v>33956.69</v>
      </c>
      <c r="C2336" s="74">
        <v>996.5</v>
      </c>
      <c r="D2336" s="74">
        <f t="shared" si="73"/>
        <v>-1.2115076817284076E-2</v>
      </c>
      <c r="E2336" s="74">
        <f t="shared" si="74"/>
        <v>-2.2818450361660511E-2</v>
      </c>
      <c r="F2336" s="75"/>
    </row>
    <row r="2337" spans="1:6" ht="14.25" customHeight="1" x14ac:dyDescent="0.3">
      <c r="A2337" s="73">
        <v>43992</v>
      </c>
      <c r="B2337" s="74">
        <v>34247.050000000003</v>
      </c>
      <c r="C2337" s="74">
        <v>977.55</v>
      </c>
      <c r="D2337" s="74">
        <f t="shared" si="73"/>
        <v>8.514540527933389E-3</v>
      </c>
      <c r="E2337" s="74">
        <f t="shared" si="74"/>
        <v>-1.9199698206350382E-2</v>
      </c>
      <c r="F2337" s="75"/>
    </row>
    <row r="2338" spans="1:6" ht="14.25" customHeight="1" x14ac:dyDescent="0.3">
      <c r="A2338" s="73">
        <v>43993</v>
      </c>
      <c r="B2338" s="74">
        <v>33538.370000000003</v>
      </c>
      <c r="C2338" s="74">
        <v>951</v>
      </c>
      <c r="D2338" s="74">
        <f t="shared" si="73"/>
        <v>-2.0910273085877312E-2</v>
      </c>
      <c r="E2338" s="74">
        <f t="shared" si="74"/>
        <v>-2.7535378901108666E-2</v>
      </c>
      <c r="F2338" s="75"/>
    </row>
    <row r="2339" spans="1:6" ht="14.25" customHeight="1" x14ac:dyDescent="0.3">
      <c r="A2339" s="73">
        <v>43994</v>
      </c>
      <c r="B2339" s="74">
        <v>33780.89</v>
      </c>
      <c r="C2339" s="74">
        <v>977.7</v>
      </c>
      <c r="D2339" s="74">
        <f t="shared" si="73"/>
        <v>7.2051014574627831E-3</v>
      </c>
      <c r="E2339" s="74">
        <f t="shared" si="74"/>
        <v>2.7688811966235377E-2</v>
      </c>
      <c r="F2339" s="75"/>
    </row>
    <row r="2340" spans="1:6" ht="14.25" customHeight="1" x14ac:dyDescent="0.3">
      <c r="A2340" s="73">
        <v>43997</v>
      </c>
      <c r="B2340" s="74">
        <v>33228.800000000003</v>
      </c>
      <c r="C2340" s="74">
        <v>947.95</v>
      </c>
      <c r="D2340" s="74">
        <f t="shared" si="73"/>
        <v>-1.6478288216022555E-2</v>
      </c>
      <c r="E2340" s="74">
        <f t="shared" si="74"/>
        <v>-3.0901116263578148E-2</v>
      </c>
      <c r="F2340" s="75"/>
    </row>
    <row r="2341" spans="1:6" ht="14.25" customHeight="1" x14ac:dyDescent="0.3">
      <c r="A2341" s="73">
        <v>43998</v>
      </c>
      <c r="B2341" s="74">
        <v>33605.22</v>
      </c>
      <c r="C2341" s="74">
        <v>957.8</v>
      </c>
      <c r="D2341" s="74">
        <f t="shared" si="73"/>
        <v>1.1264442277929389E-2</v>
      </c>
      <c r="E2341" s="74">
        <f t="shared" si="74"/>
        <v>1.0337229660461453E-2</v>
      </c>
      <c r="F2341" s="75"/>
    </row>
    <row r="2342" spans="1:6" ht="14.25" customHeight="1" x14ac:dyDescent="0.3">
      <c r="A2342" s="73">
        <v>43999</v>
      </c>
      <c r="B2342" s="74">
        <v>33507.919999999998</v>
      </c>
      <c r="C2342" s="74">
        <v>962.85</v>
      </c>
      <c r="D2342" s="74">
        <f t="shared" si="73"/>
        <v>-2.8995832461863524E-3</v>
      </c>
      <c r="E2342" s="74">
        <f t="shared" si="74"/>
        <v>5.2586485173879965E-3</v>
      </c>
      <c r="F2342" s="75"/>
    </row>
    <row r="2343" spans="1:6" ht="14.25" customHeight="1" x14ac:dyDescent="0.3">
      <c r="A2343" s="73">
        <v>44000</v>
      </c>
      <c r="B2343" s="74">
        <v>34208.050000000003</v>
      </c>
      <c r="C2343" s="74">
        <v>976.3</v>
      </c>
      <c r="D2343" s="74">
        <f t="shared" si="73"/>
        <v>2.0679167688806791E-2</v>
      </c>
      <c r="E2343" s="74">
        <f t="shared" si="74"/>
        <v>1.3872279805728954E-2</v>
      </c>
      <c r="F2343" s="75"/>
    </row>
    <row r="2344" spans="1:6" ht="14.25" customHeight="1" x14ac:dyDescent="0.3">
      <c r="A2344" s="73">
        <v>44001</v>
      </c>
      <c r="B2344" s="74">
        <v>34731.730000000003</v>
      </c>
      <c r="C2344" s="74">
        <v>975.25</v>
      </c>
      <c r="D2344" s="74">
        <f t="shared" si="73"/>
        <v>1.5192681869322574E-2</v>
      </c>
      <c r="E2344" s="74">
        <f t="shared" si="74"/>
        <v>-1.0760678448598255E-3</v>
      </c>
      <c r="F2344" s="75"/>
    </row>
    <row r="2345" spans="1:6" ht="14.25" customHeight="1" x14ac:dyDescent="0.3">
      <c r="A2345" s="73">
        <v>44004</v>
      </c>
      <c r="B2345" s="74">
        <v>34911.32</v>
      </c>
      <c r="C2345" s="74">
        <v>979.55</v>
      </c>
      <c r="D2345" s="74">
        <f t="shared" si="73"/>
        <v>5.1574535601446279E-3</v>
      </c>
      <c r="E2345" s="74">
        <f t="shared" si="74"/>
        <v>4.3994341472751546E-3</v>
      </c>
      <c r="F2345" s="75"/>
    </row>
    <row r="2346" spans="1:6" ht="14.25" customHeight="1" x14ac:dyDescent="0.3">
      <c r="A2346" s="73">
        <v>44005</v>
      </c>
      <c r="B2346" s="74">
        <v>35430.43</v>
      </c>
      <c r="C2346" s="74">
        <v>998.45</v>
      </c>
      <c r="D2346" s="74">
        <f t="shared" si="73"/>
        <v>1.475992349369506E-2</v>
      </c>
      <c r="E2346" s="74">
        <f t="shared" si="74"/>
        <v>1.9110793955359532E-2</v>
      </c>
      <c r="F2346" s="75"/>
    </row>
    <row r="2347" spans="1:6" ht="14.25" customHeight="1" x14ac:dyDescent="0.3">
      <c r="A2347" s="73">
        <v>44006</v>
      </c>
      <c r="B2347" s="74">
        <v>34868.980000000003</v>
      </c>
      <c r="C2347" s="74">
        <v>987.7</v>
      </c>
      <c r="D2347" s="74">
        <f t="shared" si="73"/>
        <v>-1.5973446656993396E-2</v>
      </c>
      <c r="E2347" s="74">
        <f t="shared" si="74"/>
        <v>-1.0825068575318978E-2</v>
      </c>
      <c r="F2347" s="75"/>
    </row>
    <row r="2348" spans="1:6" ht="14.25" customHeight="1" x14ac:dyDescent="0.3">
      <c r="A2348" s="73">
        <v>44007</v>
      </c>
      <c r="B2348" s="74">
        <v>34842.1</v>
      </c>
      <c r="C2348" s="74">
        <v>977.3</v>
      </c>
      <c r="D2348" s="74">
        <f t="shared" si="73"/>
        <v>-7.7118304097955909E-4</v>
      </c>
      <c r="E2348" s="74">
        <f t="shared" si="74"/>
        <v>-1.0585340569291633E-2</v>
      </c>
      <c r="F2348" s="75"/>
    </row>
    <row r="2349" spans="1:6" ht="14.25" customHeight="1" x14ac:dyDescent="0.3">
      <c r="A2349" s="73">
        <v>44008</v>
      </c>
      <c r="B2349" s="74">
        <v>35171.269999999997</v>
      </c>
      <c r="C2349" s="74">
        <v>966.55</v>
      </c>
      <c r="D2349" s="74">
        <f t="shared" si="73"/>
        <v>9.4031304420711097E-3</v>
      </c>
      <c r="E2349" s="74">
        <f t="shared" si="74"/>
        <v>-1.106063697708924E-2</v>
      </c>
      <c r="F2349" s="75"/>
    </row>
    <row r="2350" spans="1:6" ht="14.25" customHeight="1" x14ac:dyDescent="0.3">
      <c r="A2350" s="73">
        <v>44011</v>
      </c>
      <c r="B2350" s="74">
        <v>34961.519999999997</v>
      </c>
      <c r="C2350" s="74">
        <v>956.45</v>
      </c>
      <c r="D2350" s="74">
        <f t="shared" si="73"/>
        <v>-5.9815280521735787E-3</v>
      </c>
      <c r="E2350" s="74">
        <f t="shared" si="74"/>
        <v>-1.0504516769038153E-2</v>
      </c>
      <c r="F2350" s="75"/>
    </row>
    <row r="2351" spans="1:6" ht="14.25" customHeight="1" x14ac:dyDescent="0.3">
      <c r="A2351" s="73">
        <v>44012</v>
      </c>
      <c r="B2351" s="74">
        <v>34915.800000000003</v>
      </c>
      <c r="C2351" s="74">
        <v>950.05</v>
      </c>
      <c r="D2351" s="74">
        <f t="shared" si="73"/>
        <v>-1.3085792793473586E-3</v>
      </c>
      <c r="E2351" s="74">
        <f t="shared" si="74"/>
        <v>-6.7138988101217581E-3</v>
      </c>
      <c r="F2351" s="75"/>
    </row>
    <row r="2352" spans="1:6" ht="14.25" customHeight="1" x14ac:dyDescent="0.3">
      <c r="A2352" s="73">
        <v>44013</v>
      </c>
      <c r="B2352" s="74">
        <v>35414.449999999997</v>
      </c>
      <c r="C2352" s="74">
        <v>948.6</v>
      </c>
      <c r="D2352" s="74">
        <f t="shared" si="73"/>
        <v>1.4180480118692407E-2</v>
      </c>
      <c r="E2352" s="74">
        <f t="shared" si="74"/>
        <v>-1.5274013450595784E-3</v>
      </c>
      <c r="F2352" s="75"/>
    </row>
    <row r="2353" spans="1:6" ht="14.25" customHeight="1" x14ac:dyDescent="0.3">
      <c r="A2353" s="73">
        <v>44014</v>
      </c>
      <c r="B2353" s="74">
        <v>35843.699999999997</v>
      </c>
      <c r="C2353" s="74">
        <v>986.35</v>
      </c>
      <c r="D2353" s="74">
        <f t="shared" si="73"/>
        <v>1.2047890442943774E-2</v>
      </c>
      <c r="E2353" s="74">
        <f t="shared" si="74"/>
        <v>3.9024047746396576E-2</v>
      </c>
      <c r="F2353" s="75"/>
    </row>
    <row r="2354" spans="1:6" ht="14.25" customHeight="1" x14ac:dyDescent="0.3">
      <c r="A2354" s="73">
        <v>44015</v>
      </c>
      <c r="B2354" s="74">
        <v>36021.42</v>
      </c>
      <c r="C2354" s="74">
        <v>1003.25</v>
      </c>
      <c r="D2354" s="74">
        <f t="shared" si="73"/>
        <v>4.9459421284527936E-3</v>
      </c>
      <c r="E2354" s="74">
        <f t="shared" si="74"/>
        <v>1.6988747957148175E-2</v>
      </c>
      <c r="F2354" s="75"/>
    </row>
    <row r="2355" spans="1:6" ht="14.25" customHeight="1" x14ac:dyDescent="0.3">
      <c r="A2355" s="73">
        <v>44018</v>
      </c>
      <c r="B2355" s="74">
        <v>36487.279999999999</v>
      </c>
      <c r="C2355" s="74">
        <v>1013.95</v>
      </c>
      <c r="D2355" s="74">
        <f t="shared" si="73"/>
        <v>1.2849945186117621E-2</v>
      </c>
      <c r="E2355" s="74">
        <f t="shared" si="74"/>
        <v>1.0608864123646542E-2</v>
      </c>
      <c r="F2355" s="75"/>
    </row>
    <row r="2356" spans="1:6" ht="14.25" customHeight="1" x14ac:dyDescent="0.3">
      <c r="A2356" s="73">
        <v>44019</v>
      </c>
      <c r="B2356" s="74">
        <v>36674.519999999997</v>
      </c>
      <c r="C2356" s="74">
        <v>1016</v>
      </c>
      <c r="D2356" s="74">
        <f t="shared" si="73"/>
        <v>5.1185293089259874E-3</v>
      </c>
      <c r="E2356" s="74">
        <f t="shared" si="74"/>
        <v>2.0197548677544155E-3</v>
      </c>
      <c r="F2356" s="75"/>
    </row>
    <row r="2357" spans="1:6" ht="14.25" customHeight="1" x14ac:dyDescent="0.3">
      <c r="A2357" s="73">
        <v>44020</v>
      </c>
      <c r="B2357" s="74">
        <v>36329.01</v>
      </c>
      <c r="C2357" s="74">
        <v>991.35</v>
      </c>
      <c r="D2357" s="74">
        <f t="shared" si="73"/>
        <v>-9.4656403534612212E-3</v>
      </c>
      <c r="E2357" s="74">
        <f t="shared" si="74"/>
        <v>-2.4560977553855657E-2</v>
      </c>
      <c r="F2357" s="75"/>
    </row>
    <row r="2358" spans="1:6" ht="14.25" customHeight="1" x14ac:dyDescent="0.3">
      <c r="A2358" s="73">
        <v>44021</v>
      </c>
      <c r="B2358" s="74">
        <v>36737.69</v>
      </c>
      <c r="C2358" s="74">
        <v>991.6</v>
      </c>
      <c r="D2358" s="74">
        <f t="shared" si="73"/>
        <v>1.118660790343806E-2</v>
      </c>
      <c r="E2358" s="74">
        <f t="shared" si="74"/>
        <v>2.5214957646398756E-4</v>
      </c>
      <c r="F2358" s="75"/>
    </row>
    <row r="2359" spans="1:6" ht="14.25" customHeight="1" x14ac:dyDescent="0.3">
      <c r="A2359" s="73">
        <v>44022</v>
      </c>
      <c r="B2359" s="74">
        <v>36594.33</v>
      </c>
      <c r="C2359" s="74">
        <v>961.75</v>
      </c>
      <c r="D2359" s="74">
        <f t="shared" si="73"/>
        <v>-3.9098931853181742E-3</v>
      </c>
      <c r="E2359" s="74">
        <f t="shared" si="74"/>
        <v>-3.0565258528630925E-2</v>
      </c>
      <c r="F2359" s="75"/>
    </row>
    <row r="2360" spans="1:6" ht="14.25" customHeight="1" x14ac:dyDescent="0.3">
      <c r="A2360" s="73">
        <v>44025</v>
      </c>
      <c r="B2360" s="74">
        <v>36693.69</v>
      </c>
      <c r="C2360" s="74">
        <v>966</v>
      </c>
      <c r="D2360" s="74">
        <f t="shared" si="73"/>
        <v>2.7114952996755764E-3</v>
      </c>
      <c r="E2360" s="74">
        <f t="shared" si="74"/>
        <v>4.4092925801134742E-3</v>
      </c>
      <c r="F2360" s="75"/>
    </row>
    <row r="2361" spans="1:6" ht="14.25" customHeight="1" x14ac:dyDescent="0.3">
      <c r="A2361" s="73">
        <v>44026</v>
      </c>
      <c r="B2361" s="74">
        <v>36033.06</v>
      </c>
      <c r="C2361" s="74">
        <v>973.55</v>
      </c>
      <c r="D2361" s="74">
        <f t="shared" si="73"/>
        <v>-1.8167955293806812E-2</v>
      </c>
      <c r="E2361" s="74">
        <f t="shared" si="74"/>
        <v>7.7853503491119979E-3</v>
      </c>
      <c r="F2361" s="75"/>
    </row>
    <row r="2362" spans="1:6" ht="14.25" customHeight="1" x14ac:dyDescent="0.3">
      <c r="A2362" s="73">
        <v>44027</v>
      </c>
      <c r="B2362" s="74">
        <v>36051.81</v>
      </c>
      <c r="C2362" s="74">
        <v>967.95</v>
      </c>
      <c r="D2362" s="74">
        <f t="shared" si="73"/>
        <v>5.2022013559465557E-4</v>
      </c>
      <c r="E2362" s="74">
        <f t="shared" si="74"/>
        <v>-5.7687515116715202E-3</v>
      </c>
      <c r="F2362" s="75"/>
    </row>
    <row r="2363" spans="1:6" ht="14.25" customHeight="1" x14ac:dyDescent="0.3">
      <c r="A2363" s="73">
        <v>44028</v>
      </c>
      <c r="B2363" s="74">
        <v>36471.68</v>
      </c>
      <c r="C2363" s="74">
        <v>961.65</v>
      </c>
      <c r="D2363" s="74">
        <f t="shared" si="73"/>
        <v>1.1578998503775348E-2</v>
      </c>
      <c r="E2363" s="74">
        <f t="shared" si="74"/>
        <v>-6.5298739485824845E-3</v>
      </c>
      <c r="F2363" s="75"/>
    </row>
    <row r="2364" spans="1:6" ht="14.25" customHeight="1" x14ac:dyDescent="0.3">
      <c r="A2364" s="73">
        <v>44029</v>
      </c>
      <c r="B2364" s="74">
        <v>37020.14</v>
      </c>
      <c r="C2364" s="74">
        <v>997.75</v>
      </c>
      <c r="D2364" s="74">
        <f t="shared" si="73"/>
        <v>1.4926019859066312E-2</v>
      </c>
      <c r="E2364" s="74">
        <f t="shared" si="74"/>
        <v>3.6852184827467209E-2</v>
      </c>
      <c r="F2364" s="75"/>
    </row>
    <row r="2365" spans="1:6" ht="14.25" customHeight="1" x14ac:dyDescent="0.3">
      <c r="A2365" s="73">
        <v>44032</v>
      </c>
      <c r="B2365" s="74">
        <v>37418.99</v>
      </c>
      <c r="C2365" s="74">
        <v>1001.65</v>
      </c>
      <c r="D2365" s="74">
        <f t="shared" si="73"/>
        <v>1.0716240689931536E-2</v>
      </c>
      <c r="E2365" s="74">
        <f t="shared" si="74"/>
        <v>3.9011752988182681E-3</v>
      </c>
      <c r="F2365" s="75"/>
    </row>
    <row r="2366" spans="1:6" ht="14.25" customHeight="1" x14ac:dyDescent="0.3">
      <c r="A2366" s="73">
        <v>44033</v>
      </c>
      <c r="B2366" s="74">
        <v>37930.33</v>
      </c>
      <c r="C2366" s="74">
        <v>1014.95</v>
      </c>
      <c r="D2366" s="74">
        <f t="shared" si="73"/>
        <v>1.3572726332507473E-2</v>
      </c>
      <c r="E2366" s="74">
        <f t="shared" si="74"/>
        <v>1.3190709951115502E-2</v>
      </c>
      <c r="F2366" s="75"/>
    </row>
    <row r="2367" spans="1:6" ht="14.25" customHeight="1" x14ac:dyDescent="0.3">
      <c r="A2367" s="73">
        <v>44034</v>
      </c>
      <c r="B2367" s="74">
        <v>37871.519999999997</v>
      </c>
      <c r="C2367" s="74">
        <v>1057.8</v>
      </c>
      <c r="D2367" s="74">
        <f t="shared" si="73"/>
        <v>-1.5516774801606122E-3</v>
      </c>
      <c r="E2367" s="74">
        <f t="shared" si="74"/>
        <v>4.1351929453102551E-2</v>
      </c>
      <c r="F2367" s="75"/>
    </row>
    <row r="2368" spans="1:6" ht="14.25" customHeight="1" x14ac:dyDescent="0.3">
      <c r="A2368" s="73">
        <v>44035</v>
      </c>
      <c r="B2368" s="74">
        <v>38140.47</v>
      </c>
      <c r="C2368" s="74">
        <v>1070.0999999999999</v>
      </c>
      <c r="D2368" s="74">
        <f t="shared" si="73"/>
        <v>7.0765446967169148E-3</v>
      </c>
      <c r="E2368" s="74">
        <f t="shared" si="74"/>
        <v>1.1560822401076006E-2</v>
      </c>
      <c r="F2368" s="75"/>
    </row>
    <row r="2369" spans="1:6" ht="14.25" customHeight="1" x14ac:dyDescent="0.3">
      <c r="A2369" s="73">
        <v>44036</v>
      </c>
      <c r="B2369" s="74">
        <v>38128.9</v>
      </c>
      <c r="C2369" s="74">
        <v>1057.5999999999999</v>
      </c>
      <c r="D2369" s="74">
        <f t="shared" si="73"/>
        <v>-3.0339833903835991E-4</v>
      </c>
      <c r="E2369" s="74">
        <f t="shared" si="74"/>
        <v>-1.1749911935533736E-2</v>
      </c>
      <c r="F2369" s="75"/>
    </row>
    <row r="2370" spans="1:6" ht="14.25" customHeight="1" x14ac:dyDescent="0.3">
      <c r="A2370" s="73">
        <v>44039</v>
      </c>
      <c r="B2370" s="74">
        <v>37934.730000000003</v>
      </c>
      <c r="C2370" s="74">
        <v>1041.4000000000001</v>
      </c>
      <c r="D2370" s="74">
        <f t="shared" si="73"/>
        <v>-5.1054734507711029E-3</v>
      </c>
      <c r="E2370" s="74">
        <f t="shared" si="74"/>
        <v>-1.5436228368622951E-2</v>
      </c>
      <c r="F2370" s="75"/>
    </row>
    <row r="2371" spans="1:6" ht="14.25" customHeight="1" x14ac:dyDescent="0.3">
      <c r="A2371" s="73">
        <v>44040</v>
      </c>
      <c r="B2371" s="74">
        <v>38492.949999999997</v>
      </c>
      <c r="C2371" s="74">
        <v>1052.05</v>
      </c>
      <c r="D2371" s="74">
        <f t="shared" si="73"/>
        <v>1.4608056315691422E-2</v>
      </c>
      <c r="E2371" s="74">
        <f t="shared" si="74"/>
        <v>1.0174679956522346E-2</v>
      </c>
      <c r="F2371" s="75"/>
    </row>
    <row r="2372" spans="1:6" ht="14.25" customHeight="1" x14ac:dyDescent="0.3">
      <c r="A2372" s="73">
        <v>44041</v>
      </c>
      <c r="B2372" s="74">
        <v>38071.129999999997</v>
      </c>
      <c r="C2372" s="74">
        <v>1039.45</v>
      </c>
      <c r="D2372" s="74">
        <f t="shared" ref="D2372:D2435" si="75">LN(B2372/B2371)</f>
        <v>-1.1018855524345006E-2</v>
      </c>
      <c r="E2372" s="74">
        <f t="shared" ref="E2372:E2435" si="76">LN(C2372/C2371)</f>
        <v>-1.2048914592197991E-2</v>
      </c>
      <c r="F2372" s="75"/>
    </row>
    <row r="2373" spans="1:6" ht="14.25" customHeight="1" x14ac:dyDescent="0.3">
      <c r="A2373" s="73">
        <v>44042</v>
      </c>
      <c r="B2373" s="74">
        <v>37736.07</v>
      </c>
      <c r="C2373" s="74">
        <v>1041.5999999999999</v>
      </c>
      <c r="D2373" s="74">
        <f t="shared" si="75"/>
        <v>-8.8398511455130193E-3</v>
      </c>
      <c r="E2373" s="74">
        <f t="shared" si="76"/>
        <v>2.0662653611815147E-3</v>
      </c>
      <c r="F2373" s="75"/>
    </row>
    <row r="2374" spans="1:6" ht="14.25" customHeight="1" x14ac:dyDescent="0.3">
      <c r="A2374" s="73">
        <v>44043</v>
      </c>
      <c r="B2374" s="74">
        <v>37606.89</v>
      </c>
      <c r="C2374" s="74">
        <v>1043.25</v>
      </c>
      <c r="D2374" s="74">
        <f t="shared" si="75"/>
        <v>-3.4291226833759502E-3</v>
      </c>
      <c r="E2374" s="74">
        <f t="shared" si="76"/>
        <v>1.5828480173573625E-3</v>
      </c>
      <c r="F2374" s="75"/>
    </row>
    <row r="2375" spans="1:6" ht="14.25" customHeight="1" x14ac:dyDescent="0.3">
      <c r="A2375" s="73">
        <v>44046</v>
      </c>
      <c r="B2375" s="74">
        <v>36939.599999999999</v>
      </c>
      <c r="C2375" s="74">
        <v>1076.1500000000001</v>
      </c>
      <c r="D2375" s="74">
        <f t="shared" si="75"/>
        <v>-1.7903131947307714E-2</v>
      </c>
      <c r="E2375" s="74">
        <f t="shared" si="76"/>
        <v>3.104901673852627E-2</v>
      </c>
      <c r="F2375" s="75"/>
    </row>
    <row r="2376" spans="1:6" ht="14.25" customHeight="1" x14ac:dyDescent="0.3">
      <c r="A2376" s="73">
        <v>44047</v>
      </c>
      <c r="B2376" s="74">
        <v>37687.910000000003</v>
      </c>
      <c r="C2376" s="74">
        <v>1074.9000000000001</v>
      </c>
      <c r="D2376" s="74">
        <f t="shared" si="75"/>
        <v>2.0055207024732919E-2</v>
      </c>
      <c r="E2376" s="74">
        <f t="shared" si="76"/>
        <v>-1.1622232311702908E-3</v>
      </c>
      <c r="F2376" s="75"/>
    </row>
    <row r="2377" spans="1:6" ht="14.25" customHeight="1" x14ac:dyDescent="0.3">
      <c r="A2377" s="73">
        <v>44048</v>
      </c>
      <c r="B2377" s="74">
        <v>37663.33</v>
      </c>
      <c r="C2377" s="74">
        <v>1105.5</v>
      </c>
      <c r="D2377" s="74">
        <f t="shared" si="75"/>
        <v>-6.52411317235245E-4</v>
      </c>
      <c r="E2377" s="74">
        <f t="shared" si="76"/>
        <v>2.8070087318483022E-2</v>
      </c>
      <c r="F2377" s="75"/>
    </row>
    <row r="2378" spans="1:6" ht="14.25" customHeight="1" x14ac:dyDescent="0.3">
      <c r="A2378" s="73">
        <v>44049</v>
      </c>
      <c r="B2378" s="74">
        <v>38025.449999999997</v>
      </c>
      <c r="C2378" s="74">
        <v>1120.3499999999999</v>
      </c>
      <c r="D2378" s="74">
        <f t="shared" si="75"/>
        <v>9.5687303452240934E-3</v>
      </c>
      <c r="E2378" s="74">
        <f t="shared" si="76"/>
        <v>1.3343415173684356E-2</v>
      </c>
      <c r="F2378" s="75"/>
    </row>
    <row r="2379" spans="1:6" ht="14.25" customHeight="1" x14ac:dyDescent="0.3">
      <c r="A2379" s="73">
        <v>44050</v>
      </c>
      <c r="B2379" s="74">
        <v>38040.57</v>
      </c>
      <c r="C2379" s="74">
        <v>1090.7</v>
      </c>
      <c r="D2379" s="74">
        <f t="shared" si="75"/>
        <v>3.9754939719831945E-4</v>
      </c>
      <c r="E2379" s="74">
        <f t="shared" si="76"/>
        <v>-2.6821444536488034E-2</v>
      </c>
      <c r="F2379" s="75"/>
    </row>
    <row r="2380" spans="1:6" ht="14.25" customHeight="1" x14ac:dyDescent="0.3">
      <c r="A2380" s="73">
        <v>44053</v>
      </c>
      <c r="B2380" s="74">
        <v>38182.080000000002</v>
      </c>
      <c r="C2380" s="74">
        <v>1107.8</v>
      </c>
      <c r="D2380" s="74">
        <f t="shared" si="75"/>
        <v>3.713073806334065E-3</v>
      </c>
      <c r="E2380" s="74">
        <f t="shared" si="76"/>
        <v>1.5556374664306209E-2</v>
      </c>
      <c r="F2380" s="75"/>
    </row>
    <row r="2381" spans="1:6" ht="14.25" customHeight="1" x14ac:dyDescent="0.3">
      <c r="A2381" s="73">
        <v>44054</v>
      </c>
      <c r="B2381" s="74">
        <v>38407.01</v>
      </c>
      <c r="C2381" s="74">
        <v>1066.5</v>
      </c>
      <c r="D2381" s="74">
        <f t="shared" si="75"/>
        <v>5.8736994180199741E-3</v>
      </c>
      <c r="E2381" s="74">
        <f t="shared" si="76"/>
        <v>-3.7993807687598198E-2</v>
      </c>
      <c r="F2381" s="75"/>
    </row>
    <row r="2382" spans="1:6" ht="14.25" customHeight="1" x14ac:dyDescent="0.3">
      <c r="A2382" s="73">
        <v>44055</v>
      </c>
      <c r="B2382" s="74">
        <v>38369.629999999997</v>
      </c>
      <c r="C2382" s="74">
        <v>1058.1500000000001</v>
      </c>
      <c r="D2382" s="74">
        <f t="shared" si="75"/>
        <v>-9.737337542647384E-4</v>
      </c>
      <c r="E2382" s="74">
        <f t="shared" si="76"/>
        <v>-7.8601586049425413E-3</v>
      </c>
      <c r="F2382" s="75"/>
    </row>
    <row r="2383" spans="1:6" ht="14.25" customHeight="1" x14ac:dyDescent="0.3">
      <c r="A2383" s="73">
        <v>44056</v>
      </c>
      <c r="B2383" s="74">
        <v>38310.49</v>
      </c>
      <c r="C2383" s="74">
        <v>1097.5999999999999</v>
      </c>
      <c r="D2383" s="74">
        <f t="shared" si="75"/>
        <v>-1.5425122372317028E-3</v>
      </c>
      <c r="E2383" s="74">
        <f t="shared" si="76"/>
        <v>3.6603877665157908E-2</v>
      </c>
      <c r="F2383" s="75"/>
    </row>
    <row r="2384" spans="1:6" ht="14.25" customHeight="1" x14ac:dyDescent="0.3">
      <c r="A2384" s="73">
        <v>44057</v>
      </c>
      <c r="B2384" s="74">
        <v>37877.339999999997</v>
      </c>
      <c r="C2384" s="74">
        <v>1102.3</v>
      </c>
      <c r="D2384" s="74">
        <f t="shared" si="75"/>
        <v>-1.1370704925603407E-2</v>
      </c>
      <c r="E2384" s="74">
        <f t="shared" si="76"/>
        <v>4.272927997648974E-3</v>
      </c>
      <c r="F2384" s="75"/>
    </row>
    <row r="2385" spans="1:6" ht="14.25" customHeight="1" x14ac:dyDescent="0.3">
      <c r="A2385" s="73">
        <v>44060</v>
      </c>
      <c r="B2385" s="74">
        <v>38050.78</v>
      </c>
      <c r="C2385" s="74">
        <v>1124.1500000000001</v>
      </c>
      <c r="D2385" s="74">
        <f t="shared" si="75"/>
        <v>4.5685393412451033E-3</v>
      </c>
      <c r="E2385" s="74">
        <f t="shared" si="76"/>
        <v>1.9628288537741786E-2</v>
      </c>
      <c r="F2385" s="75"/>
    </row>
    <row r="2386" spans="1:6" ht="14.25" customHeight="1" x14ac:dyDescent="0.3">
      <c r="A2386" s="73">
        <v>44061</v>
      </c>
      <c r="B2386" s="74">
        <v>38528.32</v>
      </c>
      <c r="C2386" s="74">
        <v>1145.8</v>
      </c>
      <c r="D2386" s="74">
        <f t="shared" si="75"/>
        <v>1.247197185914869E-2</v>
      </c>
      <c r="E2386" s="74">
        <f t="shared" si="76"/>
        <v>1.9075888467465885E-2</v>
      </c>
      <c r="F2386" s="75"/>
    </row>
    <row r="2387" spans="1:6" ht="14.25" customHeight="1" x14ac:dyDescent="0.3">
      <c r="A2387" s="73">
        <v>44062</v>
      </c>
      <c r="B2387" s="74">
        <v>38614.79</v>
      </c>
      <c r="C2387" s="74">
        <v>1148.0999999999999</v>
      </c>
      <c r="D2387" s="74">
        <f t="shared" si="75"/>
        <v>2.2418084055565541E-3</v>
      </c>
      <c r="E2387" s="74">
        <f t="shared" si="76"/>
        <v>2.0053191252887613E-3</v>
      </c>
      <c r="F2387" s="75"/>
    </row>
    <row r="2388" spans="1:6" ht="14.25" customHeight="1" x14ac:dyDescent="0.3">
      <c r="A2388" s="73">
        <v>44063</v>
      </c>
      <c r="B2388" s="74">
        <v>38220.39</v>
      </c>
      <c r="C2388" s="74">
        <v>1126.45</v>
      </c>
      <c r="D2388" s="74">
        <f t="shared" si="75"/>
        <v>-1.0266220863563028E-2</v>
      </c>
      <c r="E2388" s="74">
        <f t="shared" si="76"/>
        <v>-1.9037307476614376E-2</v>
      </c>
      <c r="F2388" s="75"/>
    </row>
    <row r="2389" spans="1:6" ht="14.25" customHeight="1" x14ac:dyDescent="0.3">
      <c r="A2389" s="73">
        <v>44064</v>
      </c>
      <c r="B2389" s="74">
        <v>38434.720000000001</v>
      </c>
      <c r="C2389" s="74">
        <v>1137.5999999999999</v>
      </c>
      <c r="D2389" s="74">
        <f t="shared" si="75"/>
        <v>5.5920749061927153E-3</v>
      </c>
      <c r="E2389" s="74">
        <f t="shared" si="76"/>
        <v>9.849685425824475E-3</v>
      </c>
      <c r="F2389" s="75"/>
    </row>
    <row r="2390" spans="1:6" ht="14.25" customHeight="1" x14ac:dyDescent="0.3">
      <c r="A2390" s="73">
        <v>44067</v>
      </c>
      <c r="B2390" s="74">
        <v>38799.08</v>
      </c>
      <c r="C2390" s="74">
        <v>1127.1500000000001</v>
      </c>
      <c r="D2390" s="74">
        <f t="shared" si="75"/>
        <v>9.4353172600122968E-3</v>
      </c>
      <c r="E2390" s="74">
        <f t="shared" si="76"/>
        <v>-9.2284571488345218E-3</v>
      </c>
      <c r="F2390" s="75"/>
    </row>
    <row r="2391" spans="1:6" ht="14.25" customHeight="1" x14ac:dyDescent="0.3">
      <c r="A2391" s="73">
        <v>44068</v>
      </c>
      <c r="B2391" s="74">
        <v>38843.879999999997</v>
      </c>
      <c r="C2391" s="74">
        <v>1136.1500000000001</v>
      </c>
      <c r="D2391" s="74">
        <f t="shared" si="75"/>
        <v>1.1540004392345659E-3</v>
      </c>
      <c r="E2391" s="74">
        <f t="shared" si="76"/>
        <v>7.9530309176648745E-3</v>
      </c>
      <c r="F2391" s="75"/>
    </row>
    <row r="2392" spans="1:6" ht="14.25" customHeight="1" x14ac:dyDescent="0.3">
      <c r="A2392" s="73">
        <v>44069</v>
      </c>
      <c r="B2392" s="74">
        <v>39073.919999999998</v>
      </c>
      <c r="C2392" s="74">
        <v>1133.3499999999999</v>
      </c>
      <c r="D2392" s="74">
        <f t="shared" si="75"/>
        <v>5.9047013229634147E-3</v>
      </c>
      <c r="E2392" s="74">
        <f t="shared" si="76"/>
        <v>-2.4675051074412781E-3</v>
      </c>
      <c r="F2392" s="75"/>
    </row>
    <row r="2393" spans="1:6" ht="14.25" customHeight="1" x14ac:dyDescent="0.3">
      <c r="A2393" s="73">
        <v>44070</v>
      </c>
      <c r="B2393" s="74">
        <v>39113.47</v>
      </c>
      <c r="C2393" s="74">
        <v>1136.6500000000001</v>
      </c>
      <c r="D2393" s="74">
        <f t="shared" si="75"/>
        <v>1.011672173050612E-3</v>
      </c>
      <c r="E2393" s="74">
        <f t="shared" si="76"/>
        <v>2.9074910349898022E-3</v>
      </c>
      <c r="F2393" s="75"/>
    </row>
    <row r="2394" spans="1:6" ht="14.25" customHeight="1" x14ac:dyDescent="0.3">
      <c r="A2394" s="73">
        <v>44071</v>
      </c>
      <c r="B2394" s="74">
        <v>39467.31</v>
      </c>
      <c r="C2394" s="74">
        <v>1134.0999999999999</v>
      </c>
      <c r="D2394" s="74">
        <f t="shared" si="75"/>
        <v>9.0058253814646362E-3</v>
      </c>
      <c r="E2394" s="74">
        <f t="shared" si="76"/>
        <v>-2.2459549240706075E-3</v>
      </c>
      <c r="F2394" s="75"/>
    </row>
    <row r="2395" spans="1:6" ht="14.25" customHeight="1" x14ac:dyDescent="0.3">
      <c r="A2395" s="73">
        <v>44074</v>
      </c>
      <c r="B2395" s="74">
        <v>38628.29</v>
      </c>
      <c r="C2395" s="74">
        <v>1099.2</v>
      </c>
      <c r="D2395" s="74">
        <f t="shared" si="75"/>
        <v>-2.1487824740618906E-2</v>
      </c>
      <c r="E2395" s="74">
        <f t="shared" si="76"/>
        <v>-3.1256742353199737E-2</v>
      </c>
      <c r="F2395" s="75"/>
    </row>
    <row r="2396" spans="1:6" ht="14.25" customHeight="1" x14ac:dyDescent="0.3">
      <c r="A2396" s="73">
        <v>44075</v>
      </c>
      <c r="B2396" s="74">
        <v>38900.800000000003</v>
      </c>
      <c r="C2396" s="74">
        <v>1121.0999999999999</v>
      </c>
      <c r="D2396" s="74">
        <f t="shared" si="75"/>
        <v>7.0299063816340601E-3</v>
      </c>
      <c r="E2396" s="74">
        <f t="shared" si="76"/>
        <v>1.9727703691462886E-2</v>
      </c>
      <c r="F2396" s="75"/>
    </row>
    <row r="2397" spans="1:6" ht="14.25" customHeight="1" x14ac:dyDescent="0.3">
      <c r="A2397" s="73">
        <v>44076</v>
      </c>
      <c r="B2397" s="74">
        <v>39086.03</v>
      </c>
      <c r="C2397" s="74">
        <v>1121.7</v>
      </c>
      <c r="D2397" s="74">
        <f t="shared" si="75"/>
        <v>4.7502981802076674E-3</v>
      </c>
      <c r="E2397" s="74">
        <f t="shared" si="76"/>
        <v>5.3504549162988377E-4</v>
      </c>
      <c r="F2397" s="75"/>
    </row>
    <row r="2398" spans="1:6" ht="14.25" customHeight="1" x14ac:dyDescent="0.3">
      <c r="A2398" s="73">
        <v>44077</v>
      </c>
      <c r="B2398" s="74">
        <v>38990.94</v>
      </c>
      <c r="C2398" s="74">
        <v>1185.75</v>
      </c>
      <c r="D2398" s="74">
        <f t="shared" si="75"/>
        <v>-2.4358026961123127E-3</v>
      </c>
      <c r="E2398" s="74">
        <f t="shared" si="76"/>
        <v>5.5530094106513286E-2</v>
      </c>
      <c r="F2398" s="75"/>
    </row>
    <row r="2399" spans="1:6" ht="14.25" customHeight="1" x14ac:dyDescent="0.3">
      <c r="A2399" s="73">
        <v>44078</v>
      </c>
      <c r="B2399" s="74">
        <v>38357.18</v>
      </c>
      <c r="C2399" s="74">
        <v>1158.9000000000001</v>
      </c>
      <c r="D2399" s="74">
        <f t="shared" si="75"/>
        <v>-1.6387578213945632E-2</v>
      </c>
      <c r="E2399" s="74">
        <f t="shared" si="76"/>
        <v>-2.290420641734572E-2</v>
      </c>
      <c r="F2399" s="75"/>
    </row>
    <row r="2400" spans="1:6" ht="14.25" customHeight="1" x14ac:dyDescent="0.3">
      <c r="A2400" s="73">
        <v>44081</v>
      </c>
      <c r="B2400" s="74">
        <v>38417.230000000003</v>
      </c>
      <c r="C2400" s="74">
        <v>1167.05</v>
      </c>
      <c r="D2400" s="74">
        <f t="shared" si="75"/>
        <v>1.5643236397581291E-3</v>
      </c>
      <c r="E2400" s="74">
        <f t="shared" si="76"/>
        <v>7.0079179298506641E-3</v>
      </c>
      <c r="F2400" s="75"/>
    </row>
    <row r="2401" spans="1:6" ht="14.25" customHeight="1" x14ac:dyDescent="0.3">
      <c r="A2401" s="73">
        <v>44082</v>
      </c>
      <c r="B2401" s="74">
        <v>38365.35</v>
      </c>
      <c r="C2401" s="74">
        <v>1162.1500000000001</v>
      </c>
      <c r="D2401" s="74">
        <f t="shared" si="75"/>
        <v>-1.3513483890494047E-3</v>
      </c>
      <c r="E2401" s="74">
        <f t="shared" si="76"/>
        <v>-4.2074594097598157E-3</v>
      </c>
      <c r="F2401" s="75"/>
    </row>
    <row r="2402" spans="1:6" ht="14.25" customHeight="1" x14ac:dyDescent="0.3">
      <c r="A2402" s="73">
        <v>44083</v>
      </c>
      <c r="B2402" s="74">
        <v>38193.919999999998</v>
      </c>
      <c r="C2402" s="74">
        <v>1160.8</v>
      </c>
      <c r="D2402" s="74">
        <f t="shared" si="75"/>
        <v>-4.4783678452893702E-3</v>
      </c>
      <c r="E2402" s="74">
        <f t="shared" si="76"/>
        <v>-1.1623152904583255E-3</v>
      </c>
      <c r="F2402" s="75"/>
    </row>
    <row r="2403" spans="1:6" ht="14.25" customHeight="1" x14ac:dyDescent="0.3">
      <c r="A2403" s="73">
        <v>44084</v>
      </c>
      <c r="B2403" s="74">
        <v>38840.32</v>
      </c>
      <c r="C2403" s="74">
        <v>1155.3499999999999</v>
      </c>
      <c r="D2403" s="74">
        <f t="shared" si="75"/>
        <v>1.6782541676922721E-2</v>
      </c>
      <c r="E2403" s="74">
        <f t="shared" si="76"/>
        <v>-4.7060942154628178E-3</v>
      </c>
      <c r="F2403" s="75"/>
    </row>
    <row r="2404" spans="1:6" ht="14.25" customHeight="1" x14ac:dyDescent="0.3">
      <c r="A2404" s="73">
        <v>44085</v>
      </c>
      <c r="B2404" s="74">
        <v>38854.550000000003</v>
      </c>
      <c r="C2404" s="74">
        <v>1167.6500000000001</v>
      </c>
      <c r="D2404" s="74">
        <f t="shared" si="75"/>
        <v>3.6630475497586668E-4</v>
      </c>
      <c r="E2404" s="74">
        <f t="shared" si="76"/>
        <v>1.058985359312057E-2</v>
      </c>
      <c r="F2404" s="75"/>
    </row>
    <row r="2405" spans="1:6" ht="14.25" customHeight="1" x14ac:dyDescent="0.3">
      <c r="A2405" s="73">
        <v>44088</v>
      </c>
      <c r="B2405" s="74">
        <v>38756.629999999997</v>
      </c>
      <c r="C2405" s="74">
        <v>1188.75</v>
      </c>
      <c r="D2405" s="74">
        <f t="shared" si="75"/>
        <v>-2.5233491349337615E-3</v>
      </c>
      <c r="E2405" s="74">
        <f t="shared" si="76"/>
        <v>1.7909152911964227E-2</v>
      </c>
      <c r="F2405" s="75"/>
    </row>
    <row r="2406" spans="1:6" ht="14.25" customHeight="1" x14ac:dyDescent="0.3">
      <c r="A2406" s="73">
        <v>44089</v>
      </c>
      <c r="B2406" s="74">
        <v>39044.35</v>
      </c>
      <c r="C2406" s="74">
        <v>1174.45</v>
      </c>
      <c r="D2406" s="74">
        <f t="shared" si="75"/>
        <v>7.3963415798408922E-3</v>
      </c>
      <c r="E2406" s="74">
        <f t="shared" si="76"/>
        <v>-1.2102381973755448E-2</v>
      </c>
      <c r="F2406" s="75"/>
    </row>
    <row r="2407" spans="1:6" ht="14.25" customHeight="1" x14ac:dyDescent="0.3">
      <c r="A2407" s="73">
        <v>44090</v>
      </c>
      <c r="B2407" s="74">
        <v>39302.85</v>
      </c>
      <c r="C2407" s="74">
        <v>1182.45</v>
      </c>
      <c r="D2407" s="74">
        <f t="shared" si="75"/>
        <v>6.5988558117966133E-3</v>
      </c>
      <c r="E2407" s="74">
        <f t="shared" si="76"/>
        <v>6.7886042881823887E-3</v>
      </c>
      <c r="F2407" s="75"/>
    </row>
    <row r="2408" spans="1:6" ht="14.25" customHeight="1" x14ac:dyDescent="0.3">
      <c r="A2408" s="73">
        <v>44091</v>
      </c>
      <c r="B2408" s="74">
        <v>38979.85</v>
      </c>
      <c r="C2408" s="74">
        <v>1182.55</v>
      </c>
      <c r="D2408" s="74">
        <f t="shared" si="75"/>
        <v>-8.252189385037384E-3</v>
      </c>
      <c r="E2408" s="74">
        <f t="shared" si="76"/>
        <v>8.4566596244774666E-5</v>
      </c>
      <c r="F2408" s="75"/>
    </row>
    <row r="2409" spans="1:6" ht="14.25" customHeight="1" x14ac:dyDescent="0.3">
      <c r="A2409" s="73">
        <v>44092</v>
      </c>
      <c r="B2409" s="74">
        <v>38845.82</v>
      </c>
      <c r="C2409" s="74">
        <v>1162.8499999999999</v>
      </c>
      <c r="D2409" s="74">
        <f t="shared" si="75"/>
        <v>-3.4443682272778642E-3</v>
      </c>
      <c r="E2409" s="74">
        <f t="shared" si="76"/>
        <v>-1.6799235354007017E-2</v>
      </c>
      <c r="F2409" s="75"/>
    </row>
    <row r="2410" spans="1:6" ht="14.25" customHeight="1" x14ac:dyDescent="0.3">
      <c r="A2410" s="73">
        <v>44095</v>
      </c>
      <c r="B2410" s="74">
        <v>38034.14</v>
      </c>
      <c r="C2410" s="74">
        <v>1119.6500000000001</v>
      </c>
      <c r="D2410" s="74">
        <f t="shared" si="75"/>
        <v>-2.1116300277104007E-2</v>
      </c>
      <c r="E2410" s="74">
        <f t="shared" si="76"/>
        <v>-3.7857751965424416E-2</v>
      </c>
      <c r="F2410" s="75"/>
    </row>
    <row r="2411" spans="1:6" ht="14.25" customHeight="1" x14ac:dyDescent="0.3">
      <c r="A2411" s="73">
        <v>44096</v>
      </c>
      <c r="B2411" s="74">
        <v>37734.080000000002</v>
      </c>
      <c r="C2411" s="74">
        <v>1105</v>
      </c>
      <c r="D2411" s="74">
        <f t="shared" si="75"/>
        <v>-7.9205125493249581E-3</v>
      </c>
      <c r="E2411" s="74">
        <f t="shared" si="76"/>
        <v>-1.3170801498987255E-2</v>
      </c>
      <c r="F2411" s="75"/>
    </row>
    <row r="2412" spans="1:6" ht="14.25" customHeight="1" x14ac:dyDescent="0.3">
      <c r="A2412" s="73">
        <v>44097</v>
      </c>
      <c r="B2412" s="74">
        <v>37668.42</v>
      </c>
      <c r="C2412" s="74">
        <v>1117.25</v>
      </c>
      <c r="D2412" s="74">
        <f t="shared" si="75"/>
        <v>-1.7415872576176273E-3</v>
      </c>
      <c r="E2412" s="74">
        <f t="shared" si="76"/>
        <v>1.1024973861707655E-2</v>
      </c>
      <c r="F2412" s="75"/>
    </row>
    <row r="2413" spans="1:6" ht="14.25" customHeight="1" x14ac:dyDescent="0.3">
      <c r="A2413" s="73">
        <v>44098</v>
      </c>
      <c r="B2413" s="74">
        <v>36553.599999999999</v>
      </c>
      <c r="C2413" s="74">
        <v>1095.75</v>
      </c>
      <c r="D2413" s="74">
        <f t="shared" si="75"/>
        <v>-3.0042401075950482E-2</v>
      </c>
      <c r="E2413" s="74">
        <f t="shared" si="76"/>
        <v>-1.943124851464231E-2</v>
      </c>
      <c r="F2413" s="75"/>
    </row>
    <row r="2414" spans="1:6" ht="14.25" customHeight="1" x14ac:dyDescent="0.3">
      <c r="A2414" s="73">
        <v>44099</v>
      </c>
      <c r="B2414" s="74">
        <v>37388.660000000003</v>
      </c>
      <c r="C2414" s="74">
        <v>1109.1500000000001</v>
      </c>
      <c r="D2414" s="74">
        <f t="shared" si="75"/>
        <v>2.2587773329837496E-2</v>
      </c>
      <c r="E2414" s="74">
        <f t="shared" si="76"/>
        <v>1.2154895893324677E-2</v>
      </c>
      <c r="F2414" s="75"/>
    </row>
    <row r="2415" spans="1:6" ht="14.25" customHeight="1" x14ac:dyDescent="0.3">
      <c r="A2415" s="73">
        <v>44102</v>
      </c>
      <c r="B2415" s="74">
        <v>37981.629999999997</v>
      </c>
      <c r="C2415" s="74">
        <v>1139.2</v>
      </c>
      <c r="D2415" s="74">
        <f t="shared" si="75"/>
        <v>1.5735171900797276E-2</v>
      </c>
      <c r="E2415" s="74">
        <f t="shared" si="76"/>
        <v>2.6732305465468148E-2</v>
      </c>
      <c r="F2415" s="75"/>
    </row>
    <row r="2416" spans="1:6" ht="14.25" customHeight="1" x14ac:dyDescent="0.3">
      <c r="A2416" s="73">
        <v>44103</v>
      </c>
      <c r="B2416" s="74">
        <v>37973.22</v>
      </c>
      <c r="C2416" s="74">
        <v>1167.45</v>
      </c>
      <c r="D2416" s="74">
        <f t="shared" si="75"/>
        <v>-2.21447347585148E-4</v>
      </c>
      <c r="E2416" s="74">
        <f t="shared" si="76"/>
        <v>2.4495621415795473E-2</v>
      </c>
      <c r="F2416" s="75"/>
    </row>
    <row r="2417" spans="1:6" ht="14.25" customHeight="1" x14ac:dyDescent="0.3">
      <c r="A2417" s="73">
        <v>44104</v>
      </c>
      <c r="B2417" s="74">
        <v>38067.93</v>
      </c>
      <c r="C2417" s="74">
        <v>1200.5</v>
      </c>
      <c r="D2417" s="74">
        <f t="shared" si="75"/>
        <v>2.4910209531135014E-3</v>
      </c>
      <c r="E2417" s="74">
        <f t="shared" si="76"/>
        <v>2.7916253587801091E-2</v>
      </c>
      <c r="F2417" s="75"/>
    </row>
    <row r="2418" spans="1:6" ht="14.25" customHeight="1" x14ac:dyDescent="0.3">
      <c r="A2418" s="73">
        <v>44105</v>
      </c>
      <c r="B2418" s="74">
        <v>38697.050000000003</v>
      </c>
      <c r="C2418" s="74">
        <v>1198.75</v>
      </c>
      <c r="D2418" s="74">
        <f t="shared" si="75"/>
        <v>1.6391174346446415E-2</v>
      </c>
      <c r="E2418" s="74">
        <f t="shared" si="76"/>
        <v>-1.4587894636599842E-3</v>
      </c>
      <c r="F2418" s="75"/>
    </row>
    <row r="2419" spans="1:6" ht="14.25" customHeight="1" x14ac:dyDescent="0.3">
      <c r="A2419" s="73">
        <v>44109</v>
      </c>
      <c r="B2419" s="74">
        <v>38973.699999999997</v>
      </c>
      <c r="C2419" s="74">
        <v>1194.5</v>
      </c>
      <c r="D2419" s="74">
        <f t="shared" si="75"/>
        <v>7.1236899328984788E-3</v>
      </c>
      <c r="E2419" s="74">
        <f t="shared" si="76"/>
        <v>-3.5516594317837923E-3</v>
      </c>
      <c r="F2419" s="75"/>
    </row>
    <row r="2420" spans="1:6" ht="14.25" customHeight="1" x14ac:dyDescent="0.3">
      <c r="A2420" s="73">
        <v>44110</v>
      </c>
      <c r="B2420" s="74">
        <v>39574.57</v>
      </c>
      <c r="C2420" s="74">
        <v>1199.95</v>
      </c>
      <c r="D2420" s="74">
        <f t="shared" si="75"/>
        <v>1.5299680589690855E-2</v>
      </c>
      <c r="E2420" s="74">
        <f t="shared" si="76"/>
        <v>4.5522014754811133E-3</v>
      </c>
      <c r="F2420" s="75"/>
    </row>
    <row r="2421" spans="1:6" ht="14.25" customHeight="1" x14ac:dyDescent="0.3">
      <c r="A2421" s="73">
        <v>44111</v>
      </c>
      <c r="B2421" s="74">
        <v>39878.949999999997</v>
      </c>
      <c r="C2421" s="74">
        <v>1253.2</v>
      </c>
      <c r="D2421" s="74">
        <f t="shared" si="75"/>
        <v>7.6618754973731759E-3</v>
      </c>
      <c r="E2421" s="74">
        <f t="shared" si="76"/>
        <v>4.3420390836691275E-2</v>
      </c>
      <c r="F2421" s="75"/>
    </row>
    <row r="2422" spans="1:6" ht="14.25" customHeight="1" x14ac:dyDescent="0.3">
      <c r="A2422" s="73">
        <v>44112</v>
      </c>
      <c r="B2422" s="74">
        <v>40182.67</v>
      </c>
      <c r="C2422" s="74">
        <v>1254.25</v>
      </c>
      <c r="D2422" s="74">
        <f t="shared" si="75"/>
        <v>7.5871923895897619E-3</v>
      </c>
      <c r="E2422" s="74">
        <f t="shared" si="76"/>
        <v>8.3750428632568602E-4</v>
      </c>
      <c r="F2422" s="75"/>
    </row>
    <row r="2423" spans="1:6" ht="14.25" customHeight="1" x14ac:dyDescent="0.3">
      <c r="A2423" s="73">
        <v>44113</v>
      </c>
      <c r="B2423" s="74">
        <v>40509.49</v>
      </c>
      <c r="C2423" s="74">
        <v>1254.9000000000001</v>
      </c>
      <c r="D2423" s="74">
        <f t="shared" si="75"/>
        <v>8.1004595016204682E-3</v>
      </c>
      <c r="E2423" s="74">
        <f t="shared" si="76"/>
        <v>5.18103751900186E-4</v>
      </c>
      <c r="F2423" s="75"/>
    </row>
    <row r="2424" spans="1:6" ht="14.25" customHeight="1" x14ac:dyDescent="0.3">
      <c r="A2424" s="73">
        <v>44116</v>
      </c>
      <c r="B2424" s="74">
        <v>40593.800000000003</v>
      </c>
      <c r="C2424" s="74">
        <v>1257.0999999999999</v>
      </c>
      <c r="D2424" s="74">
        <f t="shared" si="75"/>
        <v>2.0790779355466492E-3</v>
      </c>
      <c r="E2424" s="74">
        <f t="shared" si="76"/>
        <v>1.7515928045228034E-3</v>
      </c>
      <c r="F2424" s="75"/>
    </row>
    <row r="2425" spans="1:6" ht="14.25" customHeight="1" x14ac:dyDescent="0.3">
      <c r="A2425" s="73">
        <v>44117</v>
      </c>
      <c r="B2425" s="74">
        <v>40625.51</v>
      </c>
      <c r="C2425" s="74">
        <v>1229.75</v>
      </c>
      <c r="D2425" s="74">
        <f t="shared" si="75"/>
        <v>7.8084883043686804E-4</v>
      </c>
      <c r="E2425" s="74">
        <f t="shared" si="76"/>
        <v>-2.1996584245336154E-2</v>
      </c>
      <c r="F2425" s="75"/>
    </row>
    <row r="2426" spans="1:6" ht="14.25" customHeight="1" x14ac:dyDescent="0.3">
      <c r="A2426" s="73">
        <v>44118</v>
      </c>
      <c r="B2426" s="74">
        <v>40794.74</v>
      </c>
      <c r="C2426" s="74">
        <v>1223.3499999999999</v>
      </c>
      <c r="D2426" s="74">
        <f t="shared" si="75"/>
        <v>4.1569571131321766E-3</v>
      </c>
      <c r="E2426" s="74">
        <f t="shared" si="76"/>
        <v>-5.2178994095468658E-3</v>
      </c>
      <c r="F2426" s="75"/>
    </row>
    <row r="2427" spans="1:6" ht="14.25" customHeight="1" x14ac:dyDescent="0.3">
      <c r="A2427" s="73">
        <v>44119</v>
      </c>
      <c r="B2427" s="74">
        <v>39728.410000000003</v>
      </c>
      <c r="C2427" s="74">
        <v>1213.3499999999999</v>
      </c>
      <c r="D2427" s="74">
        <f t="shared" si="75"/>
        <v>-2.6486602640625592E-2</v>
      </c>
      <c r="E2427" s="74">
        <f t="shared" si="76"/>
        <v>-8.2078681338310575E-3</v>
      </c>
      <c r="F2427" s="75"/>
    </row>
    <row r="2428" spans="1:6" ht="14.25" customHeight="1" x14ac:dyDescent="0.3">
      <c r="A2428" s="73">
        <v>44120</v>
      </c>
      <c r="B2428" s="74">
        <v>39982.980000000003</v>
      </c>
      <c r="C2428" s="74">
        <v>1223.0999999999999</v>
      </c>
      <c r="D2428" s="74">
        <f t="shared" si="75"/>
        <v>6.3873146733609085E-3</v>
      </c>
      <c r="E2428" s="74">
        <f t="shared" si="76"/>
        <v>8.0034903612460351E-3</v>
      </c>
      <c r="F2428" s="75"/>
    </row>
    <row r="2429" spans="1:6" ht="14.25" customHeight="1" x14ac:dyDescent="0.3">
      <c r="A2429" s="73">
        <v>44123</v>
      </c>
      <c r="B2429" s="74">
        <v>40431.599999999999</v>
      </c>
      <c r="C2429" s="74">
        <v>1228.75</v>
      </c>
      <c r="D2429" s="74">
        <f t="shared" si="75"/>
        <v>1.1157793879839136E-2</v>
      </c>
      <c r="E2429" s="74">
        <f t="shared" si="76"/>
        <v>4.6087729680590233E-3</v>
      </c>
      <c r="F2429" s="75"/>
    </row>
    <row r="2430" spans="1:6" ht="14.25" customHeight="1" x14ac:dyDescent="0.3">
      <c r="A2430" s="73">
        <v>44124</v>
      </c>
      <c r="B2430" s="74">
        <v>40544.370000000003</v>
      </c>
      <c r="C2430" s="74">
        <v>1233</v>
      </c>
      <c r="D2430" s="74">
        <f t="shared" si="75"/>
        <v>2.785272542048748E-3</v>
      </c>
      <c r="E2430" s="74">
        <f t="shared" si="76"/>
        <v>3.4528317029679629E-3</v>
      </c>
      <c r="F2430" s="75"/>
    </row>
    <row r="2431" spans="1:6" ht="14.25" customHeight="1" x14ac:dyDescent="0.3">
      <c r="A2431" s="73">
        <v>44125</v>
      </c>
      <c r="B2431" s="74">
        <v>40707.31</v>
      </c>
      <c r="C2431" s="74">
        <v>1244.95</v>
      </c>
      <c r="D2431" s="74">
        <f t="shared" si="75"/>
        <v>4.0107532157593511E-3</v>
      </c>
      <c r="E2431" s="74">
        <f t="shared" si="76"/>
        <v>9.6451442854333311E-3</v>
      </c>
      <c r="F2431" s="75"/>
    </row>
    <row r="2432" spans="1:6" ht="14.25" customHeight="1" x14ac:dyDescent="0.3">
      <c r="A2432" s="73">
        <v>44126</v>
      </c>
      <c r="B2432" s="74">
        <v>40558.49</v>
      </c>
      <c r="C2432" s="74">
        <v>1229.5999999999999</v>
      </c>
      <c r="D2432" s="74">
        <f t="shared" si="75"/>
        <v>-3.6625534076969147E-3</v>
      </c>
      <c r="E2432" s="74">
        <f t="shared" si="76"/>
        <v>-1.2406455225391478E-2</v>
      </c>
      <c r="F2432" s="75"/>
    </row>
    <row r="2433" spans="1:6" ht="14.25" customHeight="1" x14ac:dyDescent="0.3">
      <c r="A2433" s="73">
        <v>44127</v>
      </c>
      <c r="B2433" s="74">
        <v>40685.5</v>
      </c>
      <c r="C2433" s="74">
        <v>1241.9000000000001</v>
      </c>
      <c r="D2433" s="74">
        <f t="shared" si="75"/>
        <v>3.1266338216302089E-3</v>
      </c>
      <c r="E2433" s="74">
        <f t="shared" si="76"/>
        <v>9.9535517296010043E-3</v>
      </c>
      <c r="F2433" s="75"/>
    </row>
    <row r="2434" spans="1:6" ht="14.25" customHeight="1" x14ac:dyDescent="0.3">
      <c r="A2434" s="73">
        <v>44130</v>
      </c>
      <c r="B2434" s="74">
        <v>40145.5</v>
      </c>
      <c r="C2434" s="74">
        <v>1216</v>
      </c>
      <c r="D2434" s="74">
        <f t="shared" si="75"/>
        <v>-1.3361409204454073E-2</v>
      </c>
      <c r="E2434" s="74">
        <f t="shared" si="76"/>
        <v>-2.1075681427874624E-2</v>
      </c>
      <c r="F2434" s="75"/>
    </row>
    <row r="2435" spans="1:6" ht="14.25" customHeight="1" x14ac:dyDescent="0.3">
      <c r="A2435" s="73">
        <v>44131</v>
      </c>
      <c r="B2435" s="74">
        <v>40522.1</v>
      </c>
      <c r="C2435" s="74">
        <v>1232.6500000000001</v>
      </c>
      <c r="D2435" s="74">
        <f t="shared" si="75"/>
        <v>9.3371498859352673E-3</v>
      </c>
      <c r="E2435" s="74">
        <f t="shared" si="76"/>
        <v>1.3599539839375171E-2</v>
      </c>
      <c r="F2435" s="75"/>
    </row>
    <row r="2436" spans="1:6" ht="14.25" customHeight="1" x14ac:dyDescent="0.3">
      <c r="A2436" s="73">
        <v>44132</v>
      </c>
      <c r="B2436" s="74">
        <v>39922.46</v>
      </c>
      <c r="C2436" s="74">
        <v>1217.9000000000001</v>
      </c>
      <c r="D2436" s="74">
        <f t="shared" ref="D2436:D2499" si="77">LN(B2436/B2435)</f>
        <v>-1.4908431505064192E-2</v>
      </c>
      <c r="E2436" s="74">
        <f t="shared" ref="E2436:E2499" si="78">LN(C2436/C2435)</f>
        <v>-1.2038259272422573E-2</v>
      </c>
      <c r="F2436" s="75"/>
    </row>
    <row r="2437" spans="1:6" ht="14.25" customHeight="1" x14ac:dyDescent="0.3">
      <c r="A2437" s="73">
        <v>44133</v>
      </c>
      <c r="B2437" s="74">
        <v>39749.85</v>
      </c>
      <c r="C2437" s="74">
        <v>1177.5</v>
      </c>
      <c r="D2437" s="74">
        <f t="shared" si="77"/>
        <v>-4.3330052828067008E-3</v>
      </c>
      <c r="E2437" s="74">
        <f t="shared" si="78"/>
        <v>-3.3734517202492043E-2</v>
      </c>
      <c r="F2437" s="75"/>
    </row>
    <row r="2438" spans="1:6" ht="14.25" customHeight="1" x14ac:dyDescent="0.3">
      <c r="A2438" s="73">
        <v>44134</v>
      </c>
      <c r="B2438" s="74">
        <v>39614.07</v>
      </c>
      <c r="C2438" s="74">
        <v>1164.9000000000001</v>
      </c>
      <c r="D2438" s="74">
        <f t="shared" si="77"/>
        <v>-3.4217093227517626E-3</v>
      </c>
      <c r="E2438" s="74">
        <f t="shared" si="78"/>
        <v>-1.0758300484841426E-2</v>
      </c>
      <c r="F2438" s="75"/>
    </row>
    <row r="2439" spans="1:6" ht="14.25" customHeight="1" x14ac:dyDescent="0.3">
      <c r="A2439" s="73">
        <v>44137</v>
      </c>
      <c r="B2439" s="74">
        <v>39757.58</v>
      </c>
      <c r="C2439" s="74">
        <v>1168.8</v>
      </c>
      <c r="D2439" s="74">
        <f t="shared" si="77"/>
        <v>3.6161565593021356E-3</v>
      </c>
      <c r="E2439" s="74">
        <f t="shared" si="78"/>
        <v>3.3423350307583157E-3</v>
      </c>
      <c r="F2439" s="75"/>
    </row>
    <row r="2440" spans="1:6" ht="14.25" customHeight="1" x14ac:dyDescent="0.3">
      <c r="A2440" s="73">
        <v>44138</v>
      </c>
      <c r="B2440" s="74">
        <v>40261.129999999997</v>
      </c>
      <c r="C2440" s="74">
        <v>1200.55</v>
      </c>
      <c r="D2440" s="74">
        <f t="shared" si="77"/>
        <v>1.2585972633747734E-2</v>
      </c>
      <c r="E2440" s="74">
        <f t="shared" si="78"/>
        <v>2.6802203670295992E-2</v>
      </c>
      <c r="F2440" s="75"/>
    </row>
    <row r="2441" spans="1:6" ht="14.25" customHeight="1" x14ac:dyDescent="0.3">
      <c r="A2441" s="73">
        <v>44139</v>
      </c>
      <c r="B2441" s="74">
        <v>40616.14</v>
      </c>
      <c r="C2441" s="74">
        <v>1215.1500000000001</v>
      </c>
      <c r="D2441" s="74">
        <f t="shared" si="77"/>
        <v>8.7790371780103339E-3</v>
      </c>
      <c r="E2441" s="74">
        <f t="shared" si="78"/>
        <v>1.2087740837824259E-2</v>
      </c>
      <c r="F2441" s="75"/>
    </row>
    <row r="2442" spans="1:6" ht="14.25" customHeight="1" x14ac:dyDescent="0.3">
      <c r="A2442" s="73">
        <v>44140</v>
      </c>
      <c r="B2442" s="74">
        <v>41340.160000000003</v>
      </c>
      <c r="C2442" s="74">
        <v>1242.25</v>
      </c>
      <c r="D2442" s="74">
        <f t="shared" si="77"/>
        <v>1.7668900033002009E-2</v>
      </c>
      <c r="E2442" s="74">
        <f t="shared" si="78"/>
        <v>2.2056725537819965E-2</v>
      </c>
      <c r="F2442" s="75"/>
    </row>
    <row r="2443" spans="1:6" ht="14.25" customHeight="1" x14ac:dyDescent="0.3">
      <c r="A2443" s="73">
        <v>44141</v>
      </c>
      <c r="B2443" s="74">
        <v>41893.06</v>
      </c>
      <c r="C2443" s="74">
        <v>1253.3</v>
      </c>
      <c r="D2443" s="74">
        <f t="shared" si="77"/>
        <v>1.3285756161662159E-2</v>
      </c>
      <c r="E2443" s="74">
        <f t="shared" si="78"/>
        <v>8.855821135046623E-3</v>
      </c>
      <c r="F2443" s="75"/>
    </row>
    <row r="2444" spans="1:6" ht="14.25" customHeight="1" x14ac:dyDescent="0.3">
      <c r="A2444" s="73">
        <v>44144</v>
      </c>
      <c r="B2444" s="74">
        <v>42597.43</v>
      </c>
      <c r="C2444" s="74">
        <v>1285.05</v>
      </c>
      <c r="D2444" s="74">
        <f t="shared" si="77"/>
        <v>1.6673742065693841E-2</v>
      </c>
      <c r="E2444" s="74">
        <f t="shared" si="78"/>
        <v>2.5017555460686122E-2</v>
      </c>
      <c r="F2444" s="75"/>
    </row>
    <row r="2445" spans="1:6" ht="14.25" customHeight="1" x14ac:dyDescent="0.3">
      <c r="A2445" s="73">
        <v>44145</v>
      </c>
      <c r="B2445" s="74">
        <v>43277.65</v>
      </c>
      <c r="C2445" s="74">
        <v>1305.05</v>
      </c>
      <c r="D2445" s="74">
        <f t="shared" si="77"/>
        <v>1.5842412650034114E-2</v>
      </c>
      <c r="E2445" s="74">
        <f t="shared" si="78"/>
        <v>1.5443726120907067E-2</v>
      </c>
      <c r="F2445" s="75"/>
    </row>
    <row r="2446" spans="1:6" ht="14.25" customHeight="1" x14ac:dyDescent="0.3">
      <c r="A2446" s="73">
        <v>44146</v>
      </c>
      <c r="B2446" s="74">
        <v>43593.67</v>
      </c>
      <c r="C2446" s="74">
        <v>1274.6500000000001</v>
      </c>
      <c r="D2446" s="74">
        <f t="shared" si="77"/>
        <v>7.2756208615917632E-3</v>
      </c>
      <c r="E2446" s="74">
        <f t="shared" si="78"/>
        <v>-2.3569723095177575E-2</v>
      </c>
      <c r="F2446" s="75"/>
    </row>
    <row r="2447" spans="1:6" ht="14.25" customHeight="1" x14ac:dyDescent="0.3">
      <c r="A2447" s="73">
        <v>44147</v>
      </c>
      <c r="B2447" s="74">
        <v>43357.19</v>
      </c>
      <c r="C2447" s="74">
        <v>1277.45</v>
      </c>
      <c r="D2447" s="74">
        <f t="shared" si="77"/>
        <v>-5.4394075702966505E-3</v>
      </c>
      <c r="E2447" s="74">
        <f t="shared" si="78"/>
        <v>2.1942722647705589E-3</v>
      </c>
      <c r="F2447" s="75"/>
    </row>
    <row r="2448" spans="1:6" ht="14.25" customHeight="1" x14ac:dyDescent="0.3">
      <c r="A2448" s="73">
        <v>44148</v>
      </c>
      <c r="B2448" s="74">
        <v>43443</v>
      </c>
      <c r="C2448" s="74">
        <v>1288.5</v>
      </c>
      <c r="D2448" s="74">
        <f t="shared" si="77"/>
        <v>1.9771852562642956E-3</v>
      </c>
      <c r="E2448" s="74">
        <f t="shared" si="78"/>
        <v>8.6128477237570871E-3</v>
      </c>
      <c r="F2448" s="75"/>
    </row>
    <row r="2449" spans="1:6" ht="14.25" customHeight="1" x14ac:dyDescent="0.3">
      <c r="A2449" s="73">
        <v>44149</v>
      </c>
      <c r="B2449" s="74">
        <v>43637.98</v>
      </c>
      <c r="C2449" s="74">
        <v>1285.25</v>
      </c>
      <c r="D2449" s="74">
        <f t="shared" si="77"/>
        <v>4.4781380696319907E-3</v>
      </c>
      <c r="E2449" s="74">
        <f t="shared" si="78"/>
        <v>-2.525499156805687E-3</v>
      </c>
      <c r="F2449" s="75"/>
    </row>
    <row r="2450" spans="1:6" ht="14.25" customHeight="1" x14ac:dyDescent="0.3">
      <c r="A2450" s="73">
        <v>44152</v>
      </c>
      <c r="B2450" s="74">
        <v>43952.71</v>
      </c>
      <c r="C2450" s="74">
        <v>1301.5999999999999</v>
      </c>
      <c r="D2450" s="74">
        <f t="shared" si="77"/>
        <v>7.1864111244033758E-3</v>
      </c>
      <c r="E2450" s="74">
        <f t="shared" si="78"/>
        <v>1.2641024969213948E-2</v>
      </c>
      <c r="F2450" s="75"/>
    </row>
    <row r="2451" spans="1:6" ht="14.25" customHeight="1" x14ac:dyDescent="0.3">
      <c r="A2451" s="73">
        <v>44153</v>
      </c>
      <c r="B2451" s="74">
        <v>44180.05</v>
      </c>
      <c r="C2451" s="74">
        <v>1279.6500000000001</v>
      </c>
      <c r="D2451" s="74">
        <f t="shared" si="77"/>
        <v>5.1590465165365536E-3</v>
      </c>
      <c r="E2451" s="74">
        <f t="shared" si="78"/>
        <v>-1.7007673882014455E-2</v>
      </c>
      <c r="F2451" s="75"/>
    </row>
    <row r="2452" spans="1:6" ht="14.25" customHeight="1" x14ac:dyDescent="0.3">
      <c r="A2452" s="73">
        <v>44154</v>
      </c>
      <c r="B2452" s="74">
        <v>43599.96</v>
      </c>
      <c r="C2452" s="74">
        <v>1292.4000000000001</v>
      </c>
      <c r="D2452" s="74">
        <f t="shared" si="77"/>
        <v>-1.3217096801771841E-2</v>
      </c>
      <c r="E2452" s="74">
        <f t="shared" si="78"/>
        <v>9.9143519275298308E-3</v>
      </c>
      <c r="F2452" s="75"/>
    </row>
    <row r="2453" spans="1:6" ht="14.25" customHeight="1" x14ac:dyDescent="0.3">
      <c r="A2453" s="73">
        <v>44155</v>
      </c>
      <c r="B2453" s="74">
        <v>43882.25</v>
      </c>
      <c r="C2453" s="74">
        <v>1364.95</v>
      </c>
      <c r="D2453" s="74">
        <f t="shared" si="77"/>
        <v>6.4536773769141194E-3</v>
      </c>
      <c r="E2453" s="74">
        <f t="shared" si="78"/>
        <v>5.4616842961190758E-2</v>
      </c>
      <c r="F2453" s="75"/>
    </row>
    <row r="2454" spans="1:6" ht="14.25" customHeight="1" x14ac:dyDescent="0.3">
      <c r="A2454" s="73">
        <v>44158</v>
      </c>
      <c r="B2454" s="74">
        <v>44077.15</v>
      </c>
      <c r="C2454" s="74">
        <v>1346.25</v>
      </c>
      <c r="D2454" s="74">
        <f t="shared" si="77"/>
        <v>4.4315972817203265E-3</v>
      </c>
      <c r="E2454" s="74">
        <f t="shared" si="78"/>
        <v>-1.379484844093563E-2</v>
      </c>
      <c r="F2454" s="75"/>
    </row>
    <row r="2455" spans="1:6" ht="14.25" customHeight="1" x14ac:dyDescent="0.3">
      <c r="A2455" s="73">
        <v>44159</v>
      </c>
      <c r="B2455" s="74">
        <v>44523.02</v>
      </c>
      <c r="C2455" s="74">
        <v>1326.9</v>
      </c>
      <c r="D2455" s="74">
        <f t="shared" si="77"/>
        <v>1.0064851205708882E-2</v>
      </c>
      <c r="E2455" s="74">
        <f t="shared" si="78"/>
        <v>-1.4477554928207509E-2</v>
      </c>
      <c r="F2455" s="75"/>
    </row>
    <row r="2456" spans="1:6" ht="14.25" customHeight="1" x14ac:dyDescent="0.3">
      <c r="A2456" s="73">
        <v>44160</v>
      </c>
      <c r="B2456" s="74">
        <v>43828.1</v>
      </c>
      <c r="C2456" s="74">
        <v>1305.4000000000001</v>
      </c>
      <c r="D2456" s="74">
        <f t="shared" si="77"/>
        <v>-1.5731194600738317E-2</v>
      </c>
      <c r="E2456" s="74">
        <f t="shared" si="78"/>
        <v>-1.6335887341273732E-2</v>
      </c>
      <c r="F2456" s="75"/>
    </row>
    <row r="2457" spans="1:6" ht="14.25" customHeight="1" x14ac:dyDescent="0.3">
      <c r="A2457" s="73">
        <v>44161</v>
      </c>
      <c r="B2457" s="74">
        <v>44259.74</v>
      </c>
      <c r="C2457" s="74">
        <v>1327.1</v>
      </c>
      <c r="D2457" s="74">
        <f t="shared" si="77"/>
        <v>9.800296039997821E-3</v>
      </c>
      <c r="E2457" s="74">
        <f t="shared" si="78"/>
        <v>1.6486603242086364E-2</v>
      </c>
      <c r="F2457" s="75"/>
    </row>
    <row r="2458" spans="1:6" ht="14.25" customHeight="1" x14ac:dyDescent="0.3">
      <c r="A2458" s="73">
        <v>44162</v>
      </c>
      <c r="B2458" s="74">
        <v>44149.72</v>
      </c>
      <c r="C2458" s="74">
        <v>1357.85</v>
      </c>
      <c r="D2458" s="74">
        <f t="shared" si="77"/>
        <v>-2.488875212974508E-3</v>
      </c>
      <c r="E2458" s="74">
        <f t="shared" si="78"/>
        <v>2.2906456020908034E-2</v>
      </c>
      <c r="F2458" s="75"/>
    </row>
    <row r="2459" spans="1:6" ht="14.25" customHeight="1" x14ac:dyDescent="0.3">
      <c r="A2459" s="73">
        <v>44166</v>
      </c>
      <c r="B2459" s="74">
        <v>44655.44</v>
      </c>
      <c r="C2459" s="74">
        <v>1341.6</v>
      </c>
      <c r="D2459" s="74">
        <f t="shared" si="77"/>
        <v>1.1389551393199497E-2</v>
      </c>
      <c r="E2459" s="74">
        <f t="shared" si="78"/>
        <v>-1.203963495511238E-2</v>
      </c>
      <c r="F2459" s="75"/>
    </row>
    <row r="2460" spans="1:6" ht="14.25" customHeight="1" x14ac:dyDescent="0.3">
      <c r="A2460" s="73">
        <v>44167</v>
      </c>
      <c r="B2460" s="74">
        <v>44618.04</v>
      </c>
      <c r="C2460" s="74">
        <v>1388.3</v>
      </c>
      <c r="D2460" s="74">
        <f t="shared" si="77"/>
        <v>-8.378748579759255E-4</v>
      </c>
      <c r="E2460" s="74">
        <f t="shared" si="78"/>
        <v>3.4217045531757598E-2</v>
      </c>
      <c r="F2460" s="75"/>
    </row>
    <row r="2461" spans="1:6" ht="14.25" customHeight="1" x14ac:dyDescent="0.3">
      <c r="A2461" s="73">
        <v>44168</v>
      </c>
      <c r="B2461" s="74">
        <v>44632.65</v>
      </c>
      <c r="C2461" s="74">
        <v>1417.45</v>
      </c>
      <c r="D2461" s="74">
        <f t="shared" si="77"/>
        <v>3.2739242980650286E-4</v>
      </c>
      <c r="E2461" s="74">
        <f t="shared" si="78"/>
        <v>2.0779505570423826E-2</v>
      </c>
      <c r="F2461" s="75"/>
    </row>
    <row r="2462" spans="1:6" ht="14.25" customHeight="1" x14ac:dyDescent="0.3">
      <c r="A2462" s="73">
        <v>44169</v>
      </c>
      <c r="B2462" s="74">
        <v>45079.55</v>
      </c>
      <c r="C2462" s="74">
        <v>1437.4</v>
      </c>
      <c r="D2462" s="74">
        <f t="shared" si="77"/>
        <v>9.9630528889481963E-3</v>
      </c>
      <c r="E2462" s="74">
        <f t="shared" si="78"/>
        <v>1.3976443423161629E-2</v>
      </c>
      <c r="F2462" s="75"/>
    </row>
    <row r="2463" spans="1:6" ht="14.25" customHeight="1" x14ac:dyDescent="0.3">
      <c r="A2463" s="73">
        <v>44172</v>
      </c>
      <c r="B2463" s="74">
        <v>45426.97</v>
      </c>
      <c r="C2463" s="74">
        <v>1425.25</v>
      </c>
      <c r="D2463" s="74">
        <f t="shared" si="77"/>
        <v>7.6772746632036157E-3</v>
      </c>
      <c r="E2463" s="74">
        <f t="shared" si="78"/>
        <v>-8.4886891226510879E-3</v>
      </c>
      <c r="F2463" s="75"/>
    </row>
    <row r="2464" spans="1:6" ht="14.25" customHeight="1" x14ac:dyDescent="0.3">
      <c r="A2464" s="73">
        <v>44173</v>
      </c>
      <c r="B2464" s="74">
        <v>45608.51</v>
      </c>
      <c r="C2464" s="74">
        <v>1427.45</v>
      </c>
      <c r="D2464" s="74">
        <f t="shared" si="77"/>
        <v>3.9883403843030719E-3</v>
      </c>
      <c r="E2464" s="74">
        <f t="shared" si="78"/>
        <v>1.5423987353376759E-3</v>
      </c>
      <c r="F2464" s="75"/>
    </row>
    <row r="2465" spans="1:6" ht="14.25" customHeight="1" x14ac:dyDescent="0.3">
      <c r="A2465" s="73">
        <v>44174</v>
      </c>
      <c r="B2465" s="74">
        <v>46103.5</v>
      </c>
      <c r="C2465" s="74">
        <v>1426.5</v>
      </c>
      <c r="D2465" s="74">
        <f t="shared" si="77"/>
        <v>1.0794547114085994E-2</v>
      </c>
      <c r="E2465" s="74">
        <f t="shared" si="78"/>
        <v>-6.6574399347428916E-4</v>
      </c>
      <c r="F2465" s="75"/>
    </row>
    <row r="2466" spans="1:6" ht="14.25" customHeight="1" x14ac:dyDescent="0.3">
      <c r="A2466" s="73">
        <v>44175</v>
      </c>
      <c r="B2466" s="74">
        <v>45959.88</v>
      </c>
      <c r="C2466" s="74">
        <v>1424.1</v>
      </c>
      <c r="D2466" s="74">
        <f t="shared" si="77"/>
        <v>-3.1200270184854081E-3</v>
      </c>
      <c r="E2466" s="74">
        <f t="shared" si="78"/>
        <v>-1.6838564281726764E-3</v>
      </c>
      <c r="F2466" s="75"/>
    </row>
    <row r="2467" spans="1:6" ht="14.25" customHeight="1" x14ac:dyDescent="0.3">
      <c r="A2467" s="73">
        <v>44176</v>
      </c>
      <c r="B2467" s="74">
        <v>46099.01</v>
      </c>
      <c r="C2467" s="74">
        <v>1442.65</v>
      </c>
      <c r="D2467" s="74">
        <f t="shared" si="77"/>
        <v>3.0226327066919189E-3</v>
      </c>
      <c r="E2467" s="74">
        <f t="shared" si="78"/>
        <v>1.2941664885871383E-2</v>
      </c>
      <c r="F2467" s="75"/>
    </row>
    <row r="2468" spans="1:6" ht="14.25" customHeight="1" x14ac:dyDescent="0.3">
      <c r="A2468" s="73">
        <v>44179</v>
      </c>
      <c r="B2468" s="74">
        <v>46253.46</v>
      </c>
      <c r="C2468" s="74">
        <v>1463.4</v>
      </c>
      <c r="D2468" s="74">
        <f t="shared" si="77"/>
        <v>3.3447972532752229E-3</v>
      </c>
      <c r="E2468" s="74">
        <f t="shared" si="78"/>
        <v>1.4280795338676362E-2</v>
      </c>
      <c r="F2468" s="75"/>
    </row>
    <row r="2469" spans="1:6" ht="14.25" customHeight="1" x14ac:dyDescent="0.3">
      <c r="A2469" s="73">
        <v>44180</v>
      </c>
      <c r="B2469" s="74">
        <v>46263.17</v>
      </c>
      <c r="C2469" s="74">
        <v>1468.25</v>
      </c>
      <c r="D2469" s="74">
        <f t="shared" si="77"/>
        <v>2.0990820862485851E-4</v>
      </c>
      <c r="E2469" s="74">
        <f t="shared" si="78"/>
        <v>3.3087199526992744E-3</v>
      </c>
      <c r="F2469" s="75"/>
    </row>
    <row r="2470" spans="1:6" ht="14.25" customHeight="1" x14ac:dyDescent="0.3">
      <c r="A2470" s="73">
        <v>44181</v>
      </c>
      <c r="B2470" s="74">
        <v>46666.46</v>
      </c>
      <c r="C2470" s="74">
        <v>1503.4</v>
      </c>
      <c r="D2470" s="74">
        <f t="shared" si="77"/>
        <v>8.6795251802792572E-3</v>
      </c>
      <c r="E2470" s="74">
        <f t="shared" si="78"/>
        <v>2.3657994340739643E-2</v>
      </c>
      <c r="F2470" s="75"/>
    </row>
    <row r="2471" spans="1:6" ht="14.25" customHeight="1" x14ac:dyDescent="0.3">
      <c r="A2471" s="73">
        <v>44182</v>
      </c>
      <c r="B2471" s="74">
        <v>46890.34</v>
      </c>
      <c r="C2471" s="74">
        <v>1501.75</v>
      </c>
      <c r="D2471" s="74">
        <f t="shared" si="77"/>
        <v>4.7859787282557992E-3</v>
      </c>
      <c r="E2471" s="74">
        <f t="shared" si="78"/>
        <v>-1.0981150130977837E-3</v>
      </c>
      <c r="F2471" s="75"/>
    </row>
    <row r="2472" spans="1:6" ht="14.25" customHeight="1" x14ac:dyDescent="0.3">
      <c r="A2472" s="73">
        <v>44183</v>
      </c>
      <c r="B2472" s="74">
        <v>46960.69</v>
      </c>
      <c r="C2472" s="74">
        <v>1520.15</v>
      </c>
      <c r="D2472" s="74">
        <f t="shared" si="77"/>
        <v>1.4991846797270001E-3</v>
      </c>
      <c r="E2472" s="74">
        <f t="shared" si="78"/>
        <v>1.2177919451611164E-2</v>
      </c>
      <c r="F2472" s="75"/>
    </row>
    <row r="2473" spans="1:6" ht="14.25" customHeight="1" x14ac:dyDescent="0.3">
      <c r="A2473" s="73">
        <v>44186</v>
      </c>
      <c r="B2473" s="74">
        <v>45553.96</v>
      </c>
      <c r="C2473" s="74">
        <v>1469.45</v>
      </c>
      <c r="D2473" s="74">
        <f t="shared" si="77"/>
        <v>-3.041331140942052E-2</v>
      </c>
      <c r="E2473" s="74">
        <f t="shared" si="78"/>
        <v>-3.3920833080411758E-2</v>
      </c>
      <c r="F2473" s="75"/>
    </row>
    <row r="2474" spans="1:6" ht="14.25" customHeight="1" x14ac:dyDescent="0.3">
      <c r="A2474" s="73">
        <v>44187</v>
      </c>
      <c r="B2474" s="74">
        <v>46006.69</v>
      </c>
      <c r="C2474" s="74">
        <v>1502.35</v>
      </c>
      <c r="D2474" s="74">
        <f t="shared" si="77"/>
        <v>9.8892633385691056E-3</v>
      </c>
      <c r="E2474" s="74">
        <f t="shared" si="78"/>
        <v>2.2142367713536792E-2</v>
      </c>
      <c r="F2474" s="75"/>
    </row>
    <row r="2475" spans="1:6" ht="14.25" customHeight="1" x14ac:dyDescent="0.3">
      <c r="A2475" s="73">
        <v>44188</v>
      </c>
      <c r="B2475" s="74">
        <v>46444.18</v>
      </c>
      <c r="C2475" s="74">
        <v>1490.25</v>
      </c>
      <c r="D2475" s="74">
        <f t="shared" si="77"/>
        <v>9.4643406953320297E-3</v>
      </c>
      <c r="E2475" s="74">
        <f t="shared" si="78"/>
        <v>-8.0866577149711263E-3</v>
      </c>
      <c r="F2475" s="75"/>
    </row>
    <row r="2476" spans="1:6" ht="14.25" customHeight="1" x14ac:dyDescent="0.3">
      <c r="A2476" s="73">
        <v>44189</v>
      </c>
      <c r="B2476" s="74">
        <v>46973.54</v>
      </c>
      <c r="C2476" s="74">
        <v>1495.85</v>
      </c>
      <c r="D2476" s="74">
        <f t="shared" si="77"/>
        <v>1.133330306220692E-2</v>
      </c>
      <c r="E2476" s="74">
        <f t="shared" si="78"/>
        <v>3.7507160275976064E-3</v>
      </c>
      <c r="F2476" s="75"/>
    </row>
    <row r="2477" spans="1:6" ht="14.25" customHeight="1" x14ac:dyDescent="0.3">
      <c r="A2477" s="73">
        <v>44193</v>
      </c>
      <c r="B2477" s="74">
        <v>47353.75</v>
      </c>
      <c r="C2477" s="74">
        <v>1543</v>
      </c>
      <c r="D2477" s="74">
        <f t="shared" si="77"/>
        <v>8.0615495071847017E-3</v>
      </c>
      <c r="E2477" s="74">
        <f t="shared" si="78"/>
        <v>3.1033966235527267E-2</v>
      </c>
      <c r="F2477" s="75"/>
    </row>
    <row r="2478" spans="1:6" ht="14.25" customHeight="1" x14ac:dyDescent="0.3">
      <c r="A2478" s="73">
        <v>44194</v>
      </c>
      <c r="B2478" s="74">
        <v>47613.08</v>
      </c>
      <c r="C2478" s="74">
        <v>1540.25</v>
      </c>
      <c r="D2478" s="74">
        <f t="shared" si="77"/>
        <v>5.4614994436921506E-3</v>
      </c>
      <c r="E2478" s="74">
        <f t="shared" si="78"/>
        <v>-1.7838324684807867E-3</v>
      </c>
      <c r="F2478" s="75"/>
    </row>
    <row r="2479" spans="1:6" ht="14.25" customHeight="1" x14ac:dyDescent="0.3">
      <c r="A2479" s="73">
        <v>44195</v>
      </c>
      <c r="B2479" s="74">
        <v>47746.22</v>
      </c>
      <c r="C2479" s="74">
        <v>1553.05</v>
      </c>
      <c r="D2479" s="74">
        <f t="shared" si="77"/>
        <v>2.7923880840669663E-3</v>
      </c>
      <c r="E2479" s="74">
        <f t="shared" si="78"/>
        <v>8.2759984858958337E-3</v>
      </c>
      <c r="F2479" s="75"/>
    </row>
    <row r="2480" spans="1:6" ht="14.25" customHeight="1" x14ac:dyDescent="0.3">
      <c r="A2480" s="73">
        <v>44196</v>
      </c>
      <c r="B2480" s="74">
        <v>47751.33</v>
      </c>
      <c r="C2480" s="74">
        <v>1567.5</v>
      </c>
      <c r="D2480" s="74">
        <f t="shared" si="77"/>
        <v>1.0701845240794921E-4</v>
      </c>
      <c r="E2480" s="74">
        <f t="shared" si="78"/>
        <v>9.2612541264997048E-3</v>
      </c>
      <c r="F2480" s="75"/>
    </row>
    <row r="2481" spans="1:6" ht="14.25" customHeight="1" x14ac:dyDescent="0.3">
      <c r="A2481" s="73">
        <v>44197</v>
      </c>
      <c r="B2481" s="74">
        <v>47868.98</v>
      </c>
      <c r="C2481" s="74">
        <v>1558.6</v>
      </c>
      <c r="D2481" s="74">
        <f t="shared" si="77"/>
        <v>2.46077552704662E-3</v>
      </c>
      <c r="E2481" s="74">
        <f t="shared" si="78"/>
        <v>-5.6940110976153131E-3</v>
      </c>
      <c r="F2481" s="75"/>
    </row>
    <row r="2482" spans="1:6" ht="14.25" customHeight="1" x14ac:dyDescent="0.3">
      <c r="A2482" s="73">
        <v>44200</v>
      </c>
      <c r="B2482" s="74">
        <v>48176.800000000003</v>
      </c>
      <c r="C2482" s="74">
        <v>1550.55</v>
      </c>
      <c r="D2482" s="74">
        <f t="shared" si="77"/>
        <v>6.4098819112863538E-3</v>
      </c>
      <c r="E2482" s="74">
        <f t="shared" si="78"/>
        <v>-5.1782757268570515E-3</v>
      </c>
      <c r="F2482" s="75"/>
    </row>
    <row r="2483" spans="1:6" ht="14.25" customHeight="1" x14ac:dyDescent="0.3">
      <c r="A2483" s="73">
        <v>44201</v>
      </c>
      <c r="B2483" s="74">
        <v>48437.78</v>
      </c>
      <c r="C2483" s="74">
        <v>1568.75</v>
      </c>
      <c r="D2483" s="74">
        <f t="shared" si="77"/>
        <v>5.4025103617045848E-3</v>
      </c>
      <c r="E2483" s="74">
        <f t="shared" si="78"/>
        <v>1.1669417197490654E-2</v>
      </c>
      <c r="F2483" s="75"/>
    </row>
    <row r="2484" spans="1:6" ht="14.25" customHeight="1" x14ac:dyDescent="0.3">
      <c r="A2484" s="73">
        <v>44202</v>
      </c>
      <c r="B2484" s="74">
        <v>48174.06</v>
      </c>
      <c r="C2484" s="74">
        <v>1574.3</v>
      </c>
      <c r="D2484" s="74">
        <f t="shared" si="77"/>
        <v>-5.4593858270763724E-3</v>
      </c>
      <c r="E2484" s="74">
        <f t="shared" si="78"/>
        <v>3.5316051404893074E-3</v>
      </c>
      <c r="F2484" s="75"/>
    </row>
    <row r="2485" spans="1:6" ht="14.25" customHeight="1" x14ac:dyDescent="0.3">
      <c r="A2485" s="73">
        <v>44203</v>
      </c>
      <c r="B2485" s="74">
        <v>48093.32</v>
      </c>
      <c r="C2485" s="74">
        <v>1542.4</v>
      </c>
      <c r="D2485" s="74">
        <f t="shared" si="77"/>
        <v>-1.6774117864551438E-3</v>
      </c>
      <c r="E2485" s="74">
        <f t="shared" si="78"/>
        <v>-2.0471084164302069E-2</v>
      </c>
      <c r="F2485" s="75"/>
    </row>
    <row r="2486" spans="1:6" ht="14.25" customHeight="1" x14ac:dyDescent="0.3">
      <c r="A2486" s="73">
        <v>44204</v>
      </c>
      <c r="B2486" s="74">
        <v>48782.51</v>
      </c>
      <c r="C2486" s="74">
        <v>1549.2</v>
      </c>
      <c r="D2486" s="74">
        <f t="shared" si="77"/>
        <v>1.4228556850052339E-2</v>
      </c>
      <c r="E2486" s="74">
        <f t="shared" si="78"/>
        <v>4.3990237843159422E-3</v>
      </c>
      <c r="F2486" s="75"/>
    </row>
    <row r="2487" spans="1:6" ht="14.25" customHeight="1" x14ac:dyDescent="0.3">
      <c r="A2487" s="73">
        <v>44207</v>
      </c>
      <c r="B2487" s="74">
        <v>49269.32</v>
      </c>
      <c r="C2487" s="74">
        <v>1563.5</v>
      </c>
      <c r="D2487" s="74">
        <f t="shared" si="77"/>
        <v>9.9297279801621816E-3</v>
      </c>
      <c r="E2487" s="74">
        <f t="shared" si="78"/>
        <v>9.1882292572989157E-3</v>
      </c>
      <c r="F2487" s="75"/>
    </row>
    <row r="2488" spans="1:6" ht="14.25" customHeight="1" x14ac:dyDescent="0.3">
      <c r="A2488" s="73">
        <v>44208</v>
      </c>
      <c r="B2488" s="74">
        <v>49517.11</v>
      </c>
      <c r="C2488" s="74">
        <v>1527.2</v>
      </c>
      <c r="D2488" s="74">
        <f t="shared" si="77"/>
        <v>5.0166914561312094E-3</v>
      </c>
      <c r="E2488" s="74">
        <f t="shared" si="78"/>
        <v>-2.3490904486358079E-2</v>
      </c>
      <c r="F2488" s="75"/>
    </row>
    <row r="2489" spans="1:6" ht="14.25" customHeight="1" x14ac:dyDescent="0.3">
      <c r="A2489" s="73">
        <v>44209</v>
      </c>
      <c r="B2489" s="74">
        <v>49492.32</v>
      </c>
      <c r="C2489" s="74">
        <v>1504.65</v>
      </c>
      <c r="D2489" s="74">
        <f t="shared" si="77"/>
        <v>-5.0076039258137198E-4</v>
      </c>
      <c r="E2489" s="74">
        <f t="shared" si="78"/>
        <v>-1.4875680413934E-2</v>
      </c>
      <c r="F2489" s="75"/>
    </row>
    <row r="2490" spans="1:6" ht="14.25" customHeight="1" x14ac:dyDescent="0.3">
      <c r="A2490" s="73">
        <v>44210</v>
      </c>
      <c r="B2490" s="74">
        <v>49584.160000000003</v>
      </c>
      <c r="C2490" s="74">
        <v>1490.3</v>
      </c>
      <c r="D2490" s="74">
        <f t="shared" si="77"/>
        <v>1.8539218653046649E-3</v>
      </c>
      <c r="E2490" s="74">
        <f t="shared" si="78"/>
        <v>-9.5828710428568671E-3</v>
      </c>
      <c r="F2490" s="75"/>
    </row>
    <row r="2491" spans="1:6" ht="14.25" customHeight="1" x14ac:dyDescent="0.3">
      <c r="A2491" s="73">
        <v>44211</v>
      </c>
      <c r="B2491" s="74">
        <v>49034.67</v>
      </c>
      <c r="C2491" s="74">
        <v>1476.25</v>
      </c>
      <c r="D2491" s="74">
        <f t="shared" si="77"/>
        <v>-1.1143828952734134E-2</v>
      </c>
      <c r="E2491" s="74">
        <f t="shared" si="78"/>
        <v>-9.4723534431749891E-3</v>
      </c>
      <c r="F2491" s="75"/>
    </row>
    <row r="2492" spans="1:6" ht="14.25" customHeight="1" x14ac:dyDescent="0.3">
      <c r="A2492" s="73">
        <v>44214</v>
      </c>
      <c r="B2492" s="74">
        <v>48564.27</v>
      </c>
      <c r="C2492" s="74">
        <v>1503.65</v>
      </c>
      <c r="D2492" s="74">
        <f t="shared" si="77"/>
        <v>-9.6395235947159229E-3</v>
      </c>
      <c r="E2492" s="74">
        <f t="shared" si="78"/>
        <v>1.8390397150438331E-2</v>
      </c>
      <c r="F2492" s="75"/>
    </row>
    <row r="2493" spans="1:6" ht="14.25" customHeight="1" x14ac:dyDescent="0.3">
      <c r="A2493" s="73">
        <v>44215</v>
      </c>
      <c r="B2493" s="74">
        <v>49398.29</v>
      </c>
      <c r="C2493" s="74">
        <v>1519.95</v>
      </c>
      <c r="D2493" s="74">
        <f t="shared" si="77"/>
        <v>1.7027732870028803E-2</v>
      </c>
      <c r="E2493" s="74">
        <f t="shared" si="78"/>
        <v>1.0781953900425929E-2</v>
      </c>
      <c r="F2493" s="75"/>
    </row>
    <row r="2494" spans="1:6" ht="14.25" customHeight="1" x14ac:dyDescent="0.3">
      <c r="A2494" s="73">
        <v>44216</v>
      </c>
      <c r="B2494" s="74">
        <v>49792.12</v>
      </c>
      <c r="C2494" s="74">
        <v>1530.9</v>
      </c>
      <c r="D2494" s="74">
        <f t="shared" si="77"/>
        <v>7.9409303685940274E-3</v>
      </c>
      <c r="E2494" s="74">
        <f t="shared" si="78"/>
        <v>7.1783581755992514E-3</v>
      </c>
      <c r="F2494" s="75"/>
    </row>
    <row r="2495" spans="1:6" ht="14.25" customHeight="1" x14ac:dyDescent="0.3">
      <c r="A2495" s="73">
        <v>44217</v>
      </c>
      <c r="B2495" s="74">
        <v>49624.76</v>
      </c>
      <c r="C2495" s="74">
        <v>1516.6</v>
      </c>
      <c r="D2495" s="74">
        <f t="shared" si="77"/>
        <v>-3.366835855109899E-3</v>
      </c>
      <c r="E2495" s="74">
        <f t="shared" si="78"/>
        <v>-9.3848104712004211E-3</v>
      </c>
      <c r="F2495" s="75"/>
    </row>
    <row r="2496" spans="1:6" ht="14.25" customHeight="1" x14ac:dyDescent="0.3">
      <c r="A2496" s="73">
        <v>44218</v>
      </c>
      <c r="B2496" s="74">
        <v>48878.54</v>
      </c>
      <c r="C2496" s="74">
        <v>1490</v>
      </c>
      <c r="D2496" s="74">
        <f t="shared" si="77"/>
        <v>-1.515145737347208E-2</v>
      </c>
      <c r="E2496" s="74">
        <f t="shared" si="78"/>
        <v>-1.7694867327330239E-2</v>
      </c>
      <c r="F2496" s="75"/>
    </row>
    <row r="2497" spans="1:6" ht="14.25" customHeight="1" x14ac:dyDescent="0.3">
      <c r="A2497" s="73">
        <v>44221</v>
      </c>
      <c r="B2497" s="74">
        <v>48347.59</v>
      </c>
      <c r="C2497" s="74">
        <v>1499.35</v>
      </c>
      <c r="D2497" s="74">
        <f t="shared" si="77"/>
        <v>-1.0922069574216877E-2</v>
      </c>
      <c r="E2497" s="74">
        <f t="shared" si="78"/>
        <v>6.2555609014420602E-3</v>
      </c>
      <c r="F2497" s="75"/>
    </row>
    <row r="2498" spans="1:6" ht="14.25" customHeight="1" x14ac:dyDescent="0.3">
      <c r="A2498" s="73">
        <v>44223</v>
      </c>
      <c r="B2498" s="74">
        <v>47409.93</v>
      </c>
      <c r="C2498" s="74">
        <v>1441.2</v>
      </c>
      <c r="D2498" s="74">
        <f t="shared" si="77"/>
        <v>-1.9584675344748361E-2</v>
      </c>
      <c r="E2498" s="74">
        <f t="shared" si="78"/>
        <v>-3.9555580967008667E-2</v>
      </c>
      <c r="F2498" s="75"/>
    </row>
    <row r="2499" spans="1:6" ht="14.25" customHeight="1" x14ac:dyDescent="0.3">
      <c r="A2499" s="73">
        <v>44224</v>
      </c>
      <c r="B2499" s="74">
        <v>46874.36</v>
      </c>
      <c r="C2499" s="74">
        <v>1450.3</v>
      </c>
      <c r="D2499" s="74">
        <f t="shared" si="77"/>
        <v>-1.1360869567148102E-2</v>
      </c>
      <c r="E2499" s="74">
        <f t="shared" si="78"/>
        <v>6.294331692266098E-3</v>
      </c>
      <c r="F2499" s="75"/>
    </row>
    <row r="2500" spans="1:6" ht="14.25" customHeight="1" x14ac:dyDescent="0.3">
      <c r="A2500" s="73">
        <v>44225</v>
      </c>
      <c r="B2500" s="74">
        <v>46285.77</v>
      </c>
      <c r="C2500" s="74">
        <v>1420.8</v>
      </c>
      <c r="D2500" s="74">
        <f t="shared" ref="D2500:D2563" si="79">LN(B2500/B2499)</f>
        <v>-1.2636260424038752E-2</v>
      </c>
      <c r="E2500" s="74">
        <f t="shared" ref="E2500:E2563" si="80">LN(C2500/C2499)</f>
        <v>-2.0550338328298758E-2</v>
      </c>
      <c r="F2500" s="75"/>
    </row>
    <row r="2501" spans="1:6" ht="14.25" customHeight="1" x14ac:dyDescent="0.3">
      <c r="A2501" s="73">
        <v>44228</v>
      </c>
      <c r="B2501" s="74">
        <v>48600.61</v>
      </c>
      <c r="C2501" s="74">
        <v>1502</v>
      </c>
      <c r="D2501" s="74">
        <f t="shared" si="79"/>
        <v>4.8801511828013282E-2</v>
      </c>
      <c r="E2501" s="74">
        <f t="shared" si="80"/>
        <v>5.5577460086174556E-2</v>
      </c>
      <c r="F2501" s="75"/>
    </row>
    <row r="2502" spans="1:6" ht="14.25" customHeight="1" x14ac:dyDescent="0.3">
      <c r="A2502" s="73">
        <v>44229</v>
      </c>
      <c r="B2502" s="74">
        <v>49797.72</v>
      </c>
      <c r="C2502" s="74">
        <v>1485.85</v>
      </c>
      <c r="D2502" s="74">
        <f t="shared" si="79"/>
        <v>2.4333117581988854E-2</v>
      </c>
      <c r="E2502" s="74">
        <f t="shared" si="80"/>
        <v>-1.0810554267889091E-2</v>
      </c>
      <c r="F2502" s="75"/>
    </row>
    <row r="2503" spans="1:6" ht="14.25" customHeight="1" x14ac:dyDescent="0.3">
      <c r="A2503" s="73">
        <v>44230</v>
      </c>
      <c r="B2503" s="74">
        <v>50255.75</v>
      </c>
      <c r="C2503" s="74">
        <v>1524.4</v>
      </c>
      <c r="D2503" s="74">
        <f t="shared" si="79"/>
        <v>9.1557684035158127E-3</v>
      </c>
      <c r="E2503" s="74">
        <f t="shared" si="80"/>
        <v>2.5613890943514191E-2</v>
      </c>
      <c r="F2503" s="75"/>
    </row>
    <row r="2504" spans="1:6" ht="14.25" customHeight="1" x14ac:dyDescent="0.3">
      <c r="A2504" s="73">
        <v>44231</v>
      </c>
      <c r="B2504" s="74">
        <v>50614.29</v>
      </c>
      <c r="C2504" s="74">
        <v>1514</v>
      </c>
      <c r="D2504" s="74">
        <f t="shared" si="79"/>
        <v>7.1089792366011897E-3</v>
      </c>
      <c r="E2504" s="74">
        <f t="shared" si="80"/>
        <v>-6.845735002311143E-3</v>
      </c>
      <c r="F2504" s="75"/>
    </row>
    <row r="2505" spans="1:6" ht="14.25" customHeight="1" x14ac:dyDescent="0.3">
      <c r="A2505" s="73">
        <v>44232</v>
      </c>
      <c r="B2505" s="74">
        <v>50731.63</v>
      </c>
      <c r="C2505" s="74">
        <v>1510.05</v>
      </c>
      <c r="D2505" s="74">
        <f t="shared" si="79"/>
        <v>2.315634461318427E-3</v>
      </c>
      <c r="E2505" s="74">
        <f t="shared" si="80"/>
        <v>-2.61239215385215E-3</v>
      </c>
      <c r="F2505" s="75"/>
    </row>
    <row r="2506" spans="1:6" ht="14.25" customHeight="1" x14ac:dyDescent="0.3">
      <c r="A2506" s="73">
        <v>44235</v>
      </c>
      <c r="B2506" s="74">
        <v>51348.77</v>
      </c>
      <c r="C2506" s="74">
        <v>1541.05</v>
      </c>
      <c r="D2506" s="74">
        <f t="shared" si="79"/>
        <v>1.2091400874322453E-2</v>
      </c>
      <c r="E2506" s="74">
        <f t="shared" si="80"/>
        <v>2.0321239413534153E-2</v>
      </c>
      <c r="F2506" s="75"/>
    </row>
    <row r="2507" spans="1:6" ht="14.25" customHeight="1" x14ac:dyDescent="0.3">
      <c r="A2507" s="73">
        <v>44236</v>
      </c>
      <c r="B2507" s="74">
        <v>51329.08</v>
      </c>
      <c r="C2507" s="74">
        <v>1560.05</v>
      </c>
      <c r="D2507" s="74">
        <f t="shared" si="79"/>
        <v>-3.8352965593558657E-4</v>
      </c>
      <c r="E2507" s="74">
        <f t="shared" si="80"/>
        <v>1.2253869754926447E-2</v>
      </c>
      <c r="F2507" s="75"/>
    </row>
    <row r="2508" spans="1:6" ht="14.25" customHeight="1" x14ac:dyDescent="0.3">
      <c r="A2508" s="73">
        <v>44237</v>
      </c>
      <c r="B2508" s="74">
        <v>51309.39</v>
      </c>
      <c r="C2508" s="74">
        <v>1563.3</v>
      </c>
      <c r="D2508" s="74">
        <f t="shared" si="79"/>
        <v>-3.8367680737148656E-4</v>
      </c>
      <c r="E2508" s="74">
        <f t="shared" si="80"/>
        <v>2.0810995712760402E-3</v>
      </c>
      <c r="F2508" s="75"/>
    </row>
    <row r="2509" spans="1:6" ht="14.25" customHeight="1" x14ac:dyDescent="0.3">
      <c r="A2509" s="73">
        <v>44238</v>
      </c>
      <c r="B2509" s="74">
        <v>51531.519999999997</v>
      </c>
      <c r="C2509" s="74">
        <v>1524.15</v>
      </c>
      <c r="D2509" s="74">
        <f t="shared" si="79"/>
        <v>4.3198829228124234E-3</v>
      </c>
      <c r="E2509" s="74">
        <f t="shared" si="80"/>
        <v>-2.5362093983278475E-2</v>
      </c>
      <c r="F2509" s="75"/>
    </row>
    <row r="2510" spans="1:6" ht="14.25" customHeight="1" x14ac:dyDescent="0.3">
      <c r="A2510" s="73">
        <v>44239</v>
      </c>
      <c r="B2510" s="74">
        <v>51544.3</v>
      </c>
      <c r="C2510" s="74">
        <v>1494.35</v>
      </c>
      <c r="D2510" s="74">
        <f t="shared" si="79"/>
        <v>2.4797280420364265E-4</v>
      </c>
      <c r="E2510" s="74">
        <f t="shared" si="80"/>
        <v>-1.974554792927297E-2</v>
      </c>
      <c r="F2510" s="75"/>
    </row>
    <row r="2511" spans="1:6" ht="14.25" customHeight="1" x14ac:dyDescent="0.3">
      <c r="A2511" s="73">
        <v>44242</v>
      </c>
      <c r="B2511" s="74">
        <v>52154.13</v>
      </c>
      <c r="C2511" s="74">
        <v>1483.9</v>
      </c>
      <c r="D2511" s="74">
        <f t="shared" si="79"/>
        <v>1.1761740852460538E-2</v>
      </c>
      <c r="E2511" s="74">
        <f t="shared" si="80"/>
        <v>-7.0175726586464227E-3</v>
      </c>
      <c r="F2511" s="75"/>
    </row>
    <row r="2512" spans="1:6" ht="14.25" customHeight="1" x14ac:dyDescent="0.3">
      <c r="A2512" s="73">
        <v>44243</v>
      </c>
      <c r="B2512" s="74">
        <v>52104.17</v>
      </c>
      <c r="C2512" s="74">
        <v>1472.35</v>
      </c>
      <c r="D2512" s="74">
        <f t="shared" si="79"/>
        <v>-9.5838899778832528E-4</v>
      </c>
      <c r="E2512" s="74">
        <f t="shared" si="80"/>
        <v>-7.8139932473488497E-3</v>
      </c>
      <c r="F2512" s="75"/>
    </row>
    <row r="2513" spans="1:6" ht="14.25" customHeight="1" x14ac:dyDescent="0.3">
      <c r="A2513" s="73">
        <v>44244</v>
      </c>
      <c r="B2513" s="74">
        <v>51703.83</v>
      </c>
      <c r="C2513" s="74">
        <v>1460.9</v>
      </c>
      <c r="D2513" s="74">
        <f t="shared" si="79"/>
        <v>-7.7131239357211426E-3</v>
      </c>
      <c r="E2513" s="74">
        <f t="shared" si="80"/>
        <v>-7.8070796262635902E-3</v>
      </c>
      <c r="F2513" s="75"/>
    </row>
    <row r="2514" spans="1:6" ht="14.25" customHeight="1" x14ac:dyDescent="0.3">
      <c r="A2514" s="73">
        <v>44245</v>
      </c>
      <c r="B2514" s="74">
        <v>51324.69</v>
      </c>
      <c r="C2514" s="74">
        <v>1434.4</v>
      </c>
      <c r="D2514" s="74">
        <f t="shared" si="79"/>
        <v>-7.3599370632072844E-3</v>
      </c>
      <c r="E2514" s="74">
        <f t="shared" si="80"/>
        <v>-1.8306040847545238E-2</v>
      </c>
      <c r="F2514" s="75"/>
    </row>
    <row r="2515" spans="1:6" ht="14.25" customHeight="1" x14ac:dyDescent="0.3">
      <c r="A2515" s="73">
        <v>44246</v>
      </c>
      <c r="B2515" s="74">
        <v>50889.760000000002</v>
      </c>
      <c r="C2515" s="74">
        <v>1425.5</v>
      </c>
      <c r="D2515" s="74">
        <f t="shared" si="79"/>
        <v>-8.5101984098216923E-3</v>
      </c>
      <c r="E2515" s="74">
        <f t="shared" si="80"/>
        <v>-6.2240139381964594E-3</v>
      </c>
      <c r="F2515" s="75"/>
    </row>
    <row r="2516" spans="1:6" ht="14.25" customHeight="1" x14ac:dyDescent="0.3">
      <c r="A2516" s="73">
        <v>44249</v>
      </c>
      <c r="B2516" s="74">
        <v>49744.32</v>
      </c>
      <c r="C2516" s="74">
        <v>1404.5</v>
      </c>
      <c r="D2516" s="74">
        <f t="shared" si="79"/>
        <v>-2.2765438303043766E-2</v>
      </c>
      <c r="E2516" s="74">
        <f t="shared" si="80"/>
        <v>-1.4841261808428268E-2</v>
      </c>
      <c r="F2516" s="75"/>
    </row>
    <row r="2517" spans="1:6" ht="14.25" customHeight="1" x14ac:dyDescent="0.3">
      <c r="A2517" s="73">
        <v>44250</v>
      </c>
      <c r="B2517" s="74">
        <v>49751.41</v>
      </c>
      <c r="C2517" s="74">
        <v>1424.25</v>
      </c>
      <c r="D2517" s="74">
        <f t="shared" si="79"/>
        <v>1.4251867918363227E-4</v>
      </c>
      <c r="E2517" s="74">
        <f t="shared" si="80"/>
        <v>1.3963991816206518E-2</v>
      </c>
      <c r="F2517" s="75"/>
    </row>
    <row r="2518" spans="1:6" ht="14.25" customHeight="1" x14ac:dyDescent="0.3">
      <c r="A2518" s="73">
        <v>44251</v>
      </c>
      <c r="B2518" s="74">
        <v>50781.69</v>
      </c>
      <c r="C2518" s="74">
        <v>1447.7</v>
      </c>
      <c r="D2518" s="74">
        <f t="shared" si="79"/>
        <v>2.0497051630432448E-2</v>
      </c>
      <c r="E2518" s="74">
        <f t="shared" si="80"/>
        <v>1.633073079949289E-2</v>
      </c>
      <c r="F2518" s="75"/>
    </row>
    <row r="2519" spans="1:6" ht="14.25" customHeight="1" x14ac:dyDescent="0.3">
      <c r="A2519" s="73">
        <v>44252</v>
      </c>
      <c r="B2519" s="74">
        <v>51039.31</v>
      </c>
      <c r="C2519" s="74">
        <v>1436.05</v>
      </c>
      <c r="D2519" s="74">
        <f t="shared" si="79"/>
        <v>5.0602635944185965E-3</v>
      </c>
      <c r="E2519" s="74">
        <f t="shared" si="80"/>
        <v>-8.07980121648956E-3</v>
      </c>
      <c r="F2519" s="75"/>
    </row>
    <row r="2520" spans="1:6" ht="14.25" customHeight="1" x14ac:dyDescent="0.3">
      <c r="A2520" s="73">
        <v>44253</v>
      </c>
      <c r="B2520" s="74">
        <v>49099.99</v>
      </c>
      <c r="C2520" s="74">
        <v>1407</v>
      </c>
      <c r="D2520" s="74">
        <f t="shared" si="79"/>
        <v>-3.8737289001910653E-2</v>
      </c>
      <c r="E2520" s="74">
        <f t="shared" si="80"/>
        <v>-2.0436510829119313E-2</v>
      </c>
      <c r="F2520" s="75"/>
    </row>
    <row r="2521" spans="1:6" ht="14.25" customHeight="1" x14ac:dyDescent="0.3">
      <c r="A2521" s="73">
        <v>44256</v>
      </c>
      <c r="B2521" s="74">
        <v>49849.84</v>
      </c>
      <c r="C2521" s="74">
        <v>1452.75</v>
      </c>
      <c r="D2521" s="74">
        <f t="shared" si="79"/>
        <v>1.5156455639343468E-2</v>
      </c>
      <c r="E2521" s="74">
        <f t="shared" si="80"/>
        <v>3.199853384082596E-2</v>
      </c>
      <c r="F2521" s="75"/>
    </row>
    <row r="2522" spans="1:6" ht="14.25" customHeight="1" x14ac:dyDescent="0.3">
      <c r="A2522" s="73">
        <v>44257</v>
      </c>
      <c r="B2522" s="74">
        <v>50296.89</v>
      </c>
      <c r="C2522" s="74">
        <v>1470.9</v>
      </c>
      <c r="D2522" s="74">
        <f t="shared" si="79"/>
        <v>8.9279593945457893E-3</v>
      </c>
      <c r="E2522" s="74">
        <f t="shared" si="80"/>
        <v>1.2416146370082306E-2</v>
      </c>
      <c r="F2522" s="75"/>
    </row>
    <row r="2523" spans="1:6" ht="14.25" customHeight="1" x14ac:dyDescent="0.3">
      <c r="A2523" s="73">
        <v>44258</v>
      </c>
      <c r="B2523" s="74">
        <v>51444.65</v>
      </c>
      <c r="C2523" s="74">
        <v>1474.35</v>
      </c>
      <c r="D2523" s="74">
        <f t="shared" si="79"/>
        <v>2.2563226254022045E-2</v>
      </c>
      <c r="E2523" s="74">
        <f t="shared" si="80"/>
        <v>2.3427563554505636E-3</v>
      </c>
      <c r="F2523" s="75"/>
    </row>
    <row r="2524" spans="1:6" ht="14.25" customHeight="1" x14ac:dyDescent="0.3">
      <c r="A2524" s="73">
        <v>44259</v>
      </c>
      <c r="B2524" s="74">
        <v>50846.080000000002</v>
      </c>
      <c r="C2524" s="74">
        <v>1470.35</v>
      </c>
      <c r="D2524" s="74">
        <f t="shared" si="79"/>
        <v>-1.1703442378214567E-2</v>
      </c>
      <c r="E2524" s="74">
        <f t="shared" si="80"/>
        <v>-2.7167470100437126E-3</v>
      </c>
      <c r="F2524" s="75"/>
    </row>
    <row r="2525" spans="1:6" ht="14.25" customHeight="1" x14ac:dyDescent="0.3">
      <c r="A2525" s="73">
        <v>44260</v>
      </c>
      <c r="B2525" s="74">
        <v>50405.32</v>
      </c>
      <c r="C2525" s="74">
        <v>1474.65</v>
      </c>
      <c r="D2525" s="74">
        <f t="shared" si="79"/>
        <v>-8.7063049818801447E-3</v>
      </c>
      <c r="E2525" s="74">
        <f t="shared" si="80"/>
        <v>2.9202058103387466E-3</v>
      </c>
      <c r="F2525" s="75"/>
    </row>
    <row r="2526" spans="1:6" ht="14.25" customHeight="1" x14ac:dyDescent="0.3">
      <c r="A2526" s="73">
        <v>44263</v>
      </c>
      <c r="B2526" s="74">
        <v>50441.07</v>
      </c>
      <c r="C2526" s="74">
        <v>1455.65</v>
      </c>
      <c r="D2526" s="74">
        <f t="shared" si="79"/>
        <v>7.0899913219644528E-4</v>
      </c>
      <c r="E2526" s="74">
        <f t="shared" si="80"/>
        <v>-1.2968137236809021E-2</v>
      </c>
      <c r="F2526" s="75"/>
    </row>
    <row r="2527" spans="1:6" ht="14.25" customHeight="1" x14ac:dyDescent="0.3">
      <c r="A2527" s="73">
        <v>44264</v>
      </c>
      <c r="B2527" s="74">
        <v>51025.48</v>
      </c>
      <c r="C2527" s="74">
        <v>1456.8</v>
      </c>
      <c r="D2527" s="74">
        <f t="shared" si="79"/>
        <v>1.151939161053853E-2</v>
      </c>
      <c r="E2527" s="74">
        <f t="shared" si="80"/>
        <v>7.8971316916414476E-4</v>
      </c>
      <c r="F2527" s="75"/>
    </row>
    <row r="2528" spans="1:6" ht="14.25" customHeight="1" x14ac:dyDescent="0.3">
      <c r="A2528" s="73">
        <v>44265</v>
      </c>
      <c r="B2528" s="74">
        <v>51279.51</v>
      </c>
      <c r="C2528" s="74">
        <v>1471.25</v>
      </c>
      <c r="D2528" s="74">
        <f t="shared" si="79"/>
        <v>4.9661413795287082E-3</v>
      </c>
      <c r="E2528" s="74">
        <f t="shared" si="80"/>
        <v>9.8701301610884147E-3</v>
      </c>
      <c r="F2528" s="75"/>
    </row>
    <row r="2529" spans="1:6" ht="14.25" customHeight="1" x14ac:dyDescent="0.3">
      <c r="A2529" s="73">
        <v>44267</v>
      </c>
      <c r="B2529" s="74">
        <v>50792.08</v>
      </c>
      <c r="C2529" s="74">
        <v>1482.5</v>
      </c>
      <c r="D2529" s="74">
        <f t="shared" si="79"/>
        <v>-9.5508202664488073E-3</v>
      </c>
      <c r="E2529" s="74">
        <f t="shared" si="80"/>
        <v>7.6174722973940956E-3</v>
      </c>
      <c r="F2529" s="75"/>
    </row>
    <row r="2530" spans="1:6" ht="14.25" customHeight="1" x14ac:dyDescent="0.3">
      <c r="A2530" s="73">
        <v>44270</v>
      </c>
      <c r="B2530" s="74">
        <v>50395.08</v>
      </c>
      <c r="C2530" s="74">
        <v>1491.65</v>
      </c>
      <c r="D2530" s="74">
        <f t="shared" si="79"/>
        <v>-7.8468856534430528E-3</v>
      </c>
      <c r="E2530" s="74">
        <f t="shared" si="80"/>
        <v>6.1530379221874992E-3</v>
      </c>
      <c r="F2530" s="75"/>
    </row>
    <row r="2531" spans="1:6" ht="14.25" customHeight="1" x14ac:dyDescent="0.3">
      <c r="A2531" s="73">
        <v>44271</v>
      </c>
      <c r="B2531" s="74">
        <v>50363.96</v>
      </c>
      <c r="C2531" s="74">
        <v>1500.35</v>
      </c>
      <c r="D2531" s="74">
        <f t="shared" si="79"/>
        <v>-6.1771134360814699E-4</v>
      </c>
      <c r="E2531" s="74">
        <f t="shared" si="80"/>
        <v>5.8155244115783156E-3</v>
      </c>
      <c r="F2531" s="75"/>
    </row>
    <row r="2532" spans="1:6" ht="14.25" customHeight="1" x14ac:dyDescent="0.3">
      <c r="A2532" s="73">
        <v>44272</v>
      </c>
      <c r="B2532" s="74">
        <v>49801.62</v>
      </c>
      <c r="C2532" s="74">
        <v>1472.65</v>
      </c>
      <c r="D2532" s="74">
        <f t="shared" si="79"/>
        <v>-1.1228326299050058E-2</v>
      </c>
      <c r="E2532" s="74">
        <f t="shared" si="80"/>
        <v>-1.8634915295897104E-2</v>
      </c>
      <c r="F2532" s="75"/>
    </row>
    <row r="2533" spans="1:6" ht="14.25" customHeight="1" x14ac:dyDescent="0.3">
      <c r="A2533" s="73">
        <v>44273</v>
      </c>
      <c r="B2533" s="74">
        <v>49216.52</v>
      </c>
      <c r="C2533" s="74">
        <v>1467.85</v>
      </c>
      <c r="D2533" s="74">
        <f t="shared" si="79"/>
        <v>-1.1818174124933046E-2</v>
      </c>
      <c r="E2533" s="74">
        <f t="shared" si="80"/>
        <v>-3.2647537925157922E-3</v>
      </c>
      <c r="F2533" s="75"/>
    </row>
    <row r="2534" spans="1:6" ht="14.25" customHeight="1" x14ac:dyDescent="0.3">
      <c r="A2534" s="73">
        <v>44274</v>
      </c>
      <c r="B2534" s="74">
        <v>49858.239999999998</v>
      </c>
      <c r="C2534" s="74">
        <v>1467.7</v>
      </c>
      <c r="D2534" s="74">
        <f t="shared" si="79"/>
        <v>1.2954439138586923E-2</v>
      </c>
      <c r="E2534" s="74">
        <f t="shared" si="80"/>
        <v>-1.0219550008028921E-4</v>
      </c>
      <c r="F2534" s="75"/>
    </row>
    <row r="2535" spans="1:6" ht="14.25" customHeight="1" x14ac:dyDescent="0.3">
      <c r="A2535" s="73">
        <v>44277</v>
      </c>
      <c r="B2535" s="74">
        <v>49771.29</v>
      </c>
      <c r="C2535" s="74">
        <v>1459.8</v>
      </c>
      <c r="D2535" s="74">
        <f t="shared" si="79"/>
        <v>-1.7454668726340466E-3</v>
      </c>
      <c r="E2535" s="74">
        <f t="shared" si="80"/>
        <v>-5.3971095996211875E-3</v>
      </c>
      <c r="F2535" s="75"/>
    </row>
    <row r="2536" spans="1:6" ht="14.25" customHeight="1" x14ac:dyDescent="0.3">
      <c r="A2536" s="73">
        <v>44278</v>
      </c>
      <c r="B2536" s="74">
        <v>50051.44</v>
      </c>
      <c r="C2536" s="74">
        <v>1496.9</v>
      </c>
      <c r="D2536" s="74">
        <f t="shared" si="79"/>
        <v>5.6129648131006587E-3</v>
      </c>
      <c r="E2536" s="74">
        <f t="shared" si="80"/>
        <v>2.5096862903658184E-2</v>
      </c>
      <c r="F2536" s="75"/>
    </row>
    <row r="2537" spans="1:6" ht="14.25" customHeight="1" x14ac:dyDescent="0.3">
      <c r="A2537" s="73">
        <v>44279</v>
      </c>
      <c r="B2537" s="74">
        <v>49180.31</v>
      </c>
      <c r="C2537" s="74">
        <v>1487.8</v>
      </c>
      <c r="D2537" s="74">
        <f t="shared" si="79"/>
        <v>-1.7557936432580839E-2</v>
      </c>
      <c r="E2537" s="74">
        <f t="shared" si="80"/>
        <v>-6.0977841639491661E-3</v>
      </c>
      <c r="F2537" s="75"/>
    </row>
    <row r="2538" spans="1:6" ht="14.25" customHeight="1" x14ac:dyDescent="0.3">
      <c r="A2538" s="73">
        <v>44280</v>
      </c>
      <c r="B2538" s="74">
        <v>48440.12</v>
      </c>
      <c r="C2538" s="74">
        <v>1450.55</v>
      </c>
      <c r="D2538" s="74">
        <f t="shared" si="79"/>
        <v>-1.5164944170218384E-2</v>
      </c>
      <c r="E2538" s="74">
        <f t="shared" si="80"/>
        <v>-2.5355723917776102E-2</v>
      </c>
      <c r="F2538" s="75"/>
    </row>
    <row r="2539" spans="1:6" ht="14.25" customHeight="1" x14ac:dyDescent="0.3">
      <c r="A2539" s="73">
        <v>44281</v>
      </c>
      <c r="B2539" s="74">
        <v>49008.5</v>
      </c>
      <c r="C2539" s="74">
        <v>1506.1</v>
      </c>
      <c r="D2539" s="74">
        <f t="shared" si="79"/>
        <v>1.166535648098963E-2</v>
      </c>
      <c r="E2539" s="74">
        <f t="shared" si="80"/>
        <v>3.7580733378337894E-2</v>
      </c>
      <c r="F2539" s="75"/>
    </row>
    <row r="2540" spans="1:6" ht="14.25" customHeight="1" x14ac:dyDescent="0.3">
      <c r="A2540" s="73">
        <v>44285</v>
      </c>
      <c r="B2540" s="74">
        <v>50136.58</v>
      </c>
      <c r="C2540" s="74">
        <v>1552.75</v>
      </c>
      <c r="D2540" s="74">
        <f t="shared" si="79"/>
        <v>2.2757128934740779E-2</v>
      </c>
      <c r="E2540" s="74">
        <f t="shared" si="80"/>
        <v>3.0504024221609392E-2</v>
      </c>
      <c r="F2540" s="75"/>
    </row>
    <row r="2541" spans="1:6" ht="14.25" customHeight="1" x14ac:dyDescent="0.3">
      <c r="A2541" s="73">
        <v>44286</v>
      </c>
      <c r="B2541" s="74">
        <v>49509.15</v>
      </c>
      <c r="C2541" s="74">
        <v>1557.4</v>
      </c>
      <c r="D2541" s="74">
        <f t="shared" si="79"/>
        <v>-1.2593380411931034E-2</v>
      </c>
      <c r="E2541" s="74">
        <f t="shared" si="80"/>
        <v>2.9902117034733451E-3</v>
      </c>
      <c r="F2541" s="75"/>
    </row>
    <row r="2542" spans="1:6" ht="14.25" customHeight="1" x14ac:dyDescent="0.3">
      <c r="A2542" s="73">
        <v>44287</v>
      </c>
      <c r="B2542" s="74">
        <v>50029.83</v>
      </c>
      <c r="C2542" s="74">
        <v>1558.5</v>
      </c>
      <c r="D2542" s="74">
        <f t="shared" si="79"/>
        <v>1.0461926556000251E-2</v>
      </c>
      <c r="E2542" s="74">
        <f t="shared" si="80"/>
        <v>7.0605606450602752E-4</v>
      </c>
      <c r="F2542" s="75"/>
    </row>
    <row r="2543" spans="1:6" ht="14.25" customHeight="1" x14ac:dyDescent="0.3">
      <c r="A2543" s="73">
        <v>44291</v>
      </c>
      <c r="B2543" s="74">
        <v>49159.32</v>
      </c>
      <c r="C2543" s="74">
        <v>1534.75</v>
      </c>
      <c r="D2543" s="74">
        <f t="shared" si="79"/>
        <v>-1.7552975315003674E-2</v>
      </c>
      <c r="E2543" s="74">
        <f t="shared" si="80"/>
        <v>-1.5356318899786085E-2</v>
      </c>
      <c r="F2543" s="75"/>
    </row>
    <row r="2544" spans="1:6" ht="14.25" customHeight="1" x14ac:dyDescent="0.3">
      <c r="A2544" s="73">
        <v>44292</v>
      </c>
      <c r="B2544" s="74">
        <v>49201.39</v>
      </c>
      <c r="C2544" s="74">
        <v>1525.85</v>
      </c>
      <c r="D2544" s="74">
        <f t="shared" si="79"/>
        <v>8.5542291358799193E-4</v>
      </c>
      <c r="E2544" s="74">
        <f t="shared" si="80"/>
        <v>-5.8158694938051309E-3</v>
      </c>
      <c r="F2544" s="75"/>
    </row>
    <row r="2545" spans="1:6" ht="14.25" customHeight="1" x14ac:dyDescent="0.3">
      <c r="A2545" s="73">
        <v>44293</v>
      </c>
      <c r="B2545" s="74">
        <v>49661.760000000002</v>
      </c>
      <c r="C2545" s="74">
        <v>1513.95</v>
      </c>
      <c r="D2545" s="74">
        <f t="shared" si="79"/>
        <v>9.3133453190934051E-3</v>
      </c>
      <c r="E2545" s="74">
        <f t="shared" si="80"/>
        <v>-7.829502460822417E-3</v>
      </c>
      <c r="F2545" s="75"/>
    </row>
    <row r="2546" spans="1:6" ht="14.25" customHeight="1" x14ac:dyDescent="0.3">
      <c r="A2546" s="73">
        <v>44294</v>
      </c>
      <c r="B2546" s="74">
        <v>49746.21</v>
      </c>
      <c r="C2546" s="74">
        <v>1573.75</v>
      </c>
      <c r="D2546" s="74">
        <f t="shared" si="79"/>
        <v>1.6990593473715941E-3</v>
      </c>
      <c r="E2546" s="74">
        <f t="shared" si="80"/>
        <v>3.8739177005578738E-2</v>
      </c>
      <c r="F2546" s="75"/>
    </row>
    <row r="2547" spans="1:6" ht="14.25" customHeight="1" x14ac:dyDescent="0.3">
      <c r="A2547" s="73">
        <v>44295</v>
      </c>
      <c r="B2547" s="74">
        <v>49591.32</v>
      </c>
      <c r="C2547" s="74">
        <v>1591.75</v>
      </c>
      <c r="D2547" s="74">
        <f t="shared" si="79"/>
        <v>-3.1184613815715911E-3</v>
      </c>
      <c r="E2547" s="74">
        <f t="shared" si="80"/>
        <v>1.1372733538577744E-2</v>
      </c>
      <c r="F2547" s="75"/>
    </row>
    <row r="2548" spans="1:6" ht="14.25" customHeight="1" x14ac:dyDescent="0.3">
      <c r="A2548" s="73">
        <v>44298</v>
      </c>
      <c r="B2548" s="74">
        <v>47883.38</v>
      </c>
      <c r="C2548" s="74">
        <v>1508.4</v>
      </c>
      <c r="D2548" s="74">
        <f t="shared" si="79"/>
        <v>-3.5047347068861347E-2</v>
      </c>
      <c r="E2548" s="74">
        <f t="shared" si="80"/>
        <v>-5.3784553512932619E-2</v>
      </c>
      <c r="F2548" s="75"/>
    </row>
    <row r="2549" spans="1:6" ht="14.25" customHeight="1" x14ac:dyDescent="0.3">
      <c r="A2549" s="73">
        <v>44299</v>
      </c>
      <c r="B2549" s="74">
        <v>48544.06</v>
      </c>
      <c r="C2549" s="74">
        <v>1530.65</v>
      </c>
      <c r="D2549" s="74">
        <f t="shared" si="79"/>
        <v>1.370336780971371E-2</v>
      </c>
      <c r="E2549" s="74">
        <f t="shared" si="80"/>
        <v>1.464299538606826E-2</v>
      </c>
      <c r="F2549" s="75"/>
    </row>
    <row r="2550" spans="1:6" ht="14.25" customHeight="1" x14ac:dyDescent="0.3">
      <c r="A2550" s="73">
        <v>44301</v>
      </c>
      <c r="B2550" s="74">
        <v>48803.68</v>
      </c>
      <c r="C2550" s="74">
        <v>1537.4</v>
      </c>
      <c r="D2550" s="74">
        <f t="shared" si="79"/>
        <v>5.333880694540852E-3</v>
      </c>
      <c r="E2550" s="74">
        <f t="shared" si="80"/>
        <v>4.4001961447612007E-3</v>
      </c>
      <c r="F2550" s="75"/>
    </row>
    <row r="2551" spans="1:6" ht="14.25" customHeight="1" x14ac:dyDescent="0.3">
      <c r="A2551" s="73">
        <v>44302</v>
      </c>
      <c r="B2551" s="74">
        <v>48832.03</v>
      </c>
      <c r="C2551" s="74">
        <v>1549.95</v>
      </c>
      <c r="D2551" s="74">
        <f t="shared" si="79"/>
        <v>5.8073016105990142E-4</v>
      </c>
      <c r="E2551" s="74">
        <f t="shared" si="80"/>
        <v>8.1299944134418795E-3</v>
      </c>
      <c r="F2551" s="75"/>
    </row>
    <row r="2552" spans="1:6" ht="14.25" customHeight="1" x14ac:dyDescent="0.3">
      <c r="A2552" s="73">
        <v>44305</v>
      </c>
      <c r="B2552" s="74">
        <v>47949.42</v>
      </c>
      <c r="C2552" s="74">
        <v>1518.7</v>
      </c>
      <c r="D2552" s="74">
        <f t="shared" si="79"/>
        <v>-1.8239744690021143E-2</v>
      </c>
      <c r="E2552" s="74">
        <f t="shared" si="80"/>
        <v>-2.0367966592249341E-2</v>
      </c>
      <c r="F2552" s="75"/>
    </row>
    <row r="2553" spans="1:6" ht="14.25" customHeight="1" x14ac:dyDescent="0.3">
      <c r="A2553" s="73">
        <v>44306</v>
      </c>
      <c r="B2553" s="74">
        <v>47705.8</v>
      </c>
      <c r="C2553" s="74">
        <v>1522.85</v>
      </c>
      <c r="D2553" s="74">
        <f t="shared" si="79"/>
        <v>-5.0937215291918577E-3</v>
      </c>
      <c r="E2553" s="74">
        <f t="shared" si="80"/>
        <v>2.7288734857780616E-3</v>
      </c>
      <c r="F2553" s="75"/>
    </row>
    <row r="2554" spans="1:6" ht="14.25" customHeight="1" x14ac:dyDescent="0.3">
      <c r="A2554" s="73">
        <v>44308</v>
      </c>
      <c r="B2554" s="74">
        <v>48080.67</v>
      </c>
      <c r="C2554" s="74">
        <v>1480.9</v>
      </c>
      <c r="D2554" s="74">
        <f t="shared" si="79"/>
        <v>7.8272414441772856E-3</v>
      </c>
      <c r="E2554" s="74">
        <f t="shared" si="80"/>
        <v>-2.793356817854464E-2</v>
      </c>
      <c r="F2554" s="75"/>
    </row>
    <row r="2555" spans="1:6" ht="14.25" customHeight="1" x14ac:dyDescent="0.3">
      <c r="A2555" s="73">
        <v>44309</v>
      </c>
      <c r="B2555" s="74">
        <v>47878.45</v>
      </c>
      <c r="C2555" s="74">
        <v>1460.95</v>
      </c>
      <c r="D2555" s="74">
        <f t="shared" si="79"/>
        <v>-4.2147176704060976E-3</v>
      </c>
      <c r="E2555" s="74">
        <f t="shared" si="80"/>
        <v>-1.3563102013222217E-2</v>
      </c>
      <c r="F2555" s="75"/>
    </row>
    <row r="2556" spans="1:6" ht="14.25" customHeight="1" x14ac:dyDescent="0.3">
      <c r="A2556" s="73">
        <v>44312</v>
      </c>
      <c r="B2556" s="74">
        <v>48386.51</v>
      </c>
      <c r="C2556" s="74">
        <v>1480.45</v>
      </c>
      <c r="D2556" s="74">
        <f t="shared" si="79"/>
        <v>1.0555548297353584E-2</v>
      </c>
      <c r="E2556" s="74">
        <f t="shared" si="80"/>
        <v>1.3259186566913113E-2</v>
      </c>
      <c r="F2556" s="75"/>
    </row>
    <row r="2557" spans="1:6" ht="14.25" customHeight="1" x14ac:dyDescent="0.3">
      <c r="A2557" s="73">
        <v>44313</v>
      </c>
      <c r="B2557" s="74">
        <v>48944.14</v>
      </c>
      <c r="C2557" s="74">
        <v>1495.15</v>
      </c>
      <c r="D2557" s="74">
        <f t="shared" si="79"/>
        <v>1.1458591951396105E-2</v>
      </c>
      <c r="E2557" s="74">
        <f t="shared" si="80"/>
        <v>9.8804406426346459E-3</v>
      </c>
      <c r="F2557" s="75"/>
    </row>
    <row r="2558" spans="1:6" ht="14.25" customHeight="1" x14ac:dyDescent="0.3">
      <c r="A2558" s="73">
        <v>44314</v>
      </c>
      <c r="B2558" s="74">
        <v>49733.84</v>
      </c>
      <c r="C2558" s="74">
        <v>1508.25</v>
      </c>
      <c r="D2558" s="74">
        <f t="shared" si="79"/>
        <v>1.6005938900861171E-2</v>
      </c>
      <c r="E2558" s="74">
        <f t="shared" si="80"/>
        <v>8.7235020810878475E-3</v>
      </c>
      <c r="F2558" s="75"/>
    </row>
    <row r="2559" spans="1:6" ht="14.25" customHeight="1" x14ac:dyDescent="0.3">
      <c r="A2559" s="73">
        <v>44315</v>
      </c>
      <c r="B2559" s="74">
        <v>49765.94</v>
      </c>
      <c r="C2559" s="74">
        <v>1506.3</v>
      </c>
      <c r="D2559" s="74">
        <f t="shared" si="79"/>
        <v>6.4522757967214119E-4</v>
      </c>
      <c r="E2559" s="74">
        <f t="shared" si="80"/>
        <v>-1.2937256121015963E-3</v>
      </c>
      <c r="F2559" s="75"/>
    </row>
    <row r="2560" spans="1:6" ht="14.25" customHeight="1" x14ac:dyDescent="0.3">
      <c r="A2560" s="73">
        <v>44316</v>
      </c>
      <c r="B2560" s="74">
        <v>48782.36</v>
      </c>
      <c r="C2560" s="74">
        <v>1491.95</v>
      </c>
      <c r="D2560" s="74">
        <f t="shared" si="79"/>
        <v>-1.996204219560806E-2</v>
      </c>
      <c r="E2560" s="74">
        <f t="shared" si="80"/>
        <v>-9.5723235709481731E-3</v>
      </c>
      <c r="F2560" s="75"/>
    </row>
    <row r="2561" spans="1:6" ht="14.25" customHeight="1" x14ac:dyDescent="0.3">
      <c r="A2561" s="73">
        <v>44319</v>
      </c>
      <c r="B2561" s="74">
        <v>48718.52</v>
      </c>
      <c r="C2561" s="74">
        <v>1423.6</v>
      </c>
      <c r="D2561" s="74">
        <f t="shared" si="79"/>
        <v>-1.3095268293590962E-3</v>
      </c>
      <c r="E2561" s="74">
        <f t="shared" si="80"/>
        <v>-4.6895114501783762E-2</v>
      </c>
      <c r="F2561" s="75"/>
    </row>
    <row r="2562" spans="1:6" ht="14.25" customHeight="1" x14ac:dyDescent="0.3">
      <c r="A2562" s="73">
        <v>44320</v>
      </c>
      <c r="B2562" s="74">
        <v>48253.51</v>
      </c>
      <c r="C2562" s="74">
        <v>1403.8</v>
      </c>
      <c r="D2562" s="74">
        <f t="shared" si="79"/>
        <v>-9.5906740188077128E-3</v>
      </c>
      <c r="E2562" s="74">
        <f t="shared" si="80"/>
        <v>-1.4006029339716498E-2</v>
      </c>
      <c r="F2562" s="75"/>
    </row>
    <row r="2563" spans="1:6" ht="14.25" customHeight="1" x14ac:dyDescent="0.3">
      <c r="A2563" s="73">
        <v>44321</v>
      </c>
      <c r="B2563" s="74">
        <v>48677.55</v>
      </c>
      <c r="C2563" s="74">
        <v>1427.65</v>
      </c>
      <c r="D2563" s="74">
        <f t="shared" si="79"/>
        <v>8.7493669226068587E-3</v>
      </c>
      <c r="E2563" s="74">
        <f t="shared" si="80"/>
        <v>1.6846890522559825E-2</v>
      </c>
      <c r="F2563" s="75"/>
    </row>
    <row r="2564" spans="1:6" ht="14.25" customHeight="1" x14ac:dyDescent="0.3">
      <c r="A2564" s="73">
        <v>44322</v>
      </c>
      <c r="B2564" s="74">
        <v>48949.760000000002</v>
      </c>
      <c r="C2564" s="74">
        <v>1443.55</v>
      </c>
      <c r="D2564" s="74">
        <f t="shared" ref="D2564:D2627" si="81">LN(B2564/B2563)</f>
        <v>5.5765278265722052E-3</v>
      </c>
      <c r="E2564" s="74">
        <f t="shared" ref="E2564:E2627" si="82">LN(C2564/C2563)</f>
        <v>1.1075621716785906E-2</v>
      </c>
      <c r="F2564" s="75"/>
    </row>
    <row r="2565" spans="1:6" ht="14.25" customHeight="1" x14ac:dyDescent="0.3">
      <c r="A2565" s="73">
        <v>44323</v>
      </c>
      <c r="B2565" s="74">
        <v>49206.47</v>
      </c>
      <c r="C2565" s="74">
        <v>1448.7</v>
      </c>
      <c r="D2565" s="74">
        <f t="shared" si="81"/>
        <v>5.2306529151080697E-3</v>
      </c>
      <c r="E2565" s="74">
        <f t="shared" si="82"/>
        <v>3.561245011939333E-3</v>
      </c>
      <c r="F2565" s="75"/>
    </row>
    <row r="2566" spans="1:6" ht="14.25" customHeight="1" x14ac:dyDescent="0.3">
      <c r="A2566" s="73">
        <v>44326</v>
      </c>
      <c r="B2566" s="74">
        <v>49502.41</v>
      </c>
      <c r="C2566" s="74">
        <v>1454.4</v>
      </c>
      <c r="D2566" s="74">
        <f t="shared" si="81"/>
        <v>5.9962363407630023E-3</v>
      </c>
      <c r="E2566" s="74">
        <f t="shared" si="82"/>
        <v>3.9268418756085123E-3</v>
      </c>
      <c r="F2566" s="75"/>
    </row>
    <row r="2567" spans="1:6" ht="14.25" customHeight="1" x14ac:dyDescent="0.3">
      <c r="A2567" s="73">
        <v>44327</v>
      </c>
      <c r="B2567" s="74">
        <v>49161.81</v>
      </c>
      <c r="C2567" s="74">
        <v>1435.95</v>
      </c>
      <c r="D2567" s="74">
        <f t="shared" si="81"/>
        <v>-6.9042526864486198E-3</v>
      </c>
      <c r="E2567" s="74">
        <f t="shared" si="82"/>
        <v>-1.2766793362742472E-2</v>
      </c>
      <c r="F2567" s="75"/>
    </row>
    <row r="2568" spans="1:6" ht="14.25" customHeight="1" x14ac:dyDescent="0.3">
      <c r="A2568" s="73">
        <v>44328</v>
      </c>
      <c r="B2568" s="74">
        <v>48690.8</v>
      </c>
      <c r="C2568" s="74">
        <v>1454.8</v>
      </c>
      <c r="D2568" s="74">
        <f t="shared" si="81"/>
        <v>-9.6270020335473515E-3</v>
      </c>
      <c r="E2568" s="74">
        <f t="shared" si="82"/>
        <v>1.3041783052361994E-2</v>
      </c>
      <c r="F2568" s="75"/>
    </row>
    <row r="2569" spans="1:6" ht="14.25" customHeight="1" x14ac:dyDescent="0.3">
      <c r="A2569" s="73">
        <v>44330</v>
      </c>
      <c r="B2569" s="74">
        <v>48732.55</v>
      </c>
      <c r="C2569" s="74">
        <v>1456</v>
      </c>
      <c r="D2569" s="74">
        <f t="shared" si="81"/>
        <v>8.5708410880503587E-4</v>
      </c>
      <c r="E2569" s="74">
        <f t="shared" si="82"/>
        <v>8.2451564379735197E-4</v>
      </c>
      <c r="F2569" s="75"/>
    </row>
    <row r="2570" spans="1:6" ht="14.25" customHeight="1" x14ac:dyDescent="0.3">
      <c r="A2570" s="73">
        <v>44333</v>
      </c>
      <c r="B2570" s="74">
        <v>49580.73</v>
      </c>
      <c r="C2570" s="74">
        <v>1467.85</v>
      </c>
      <c r="D2570" s="74">
        <f t="shared" si="81"/>
        <v>1.7255065530581603E-2</v>
      </c>
      <c r="E2570" s="74">
        <f t="shared" si="82"/>
        <v>8.1057953606021339E-3</v>
      </c>
      <c r="F2570" s="75"/>
    </row>
    <row r="2571" spans="1:6" ht="14.25" customHeight="1" x14ac:dyDescent="0.3">
      <c r="A2571" s="73">
        <v>44334</v>
      </c>
      <c r="B2571" s="74">
        <v>50193.33</v>
      </c>
      <c r="C2571" s="74">
        <v>1539.65</v>
      </c>
      <c r="D2571" s="74">
        <f t="shared" si="81"/>
        <v>1.2279899166427492E-2</v>
      </c>
      <c r="E2571" s="74">
        <f t="shared" si="82"/>
        <v>4.7756372732808701E-2</v>
      </c>
      <c r="F2571" s="75"/>
    </row>
    <row r="2572" spans="1:6" ht="14.25" customHeight="1" x14ac:dyDescent="0.3">
      <c r="A2572" s="73">
        <v>44335</v>
      </c>
      <c r="B2572" s="74">
        <v>49902.64</v>
      </c>
      <c r="C2572" s="74">
        <v>1521.85</v>
      </c>
      <c r="D2572" s="74">
        <f t="shared" si="81"/>
        <v>-5.808242174349402E-3</v>
      </c>
      <c r="E2572" s="74">
        <f t="shared" si="82"/>
        <v>-1.1628417818736728E-2</v>
      </c>
      <c r="F2572" s="75"/>
    </row>
    <row r="2573" spans="1:6" ht="14.25" customHeight="1" x14ac:dyDescent="0.3">
      <c r="A2573" s="73">
        <v>44336</v>
      </c>
      <c r="B2573" s="74">
        <v>49564.86</v>
      </c>
      <c r="C2573" s="74">
        <v>1531.35</v>
      </c>
      <c r="D2573" s="74">
        <f t="shared" si="81"/>
        <v>-6.7917922625534656E-3</v>
      </c>
      <c r="E2573" s="74">
        <f t="shared" si="82"/>
        <v>6.2229992518287331E-3</v>
      </c>
      <c r="F2573" s="75"/>
    </row>
    <row r="2574" spans="1:6" ht="14.25" customHeight="1" x14ac:dyDescent="0.3">
      <c r="A2574" s="73">
        <v>44337</v>
      </c>
      <c r="B2574" s="74">
        <v>50540.480000000003</v>
      </c>
      <c r="C2574" s="74">
        <v>1539.15</v>
      </c>
      <c r="D2574" s="74">
        <f t="shared" si="81"/>
        <v>1.9492484435648178E-2</v>
      </c>
      <c r="E2574" s="74">
        <f t="shared" si="82"/>
        <v>5.080616693193942E-3</v>
      </c>
      <c r="F2574" s="75"/>
    </row>
    <row r="2575" spans="1:6" ht="14.25" customHeight="1" x14ac:dyDescent="0.3">
      <c r="A2575" s="73">
        <v>44340</v>
      </c>
      <c r="B2575" s="74">
        <v>50651.9</v>
      </c>
      <c r="C2575" s="74">
        <v>1520.4</v>
      </c>
      <c r="D2575" s="74">
        <f t="shared" si="81"/>
        <v>2.2021429879795569E-3</v>
      </c>
      <c r="E2575" s="74">
        <f t="shared" si="82"/>
        <v>-1.2256857861234118E-2</v>
      </c>
      <c r="F2575" s="75"/>
    </row>
    <row r="2576" spans="1:6" ht="14.25" customHeight="1" x14ac:dyDescent="0.3">
      <c r="A2576" s="73">
        <v>44341</v>
      </c>
      <c r="B2576" s="74">
        <v>50637.53</v>
      </c>
      <c r="C2576" s="74">
        <v>1569.3</v>
      </c>
      <c r="D2576" s="74">
        <f t="shared" si="81"/>
        <v>-2.8374135576466529E-4</v>
      </c>
      <c r="E2576" s="74">
        <f t="shared" si="82"/>
        <v>3.1656201929581414E-2</v>
      </c>
      <c r="F2576" s="75"/>
    </row>
    <row r="2577" spans="1:6" ht="14.25" customHeight="1" x14ac:dyDescent="0.3">
      <c r="A2577" s="73">
        <v>44342</v>
      </c>
      <c r="B2577" s="74">
        <v>51017.52</v>
      </c>
      <c r="C2577" s="74">
        <v>1582.65</v>
      </c>
      <c r="D2577" s="74">
        <f t="shared" si="81"/>
        <v>7.4761021684292507E-3</v>
      </c>
      <c r="E2577" s="74">
        <f t="shared" si="82"/>
        <v>8.470997211535802E-3</v>
      </c>
      <c r="F2577" s="75"/>
    </row>
    <row r="2578" spans="1:6" ht="14.25" customHeight="1" x14ac:dyDescent="0.3">
      <c r="A2578" s="73">
        <v>44343</v>
      </c>
      <c r="B2578" s="74">
        <v>51115.22</v>
      </c>
      <c r="C2578" s="74">
        <v>1594.1</v>
      </c>
      <c r="D2578" s="74">
        <f t="shared" si="81"/>
        <v>1.9131970766893488E-3</v>
      </c>
      <c r="E2578" s="74">
        <f t="shared" si="82"/>
        <v>7.2086563833900497E-3</v>
      </c>
      <c r="F2578" s="75"/>
    </row>
    <row r="2579" spans="1:6" ht="14.25" customHeight="1" x14ac:dyDescent="0.3">
      <c r="A2579" s="73">
        <v>44344</v>
      </c>
      <c r="B2579" s="74">
        <v>51422.879999999997</v>
      </c>
      <c r="C2579" s="74">
        <v>1577.15</v>
      </c>
      <c r="D2579" s="74">
        <f t="shared" si="81"/>
        <v>6.0009093841068223E-3</v>
      </c>
      <c r="E2579" s="74">
        <f t="shared" si="82"/>
        <v>-1.068989288857642E-2</v>
      </c>
      <c r="F2579" s="75"/>
    </row>
    <row r="2580" spans="1:6" ht="14.25" customHeight="1" x14ac:dyDescent="0.3">
      <c r="A2580" s="73">
        <v>44347</v>
      </c>
      <c r="B2580" s="74">
        <v>51937.440000000002</v>
      </c>
      <c r="C2580" s="74">
        <v>1594.9</v>
      </c>
      <c r="D2580" s="74">
        <f t="shared" si="81"/>
        <v>9.9567077761743127E-3</v>
      </c>
      <c r="E2580" s="74">
        <f t="shared" si="82"/>
        <v>1.1191617577684042E-2</v>
      </c>
      <c r="F2580" s="75"/>
    </row>
    <row r="2581" spans="1:6" ht="14.25" customHeight="1" x14ac:dyDescent="0.3">
      <c r="A2581" s="73">
        <v>44348</v>
      </c>
      <c r="B2581" s="74">
        <v>51934.879999999997</v>
      </c>
      <c r="C2581" s="74">
        <v>1591.5</v>
      </c>
      <c r="D2581" s="74">
        <f t="shared" si="81"/>
        <v>-4.9291283770728784E-5</v>
      </c>
      <c r="E2581" s="74">
        <f t="shared" si="82"/>
        <v>-2.1340706065609547E-3</v>
      </c>
      <c r="F2581" s="75"/>
    </row>
    <row r="2582" spans="1:6" ht="14.25" customHeight="1" x14ac:dyDescent="0.3">
      <c r="A2582" s="73">
        <v>44349</v>
      </c>
      <c r="B2582" s="74">
        <v>51849.48</v>
      </c>
      <c r="C2582" s="74">
        <v>1585</v>
      </c>
      <c r="D2582" s="74">
        <f t="shared" si="81"/>
        <v>-1.6457204009301637E-3</v>
      </c>
      <c r="E2582" s="74">
        <f t="shared" si="82"/>
        <v>-4.0925604107664776E-3</v>
      </c>
      <c r="F2582" s="75"/>
    </row>
    <row r="2583" spans="1:6" ht="14.25" customHeight="1" x14ac:dyDescent="0.3">
      <c r="A2583" s="73">
        <v>44350</v>
      </c>
      <c r="B2583" s="74">
        <v>52232.43</v>
      </c>
      <c r="C2583" s="74">
        <v>1691</v>
      </c>
      <c r="D2583" s="74">
        <f t="shared" si="81"/>
        <v>7.3586606559525262E-3</v>
      </c>
      <c r="E2583" s="74">
        <f t="shared" si="82"/>
        <v>6.4735662587199372E-2</v>
      </c>
      <c r="F2583" s="75"/>
    </row>
    <row r="2584" spans="1:6" ht="14.25" customHeight="1" x14ac:dyDescent="0.3">
      <c r="A2584" s="73">
        <v>44351</v>
      </c>
      <c r="B2584" s="74">
        <v>52100.05</v>
      </c>
      <c r="C2584" s="74">
        <v>1674.95</v>
      </c>
      <c r="D2584" s="74">
        <f t="shared" si="81"/>
        <v>-2.5376578998351496E-3</v>
      </c>
      <c r="E2584" s="74">
        <f t="shared" si="82"/>
        <v>-9.5367558312244964E-3</v>
      </c>
      <c r="F2584" s="75"/>
    </row>
    <row r="2585" spans="1:6" ht="14.25" customHeight="1" x14ac:dyDescent="0.3">
      <c r="A2585" s="73">
        <v>44354</v>
      </c>
      <c r="B2585" s="74">
        <v>52328.51</v>
      </c>
      <c r="C2585" s="74">
        <v>1685.35</v>
      </c>
      <c r="D2585" s="74">
        <f t="shared" si="81"/>
        <v>4.3754383758333485E-3</v>
      </c>
      <c r="E2585" s="74">
        <f t="shared" si="82"/>
        <v>6.1899432828359125E-3</v>
      </c>
      <c r="F2585" s="75"/>
    </row>
    <row r="2586" spans="1:6" ht="14.25" customHeight="1" x14ac:dyDescent="0.3">
      <c r="A2586" s="73">
        <v>44355</v>
      </c>
      <c r="B2586" s="74">
        <v>52275.57</v>
      </c>
      <c r="C2586" s="74">
        <v>1712.75</v>
      </c>
      <c r="D2586" s="74">
        <f t="shared" si="81"/>
        <v>-1.0121976985973543E-3</v>
      </c>
      <c r="E2586" s="74">
        <f t="shared" si="82"/>
        <v>1.6127008532816733E-2</v>
      </c>
      <c r="F2586" s="75"/>
    </row>
    <row r="2587" spans="1:6" ht="14.25" customHeight="1" x14ac:dyDescent="0.3">
      <c r="A2587" s="73">
        <v>44356</v>
      </c>
      <c r="B2587" s="74">
        <v>51941.64</v>
      </c>
      <c r="C2587" s="74">
        <v>1729.6</v>
      </c>
      <c r="D2587" s="74">
        <f t="shared" si="81"/>
        <v>-6.408368498760619E-3</v>
      </c>
      <c r="E2587" s="74">
        <f t="shared" si="82"/>
        <v>9.7899020019354237E-3</v>
      </c>
      <c r="F2587" s="75"/>
    </row>
    <row r="2588" spans="1:6" ht="14.25" customHeight="1" x14ac:dyDescent="0.3">
      <c r="A2588" s="73">
        <v>44357</v>
      </c>
      <c r="B2588" s="74">
        <v>52300.47</v>
      </c>
      <c r="C2588" s="74">
        <v>1739.2</v>
      </c>
      <c r="D2588" s="74">
        <f t="shared" si="81"/>
        <v>6.8845770159421038E-3</v>
      </c>
      <c r="E2588" s="74">
        <f t="shared" si="82"/>
        <v>5.5350694820012888E-3</v>
      </c>
      <c r="F2588" s="75"/>
    </row>
    <row r="2589" spans="1:6" ht="14.25" customHeight="1" x14ac:dyDescent="0.3">
      <c r="A2589" s="73">
        <v>44358</v>
      </c>
      <c r="B2589" s="74">
        <v>52474.76</v>
      </c>
      <c r="C2589" s="74">
        <v>1728.2</v>
      </c>
      <c r="D2589" s="74">
        <f t="shared" si="81"/>
        <v>3.3269344435818342E-3</v>
      </c>
      <c r="E2589" s="74">
        <f t="shared" si="82"/>
        <v>-6.3448329596461376E-3</v>
      </c>
      <c r="F2589" s="75"/>
    </row>
    <row r="2590" spans="1:6" ht="14.25" customHeight="1" x14ac:dyDescent="0.3">
      <c r="A2590" s="73">
        <v>44361</v>
      </c>
      <c r="B2590" s="74">
        <v>52551.53</v>
      </c>
      <c r="C2590" s="74">
        <v>1735.3</v>
      </c>
      <c r="D2590" s="74">
        <f t="shared" si="81"/>
        <v>1.4619199378136166E-3</v>
      </c>
      <c r="E2590" s="74">
        <f t="shared" si="82"/>
        <v>4.0999046891591175E-3</v>
      </c>
      <c r="F2590" s="75"/>
    </row>
    <row r="2591" spans="1:6" ht="14.25" customHeight="1" x14ac:dyDescent="0.3">
      <c r="A2591" s="73">
        <v>44362</v>
      </c>
      <c r="B2591" s="74">
        <v>52773.05</v>
      </c>
      <c r="C2591" s="74">
        <v>1723.5</v>
      </c>
      <c r="D2591" s="74">
        <f t="shared" si="81"/>
        <v>4.2064317110479593E-3</v>
      </c>
      <c r="E2591" s="74">
        <f t="shared" si="82"/>
        <v>-6.8232021395380048E-3</v>
      </c>
      <c r="F2591" s="75"/>
    </row>
    <row r="2592" spans="1:6" ht="14.25" customHeight="1" x14ac:dyDescent="0.3">
      <c r="A2592" s="73">
        <v>44363</v>
      </c>
      <c r="B2592" s="74">
        <v>52501.98</v>
      </c>
      <c r="C2592" s="74">
        <v>1714</v>
      </c>
      <c r="D2592" s="74">
        <f t="shared" si="81"/>
        <v>-5.1497605664932843E-3</v>
      </c>
      <c r="E2592" s="74">
        <f t="shared" si="82"/>
        <v>-5.5272867991949795E-3</v>
      </c>
      <c r="F2592" s="75"/>
    </row>
    <row r="2593" spans="1:6" ht="14.25" customHeight="1" x14ac:dyDescent="0.3">
      <c r="A2593" s="73">
        <v>44364</v>
      </c>
      <c r="B2593" s="74">
        <v>52323.33</v>
      </c>
      <c r="C2593" s="74">
        <v>1708.1</v>
      </c>
      <c r="D2593" s="74">
        <f t="shared" si="81"/>
        <v>-3.4085312595634643E-3</v>
      </c>
      <c r="E2593" s="74">
        <f t="shared" si="82"/>
        <v>-3.4481785137100616E-3</v>
      </c>
      <c r="F2593" s="75"/>
    </row>
    <row r="2594" spans="1:6" ht="14.25" customHeight="1" x14ac:dyDescent="0.3">
      <c r="A2594" s="73">
        <v>44365</v>
      </c>
      <c r="B2594" s="74">
        <v>52344.45</v>
      </c>
      <c r="C2594" s="74">
        <v>1708.95</v>
      </c>
      <c r="D2594" s="74">
        <f t="shared" si="81"/>
        <v>4.0356259178589253E-4</v>
      </c>
      <c r="E2594" s="74">
        <f t="shared" si="82"/>
        <v>4.9750516821937601E-4</v>
      </c>
      <c r="F2594" s="75"/>
    </row>
    <row r="2595" spans="1:6" ht="14.25" customHeight="1" x14ac:dyDescent="0.3">
      <c r="A2595" s="73">
        <v>44368</v>
      </c>
      <c r="B2595" s="74">
        <v>52574.46</v>
      </c>
      <c r="C2595" s="74">
        <v>1742.9</v>
      </c>
      <c r="D2595" s="74">
        <f t="shared" si="81"/>
        <v>4.3845359902974978E-3</v>
      </c>
      <c r="E2595" s="74">
        <f t="shared" si="82"/>
        <v>1.9671245715401523E-2</v>
      </c>
      <c r="F2595" s="75"/>
    </row>
    <row r="2596" spans="1:6" ht="14.25" customHeight="1" x14ac:dyDescent="0.3">
      <c r="A2596" s="73">
        <v>44369</v>
      </c>
      <c r="B2596" s="74">
        <v>52588.71</v>
      </c>
      <c r="C2596" s="74">
        <v>1756.8</v>
      </c>
      <c r="D2596" s="74">
        <f t="shared" si="81"/>
        <v>2.7100742754749939E-4</v>
      </c>
      <c r="E2596" s="74">
        <f t="shared" si="82"/>
        <v>7.9435797875754745E-3</v>
      </c>
      <c r="F2596" s="75"/>
    </row>
    <row r="2597" spans="1:6" ht="14.25" customHeight="1" x14ac:dyDescent="0.3">
      <c r="A2597" s="73">
        <v>44370</v>
      </c>
      <c r="B2597" s="74">
        <v>52306.080000000002</v>
      </c>
      <c r="C2597" s="74">
        <v>1782.75</v>
      </c>
      <c r="D2597" s="74">
        <f t="shared" si="81"/>
        <v>-5.3888412180447482E-3</v>
      </c>
      <c r="E2597" s="74">
        <f t="shared" si="82"/>
        <v>1.4663143593201602E-2</v>
      </c>
      <c r="F2597" s="75"/>
    </row>
    <row r="2598" spans="1:6" ht="14.25" customHeight="1" x14ac:dyDescent="0.3">
      <c r="A2598" s="73">
        <v>44371</v>
      </c>
      <c r="B2598" s="74">
        <v>52699</v>
      </c>
      <c r="C2598" s="74">
        <v>1780.6</v>
      </c>
      <c r="D2598" s="74">
        <f t="shared" si="81"/>
        <v>7.4838633310652849E-3</v>
      </c>
      <c r="E2598" s="74">
        <f t="shared" si="82"/>
        <v>-1.2067297688422203E-3</v>
      </c>
      <c r="F2598" s="75"/>
    </row>
    <row r="2599" spans="1:6" ht="14.25" customHeight="1" x14ac:dyDescent="0.3">
      <c r="A2599" s="73">
        <v>44372</v>
      </c>
      <c r="B2599" s="74">
        <v>52925.04</v>
      </c>
      <c r="C2599" s="74">
        <v>1755.45</v>
      </c>
      <c r="D2599" s="74">
        <f t="shared" si="81"/>
        <v>4.280092771919224E-3</v>
      </c>
      <c r="E2599" s="74">
        <f t="shared" si="82"/>
        <v>-1.4225151850685855E-2</v>
      </c>
      <c r="F2599" s="75"/>
    </row>
    <row r="2600" spans="1:6" ht="14.25" customHeight="1" x14ac:dyDescent="0.3">
      <c r="A2600" s="73">
        <v>44375</v>
      </c>
      <c r="B2600" s="74">
        <v>52735.59</v>
      </c>
      <c r="C2600" s="74">
        <v>1728</v>
      </c>
      <c r="D2600" s="74">
        <f t="shared" si="81"/>
        <v>-3.5860131255920683E-3</v>
      </c>
      <c r="E2600" s="74">
        <f t="shared" si="82"/>
        <v>-1.5760563924884018E-2</v>
      </c>
      <c r="F2600" s="75"/>
    </row>
    <row r="2601" spans="1:6" ht="14.25" customHeight="1" x14ac:dyDescent="0.3">
      <c r="A2601" s="73">
        <v>44376</v>
      </c>
      <c r="B2601" s="74">
        <v>52549.66</v>
      </c>
      <c r="C2601" s="74">
        <v>1731.75</v>
      </c>
      <c r="D2601" s="74">
        <f t="shared" si="81"/>
        <v>-3.5319324080563155E-3</v>
      </c>
      <c r="E2601" s="74">
        <f t="shared" si="82"/>
        <v>2.1677875387134497E-3</v>
      </c>
      <c r="F2601" s="75"/>
    </row>
    <row r="2602" spans="1:6" ht="14.25" customHeight="1" x14ac:dyDescent="0.3">
      <c r="A2602" s="73">
        <v>44377</v>
      </c>
      <c r="B2602" s="74">
        <v>52482.71</v>
      </c>
      <c r="C2602" s="74">
        <v>1732.1</v>
      </c>
      <c r="D2602" s="74">
        <f t="shared" si="81"/>
        <v>-1.2748452513722519E-3</v>
      </c>
      <c r="E2602" s="74">
        <f t="shared" si="82"/>
        <v>2.0208727352001885E-4</v>
      </c>
      <c r="F2602" s="75"/>
    </row>
    <row r="2603" spans="1:6" ht="14.25" customHeight="1" x14ac:dyDescent="0.3">
      <c r="A2603" s="73">
        <v>44378</v>
      </c>
      <c r="B2603" s="74">
        <v>52318.6</v>
      </c>
      <c r="C2603" s="74">
        <v>1741.95</v>
      </c>
      <c r="D2603" s="74">
        <f t="shared" si="81"/>
        <v>-3.1318336409682825E-3</v>
      </c>
      <c r="E2603" s="74">
        <f t="shared" si="82"/>
        <v>5.6706301836420229E-3</v>
      </c>
      <c r="F2603" s="75"/>
    </row>
    <row r="2604" spans="1:6" ht="14.25" customHeight="1" x14ac:dyDescent="0.3">
      <c r="A2604" s="73">
        <v>44379</v>
      </c>
      <c r="B2604" s="74">
        <v>52484.67</v>
      </c>
      <c r="C2604" s="74">
        <v>1756.5</v>
      </c>
      <c r="D2604" s="74">
        <f t="shared" si="81"/>
        <v>3.1691785761324828E-3</v>
      </c>
      <c r="E2604" s="74">
        <f t="shared" si="82"/>
        <v>8.3180173460052735E-3</v>
      </c>
      <c r="F2604" s="75"/>
    </row>
    <row r="2605" spans="1:6" ht="14.25" customHeight="1" x14ac:dyDescent="0.3">
      <c r="A2605" s="73">
        <v>44382</v>
      </c>
      <c r="B2605" s="74">
        <v>52880</v>
      </c>
      <c r="C2605" s="74">
        <v>1749.55</v>
      </c>
      <c r="D2605" s="74">
        <f t="shared" si="81"/>
        <v>7.5040685861537245E-3</v>
      </c>
      <c r="E2605" s="74">
        <f t="shared" si="82"/>
        <v>-3.9645807123581149E-3</v>
      </c>
      <c r="F2605" s="75"/>
    </row>
    <row r="2606" spans="1:6" ht="14.25" customHeight="1" x14ac:dyDescent="0.3">
      <c r="A2606" s="73">
        <v>44383</v>
      </c>
      <c r="B2606" s="74">
        <v>52861.18</v>
      </c>
      <c r="C2606" s="74">
        <v>1763.3</v>
      </c>
      <c r="D2606" s="74">
        <f t="shared" si="81"/>
        <v>-3.5596349877549095E-4</v>
      </c>
      <c r="E2606" s="74">
        <f t="shared" si="82"/>
        <v>7.8284414203540764E-3</v>
      </c>
      <c r="F2606" s="75"/>
    </row>
    <row r="2607" spans="1:6" ht="14.25" customHeight="1" x14ac:dyDescent="0.3">
      <c r="A2607" s="73">
        <v>44384</v>
      </c>
      <c r="B2607" s="74">
        <v>53054.76</v>
      </c>
      <c r="C2607" s="74">
        <v>1727.05</v>
      </c>
      <c r="D2607" s="74">
        <f t="shared" si="81"/>
        <v>3.655355663089672E-3</v>
      </c>
      <c r="E2607" s="74">
        <f t="shared" si="82"/>
        <v>-2.0772302746518544E-2</v>
      </c>
      <c r="F2607" s="75"/>
    </row>
    <row r="2608" spans="1:6" ht="14.25" customHeight="1" x14ac:dyDescent="0.3">
      <c r="A2608" s="73">
        <v>44385</v>
      </c>
      <c r="B2608" s="74">
        <v>52568.94</v>
      </c>
      <c r="C2608" s="74">
        <v>1726.8</v>
      </c>
      <c r="D2608" s="74">
        <f t="shared" si="81"/>
        <v>-9.1991366710782955E-3</v>
      </c>
      <c r="E2608" s="74">
        <f t="shared" si="82"/>
        <v>-1.4476598603685206E-4</v>
      </c>
      <c r="F2608" s="75"/>
    </row>
    <row r="2609" spans="1:6" ht="14.25" customHeight="1" x14ac:dyDescent="0.3">
      <c r="A2609" s="73">
        <v>44386</v>
      </c>
      <c r="B2609" s="74">
        <v>52386.19</v>
      </c>
      <c r="C2609" s="74">
        <v>1720.4</v>
      </c>
      <c r="D2609" s="74">
        <f t="shared" si="81"/>
        <v>-3.4824440632947587E-3</v>
      </c>
      <c r="E2609" s="74">
        <f t="shared" si="82"/>
        <v>-3.7131627717410941E-3</v>
      </c>
      <c r="F2609" s="75"/>
    </row>
    <row r="2610" spans="1:6" ht="14.25" customHeight="1" x14ac:dyDescent="0.3">
      <c r="A2610" s="73">
        <v>44389</v>
      </c>
      <c r="B2610" s="74">
        <v>52372.69</v>
      </c>
      <c r="C2610" s="74">
        <v>1719.7</v>
      </c>
      <c r="D2610" s="74">
        <f t="shared" si="81"/>
        <v>-2.5773471565812935E-4</v>
      </c>
      <c r="E2610" s="74">
        <f t="shared" si="82"/>
        <v>-4.0696491942750413E-4</v>
      </c>
      <c r="F2610" s="75"/>
    </row>
    <row r="2611" spans="1:6" ht="14.25" customHeight="1" x14ac:dyDescent="0.3">
      <c r="A2611" s="73">
        <v>44390</v>
      </c>
      <c r="B2611" s="74">
        <v>52769.73</v>
      </c>
      <c r="C2611" s="74">
        <v>1722.75</v>
      </c>
      <c r="D2611" s="74">
        <f t="shared" si="81"/>
        <v>7.5524586032823847E-3</v>
      </c>
      <c r="E2611" s="74">
        <f t="shared" si="82"/>
        <v>1.7719942471635997E-3</v>
      </c>
      <c r="F2611" s="75"/>
    </row>
    <row r="2612" spans="1:6" ht="14.25" customHeight="1" x14ac:dyDescent="0.3">
      <c r="A2612" s="73">
        <v>44391</v>
      </c>
      <c r="B2612" s="74">
        <v>52904.05</v>
      </c>
      <c r="C2612" s="74">
        <v>1711.1</v>
      </c>
      <c r="D2612" s="74">
        <f t="shared" si="81"/>
        <v>2.5421646190386658E-3</v>
      </c>
      <c r="E2612" s="74">
        <f t="shared" si="82"/>
        <v>-6.7854126993926421E-3</v>
      </c>
      <c r="F2612" s="75"/>
    </row>
    <row r="2613" spans="1:6" ht="14.25" customHeight="1" x14ac:dyDescent="0.3">
      <c r="A2613" s="73">
        <v>44392</v>
      </c>
      <c r="B2613" s="74">
        <v>53158.85</v>
      </c>
      <c r="C2613" s="74">
        <v>1702.3</v>
      </c>
      <c r="D2613" s="74">
        <f t="shared" si="81"/>
        <v>4.8047053243954821E-3</v>
      </c>
      <c r="E2613" s="74">
        <f t="shared" si="82"/>
        <v>-5.1561607173999258E-3</v>
      </c>
      <c r="F2613" s="75"/>
    </row>
    <row r="2614" spans="1:6" ht="14.25" customHeight="1" x14ac:dyDescent="0.3">
      <c r="A2614" s="73">
        <v>44393</v>
      </c>
      <c r="B2614" s="74">
        <v>53140.06</v>
      </c>
      <c r="C2614" s="74">
        <v>1695.8</v>
      </c>
      <c r="D2614" s="74">
        <f t="shared" si="81"/>
        <v>-3.5353138043854989E-4</v>
      </c>
      <c r="E2614" s="74">
        <f t="shared" si="82"/>
        <v>-3.8256719506222052E-3</v>
      </c>
      <c r="F2614" s="75"/>
    </row>
    <row r="2615" spans="1:6" ht="14.25" customHeight="1" x14ac:dyDescent="0.3">
      <c r="A2615" s="73">
        <v>44396</v>
      </c>
      <c r="B2615" s="74">
        <v>52553.4</v>
      </c>
      <c r="C2615" s="74">
        <v>1680.55</v>
      </c>
      <c r="D2615" s="74">
        <f t="shared" si="81"/>
        <v>-1.1101273908562598E-2</v>
      </c>
      <c r="E2615" s="74">
        <f t="shared" si="82"/>
        <v>-9.033485097667944E-3</v>
      </c>
      <c r="F2615" s="75"/>
    </row>
    <row r="2616" spans="1:6" ht="14.25" customHeight="1" x14ac:dyDescent="0.3">
      <c r="A2616" s="73">
        <v>44397</v>
      </c>
      <c r="B2616" s="74">
        <v>52198.51</v>
      </c>
      <c r="C2616" s="74">
        <v>1670.4</v>
      </c>
      <c r="D2616" s="74">
        <f t="shared" si="81"/>
        <v>-6.7758450955284783E-3</v>
      </c>
      <c r="E2616" s="74">
        <f t="shared" si="82"/>
        <v>-6.0580020839150726E-3</v>
      </c>
      <c r="F2616" s="75"/>
    </row>
    <row r="2617" spans="1:6" ht="14.25" customHeight="1" x14ac:dyDescent="0.3">
      <c r="A2617" s="73">
        <v>44399</v>
      </c>
      <c r="B2617" s="74">
        <v>52837.21</v>
      </c>
      <c r="C2617" s="74">
        <v>1702.1</v>
      </c>
      <c r="D2617" s="74">
        <f t="shared" si="81"/>
        <v>1.2161726931803774E-2</v>
      </c>
      <c r="E2617" s="74">
        <f t="shared" si="82"/>
        <v>1.8799664125607789E-2</v>
      </c>
      <c r="F2617" s="75"/>
    </row>
    <row r="2618" spans="1:6" ht="14.25" customHeight="1" x14ac:dyDescent="0.3">
      <c r="A2618" s="73">
        <v>44400</v>
      </c>
      <c r="B2618" s="74">
        <v>52975.8</v>
      </c>
      <c r="C2618" s="74">
        <v>1700.65</v>
      </c>
      <c r="D2618" s="74">
        <f t="shared" si="81"/>
        <v>2.6195281515862872E-3</v>
      </c>
      <c r="E2618" s="74">
        <f t="shared" si="82"/>
        <v>-8.5225190670204032E-4</v>
      </c>
      <c r="F2618" s="75"/>
    </row>
    <row r="2619" spans="1:6" ht="14.25" customHeight="1" x14ac:dyDescent="0.3">
      <c r="A2619" s="73">
        <v>44403</v>
      </c>
      <c r="B2619" s="74">
        <v>52852.27</v>
      </c>
      <c r="C2619" s="74">
        <v>1722.55</v>
      </c>
      <c r="D2619" s="74">
        <f t="shared" si="81"/>
        <v>-2.3345423592080628E-3</v>
      </c>
      <c r="E2619" s="74">
        <f t="shared" si="82"/>
        <v>1.2795220135493786E-2</v>
      </c>
      <c r="F2619" s="75"/>
    </row>
    <row r="2620" spans="1:6" ht="14.25" customHeight="1" x14ac:dyDescent="0.3">
      <c r="A2620" s="73">
        <v>44404</v>
      </c>
      <c r="B2620" s="74">
        <v>52578.76</v>
      </c>
      <c r="C2620" s="74">
        <v>1731.35</v>
      </c>
      <c r="D2620" s="74">
        <f t="shared" si="81"/>
        <v>-5.1884272318830594E-3</v>
      </c>
      <c r="E2620" s="74">
        <f t="shared" si="82"/>
        <v>5.0956999576367533E-3</v>
      </c>
      <c r="F2620" s="75"/>
    </row>
    <row r="2621" spans="1:6" ht="14.25" customHeight="1" x14ac:dyDescent="0.3">
      <c r="A2621" s="73">
        <v>44405</v>
      </c>
      <c r="B2621" s="74">
        <v>52443.71</v>
      </c>
      <c r="C2621" s="74">
        <v>1720.65</v>
      </c>
      <c r="D2621" s="74">
        <f t="shared" si="81"/>
        <v>-2.5718319982124152E-3</v>
      </c>
      <c r="E2621" s="74">
        <f t="shared" si="82"/>
        <v>-6.1993246049694686E-3</v>
      </c>
      <c r="F2621" s="75"/>
    </row>
    <row r="2622" spans="1:6" ht="14.25" customHeight="1" x14ac:dyDescent="0.3">
      <c r="A2622" s="73">
        <v>44406</v>
      </c>
      <c r="B2622" s="74">
        <v>52653.07</v>
      </c>
      <c r="C2622" s="74">
        <v>1740.1</v>
      </c>
      <c r="D2622" s="74">
        <f t="shared" si="81"/>
        <v>3.9841425577017506E-3</v>
      </c>
      <c r="E2622" s="74">
        <f t="shared" si="82"/>
        <v>1.1240456426146229E-2</v>
      </c>
      <c r="F2622" s="75"/>
    </row>
    <row r="2623" spans="1:6" ht="14.25" customHeight="1" x14ac:dyDescent="0.3">
      <c r="A2623" s="73">
        <v>44407</v>
      </c>
      <c r="B2623" s="74">
        <v>52586.84</v>
      </c>
      <c r="C2623" s="74">
        <v>1714.5</v>
      </c>
      <c r="D2623" s="74">
        <f t="shared" si="81"/>
        <v>-1.2586481448613727E-3</v>
      </c>
      <c r="E2623" s="74">
        <f t="shared" si="82"/>
        <v>-1.4821089918557602E-2</v>
      </c>
      <c r="F2623" s="75"/>
    </row>
    <row r="2624" spans="1:6" ht="14.25" customHeight="1" x14ac:dyDescent="0.3">
      <c r="A2624" s="73">
        <v>44410</v>
      </c>
      <c r="B2624" s="74">
        <v>52950.63</v>
      </c>
      <c r="C2624" s="74">
        <v>1770.25</v>
      </c>
      <c r="D2624" s="74">
        <f t="shared" si="81"/>
        <v>6.8940716668038221E-3</v>
      </c>
      <c r="E2624" s="74">
        <f t="shared" si="82"/>
        <v>3.1999286628908302E-2</v>
      </c>
      <c r="F2624" s="75"/>
    </row>
    <row r="2625" spans="1:6" ht="14.25" customHeight="1" x14ac:dyDescent="0.3">
      <c r="A2625" s="73">
        <v>44411</v>
      </c>
      <c r="B2625" s="74">
        <v>53823.360000000001</v>
      </c>
      <c r="C2625" s="74">
        <v>1839.15</v>
      </c>
      <c r="D2625" s="74">
        <f t="shared" si="81"/>
        <v>1.6347603679736318E-2</v>
      </c>
      <c r="E2625" s="74">
        <f t="shared" si="82"/>
        <v>3.8182728814622514E-2</v>
      </c>
      <c r="F2625" s="75"/>
    </row>
    <row r="2626" spans="1:6" ht="14.25" customHeight="1" x14ac:dyDescent="0.3">
      <c r="A2626" s="73">
        <v>44412</v>
      </c>
      <c r="B2626" s="74">
        <v>54369.77</v>
      </c>
      <c r="C2626" s="74">
        <v>1799.8</v>
      </c>
      <c r="D2626" s="74">
        <f t="shared" si="81"/>
        <v>1.010072720146522E-2</v>
      </c>
      <c r="E2626" s="74">
        <f t="shared" si="82"/>
        <v>-2.1627960746657619E-2</v>
      </c>
      <c r="F2626" s="75"/>
    </row>
    <row r="2627" spans="1:6" ht="14.25" customHeight="1" x14ac:dyDescent="0.3">
      <c r="A2627" s="73">
        <v>44413</v>
      </c>
      <c r="B2627" s="74">
        <v>54492.84</v>
      </c>
      <c r="C2627" s="74">
        <v>1799.05</v>
      </c>
      <c r="D2627" s="74">
        <f t="shared" si="81"/>
        <v>2.2610160169739741E-3</v>
      </c>
      <c r="E2627" s="74">
        <f t="shared" si="82"/>
        <v>-4.1679981708465355E-4</v>
      </c>
      <c r="F2627" s="75"/>
    </row>
    <row r="2628" spans="1:6" ht="14.25" customHeight="1" x14ac:dyDescent="0.3">
      <c r="A2628" s="73">
        <v>44414</v>
      </c>
      <c r="B2628" s="74">
        <v>54277.72</v>
      </c>
      <c r="C2628" s="74">
        <v>1788.1</v>
      </c>
      <c r="D2628" s="74">
        <f t="shared" ref="D2628:D2691" si="83">LN(B2628/B2627)</f>
        <v>-3.9554872288675488E-3</v>
      </c>
      <c r="E2628" s="74">
        <f t="shared" ref="E2628:E2691" si="84">LN(C2628/C2627)</f>
        <v>-6.1051442016062264E-3</v>
      </c>
      <c r="F2628" s="75"/>
    </row>
    <row r="2629" spans="1:6" ht="14.25" customHeight="1" x14ac:dyDescent="0.3">
      <c r="A2629" s="73">
        <v>44417</v>
      </c>
      <c r="B2629" s="74">
        <v>54402.85</v>
      </c>
      <c r="C2629" s="74">
        <v>1800.1</v>
      </c>
      <c r="D2629" s="74">
        <f t="shared" si="83"/>
        <v>2.3027125325465829E-3</v>
      </c>
      <c r="E2629" s="74">
        <f t="shared" si="84"/>
        <v>6.6886153155017196E-3</v>
      </c>
      <c r="F2629" s="75"/>
    </row>
    <row r="2630" spans="1:6" ht="14.25" customHeight="1" x14ac:dyDescent="0.3">
      <c r="A2630" s="73">
        <v>44418</v>
      </c>
      <c r="B2630" s="74">
        <v>54554.66</v>
      </c>
      <c r="C2630" s="74">
        <v>1800.65</v>
      </c>
      <c r="D2630" s="74">
        <f t="shared" si="83"/>
        <v>2.786592649464154E-3</v>
      </c>
      <c r="E2630" s="74">
        <f t="shared" si="84"/>
        <v>3.0549191378334583E-4</v>
      </c>
      <c r="F2630" s="75"/>
    </row>
    <row r="2631" spans="1:6" ht="14.25" customHeight="1" x14ac:dyDescent="0.3">
      <c r="A2631" s="73">
        <v>44419</v>
      </c>
      <c r="B2631" s="74">
        <v>54525.93</v>
      </c>
      <c r="C2631" s="74">
        <v>1789.4</v>
      </c>
      <c r="D2631" s="74">
        <f t="shared" si="83"/>
        <v>-5.2676650656809272E-4</v>
      </c>
      <c r="E2631" s="74">
        <f t="shared" si="84"/>
        <v>-6.2673426969464549E-3</v>
      </c>
      <c r="F2631" s="75"/>
    </row>
    <row r="2632" spans="1:6" ht="14.25" customHeight="1" x14ac:dyDescent="0.3">
      <c r="A2632" s="73">
        <v>44420</v>
      </c>
      <c r="B2632" s="74">
        <v>54843.98</v>
      </c>
      <c r="C2632" s="74">
        <v>1823.55</v>
      </c>
      <c r="D2632" s="74">
        <f t="shared" si="83"/>
        <v>5.816058485257217E-3</v>
      </c>
      <c r="E2632" s="74">
        <f t="shared" si="84"/>
        <v>1.8904782556417012E-2</v>
      </c>
      <c r="F2632" s="75"/>
    </row>
    <row r="2633" spans="1:6" ht="14.25" customHeight="1" x14ac:dyDescent="0.3">
      <c r="A2633" s="73">
        <v>44421</v>
      </c>
      <c r="B2633" s="74">
        <v>55437.29</v>
      </c>
      <c r="C2633" s="74">
        <v>1838.05</v>
      </c>
      <c r="D2633" s="74">
        <f t="shared" si="83"/>
        <v>1.0760045189378332E-2</v>
      </c>
      <c r="E2633" s="74">
        <f t="shared" si="84"/>
        <v>7.9200763577574832E-3</v>
      </c>
      <c r="F2633" s="75"/>
    </row>
    <row r="2634" spans="1:6" ht="14.25" customHeight="1" x14ac:dyDescent="0.3">
      <c r="A2634" s="73">
        <v>44424</v>
      </c>
      <c r="B2634" s="74">
        <v>55582.58</v>
      </c>
      <c r="C2634" s="74">
        <v>1837.75</v>
      </c>
      <c r="D2634" s="74">
        <f t="shared" si="83"/>
        <v>2.6173707993712757E-3</v>
      </c>
      <c r="E2634" s="74">
        <f t="shared" si="84"/>
        <v>-1.6322977347305113E-4</v>
      </c>
      <c r="F2634" s="75"/>
    </row>
    <row r="2635" spans="1:6" ht="14.25" customHeight="1" x14ac:dyDescent="0.3">
      <c r="A2635" s="73">
        <v>44425</v>
      </c>
      <c r="B2635" s="74">
        <v>55792.27</v>
      </c>
      <c r="C2635" s="74">
        <v>1873.75</v>
      </c>
      <c r="D2635" s="74">
        <f t="shared" si="83"/>
        <v>3.7654865126948117E-3</v>
      </c>
      <c r="E2635" s="74">
        <f t="shared" si="84"/>
        <v>1.9399773162610358E-2</v>
      </c>
      <c r="F2635" s="75"/>
    </row>
    <row r="2636" spans="1:6" ht="14.25" customHeight="1" x14ac:dyDescent="0.3">
      <c r="A2636" s="73">
        <v>44426</v>
      </c>
      <c r="B2636" s="74">
        <v>55629.49</v>
      </c>
      <c r="C2636" s="74">
        <v>1879.8</v>
      </c>
      <c r="D2636" s="74">
        <f t="shared" si="83"/>
        <v>-2.9218729951675862E-3</v>
      </c>
      <c r="E2636" s="74">
        <f t="shared" si="84"/>
        <v>3.2236177693935365E-3</v>
      </c>
      <c r="F2636" s="75"/>
    </row>
    <row r="2637" spans="1:6" ht="14.25" customHeight="1" x14ac:dyDescent="0.3">
      <c r="A2637" s="73">
        <v>44428</v>
      </c>
      <c r="B2637" s="74">
        <v>55329.32</v>
      </c>
      <c r="C2637" s="74">
        <v>1875.85</v>
      </c>
      <c r="D2637" s="74">
        <f t="shared" si="83"/>
        <v>-5.410489392401319E-3</v>
      </c>
      <c r="E2637" s="74">
        <f t="shared" si="84"/>
        <v>-2.1034981728676157E-3</v>
      </c>
      <c r="F2637" s="75"/>
    </row>
    <row r="2638" spans="1:6" ht="14.25" customHeight="1" x14ac:dyDescent="0.3">
      <c r="A2638" s="73">
        <v>44431</v>
      </c>
      <c r="B2638" s="74">
        <v>55555.79</v>
      </c>
      <c r="C2638" s="74">
        <v>1870.55</v>
      </c>
      <c r="D2638" s="74">
        <f t="shared" si="83"/>
        <v>4.0847741395528808E-3</v>
      </c>
      <c r="E2638" s="74">
        <f t="shared" si="84"/>
        <v>-2.8293847617584123E-3</v>
      </c>
      <c r="F2638" s="75"/>
    </row>
    <row r="2639" spans="1:6" ht="14.25" customHeight="1" x14ac:dyDescent="0.3">
      <c r="A2639" s="73">
        <v>44432</v>
      </c>
      <c r="B2639" s="74">
        <v>55958.98</v>
      </c>
      <c r="C2639" s="74">
        <v>1868.85</v>
      </c>
      <c r="D2639" s="74">
        <f t="shared" si="83"/>
        <v>7.2311812488748536E-3</v>
      </c>
      <c r="E2639" s="74">
        <f t="shared" si="84"/>
        <v>-9.0923683859315109E-4</v>
      </c>
      <c r="F2639" s="75"/>
    </row>
    <row r="2640" spans="1:6" ht="14.25" customHeight="1" x14ac:dyDescent="0.3">
      <c r="A2640" s="73">
        <v>44433</v>
      </c>
      <c r="B2640" s="74">
        <v>55944.21</v>
      </c>
      <c r="C2640" s="74">
        <v>1822.05</v>
      </c>
      <c r="D2640" s="74">
        <f t="shared" si="83"/>
        <v>-2.6397817766903508E-4</v>
      </c>
      <c r="E2640" s="74">
        <f t="shared" si="84"/>
        <v>-2.5361027598592444E-2</v>
      </c>
      <c r="F2640" s="75"/>
    </row>
    <row r="2641" spans="1:6" ht="14.25" customHeight="1" x14ac:dyDescent="0.3">
      <c r="A2641" s="73">
        <v>44434</v>
      </c>
      <c r="B2641" s="74">
        <v>55949.1</v>
      </c>
      <c r="C2641" s="74">
        <v>1815.75</v>
      </c>
      <c r="D2641" s="74">
        <f t="shared" si="83"/>
        <v>8.7404689397624889E-5</v>
      </c>
      <c r="E2641" s="74">
        <f t="shared" si="84"/>
        <v>-3.4636353281119088E-3</v>
      </c>
      <c r="F2641" s="75"/>
    </row>
    <row r="2642" spans="1:6" ht="14.25" customHeight="1" x14ac:dyDescent="0.3">
      <c r="A2642" s="73">
        <v>44435</v>
      </c>
      <c r="B2642" s="74">
        <v>56124.72</v>
      </c>
      <c r="C2642" s="74">
        <v>1822.5</v>
      </c>
      <c r="D2642" s="74">
        <f t="shared" si="83"/>
        <v>3.1340083481596762E-3</v>
      </c>
      <c r="E2642" s="74">
        <f t="shared" si="84"/>
        <v>3.7105793965355534E-3</v>
      </c>
      <c r="F2642" s="75"/>
    </row>
    <row r="2643" spans="1:6" ht="14.25" customHeight="1" x14ac:dyDescent="0.3">
      <c r="A2643" s="73">
        <v>44438</v>
      </c>
      <c r="B2643" s="74">
        <v>56889.760000000002</v>
      </c>
      <c r="C2643" s="74">
        <v>1877.65</v>
      </c>
      <c r="D2643" s="74">
        <f t="shared" si="83"/>
        <v>1.3539002900221838E-2</v>
      </c>
      <c r="E2643" s="74">
        <f t="shared" si="84"/>
        <v>2.9811810039529079E-2</v>
      </c>
      <c r="F2643" s="75"/>
    </row>
    <row r="2644" spans="1:6" ht="14.25" customHeight="1" x14ac:dyDescent="0.3">
      <c r="A2644" s="73">
        <v>44439</v>
      </c>
      <c r="B2644" s="74">
        <v>57552.39</v>
      </c>
      <c r="C2644" s="74">
        <v>1921.25</v>
      </c>
      <c r="D2644" s="74">
        <f t="shared" si="83"/>
        <v>1.1580303324654869E-2</v>
      </c>
      <c r="E2644" s="74">
        <f t="shared" si="84"/>
        <v>2.2955020930463369E-2</v>
      </c>
      <c r="F2644" s="75"/>
    </row>
    <row r="2645" spans="1:6" ht="14.25" customHeight="1" x14ac:dyDescent="0.3">
      <c r="A2645" s="73">
        <v>44440</v>
      </c>
      <c r="B2645" s="74">
        <v>57338.21</v>
      </c>
      <c r="C2645" s="74">
        <v>1939.25</v>
      </c>
      <c r="D2645" s="74">
        <f t="shared" si="83"/>
        <v>-3.7284207430684606E-3</v>
      </c>
      <c r="E2645" s="74">
        <f t="shared" si="84"/>
        <v>9.3252845181753894E-3</v>
      </c>
      <c r="F2645" s="75"/>
    </row>
    <row r="2646" spans="1:6" ht="14.25" customHeight="1" x14ac:dyDescent="0.3">
      <c r="A2646" s="73">
        <v>44441</v>
      </c>
      <c r="B2646" s="74">
        <v>57852.54</v>
      </c>
      <c r="C2646" s="74">
        <v>1966.85</v>
      </c>
      <c r="D2646" s="74">
        <f t="shared" si="83"/>
        <v>8.9301166633194064E-3</v>
      </c>
      <c r="E2646" s="74">
        <f t="shared" si="84"/>
        <v>1.4131977848957459E-2</v>
      </c>
      <c r="F2646" s="75"/>
    </row>
    <row r="2647" spans="1:6" ht="14.25" customHeight="1" x14ac:dyDescent="0.3">
      <c r="A2647" s="73">
        <v>44442</v>
      </c>
      <c r="B2647" s="74">
        <v>58129.95</v>
      </c>
      <c r="C2647" s="74">
        <v>2018.75</v>
      </c>
      <c r="D2647" s="74">
        <f t="shared" si="83"/>
        <v>4.7836622408668067E-3</v>
      </c>
      <c r="E2647" s="74">
        <f t="shared" si="84"/>
        <v>2.6045229751028333E-2</v>
      </c>
      <c r="F2647" s="75"/>
    </row>
    <row r="2648" spans="1:6" ht="14.25" customHeight="1" x14ac:dyDescent="0.3">
      <c r="A2648" s="73">
        <v>44445</v>
      </c>
      <c r="B2648" s="74">
        <v>58296.91</v>
      </c>
      <c r="C2648" s="74">
        <v>2020.9</v>
      </c>
      <c r="D2648" s="74">
        <f t="shared" si="83"/>
        <v>2.8680686647141996E-3</v>
      </c>
      <c r="E2648" s="74">
        <f t="shared" si="84"/>
        <v>1.0644487532360249E-3</v>
      </c>
      <c r="F2648" s="75"/>
    </row>
    <row r="2649" spans="1:6" ht="14.25" customHeight="1" x14ac:dyDescent="0.3">
      <c r="A2649" s="73">
        <v>44446</v>
      </c>
      <c r="B2649" s="74">
        <v>58279.48</v>
      </c>
      <c r="C2649" s="74">
        <v>2033.5</v>
      </c>
      <c r="D2649" s="74">
        <f t="shared" si="83"/>
        <v>-2.9903139271825668E-4</v>
      </c>
      <c r="E2649" s="74">
        <f t="shared" si="84"/>
        <v>6.2154896230764674E-3</v>
      </c>
      <c r="F2649" s="75"/>
    </row>
    <row r="2650" spans="1:6" ht="14.25" customHeight="1" x14ac:dyDescent="0.3">
      <c r="A2650" s="73">
        <v>44447</v>
      </c>
      <c r="B2650" s="74">
        <v>58250.26</v>
      </c>
      <c r="C2650" s="74">
        <v>2056.9</v>
      </c>
      <c r="D2650" s="74">
        <f t="shared" si="83"/>
        <v>-5.0150288866028536E-4</v>
      </c>
      <c r="E2650" s="74">
        <f t="shared" si="84"/>
        <v>1.1441548636838352E-2</v>
      </c>
      <c r="F2650" s="75"/>
    </row>
    <row r="2651" spans="1:6" ht="14.25" customHeight="1" x14ac:dyDescent="0.3">
      <c r="A2651" s="73">
        <v>44448</v>
      </c>
      <c r="B2651" s="74">
        <v>58305.07</v>
      </c>
      <c r="C2651" s="74">
        <v>2033.85</v>
      </c>
      <c r="D2651" s="74">
        <f t="shared" si="83"/>
        <v>9.4049759955406123E-4</v>
      </c>
      <c r="E2651" s="74">
        <f t="shared" si="84"/>
        <v>-1.126944640768974E-2</v>
      </c>
      <c r="F2651" s="75"/>
    </row>
    <row r="2652" spans="1:6" ht="14.25" customHeight="1" x14ac:dyDescent="0.3">
      <c r="A2652" s="73">
        <v>44452</v>
      </c>
      <c r="B2652" s="74">
        <v>58177.760000000002</v>
      </c>
      <c r="C2652" s="74">
        <v>2030.9</v>
      </c>
      <c r="D2652" s="74">
        <f t="shared" si="83"/>
        <v>-2.1859024320132112E-3</v>
      </c>
      <c r="E2652" s="74">
        <f t="shared" si="84"/>
        <v>-1.4515040373637277E-3</v>
      </c>
      <c r="F2652" s="75"/>
    </row>
    <row r="2653" spans="1:6" ht="14.25" customHeight="1" x14ac:dyDescent="0.3">
      <c r="A2653" s="73">
        <v>44453</v>
      </c>
      <c r="B2653" s="74">
        <v>58247.09</v>
      </c>
      <c r="C2653" s="74">
        <v>2055.75</v>
      </c>
      <c r="D2653" s="74">
        <f t="shared" si="83"/>
        <v>1.190982993665641E-3</v>
      </c>
      <c r="E2653" s="74">
        <f t="shared" si="84"/>
        <v>1.216170031194069E-2</v>
      </c>
      <c r="F2653" s="75"/>
    </row>
    <row r="2654" spans="1:6" ht="14.25" customHeight="1" x14ac:dyDescent="0.3">
      <c r="A2654" s="73">
        <v>44454</v>
      </c>
      <c r="B2654" s="74">
        <v>58723.199999999997</v>
      </c>
      <c r="C2654" s="74">
        <v>2119.3000000000002</v>
      </c>
      <c r="D2654" s="74">
        <f t="shared" si="83"/>
        <v>8.1407446178501583E-3</v>
      </c>
      <c r="E2654" s="74">
        <f t="shared" si="84"/>
        <v>3.0445100611523491E-2</v>
      </c>
      <c r="F2654" s="75"/>
    </row>
    <row r="2655" spans="1:6" ht="14.25" customHeight="1" x14ac:dyDescent="0.3">
      <c r="A2655" s="73">
        <v>44455</v>
      </c>
      <c r="B2655" s="74">
        <v>59141.16</v>
      </c>
      <c r="C2655" s="74">
        <v>2109</v>
      </c>
      <c r="D2655" s="74">
        <f t="shared" si="83"/>
        <v>7.09224997188078E-3</v>
      </c>
      <c r="E2655" s="74">
        <f t="shared" si="84"/>
        <v>-4.8719439837538623E-3</v>
      </c>
      <c r="F2655" s="75"/>
    </row>
    <row r="2656" spans="1:6" ht="14.25" customHeight="1" x14ac:dyDescent="0.3">
      <c r="A2656" s="73">
        <v>44456</v>
      </c>
      <c r="B2656" s="74">
        <v>59015.89</v>
      </c>
      <c r="C2656" s="74">
        <v>2094.9499999999998</v>
      </c>
      <c r="D2656" s="74">
        <f t="shared" si="83"/>
        <v>-2.1203990271500099E-3</v>
      </c>
      <c r="E2656" s="74">
        <f t="shared" si="84"/>
        <v>-6.6842147557910937E-3</v>
      </c>
      <c r="F2656" s="75"/>
    </row>
    <row r="2657" spans="1:6" ht="14.25" customHeight="1" x14ac:dyDescent="0.3">
      <c r="A2657" s="73">
        <v>44459</v>
      </c>
      <c r="B2657" s="74">
        <v>58490.93</v>
      </c>
      <c r="C2657" s="74">
        <v>2077.75</v>
      </c>
      <c r="D2657" s="74">
        <f t="shared" si="83"/>
        <v>-8.9350301965483662E-3</v>
      </c>
      <c r="E2657" s="74">
        <f t="shared" si="84"/>
        <v>-8.2441092898477321E-3</v>
      </c>
      <c r="F2657" s="75"/>
    </row>
    <row r="2658" spans="1:6" ht="14.25" customHeight="1" x14ac:dyDescent="0.3">
      <c r="A2658" s="73">
        <v>44460</v>
      </c>
      <c r="B2658" s="74">
        <v>59005.27</v>
      </c>
      <c r="C2658" s="74">
        <v>2086.15</v>
      </c>
      <c r="D2658" s="74">
        <f t="shared" si="83"/>
        <v>8.7550624682416252E-3</v>
      </c>
      <c r="E2658" s="74">
        <f t="shared" si="84"/>
        <v>4.0346845001428674E-3</v>
      </c>
      <c r="F2658" s="75"/>
    </row>
    <row r="2659" spans="1:6" ht="14.25" customHeight="1" x14ac:dyDescent="0.3">
      <c r="A2659" s="73">
        <v>44461</v>
      </c>
      <c r="B2659" s="74">
        <v>58927.33</v>
      </c>
      <c r="C2659" s="74">
        <v>2083.85</v>
      </c>
      <c r="D2659" s="74">
        <f t="shared" si="83"/>
        <v>-1.3217721197919421E-3</v>
      </c>
      <c r="E2659" s="74">
        <f t="shared" si="84"/>
        <v>-1.1031176178576607E-3</v>
      </c>
      <c r="F2659" s="75"/>
    </row>
    <row r="2660" spans="1:6" ht="14.25" customHeight="1" x14ac:dyDescent="0.3">
      <c r="A2660" s="73">
        <v>44462</v>
      </c>
      <c r="B2660" s="74">
        <v>59885.36</v>
      </c>
      <c r="C2660" s="74">
        <v>2104</v>
      </c>
      <c r="D2660" s="74">
        <f t="shared" si="83"/>
        <v>1.6127078072634585E-2</v>
      </c>
      <c r="E2660" s="74">
        <f t="shared" si="84"/>
        <v>9.6231505421796454E-3</v>
      </c>
      <c r="F2660" s="75"/>
    </row>
    <row r="2661" spans="1:6" ht="14.25" customHeight="1" x14ac:dyDescent="0.3">
      <c r="A2661" s="73">
        <v>44463</v>
      </c>
      <c r="B2661" s="74">
        <v>60048.47</v>
      </c>
      <c r="C2661" s="74">
        <v>2092.1999999999998</v>
      </c>
      <c r="D2661" s="74">
        <f t="shared" si="83"/>
        <v>2.7200015302247089E-3</v>
      </c>
      <c r="E2661" s="74">
        <f t="shared" si="84"/>
        <v>-5.6241509479401167E-3</v>
      </c>
      <c r="F2661" s="75"/>
    </row>
    <row r="2662" spans="1:6" ht="14.25" customHeight="1" x14ac:dyDescent="0.3">
      <c r="A2662" s="73">
        <v>44466</v>
      </c>
      <c r="B2662" s="74">
        <v>60077.88</v>
      </c>
      <c r="C2662" s="74">
        <v>2090.6999999999998</v>
      </c>
      <c r="D2662" s="74">
        <f t="shared" si="83"/>
        <v>4.8965111464052214E-4</v>
      </c>
      <c r="E2662" s="74">
        <f t="shared" si="84"/>
        <v>-7.1720579707757967E-4</v>
      </c>
      <c r="F2662" s="75"/>
    </row>
    <row r="2663" spans="1:6" ht="14.25" customHeight="1" x14ac:dyDescent="0.3">
      <c r="A2663" s="73">
        <v>44467</v>
      </c>
      <c r="B2663" s="74">
        <v>59667.6</v>
      </c>
      <c r="C2663" s="74">
        <v>2129.1999999999998</v>
      </c>
      <c r="D2663" s="74">
        <f t="shared" si="83"/>
        <v>-6.8525610399463952E-3</v>
      </c>
      <c r="E2663" s="74">
        <f t="shared" si="84"/>
        <v>1.8247384186019521E-2</v>
      </c>
      <c r="F2663" s="75"/>
    </row>
    <row r="2664" spans="1:6" ht="14.25" customHeight="1" x14ac:dyDescent="0.3">
      <c r="A2664" s="73">
        <v>44468</v>
      </c>
      <c r="B2664" s="74">
        <v>59413.27</v>
      </c>
      <c r="C2664" s="74">
        <v>2147.65</v>
      </c>
      <c r="D2664" s="74">
        <f t="shared" si="83"/>
        <v>-4.2715574166185639E-3</v>
      </c>
      <c r="E2664" s="74">
        <f t="shared" si="84"/>
        <v>8.6278987817380373E-3</v>
      </c>
      <c r="F2664" s="75"/>
    </row>
    <row r="2665" spans="1:6" ht="14.25" customHeight="1" x14ac:dyDescent="0.3">
      <c r="A2665" s="73">
        <v>44469</v>
      </c>
      <c r="B2665" s="74">
        <v>59126.36</v>
      </c>
      <c r="C2665" s="74">
        <v>2159.85</v>
      </c>
      <c r="D2665" s="74">
        <f t="shared" si="83"/>
        <v>-4.8407534300678855E-3</v>
      </c>
      <c r="E2665" s="74">
        <f t="shared" si="84"/>
        <v>5.6645537420487672E-3</v>
      </c>
      <c r="F2665" s="75"/>
    </row>
    <row r="2666" spans="1:6" ht="14.25" customHeight="1" x14ac:dyDescent="0.3">
      <c r="A2666" s="73">
        <v>44470</v>
      </c>
      <c r="B2666" s="74">
        <v>58765.58</v>
      </c>
      <c r="C2666" s="74">
        <v>2163.6</v>
      </c>
      <c r="D2666" s="74">
        <f t="shared" si="83"/>
        <v>-6.120539305134844E-3</v>
      </c>
      <c r="E2666" s="74">
        <f t="shared" si="84"/>
        <v>1.7347261748828073E-3</v>
      </c>
      <c r="F2666" s="75"/>
    </row>
    <row r="2667" spans="1:6" ht="14.25" customHeight="1" x14ac:dyDescent="0.3">
      <c r="A2667" s="73">
        <v>44473</v>
      </c>
      <c r="B2667" s="74">
        <v>59299.32</v>
      </c>
      <c r="C2667" s="74">
        <v>2154.5</v>
      </c>
      <c r="D2667" s="74">
        <f t="shared" si="83"/>
        <v>9.0415294649919299E-3</v>
      </c>
      <c r="E2667" s="74">
        <f t="shared" si="84"/>
        <v>-4.2148229413791248E-3</v>
      </c>
      <c r="F2667" s="75"/>
    </row>
    <row r="2668" spans="1:6" ht="14.25" customHeight="1" x14ac:dyDescent="0.3">
      <c r="A2668" s="73">
        <v>44474</v>
      </c>
      <c r="B2668" s="74">
        <v>59744.88</v>
      </c>
      <c r="C2668" s="74">
        <v>2192.0500000000002</v>
      </c>
      <c r="D2668" s="74">
        <f t="shared" si="83"/>
        <v>7.4856579418464209E-3</v>
      </c>
      <c r="E2668" s="74">
        <f t="shared" si="84"/>
        <v>1.7278500970842655E-2</v>
      </c>
      <c r="F2668" s="75"/>
    </row>
    <row r="2669" spans="1:6" ht="14.25" customHeight="1" x14ac:dyDescent="0.3">
      <c r="A2669" s="73">
        <v>44475</v>
      </c>
      <c r="B2669" s="74">
        <v>59189.73</v>
      </c>
      <c r="C2669" s="74">
        <v>2146.8000000000002</v>
      </c>
      <c r="D2669" s="74">
        <f t="shared" si="83"/>
        <v>-9.3354496525393793E-3</v>
      </c>
      <c r="E2669" s="74">
        <f t="shared" si="84"/>
        <v>-2.0858817724061361E-2</v>
      </c>
      <c r="F2669" s="75"/>
    </row>
    <row r="2670" spans="1:6" ht="14.25" customHeight="1" x14ac:dyDescent="0.3">
      <c r="A2670" s="73">
        <v>44476</v>
      </c>
      <c r="B2670" s="74">
        <v>59677.83</v>
      </c>
      <c r="C2670" s="74">
        <v>2376.1999999999998</v>
      </c>
      <c r="D2670" s="74">
        <f t="shared" si="83"/>
        <v>8.2125475337492589E-3</v>
      </c>
      <c r="E2670" s="74">
        <f t="shared" si="84"/>
        <v>0.10152421172151309</v>
      </c>
      <c r="F2670" s="75"/>
    </row>
    <row r="2671" spans="1:6" ht="14.25" customHeight="1" x14ac:dyDescent="0.3">
      <c r="A2671" s="73">
        <v>44477</v>
      </c>
      <c r="B2671" s="74">
        <v>60059.06</v>
      </c>
      <c r="C2671" s="74">
        <v>2357.5500000000002</v>
      </c>
      <c r="D2671" s="74">
        <f t="shared" si="83"/>
        <v>6.3678167724239175E-3</v>
      </c>
      <c r="E2671" s="74">
        <f t="shared" si="84"/>
        <v>-7.8796288337388085E-3</v>
      </c>
      <c r="F2671" s="75"/>
    </row>
    <row r="2672" spans="1:6" ht="14.25" customHeight="1" x14ac:dyDescent="0.3">
      <c r="A2672" s="73">
        <v>44480</v>
      </c>
      <c r="B2672" s="74">
        <v>60135.78</v>
      </c>
      <c r="C2672" s="74">
        <v>2363.3000000000002</v>
      </c>
      <c r="D2672" s="74">
        <f t="shared" si="83"/>
        <v>1.2765940770696352E-3</v>
      </c>
      <c r="E2672" s="74">
        <f t="shared" si="84"/>
        <v>2.4360031957923905E-3</v>
      </c>
      <c r="F2672" s="75"/>
    </row>
    <row r="2673" spans="1:6" ht="14.25" customHeight="1" x14ac:dyDescent="0.3">
      <c r="A2673" s="73">
        <v>44481</v>
      </c>
      <c r="B2673" s="74">
        <v>60284.31</v>
      </c>
      <c r="C2673" s="74">
        <v>2494.35</v>
      </c>
      <c r="D2673" s="74">
        <f t="shared" si="83"/>
        <v>2.4668653764058769E-3</v>
      </c>
      <c r="E2673" s="74">
        <f t="shared" si="84"/>
        <v>5.3969226815792436E-2</v>
      </c>
      <c r="F2673" s="75"/>
    </row>
    <row r="2674" spans="1:6" ht="14.25" customHeight="1" x14ac:dyDescent="0.3">
      <c r="A2674" s="73">
        <v>44482</v>
      </c>
      <c r="B2674" s="74">
        <v>60737.05</v>
      </c>
      <c r="C2674" s="74">
        <v>2537.1</v>
      </c>
      <c r="D2674" s="74">
        <f t="shared" si="83"/>
        <v>7.4820199021658623E-3</v>
      </c>
      <c r="E2674" s="74">
        <f t="shared" si="84"/>
        <v>1.6993522254253244E-2</v>
      </c>
      <c r="F2674" s="75"/>
    </row>
    <row r="2675" spans="1:6" ht="14.25" customHeight="1" x14ac:dyDescent="0.3">
      <c r="A2675" s="73">
        <v>44483</v>
      </c>
      <c r="B2675" s="74">
        <v>61305.95</v>
      </c>
      <c r="C2675" s="74">
        <v>2563.15</v>
      </c>
      <c r="D2675" s="74">
        <f t="shared" si="83"/>
        <v>9.3230110806343282E-3</v>
      </c>
      <c r="E2675" s="74">
        <f t="shared" si="84"/>
        <v>1.0215274361075598E-2</v>
      </c>
      <c r="F2675" s="75"/>
    </row>
    <row r="2676" spans="1:6" ht="14.25" customHeight="1" x14ac:dyDescent="0.3">
      <c r="A2676" s="73">
        <v>44487</v>
      </c>
      <c r="B2676" s="74">
        <v>61765.59</v>
      </c>
      <c r="C2676" s="74">
        <v>2589</v>
      </c>
      <c r="D2676" s="74">
        <f t="shared" si="83"/>
        <v>7.4695114252882238E-3</v>
      </c>
      <c r="E2676" s="74">
        <f t="shared" si="84"/>
        <v>1.00347299341758E-2</v>
      </c>
      <c r="F2676" s="75"/>
    </row>
    <row r="2677" spans="1:6" ht="14.25" customHeight="1" x14ac:dyDescent="0.3">
      <c r="A2677" s="73">
        <v>44488</v>
      </c>
      <c r="B2677" s="74">
        <v>61716.05</v>
      </c>
      <c r="C2677" s="74">
        <v>2486.1999999999998</v>
      </c>
      <c r="D2677" s="74">
        <f t="shared" si="83"/>
        <v>-8.0238653548675106E-4</v>
      </c>
      <c r="E2677" s="74">
        <f t="shared" si="84"/>
        <v>-4.0516260393922636E-2</v>
      </c>
      <c r="F2677" s="75"/>
    </row>
    <row r="2678" spans="1:6" ht="14.25" customHeight="1" x14ac:dyDescent="0.3">
      <c r="A2678" s="73">
        <v>44489</v>
      </c>
      <c r="B2678" s="74">
        <v>61259.96</v>
      </c>
      <c r="C2678" s="74">
        <v>2412.35</v>
      </c>
      <c r="D2678" s="74">
        <f t="shared" si="83"/>
        <v>-7.4175782933356988E-3</v>
      </c>
      <c r="E2678" s="74">
        <f t="shared" si="84"/>
        <v>-3.0154064243295097E-2</v>
      </c>
      <c r="F2678" s="75"/>
    </row>
    <row r="2679" spans="1:6" ht="14.25" customHeight="1" x14ac:dyDescent="0.3">
      <c r="A2679" s="73">
        <v>44490</v>
      </c>
      <c r="B2679" s="74">
        <v>60923.5</v>
      </c>
      <c r="C2679" s="74">
        <v>2397.0500000000002</v>
      </c>
      <c r="D2679" s="74">
        <f t="shared" si="83"/>
        <v>-5.5074696765752759E-3</v>
      </c>
      <c r="E2679" s="74">
        <f t="shared" si="84"/>
        <v>-6.3625614898970527E-3</v>
      </c>
      <c r="F2679" s="75"/>
    </row>
    <row r="2680" spans="1:6" ht="14.25" customHeight="1" x14ac:dyDescent="0.3">
      <c r="A2680" s="73">
        <v>44491</v>
      </c>
      <c r="B2680" s="74">
        <v>60821.62</v>
      </c>
      <c r="C2680" s="74">
        <v>2410</v>
      </c>
      <c r="D2680" s="74">
        <f t="shared" si="83"/>
        <v>-1.6736609037254348E-3</v>
      </c>
      <c r="E2680" s="74">
        <f t="shared" si="84"/>
        <v>5.3879328602779025E-3</v>
      </c>
      <c r="F2680" s="75"/>
    </row>
    <row r="2681" spans="1:6" ht="14.25" customHeight="1" x14ac:dyDescent="0.3">
      <c r="A2681" s="73">
        <v>44494</v>
      </c>
      <c r="B2681" s="74">
        <v>60967.05</v>
      </c>
      <c r="C2681" s="74">
        <v>2380.65</v>
      </c>
      <c r="D2681" s="74">
        <f t="shared" si="83"/>
        <v>2.3882364282942809E-3</v>
      </c>
      <c r="E2681" s="74">
        <f t="shared" si="84"/>
        <v>-1.2253187863023426E-2</v>
      </c>
      <c r="F2681" s="75"/>
    </row>
    <row r="2682" spans="1:6" ht="14.25" customHeight="1" x14ac:dyDescent="0.3">
      <c r="A2682" s="73">
        <v>44495</v>
      </c>
      <c r="B2682" s="74">
        <v>61350.26</v>
      </c>
      <c r="C2682" s="74">
        <v>2456.8000000000002</v>
      </c>
      <c r="D2682" s="74">
        <f t="shared" si="83"/>
        <v>6.2658548289605551E-3</v>
      </c>
      <c r="E2682" s="74">
        <f t="shared" si="84"/>
        <v>3.1486130504935421E-2</v>
      </c>
      <c r="F2682" s="75"/>
    </row>
    <row r="2683" spans="1:6" ht="14.25" customHeight="1" x14ac:dyDescent="0.3">
      <c r="A2683" s="73">
        <v>44496</v>
      </c>
      <c r="B2683" s="74">
        <v>61143.33</v>
      </c>
      <c r="C2683" s="74">
        <v>2460.35</v>
      </c>
      <c r="D2683" s="74">
        <f t="shared" si="83"/>
        <v>-3.3786289853115175E-3</v>
      </c>
      <c r="E2683" s="74">
        <f t="shared" si="84"/>
        <v>1.4439261022295598E-3</v>
      </c>
      <c r="F2683" s="75"/>
    </row>
    <row r="2684" spans="1:6" ht="14.25" customHeight="1" x14ac:dyDescent="0.3">
      <c r="A2684" s="73">
        <v>44497</v>
      </c>
      <c r="B2684" s="74">
        <v>59984.7</v>
      </c>
      <c r="C2684" s="74">
        <v>2369.75</v>
      </c>
      <c r="D2684" s="74">
        <f t="shared" si="83"/>
        <v>-1.9131250437366378E-2</v>
      </c>
      <c r="E2684" s="74">
        <f t="shared" si="84"/>
        <v>-3.751915189569139E-2</v>
      </c>
      <c r="F2684" s="75"/>
    </row>
    <row r="2685" spans="1:6" ht="14.25" customHeight="1" x14ac:dyDescent="0.3">
      <c r="A2685" s="73">
        <v>44498</v>
      </c>
      <c r="B2685" s="74">
        <v>59306.93</v>
      </c>
      <c r="C2685" s="74">
        <v>2385.35</v>
      </c>
      <c r="D2685" s="74">
        <f t="shared" si="83"/>
        <v>-1.1363367121980555E-2</v>
      </c>
      <c r="E2685" s="74">
        <f t="shared" si="84"/>
        <v>6.5613997465947841E-3</v>
      </c>
      <c r="F2685" s="75"/>
    </row>
    <row r="2686" spans="1:6" ht="14.25" customHeight="1" x14ac:dyDescent="0.3">
      <c r="A2686" s="73">
        <v>44501</v>
      </c>
      <c r="B2686" s="74">
        <v>60138.46</v>
      </c>
      <c r="C2686" s="74">
        <v>2406.35</v>
      </c>
      <c r="D2686" s="74">
        <f t="shared" si="83"/>
        <v>1.3923407733235206E-2</v>
      </c>
      <c r="E2686" s="74">
        <f t="shared" si="84"/>
        <v>8.765212534378921E-3</v>
      </c>
      <c r="F2686" s="75"/>
    </row>
    <row r="2687" spans="1:6" ht="14.25" customHeight="1" x14ac:dyDescent="0.3">
      <c r="A2687" s="73">
        <v>44502</v>
      </c>
      <c r="B2687" s="74">
        <v>60029.06</v>
      </c>
      <c r="C2687" s="74">
        <v>2453.1999999999998</v>
      </c>
      <c r="D2687" s="74">
        <f t="shared" si="83"/>
        <v>-1.8207920114242748E-3</v>
      </c>
      <c r="E2687" s="74">
        <f t="shared" si="84"/>
        <v>1.9282218137703915E-2</v>
      </c>
      <c r="F2687" s="75"/>
    </row>
    <row r="2688" spans="1:6" ht="14.25" customHeight="1" x14ac:dyDescent="0.3">
      <c r="A2688" s="73">
        <v>44503</v>
      </c>
      <c r="B2688" s="74">
        <v>59771.92</v>
      </c>
      <c r="C2688" s="74">
        <v>2417.65</v>
      </c>
      <c r="D2688" s="74">
        <f t="shared" si="83"/>
        <v>-4.2927928449785794E-3</v>
      </c>
      <c r="E2688" s="74">
        <f t="shared" si="84"/>
        <v>-1.4597300779446482E-2</v>
      </c>
      <c r="F2688" s="75"/>
    </row>
    <row r="2689" spans="1:6" ht="14.25" customHeight="1" x14ac:dyDescent="0.3">
      <c r="A2689" s="73">
        <v>44504</v>
      </c>
      <c r="B2689" s="74">
        <v>60067.62</v>
      </c>
      <c r="C2689" s="74">
        <v>2432.4499999999998</v>
      </c>
      <c r="D2689" s="74">
        <f t="shared" si="83"/>
        <v>4.9349421754187476E-3</v>
      </c>
      <c r="E2689" s="74">
        <f t="shared" si="84"/>
        <v>6.1029858919376973E-3</v>
      </c>
      <c r="F2689" s="75"/>
    </row>
    <row r="2690" spans="1:6" ht="14.25" customHeight="1" x14ac:dyDescent="0.3">
      <c r="A2690" s="73">
        <v>44508</v>
      </c>
      <c r="B2690" s="74">
        <v>60545.61</v>
      </c>
      <c r="C2690" s="74">
        <v>2536.9</v>
      </c>
      <c r="D2690" s="74">
        <f t="shared" si="83"/>
        <v>7.9260376719469811E-3</v>
      </c>
      <c r="E2690" s="74">
        <f t="shared" si="84"/>
        <v>4.2043883324286761E-2</v>
      </c>
      <c r="F2690" s="75"/>
    </row>
    <row r="2691" spans="1:6" ht="14.25" customHeight="1" x14ac:dyDescent="0.3">
      <c r="A2691" s="73">
        <v>44509</v>
      </c>
      <c r="B2691" s="74">
        <v>60433.45</v>
      </c>
      <c r="C2691" s="74">
        <v>2511.85</v>
      </c>
      <c r="D2691" s="74">
        <f t="shared" si="83"/>
        <v>-1.8542057135272727E-3</v>
      </c>
      <c r="E2691" s="74">
        <f t="shared" si="84"/>
        <v>-9.9233297592279893E-3</v>
      </c>
      <c r="F2691" s="75"/>
    </row>
    <row r="2692" spans="1:6" ht="14.25" customHeight="1" x14ac:dyDescent="0.3">
      <c r="A2692" s="73">
        <v>44510</v>
      </c>
      <c r="B2692" s="74">
        <v>60352.82</v>
      </c>
      <c r="C2692" s="74">
        <v>2483.4499999999998</v>
      </c>
      <c r="D2692" s="74">
        <f t="shared" ref="D2692:D2755" si="85">LN(B2692/B2691)</f>
        <v>-1.3350857175505665E-3</v>
      </c>
      <c r="E2692" s="74">
        <f t="shared" ref="E2692:E2755" si="86">LN(C2692/C2691)</f>
        <v>-1.1370810961630581E-2</v>
      </c>
      <c r="F2692" s="75"/>
    </row>
    <row r="2693" spans="1:6" ht="14.25" customHeight="1" x14ac:dyDescent="0.3">
      <c r="A2693" s="73">
        <v>44511</v>
      </c>
      <c r="B2693" s="74">
        <v>59919.69</v>
      </c>
      <c r="C2693" s="74">
        <v>2528</v>
      </c>
      <c r="D2693" s="74">
        <f t="shared" si="85"/>
        <v>-7.2025082443840137E-3</v>
      </c>
      <c r="E2693" s="74">
        <f t="shared" si="86"/>
        <v>1.7779753799000181E-2</v>
      </c>
      <c r="F2693" s="75"/>
    </row>
    <row r="2694" spans="1:6" ht="14.25" customHeight="1" x14ac:dyDescent="0.3">
      <c r="A2694" s="73">
        <v>44512</v>
      </c>
      <c r="B2694" s="74">
        <v>60686.69</v>
      </c>
      <c r="C2694" s="74">
        <v>2539</v>
      </c>
      <c r="D2694" s="74">
        <f t="shared" si="85"/>
        <v>1.2719233266761099E-2</v>
      </c>
      <c r="E2694" s="74">
        <f t="shared" si="86"/>
        <v>4.3418264379304723E-3</v>
      </c>
      <c r="F2694" s="75"/>
    </row>
    <row r="2695" spans="1:6" ht="14.25" customHeight="1" x14ac:dyDescent="0.3">
      <c r="A2695" s="73">
        <v>44515</v>
      </c>
      <c r="B2695" s="74">
        <v>60718.71</v>
      </c>
      <c r="C2695" s="74">
        <v>2539.6</v>
      </c>
      <c r="D2695" s="74">
        <f t="shared" si="85"/>
        <v>5.2748890481708801E-4</v>
      </c>
      <c r="E2695" s="74">
        <f t="shared" si="86"/>
        <v>2.3628559161636541E-4</v>
      </c>
      <c r="F2695" s="75"/>
    </row>
    <row r="2696" spans="1:6" ht="14.25" customHeight="1" x14ac:dyDescent="0.3">
      <c r="A2696" s="73">
        <v>44516</v>
      </c>
      <c r="B2696" s="74">
        <v>60322.37</v>
      </c>
      <c r="C2696" s="74">
        <v>2529.3000000000002</v>
      </c>
      <c r="D2696" s="74">
        <f t="shared" si="85"/>
        <v>-6.5488744236269414E-3</v>
      </c>
      <c r="E2696" s="74">
        <f t="shared" si="86"/>
        <v>-4.0640036995550372E-3</v>
      </c>
      <c r="F2696" s="75"/>
    </row>
    <row r="2697" spans="1:6" ht="14.25" customHeight="1" x14ac:dyDescent="0.3">
      <c r="A2697" s="73">
        <v>44517</v>
      </c>
      <c r="B2697" s="74">
        <v>60008.33</v>
      </c>
      <c r="C2697" s="74">
        <v>2497.0500000000002</v>
      </c>
      <c r="D2697" s="74">
        <f t="shared" si="85"/>
        <v>-5.2196274598008364E-3</v>
      </c>
      <c r="E2697" s="74">
        <f t="shared" si="86"/>
        <v>-1.2832549488610042E-2</v>
      </c>
      <c r="F2697" s="75"/>
    </row>
    <row r="2698" spans="1:6" ht="14.25" customHeight="1" x14ac:dyDescent="0.3">
      <c r="A2698" s="73">
        <v>44518</v>
      </c>
      <c r="B2698" s="74">
        <v>59636.01</v>
      </c>
      <c r="C2698" s="74">
        <v>2479.35</v>
      </c>
      <c r="D2698" s="74">
        <f t="shared" si="85"/>
        <v>-6.223799668890779E-3</v>
      </c>
      <c r="E2698" s="74">
        <f t="shared" si="86"/>
        <v>-7.1136060766576678E-3</v>
      </c>
      <c r="F2698" s="75"/>
    </row>
    <row r="2699" spans="1:6" ht="14.25" customHeight="1" x14ac:dyDescent="0.3">
      <c r="A2699" s="73">
        <v>44522</v>
      </c>
      <c r="B2699" s="74">
        <v>58465.89</v>
      </c>
      <c r="C2699" s="74">
        <v>2392.9</v>
      </c>
      <c r="D2699" s="74">
        <f t="shared" si="85"/>
        <v>-1.9816078990810022E-2</v>
      </c>
      <c r="E2699" s="74">
        <f t="shared" si="86"/>
        <v>-3.549040954620173E-2</v>
      </c>
      <c r="F2699" s="75"/>
    </row>
    <row r="2700" spans="1:6" ht="14.25" customHeight="1" x14ac:dyDescent="0.3">
      <c r="A2700" s="73">
        <v>44523</v>
      </c>
      <c r="B2700" s="74">
        <v>58664.33</v>
      </c>
      <c r="C2700" s="74">
        <v>2389.1</v>
      </c>
      <c r="D2700" s="74">
        <f t="shared" si="85"/>
        <v>3.3883687720922461E-3</v>
      </c>
      <c r="E2700" s="74">
        <f t="shared" si="86"/>
        <v>-1.5892935172956914E-3</v>
      </c>
      <c r="F2700" s="75"/>
    </row>
    <row r="2701" spans="1:6" ht="14.25" customHeight="1" x14ac:dyDescent="0.3">
      <c r="A2701" s="73">
        <v>44524</v>
      </c>
      <c r="B2701" s="74">
        <v>58340.99</v>
      </c>
      <c r="C2701" s="74">
        <v>2376.1999999999998</v>
      </c>
      <c r="D2701" s="74">
        <f t="shared" si="85"/>
        <v>-5.5269422465737891E-3</v>
      </c>
      <c r="E2701" s="74">
        <f t="shared" si="86"/>
        <v>-5.4141529437876359E-3</v>
      </c>
      <c r="F2701" s="75"/>
    </row>
    <row r="2702" spans="1:6" ht="14.25" customHeight="1" x14ac:dyDescent="0.3">
      <c r="A2702" s="73">
        <v>44525</v>
      </c>
      <c r="B2702" s="74">
        <v>58795.09</v>
      </c>
      <c r="C2702" s="74">
        <v>2397.9499999999998</v>
      </c>
      <c r="D2702" s="74">
        <f t="shared" si="85"/>
        <v>7.7534142318211327E-3</v>
      </c>
      <c r="E2702" s="74">
        <f t="shared" si="86"/>
        <v>9.111632636969319E-3</v>
      </c>
      <c r="F2702" s="75"/>
    </row>
    <row r="2703" spans="1:6" ht="14.25" customHeight="1" x14ac:dyDescent="0.3">
      <c r="A2703" s="73">
        <v>44526</v>
      </c>
      <c r="B2703" s="74">
        <v>57107.15</v>
      </c>
      <c r="C2703" s="74">
        <v>2291.8000000000002</v>
      </c>
      <c r="D2703" s="74">
        <f t="shared" si="85"/>
        <v>-2.9129020279701188E-2</v>
      </c>
      <c r="E2703" s="74">
        <f t="shared" si="86"/>
        <v>-4.527667066880843E-2</v>
      </c>
      <c r="F2703" s="75"/>
    </row>
    <row r="2704" spans="1:6" ht="14.25" customHeight="1" x14ac:dyDescent="0.3">
      <c r="A2704" s="73">
        <v>44529</v>
      </c>
      <c r="B2704" s="74">
        <v>57260.58</v>
      </c>
      <c r="C2704" s="74">
        <v>2324.25</v>
      </c>
      <c r="D2704" s="74">
        <f t="shared" si="85"/>
        <v>2.6831011168203622E-3</v>
      </c>
      <c r="E2704" s="74">
        <f t="shared" si="86"/>
        <v>1.4059871343619391E-2</v>
      </c>
      <c r="F2704" s="75"/>
    </row>
    <row r="2705" spans="1:6" ht="14.25" customHeight="1" x14ac:dyDescent="0.3">
      <c r="A2705" s="73">
        <v>44530</v>
      </c>
      <c r="B2705" s="74">
        <v>57064.87</v>
      </c>
      <c r="C2705" s="74">
        <v>2374.9</v>
      </c>
      <c r="D2705" s="74">
        <f t="shared" si="85"/>
        <v>-3.4237379546848221E-3</v>
      </c>
      <c r="E2705" s="74">
        <f t="shared" si="86"/>
        <v>2.1557924983165003E-2</v>
      </c>
      <c r="F2705" s="75"/>
    </row>
    <row r="2706" spans="1:6" ht="14.25" customHeight="1" x14ac:dyDescent="0.3">
      <c r="A2706" s="73">
        <v>44531</v>
      </c>
      <c r="B2706" s="74">
        <v>57684.79</v>
      </c>
      <c r="C2706" s="74">
        <v>2359.5</v>
      </c>
      <c r="D2706" s="74">
        <f t="shared" si="85"/>
        <v>1.0804843012449591E-2</v>
      </c>
      <c r="E2706" s="74">
        <f t="shared" si="86"/>
        <v>-6.505599152690035E-3</v>
      </c>
      <c r="F2706" s="75"/>
    </row>
    <row r="2707" spans="1:6" ht="14.25" customHeight="1" x14ac:dyDescent="0.3">
      <c r="A2707" s="73">
        <v>44532</v>
      </c>
      <c r="B2707" s="74">
        <v>58461.29</v>
      </c>
      <c r="C2707" s="74">
        <v>2387</v>
      </c>
      <c r="D2707" s="74">
        <f t="shared" si="85"/>
        <v>1.3371291898307351E-2</v>
      </c>
      <c r="E2707" s="74">
        <f t="shared" si="86"/>
        <v>1.1587615172387829E-2</v>
      </c>
      <c r="F2707" s="75"/>
    </row>
    <row r="2708" spans="1:6" ht="14.25" customHeight="1" x14ac:dyDescent="0.3">
      <c r="A2708" s="73">
        <v>44533</v>
      </c>
      <c r="B2708" s="74">
        <v>57696.46</v>
      </c>
      <c r="C2708" s="74">
        <v>2369.5500000000002</v>
      </c>
      <c r="D2708" s="74">
        <f t="shared" si="85"/>
        <v>-1.3169005997612138E-2</v>
      </c>
      <c r="E2708" s="74">
        <f t="shared" si="86"/>
        <v>-7.3372836556141316E-3</v>
      </c>
      <c r="F2708" s="75"/>
    </row>
    <row r="2709" spans="1:6" ht="14.25" customHeight="1" x14ac:dyDescent="0.3">
      <c r="A2709" s="73">
        <v>44536</v>
      </c>
      <c r="B2709" s="74">
        <v>56747.14</v>
      </c>
      <c r="C2709" s="74">
        <v>2326</v>
      </c>
      <c r="D2709" s="74">
        <f t="shared" si="85"/>
        <v>-1.65905611964005E-2</v>
      </c>
      <c r="E2709" s="74">
        <f t="shared" si="86"/>
        <v>-1.8550009604606187E-2</v>
      </c>
      <c r="F2709" s="75"/>
    </row>
    <row r="2710" spans="1:6" ht="14.25" customHeight="1" x14ac:dyDescent="0.3">
      <c r="A2710" s="73">
        <v>44537</v>
      </c>
      <c r="B2710" s="74">
        <v>57633.65</v>
      </c>
      <c r="C2710" s="74">
        <v>2381.5</v>
      </c>
      <c r="D2710" s="74">
        <f t="shared" si="85"/>
        <v>1.5501339895738743E-2</v>
      </c>
      <c r="E2710" s="74">
        <f t="shared" si="86"/>
        <v>2.3580487162305302E-2</v>
      </c>
      <c r="F2710" s="75"/>
    </row>
    <row r="2711" spans="1:6" ht="14.25" customHeight="1" x14ac:dyDescent="0.3">
      <c r="A2711" s="73">
        <v>44538</v>
      </c>
      <c r="B2711" s="74">
        <v>58649.68</v>
      </c>
      <c r="C2711" s="74">
        <v>2405.1</v>
      </c>
      <c r="D2711" s="74">
        <f t="shared" si="85"/>
        <v>1.7475520477583321E-2</v>
      </c>
      <c r="E2711" s="74">
        <f t="shared" si="86"/>
        <v>9.8609414761005702E-3</v>
      </c>
      <c r="F2711" s="75"/>
    </row>
    <row r="2712" spans="1:6" ht="14.25" customHeight="1" x14ac:dyDescent="0.3">
      <c r="A2712" s="73">
        <v>44539</v>
      </c>
      <c r="B2712" s="74">
        <v>58807.13</v>
      </c>
      <c r="C2712" s="74">
        <v>2373.4499999999998</v>
      </c>
      <c r="D2712" s="74">
        <f t="shared" si="85"/>
        <v>2.6809870676461458E-3</v>
      </c>
      <c r="E2712" s="74">
        <f t="shared" si="86"/>
        <v>-1.3246889883913744E-2</v>
      </c>
      <c r="F2712" s="75"/>
    </row>
    <row r="2713" spans="1:6" ht="14.25" customHeight="1" x14ac:dyDescent="0.3">
      <c r="A2713" s="73">
        <v>44540</v>
      </c>
      <c r="B2713" s="74">
        <v>58786.67</v>
      </c>
      <c r="C2713" s="74">
        <v>2340.4499999999998</v>
      </c>
      <c r="D2713" s="74">
        <f t="shared" si="85"/>
        <v>-3.4797753293883935E-4</v>
      </c>
      <c r="E2713" s="74">
        <f t="shared" si="86"/>
        <v>-1.4001374277801003E-2</v>
      </c>
      <c r="F2713" s="75"/>
    </row>
    <row r="2714" spans="1:6" ht="14.25" customHeight="1" x14ac:dyDescent="0.3">
      <c r="A2714" s="73">
        <v>44543</v>
      </c>
      <c r="B2714" s="74">
        <v>58283.42</v>
      </c>
      <c r="C2714" s="74">
        <v>2350.4</v>
      </c>
      <c r="D2714" s="74">
        <f t="shared" si="85"/>
        <v>-8.5974666948084415E-3</v>
      </c>
      <c r="E2714" s="74">
        <f t="shared" si="86"/>
        <v>4.2423078643121382E-3</v>
      </c>
      <c r="F2714" s="75"/>
    </row>
    <row r="2715" spans="1:6" ht="14.25" customHeight="1" x14ac:dyDescent="0.3">
      <c r="A2715" s="73">
        <v>44544</v>
      </c>
      <c r="B2715" s="74">
        <v>58117.09</v>
      </c>
      <c r="C2715" s="74">
        <v>2353.35</v>
      </c>
      <c r="D2715" s="74">
        <f t="shared" si="85"/>
        <v>-2.8578932035449697E-3</v>
      </c>
      <c r="E2715" s="74">
        <f t="shared" si="86"/>
        <v>1.25431852746123E-3</v>
      </c>
      <c r="F2715" s="75"/>
    </row>
    <row r="2716" spans="1:6" ht="14.25" customHeight="1" x14ac:dyDescent="0.3">
      <c r="A2716" s="73">
        <v>44545</v>
      </c>
      <c r="B2716" s="74">
        <v>57788.03</v>
      </c>
      <c r="C2716" s="74">
        <v>2323.1</v>
      </c>
      <c r="D2716" s="74">
        <f t="shared" si="85"/>
        <v>-5.6781078195504483E-3</v>
      </c>
      <c r="E2716" s="74">
        <f t="shared" si="86"/>
        <v>-1.2937344320155104E-2</v>
      </c>
      <c r="F2716" s="75"/>
    </row>
    <row r="2717" spans="1:6" ht="14.25" customHeight="1" x14ac:dyDescent="0.3">
      <c r="A2717" s="73">
        <v>44546</v>
      </c>
      <c r="B2717" s="74">
        <v>57901.14</v>
      </c>
      <c r="C2717" s="74">
        <v>2357.1999999999998</v>
      </c>
      <c r="D2717" s="74">
        <f t="shared" si="85"/>
        <v>1.9554126983705828E-3</v>
      </c>
      <c r="E2717" s="74">
        <f t="shared" si="86"/>
        <v>1.4571973336839062E-2</v>
      </c>
      <c r="F2717" s="75"/>
    </row>
    <row r="2718" spans="1:6" ht="14.25" customHeight="1" x14ac:dyDescent="0.3">
      <c r="A2718" s="73">
        <v>44547</v>
      </c>
      <c r="B2718" s="74">
        <v>57011.74</v>
      </c>
      <c r="C2718" s="74">
        <v>2280.6</v>
      </c>
      <c r="D2718" s="74">
        <f t="shared" si="85"/>
        <v>-1.5479861965322049E-2</v>
      </c>
      <c r="E2718" s="74">
        <f t="shared" si="86"/>
        <v>-3.3035907740500213E-2</v>
      </c>
      <c r="F2718" s="75"/>
    </row>
    <row r="2719" spans="1:6" ht="14.25" customHeight="1" x14ac:dyDescent="0.3">
      <c r="A2719" s="73">
        <v>44550</v>
      </c>
      <c r="B2719" s="74">
        <v>55822.01</v>
      </c>
      <c r="C2719" s="74">
        <v>2239.6</v>
      </c>
      <c r="D2719" s="74">
        <f t="shared" si="85"/>
        <v>-2.1088975480019697E-2</v>
      </c>
      <c r="E2719" s="74">
        <f t="shared" si="86"/>
        <v>-1.8141287748519825E-2</v>
      </c>
      <c r="F2719" s="75"/>
    </row>
    <row r="2720" spans="1:6" ht="14.25" customHeight="1" x14ac:dyDescent="0.3">
      <c r="A2720" s="73">
        <v>44551</v>
      </c>
      <c r="B2720" s="74">
        <v>56319.01</v>
      </c>
      <c r="C2720" s="74">
        <v>2287.5</v>
      </c>
      <c r="D2720" s="74">
        <f t="shared" si="85"/>
        <v>8.8638975113393987E-3</v>
      </c>
      <c r="E2720" s="74">
        <f t="shared" si="86"/>
        <v>2.1162239674938244E-2</v>
      </c>
      <c r="F2720" s="75"/>
    </row>
    <row r="2721" spans="1:6" ht="14.25" customHeight="1" x14ac:dyDescent="0.3">
      <c r="A2721" s="73">
        <v>44552</v>
      </c>
      <c r="B2721" s="74">
        <v>56930.559999999998</v>
      </c>
      <c r="C2721" s="74">
        <v>2300.4</v>
      </c>
      <c r="D2721" s="74">
        <f t="shared" si="85"/>
        <v>1.0800145985810543E-2</v>
      </c>
      <c r="E2721" s="74">
        <f t="shared" si="86"/>
        <v>5.6235026899227247E-3</v>
      </c>
      <c r="F2721" s="75"/>
    </row>
    <row r="2722" spans="1:6" ht="14.25" customHeight="1" x14ac:dyDescent="0.3">
      <c r="A2722" s="73">
        <v>44553</v>
      </c>
      <c r="B2722" s="74">
        <v>57315.28</v>
      </c>
      <c r="C2722" s="74">
        <v>2327.35</v>
      </c>
      <c r="D2722" s="74">
        <f t="shared" si="85"/>
        <v>6.7349752820241599E-3</v>
      </c>
      <c r="E2722" s="74">
        <f t="shared" si="86"/>
        <v>1.1647260403472557E-2</v>
      </c>
      <c r="F2722" s="75"/>
    </row>
    <row r="2723" spans="1:6" ht="14.25" customHeight="1" x14ac:dyDescent="0.3">
      <c r="A2723" s="73">
        <v>44554</v>
      </c>
      <c r="B2723" s="74">
        <v>57124.31</v>
      </c>
      <c r="C2723" s="74">
        <v>2316.4</v>
      </c>
      <c r="D2723" s="74">
        <f t="shared" si="85"/>
        <v>-3.3374844713220386E-3</v>
      </c>
      <c r="E2723" s="74">
        <f t="shared" si="86"/>
        <v>-4.7160248914369591E-3</v>
      </c>
      <c r="F2723" s="75"/>
    </row>
    <row r="2724" spans="1:6" ht="14.25" customHeight="1" x14ac:dyDescent="0.3">
      <c r="A2724" s="73">
        <v>44557</v>
      </c>
      <c r="B2724" s="74">
        <v>57420.24</v>
      </c>
      <c r="C2724" s="74">
        <v>2330.9499999999998</v>
      </c>
      <c r="D2724" s="74">
        <f t="shared" si="85"/>
        <v>5.1670840456977309E-3</v>
      </c>
      <c r="E2724" s="74">
        <f t="shared" si="86"/>
        <v>6.2616534326171936E-3</v>
      </c>
      <c r="F2724" s="75"/>
    </row>
    <row r="2725" spans="1:6" ht="14.25" customHeight="1" x14ac:dyDescent="0.3">
      <c r="A2725" s="73">
        <v>44558</v>
      </c>
      <c r="B2725" s="74">
        <v>57897.48</v>
      </c>
      <c r="C2725" s="74">
        <v>2380.3000000000002</v>
      </c>
      <c r="D2725" s="74">
        <f t="shared" si="85"/>
        <v>8.2770059032200548E-3</v>
      </c>
      <c r="E2725" s="74">
        <f t="shared" si="86"/>
        <v>2.0950620357749705E-2</v>
      </c>
      <c r="F2725" s="75"/>
    </row>
    <row r="2726" spans="1:6" ht="14.25" customHeight="1" x14ac:dyDescent="0.3">
      <c r="A2726" s="73">
        <v>44559</v>
      </c>
      <c r="B2726" s="74">
        <v>57806.49</v>
      </c>
      <c r="C2726" s="74">
        <v>2401.5500000000002</v>
      </c>
      <c r="D2726" s="74">
        <f t="shared" si="85"/>
        <v>-1.5728072037114555E-3</v>
      </c>
      <c r="E2726" s="74">
        <f t="shared" si="86"/>
        <v>8.8878320667703115E-3</v>
      </c>
      <c r="F2726" s="75"/>
    </row>
    <row r="2727" spans="1:6" ht="14.25" customHeight="1" x14ac:dyDescent="0.3">
      <c r="A2727" s="73">
        <v>44560</v>
      </c>
      <c r="B2727" s="74">
        <v>57794.32</v>
      </c>
      <c r="C2727" s="74">
        <v>2436.65</v>
      </c>
      <c r="D2727" s="74">
        <f t="shared" si="85"/>
        <v>-2.1055215867365641E-4</v>
      </c>
      <c r="E2727" s="74">
        <f t="shared" si="86"/>
        <v>1.4509782898269279E-2</v>
      </c>
      <c r="F2727" s="75"/>
    </row>
    <row r="2728" spans="1:6" ht="14.25" customHeight="1" x14ac:dyDescent="0.3">
      <c r="A2728" s="73">
        <v>44561</v>
      </c>
      <c r="B2728" s="74">
        <v>58253.82</v>
      </c>
      <c r="C2728" s="74">
        <v>2524.35</v>
      </c>
      <c r="D2728" s="74">
        <f t="shared" si="85"/>
        <v>7.9191687413812696E-3</v>
      </c>
      <c r="E2728" s="74">
        <f t="shared" si="86"/>
        <v>3.5359458720150436E-2</v>
      </c>
      <c r="F2728" s="75"/>
    </row>
    <row r="2729" spans="1:6" ht="14.25" customHeight="1" x14ac:dyDescent="0.3">
      <c r="A2729" s="73">
        <v>44564</v>
      </c>
      <c r="B2729" s="74">
        <v>59183.22</v>
      </c>
      <c r="C2729" s="74">
        <v>2523.75</v>
      </c>
      <c r="D2729" s="74">
        <f t="shared" si="85"/>
        <v>1.5828386070902721E-2</v>
      </c>
      <c r="E2729" s="74">
        <f t="shared" si="86"/>
        <v>-2.3771320014467608E-4</v>
      </c>
      <c r="F2729" s="75"/>
    </row>
    <row r="2730" spans="1:6" ht="14.25" customHeight="1" x14ac:dyDescent="0.3">
      <c r="A2730" s="73">
        <v>44565</v>
      </c>
      <c r="B2730" s="74">
        <v>59855.93</v>
      </c>
      <c r="C2730" s="74">
        <v>2579.65</v>
      </c>
      <c r="D2730" s="74">
        <f t="shared" si="85"/>
        <v>1.1302452366084284E-2</v>
      </c>
      <c r="E2730" s="74">
        <f t="shared" si="86"/>
        <v>2.1907840171384377E-2</v>
      </c>
      <c r="F2730" s="75"/>
    </row>
    <row r="2731" spans="1:6" ht="14.25" customHeight="1" x14ac:dyDescent="0.3">
      <c r="A2731" s="73">
        <v>44566</v>
      </c>
      <c r="B2731" s="74">
        <v>60223.15</v>
      </c>
      <c r="C2731" s="74">
        <v>2576.4</v>
      </c>
      <c r="D2731" s="74">
        <f t="shared" si="85"/>
        <v>6.1163217571125863E-3</v>
      </c>
      <c r="E2731" s="74">
        <f t="shared" si="86"/>
        <v>-1.2606551256958776E-3</v>
      </c>
      <c r="F2731" s="75"/>
    </row>
    <row r="2732" spans="1:6" ht="14.25" customHeight="1" x14ac:dyDescent="0.3">
      <c r="A2732" s="73">
        <v>44567</v>
      </c>
      <c r="B2732" s="74">
        <v>59601.84</v>
      </c>
      <c r="C2732" s="74">
        <v>2596.75</v>
      </c>
      <c r="D2732" s="74">
        <f t="shared" si="85"/>
        <v>-1.0370383810835968E-2</v>
      </c>
      <c r="E2732" s="74">
        <f t="shared" si="86"/>
        <v>7.8675874351850864E-3</v>
      </c>
      <c r="F2732" s="75"/>
    </row>
    <row r="2733" spans="1:6" ht="14.25" customHeight="1" x14ac:dyDescent="0.3">
      <c r="A2733" s="73">
        <v>44568</v>
      </c>
      <c r="B2733" s="74">
        <v>59744.65</v>
      </c>
      <c r="C2733" s="74">
        <v>2572.8000000000002</v>
      </c>
      <c r="D2733" s="74">
        <f t="shared" si="85"/>
        <v>2.3932009757633012E-3</v>
      </c>
      <c r="E2733" s="74">
        <f t="shared" si="86"/>
        <v>-9.2658631232734323E-3</v>
      </c>
      <c r="F2733" s="75"/>
    </row>
    <row r="2734" spans="1:6" ht="14.25" customHeight="1" x14ac:dyDescent="0.3">
      <c r="A2734" s="73">
        <v>44571</v>
      </c>
      <c r="B2734" s="74">
        <v>60395.63</v>
      </c>
      <c r="C2734" s="74">
        <v>2657.35</v>
      </c>
      <c r="D2734" s="74">
        <f t="shared" si="85"/>
        <v>1.0837104276188917E-2</v>
      </c>
      <c r="E2734" s="74">
        <f t="shared" si="86"/>
        <v>3.2334585612091148E-2</v>
      </c>
      <c r="F2734" s="75"/>
    </row>
    <row r="2735" spans="1:6" ht="14.25" customHeight="1" x14ac:dyDescent="0.3">
      <c r="A2735" s="73">
        <v>44572</v>
      </c>
      <c r="B2735" s="74">
        <v>60616.89</v>
      </c>
      <c r="C2735" s="74">
        <v>2651.2</v>
      </c>
      <c r="D2735" s="74">
        <f t="shared" si="85"/>
        <v>3.6568157834066563E-3</v>
      </c>
      <c r="E2735" s="74">
        <f t="shared" si="86"/>
        <v>-2.3170179244400078E-3</v>
      </c>
      <c r="F2735" s="75"/>
    </row>
    <row r="2736" spans="1:6" ht="14.25" customHeight="1" x14ac:dyDescent="0.3">
      <c r="A2736" s="73">
        <v>44573</v>
      </c>
      <c r="B2736" s="74">
        <v>61150.04</v>
      </c>
      <c r="C2736" s="74">
        <v>2612.5</v>
      </c>
      <c r="D2736" s="74">
        <f t="shared" si="85"/>
        <v>8.7569491488189259E-3</v>
      </c>
      <c r="E2736" s="74">
        <f t="shared" si="86"/>
        <v>-1.4704750399232008E-2</v>
      </c>
      <c r="F2736" s="75"/>
    </row>
    <row r="2737" spans="1:6" ht="14.25" customHeight="1" x14ac:dyDescent="0.3">
      <c r="A2737" s="73">
        <v>44574</v>
      </c>
      <c r="B2737" s="74">
        <v>61235.3</v>
      </c>
      <c r="C2737" s="74">
        <v>2618.65</v>
      </c>
      <c r="D2737" s="74">
        <f t="shared" si="85"/>
        <v>1.3933043580695533E-3</v>
      </c>
      <c r="E2737" s="74">
        <f t="shared" si="86"/>
        <v>2.3513005107535967E-3</v>
      </c>
      <c r="F2737" s="75"/>
    </row>
    <row r="2738" spans="1:6" ht="14.25" customHeight="1" x14ac:dyDescent="0.3">
      <c r="A2738" s="73">
        <v>44575</v>
      </c>
      <c r="B2738" s="74">
        <v>61223.03</v>
      </c>
      <c r="C2738" s="74">
        <v>2591.9499999999998</v>
      </c>
      <c r="D2738" s="74">
        <f t="shared" si="85"/>
        <v>-2.0039469819760583E-4</v>
      </c>
      <c r="E2738" s="74">
        <f t="shared" si="86"/>
        <v>-1.0248429621168441E-2</v>
      </c>
      <c r="F2738" s="75"/>
    </row>
    <row r="2739" spans="1:6" ht="14.25" customHeight="1" x14ac:dyDescent="0.3">
      <c r="A2739" s="73">
        <v>44578</v>
      </c>
      <c r="B2739" s="74">
        <v>61308.91</v>
      </c>
      <c r="C2739" s="74">
        <v>2597.1999999999998</v>
      </c>
      <c r="D2739" s="74">
        <f t="shared" si="85"/>
        <v>1.4017571918359412E-3</v>
      </c>
      <c r="E2739" s="74">
        <f t="shared" si="86"/>
        <v>2.0234534716798815E-3</v>
      </c>
      <c r="F2739" s="75"/>
    </row>
    <row r="2740" spans="1:6" ht="14.25" customHeight="1" x14ac:dyDescent="0.3">
      <c r="A2740" s="73">
        <v>44579</v>
      </c>
      <c r="B2740" s="74">
        <v>60754.86</v>
      </c>
      <c r="C2740" s="74">
        <v>2604</v>
      </c>
      <c r="D2740" s="74">
        <f t="shared" si="85"/>
        <v>-9.0781040930373747E-3</v>
      </c>
      <c r="E2740" s="74">
        <f t="shared" si="86"/>
        <v>2.6147826941282184E-3</v>
      </c>
      <c r="F2740" s="75"/>
    </row>
    <row r="2741" spans="1:6" ht="14.25" customHeight="1" x14ac:dyDescent="0.3">
      <c r="A2741" s="73">
        <v>44580</v>
      </c>
      <c r="B2741" s="74">
        <v>60098.82</v>
      </c>
      <c r="C2741" s="74">
        <v>2589.6</v>
      </c>
      <c r="D2741" s="74">
        <f t="shared" si="85"/>
        <v>-1.0856871615842667E-2</v>
      </c>
      <c r="E2741" s="74">
        <f t="shared" si="86"/>
        <v>-5.5453007164252641E-3</v>
      </c>
      <c r="F2741" s="75"/>
    </row>
    <row r="2742" spans="1:6" ht="14.25" customHeight="1" x14ac:dyDescent="0.3">
      <c r="A2742" s="73">
        <v>44581</v>
      </c>
      <c r="B2742" s="74">
        <v>59464.62</v>
      </c>
      <c r="C2742" s="74">
        <v>2566.4</v>
      </c>
      <c r="D2742" s="74">
        <f t="shared" si="85"/>
        <v>-1.060869355982515E-2</v>
      </c>
      <c r="E2742" s="74">
        <f t="shared" si="86"/>
        <v>-8.9992849398391681E-3</v>
      </c>
      <c r="F2742" s="75"/>
    </row>
    <row r="2743" spans="1:6" ht="14.25" customHeight="1" x14ac:dyDescent="0.3">
      <c r="A2743" s="73">
        <v>44582</v>
      </c>
      <c r="B2743" s="74">
        <v>59037.18</v>
      </c>
      <c r="C2743" s="74">
        <v>2528.6999999999998</v>
      </c>
      <c r="D2743" s="74">
        <f t="shared" si="85"/>
        <v>-7.2140989213329574E-3</v>
      </c>
      <c r="E2743" s="74">
        <f t="shared" si="86"/>
        <v>-1.4798802000649319E-2</v>
      </c>
      <c r="F2743" s="75"/>
    </row>
    <row r="2744" spans="1:6" ht="14.25" customHeight="1" x14ac:dyDescent="0.3">
      <c r="A2744" s="73">
        <v>44585</v>
      </c>
      <c r="B2744" s="74">
        <v>57491.51</v>
      </c>
      <c r="C2744" s="74">
        <v>2402.9499999999998</v>
      </c>
      <c r="D2744" s="74">
        <f t="shared" si="85"/>
        <v>-2.6530130196091344E-2</v>
      </c>
      <c r="E2744" s="74">
        <f t="shared" si="86"/>
        <v>-5.1008187475730708E-2</v>
      </c>
      <c r="F2744" s="75"/>
    </row>
    <row r="2745" spans="1:6" ht="14.25" customHeight="1" x14ac:dyDescent="0.3">
      <c r="A2745" s="73">
        <v>44586</v>
      </c>
      <c r="B2745" s="74">
        <v>57858.15</v>
      </c>
      <c r="C2745" s="74">
        <v>2379.4</v>
      </c>
      <c r="D2745" s="74">
        <f t="shared" si="85"/>
        <v>6.3570405793896001E-3</v>
      </c>
      <c r="E2745" s="74">
        <f t="shared" si="86"/>
        <v>-9.848794153389618E-3</v>
      </c>
      <c r="F2745" s="75"/>
    </row>
    <row r="2746" spans="1:6" ht="14.25" customHeight="1" x14ac:dyDescent="0.3">
      <c r="A2746" s="73">
        <v>44588</v>
      </c>
      <c r="B2746" s="74">
        <v>57276.94</v>
      </c>
      <c r="C2746" s="74">
        <v>2310.4499999999998</v>
      </c>
      <c r="D2746" s="74">
        <f t="shared" si="85"/>
        <v>-1.0096225869439965E-2</v>
      </c>
      <c r="E2746" s="74">
        <f t="shared" si="86"/>
        <v>-2.9406044303849469E-2</v>
      </c>
      <c r="F2746" s="75"/>
    </row>
    <row r="2747" spans="1:6" ht="14.25" customHeight="1" x14ac:dyDescent="0.3">
      <c r="A2747" s="73">
        <v>44589</v>
      </c>
      <c r="B2747" s="74">
        <v>57200.23</v>
      </c>
      <c r="C2747" s="74">
        <v>2316</v>
      </c>
      <c r="D2747" s="74">
        <f t="shared" si="85"/>
        <v>-1.3401800809971116E-3</v>
      </c>
      <c r="E2747" s="74">
        <f t="shared" si="86"/>
        <v>2.3992489543095625E-3</v>
      </c>
      <c r="F2747" s="75"/>
    </row>
    <row r="2748" spans="1:6" ht="14.25" customHeight="1" x14ac:dyDescent="0.3">
      <c r="A2748" s="73">
        <v>44592</v>
      </c>
      <c r="B2748" s="74">
        <v>58014.17</v>
      </c>
      <c r="C2748" s="74">
        <v>2360.9</v>
      </c>
      <c r="D2748" s="74">
        <f t="shared" si="85"/>
        <v>1.4129371695645375E-2</v>
      </c>
      <c r="E2748" s="74">
        <f t="shared" si="86"/>
        <v>1.9201342561281684E-2</v>
      </c>
      <c r="F2748" s="75"/>
    </row>
    <row r="2749" spans="1:6" ht="14.25" customHeight="1" x14ac:dyDescent="0.3">
      <c r="A2749" s="73">
        <v>44593</v>
      </c>
      <c r="B2749" s="74">
        <v>58862.57</v>
      </c>
      <c r="C2749" s="74">
        <v>2432.1</v>
      </c>
      <c r="D2749" s="74">
        <f t="shared" si="85"/>
        <v>1.4518113728778278E-2</v>
      </c>
      <c r="E2749" s="74">
        <f t="shared" si="86"/>
        <v>2.9712179407603481E-2</v>
      </c>
      <c r="F2749" s="75"/>
    </row>
    <row r="2750" spans="1:6" ht="14.25" customHeight="1" x14ac:dyDescent="0.3">
      <c r="A2750" s="73">
        <v>44594</v>
      </c>
      <c r="B2750" s="74">
        <v>59558.33</v>
      </c>
      <c r="C2750" s="74">
        <v>2464.1</v>
      </c>
      <c r="D2750" s="74">
        <f t="shared" si="85"/>
        <v>1.1750763689279601E-2</v>
      </c>
      <c r="E2750" s="74">
        <f t="shared" si="86"/>
        <v>1.3071547583698525E-2</v>
      </c>
      <c r="F2750" s="75"/>
    </row>
    <row r="2751" spans="1:6" ht="14.25" customHeight="1" x14ac:dyDescent="0.3">
      <c r="A2751" s="73">
        <v>44595</v>
      </c>
      <c r="B2751" s="74">
        <v>58788.02</v>
      </c>
      <c r="C2751" s="74">
        <v>2475.4499999999998</v>
      </c>
      <c r="D2751" s="74">
        <f t="shared" si="85"/>
        <v>-1.3018075820528234E-2</v>
      </c>
      <c r="E2751" s="74">
        <f t="shared" si="86"/>
        <v>4.5955684122166709E-3</v>
      </c>
      <c r="F2751" s="75"/>
    </row>
    <row r="2752" spans="1:6" ht="14.25" customHeight="1" x14ac:dyDescent="0.3">
      <c r="A2752" s="73">
        <v>44596</v>
      </c>
      <c r="B2752" s="74">
        <v>58644.82</v>
      </c>
      <c r="C2752" s="74">
        <v>2470.6999999999998</v>
      </c>
      <c r="D2752" s="74">
        <f t="shared" si="85"/>
        <v>-2.4388419964783315E-3</v>
      </c>
      <c r="E2752" s="74">
        <f t="shared" si="86"/>
        <v>-1.920686376370859E-3</v>
      </c>
      <c r="F2752" s="75"/>
    </row>
    <row r="2753" spans="1:6" ht="14.25" customHeight="1" x14ac:dyDescent="0.3">
      <c r="A2753" s="73">
        <v>44599</v>
      </c>
      <c r="B2753" s="74">
        <v>57621.19</v>
      </c>
      <c r="C2753" s="74">
        <v>2410.35</v>
      </c>
      <c r="D2753" s="74">
        <f t="shared" si="85"/>
        <v>-1.7608868659066919E-2</v>
      </c>
      <c r="E2753" s="74">
        <f t="shared" si="86"/>
        <v>-2.4729546125443695E-2</v>
      </c>
      <c r="F2753" s="75"/>
    </row>
    <row r="2754" spans="1:6" ht="14.25" customHeight="1" x14ac:dyDescent="0.3">
      <c r="A2754" s="73">
        <v>44600</v>
      </c>
      <c r="B2754" s="74">
        <v>57808.58</v>
      </c>
      <c r="C2754" s="74">
        <v>2443.6</v>
      </c>
      <c r="D2754" s="74">
        <f t="shared" si="85"/>
        <v>3.2468255740290912E-3</v>
      </c>
      <c r="E2754" s="74">
        <f t="shared" si="86"/>
        <v>1.3700396619739917E-2</v>
      </c>
      <c r="F2754" s="75"/>
    </row>
    <row r="2755" spans="1:6" ht="14.25" customHeight="1" x14ac:dyDescent="0.3">
      <c r="A2755" s="73">
        <v>44601</v>
      </c>
      <c r="B2755" s="74">
        <v>58465.97</v>
      </c>
      <c r="C2755" s="74">
        <v>2485.6999999999998</v>
      </c>
      <c r="D2755" s="74">
        <f t="shared" si="85"/>
        <v>1.130766800919657E-2</v>
      </c>
      <c r="E2755" s="74">
        <f t="shared" si="86"/>
        <v>1.7081948228743503E-2</v>
      </c>
      <c r="F2755" s="75"/>
    </row>
    <row r="2756" spans="1:6" ht="14.25" customHeight="1" x14ac:dyDescent="0.3">
      <c r="A2756" s="73">
        <v>44602</v>
      </c>
      <c r="B2756" s="74">
        <v>58926.03</v>
      </c>
      <c r="C2756" s="74">
        <v>2491.15</v>
      </c>
      <c r="D2756" s="74">
        <f t="shared" ref="D2756:D2819" si="87">LN(B2756/B2755)</f>
        <v>7.8380529391427374E-3</v>
      </c>
      <c r="E2756" s="74">
        <f t="shared" ref="E2756:E2819" si="88">LN(C2756/C2755)</f>
        <v>2.1901412252769074E-3</v>
      </c>
      <c r="F2756" s="75"/>
    </row>
    <row r="2757" spans="1:6" ht="14.25" customHeight="1" x14ac:dyDescent="0.3">
      <c r="A2757" s="73">
        <v>44603</v>
      </c>
      <c r="B2757" s="74">
        <v>58152.92</v>
      </c>
      <c r="C2757" s="74">
        <v>2442.15</v>
      </c>
      <c r="D2757" s="74">
        <f t="shared" si="87"/>
        <v>-1.320683585143612E-2</v>
      </c>
      <c r="E2757" s="74">
        <f t="shared" si="88"/>
        <v>-1.9865652383999146E-2</v>
      </c>
      <c r="F2757" s="75"/>
    </row>
    <row r="2758" spans="1:6" ht="14.25" customHeight="1" x14ac:dyDescent="0.3">
      <c r="A2758" s="73">
        <v>44606</v>
      </c>
      <c r="B2758" s="74">
        <v>56405.84</v>
      </c>
      <c r="C2758" s="74">
        <v>2397.4</v>
      </c>
      <c r="D2758" s="74">
        <f t="shared" si="87"/>
        <v>-3.0503393422474722E-2</v>
      </c>
      <c r="E2758" s="74">
        <f t="shared" si="88"/>
        <v>-1.8493982072633759E-2</v>
      </c>
      <c r="F2758" s="75"/>
    </row>
    <row r="2759" spans="1:6" ht="14.25" customHeight="1" x14ac:dyDescent="0.3">
      <c r="A2759" s="73">
        <v>44607</v>
      </c>
      <c r="B2759" s="74">
        <v>58142.05</v>
      </c>
      <c r="C2759" s="74">
        <v>2495.0500000000002</v>
      </c>
      <c r="D2759" s="74">
        <f t="shared" si="87"/>
        <v>3.0316454984266248E-2</v>
      </c>
      <c r="E2759" s="74">
        <f t="shared" si="88"/>
        <v>3.9923952291980196E-2</v>
      </c>
      <c r="F2759" s="75"/>
    </row>
    <row r="2760" spans="1:6" ht="14.25" customHeight="1" x14ac:dyDescent="0.3">
      <c r="A2760" s="73">
        <v>44608</v>
      </c>
      <c r="B2760" s="74">
        <v>57996.68</v>
      </c>
      <c r="C2760" s="74">
        <v>2487.85</v>
      </c>
      <c r="D2760" s="74">
        <f t="shared" si="87"/>
        <v>-2.5033866982841838E-3</v>
      </c>
      <c r="E2760" s="74">
        <f t="shared" si="88"/>
        <v>-2.8898854124554856E-3</v>
      </c>
      <c r="F2760" s="75"/>
    </row>
    <row r="2761" spans="1:6" ht="14.25" customHeight="1" x14ac:dyDescent="0.3">
      <c r="A2761" s="73">
        <v>44609</v>
      </c>
      <c r="B2761" s="74">
        <v>57892.01</v>
      </c>
      <c r="C2761" s="74">
        <v>2493.35</v>
      </c>
      <c r="D2761" s="74">
        <f t="shared" si="87"/>
        <v>-1.806389017977039E-3</v>
      </c>
      <c r="E2761" s="74">
        <f t="shared" si="88"/>
        <v>2.208304117526508E-3</v>
      </c>
      <c r="F2761" s="75"/>
    </row>
    <row r="2762" spans="1:6" ht="14.25" customHeight="1" x14ac:dyDescent="0.3">
      <c r="A2762" s="73">
        <v>44610</v>
      </c>
      <c r="B2762" s="74">
        <v>57832.97</v>
      </c>
      <c r="C2762" s="74">
        <v>2487.5500000000002</v>
      </c>
      <c r="D2762" s="74">
        <f t="shared" si="87"/>
        <v>-1.0203502324612063E-3</v>
      </c>
      <c r="E2762" s="74">
        <f t="shared" si="88"/>
        <v>-2.3288974368025736E-3</v>
      </c>
      <c r="F2762" s="75"/>
    </row>
    <row r="2763" spans="1:6" ht="14.25" customHeight="1" x14ac:dyDescent="0.3">
      <c r="A2763" s="73">
        <v>44613</v>
      </c>
      <c r="B2763" s="74">
        <v>57683.59</v>
      </c>
      <c r="C2763" s="74">
        <v>2453.35</v>
      </c>
      <c r="D2763" s="74">
        <f t="shared" si="87"/>
        <v>-2.5862972939303831E-3</v>
      </c>
      <c r="E2763" s="74">
        <f t="shared" si="88"/>
        <v>-1.3843852823250621E-2</v>
      </c>
      <c r="F2763" s="75"/>
    </row>
    <row r="2764" spans="1:6" ht="14.25" customHeight="1" x14ac:dyDescent="0.3">
      <c r="A2764" s="73">
        <v>44614</v>
      </c>
      <c r="B2764" s="74">
        <v>57300.68</v>
      </c>
      <c r="C2764" s="74">
        <v>2445.0500000000002</v>
      </c>
      <c r="D2764" s="74">
        <f t="shared" si="87"/>
        <v>-6.6602399693659019E-3</v>
      </c>
      <c r="E2764" s="74">
        <f t="shared" si="88"/>
        <v>-3.3888649123707702E-3</v>
      </c>
      <c r="F2764" s="75"/>
    </row>
    <row r="2765" spans="1:6" ht="14.25" customHeight="1" x14ac:dyDescent="0.3">
      <c r="A2765" s="73">
        <v>44615</v>
      </c>
      <c r="B2765" s="74">
        <v>57232.06</v>
      </c>
      <c r="C2765" s="74">
        <v>2491.1</v>
      </c>
      <c r="D2765" s="74">
        <f t="shared" si="87"/>
        <v>-1.1982601343606138E-3</v>
      </c>
      <c r="E2765" s="74">
        <f t="shared" si="88"/>
        <v>1.8658807379056928E-2</v>
      </c>
      <c r="F2765" s="75"/>
    </row>
    <row r="2766" spans="1:6" ht="14.25" customHeight="1" x14ac:dyDescent="0.3">
      <c r="A2766" s="73">
        <v>44616</v>
      </c>
      <c r="B2766" s="74">
        <v>54529.91</v>
      </c>
      <c r="C2766" s="74">
        <v>2406.65</v>
      </c>
      <c r="D2766" s="74">
        <f t="shared" si="87"/>
        <v>-4.8364872411687895E-2</v>
      </c>
      <c r="E2766" s="74">
        <f t="shared" si="88"/>
        <v>-3.4488640989657045E-2</v>
      </c>
      <c r="F2766" s="75"/>
    </row>
    <row r="2767" spans="1:6" ht="14.25" customHeight="1" x14ac:dyDescent="0.3">
      <c r="A2767" s="73">
        <v>44617</v>
      </c>
      <c r="B2767" s="74">
        <v>55858.52</v>
      </c>
      <c r="C2767" s="74">
        <v>2467.9</v>
      </c>
      <c r="D2767" s="74">
        <f t="shared" si="87"/>
        <v>2.4072706888611545E-2</v>
      </c>
      <c r="E2767" s="74">
        <f t="shared" si="88"/>
        <v>2.5131847578775787E-2</v>
      </c>
      <c r="F2767" s="75"/>
    </row>
    <row r="2768" spans="1:6" ht="14.25" customHeight="1" x14ac:dyDescent="0.3">
      <c r="A2768" s="73">
        <v>44620</v>
      </c>
      <c r="B2768" s="74">
        <v>56247.28</v>
      </c>
      <c r="C2768" s="74">
        <v>2544.65</v>
      </c>
      <c r="D2768" s="74">
        <f t="shared" si="87"/>
        <v>6.9356190022191525E-3</v>
      </c>
      <c r="E2768" s="74">
        <f t="shared" si="88"/>
        <v>3.0625529403494688E-2</v>
      </c>
      <c r="F2768" s="75"/>
    </row>
    <row r="2769" spans="1:6" ht="14.25" customHeight="1" x14ac:dyDescent="0.3">
      <c r="A2769" s="73">
        <v>44622</v>
      </c>
      <c r="B2769" s="74">
        <v>55468.9</v>
      </c>
      <c r="C2769" s="74">
        <v>2592.5500000000002</v>
      </c>
      <c r="D2769" s="74">
        <f t="shared" si="87"/>
        <v>-1.3935181028321031E-2</v>
      </c>
      <c r="E2769" s="74">
        <f t="shared" si="88"/>
        <v>1.8648831351490636E-2</v>
      </c>
      <c r="F2769" s="75"/>
    </row>
    <row r="2770" spans="1:6" ht="14.25" customHeight="1" x14ac:dyDescent="0.3">
      <c r="A2770" s="73">
        <v>44623</v>
      </c>
      <c r="B2770" s="74">
        <v>55102.68</v>
      </c>
      <c r="C2770" s="74">
        <v>2573.5500000000002</v>
      </c>
      <c r="D2770" s="74">
        <f t="shared" si="87"/>
        <v>-6.6241495169710148E-3</v>
      </c>
      <c r="E2770" s="74">
        <f t="shared" si="88"/>
        <v>-7.3556786232433424E-3</v>
      </c>
      <c r="F2770" s="75"/>
    </row>
    <row r="2771" spans="1:6" ht="14.25" customHeight="1" x14ac:dyDescent="0.3">
      <c r="A2771" s="73">
        <v>44624</v>
      </c>
      <c r="B2771" s="74">
        <v>54333.81</v>
      </c>
      <c r="C2771" s="74">
        <v>2443.6</v>
      </c>
      <c r="D2771" s="74">
        <f t="shared" si="87"/>
        <v>-1.405166870820943E-2</v>
      </c>
      <c r="E2771" s="74">
        <f t="shared" si="88"/>
        <v>-5.1813906921932842E-2</v>
      </c>
      <c r="F2771" s="75"/>
    </row>
    <row r="2772" spans="1:6" ht="14.25" customHeight="1" x14ac:dyDescent="0.3">
      <c r="A2772" s="73">
        <v>44627</v>
      </c>
      <c r="B2772" s="74">
        <v>52842.75</v>
      </c>
      <c r="C2772" s="74">
        <v>2389.75</v>
      </c>
      <c r="D2772" s="74">
        <f t="shared" si="87"/>
        <v>-2.7826162900285736E-2</v>
      </c>
      <c r="E2772" s="74">
        <f t="shared" si="88"/>
        <v>-2.2283603831739829E-2</v>
      </c>
      <c r="F2772" s="75"/>
    </row>
    <row r="2773" spans="1:6" ht="14.25" customHeight="1" x14ac:dyDescent="0.3">
      <c r="A2773" s="73">
        <v>44628</v>
      </c>
      <c r="B2773" s="74">
        <v>53424.09</v>
      </c>
      <c r="C2773" s="74">
        <v>2369.9499999999998</v>
      </c>
      <c r="D2773" s="74">
        <f t="shared" si="87"/>
        <v>1.0941245629979045E-2</v>
      </c>
      <c r="E2773" s="74">
        <f t="shared" si="88"/>
        <v>-8.3199000836544842E-3</v>
      </c>
      <c r="F2773" s="75"/>
    </row>
    <row r="2774" spans="1:6" ht="14.25" customHeight="1" x14ac:dyDescent="0.3">
      <c r="A2774" s="73">
        <v>44629</v>
      </c>
      <c r="B2774" s="74">
        <v>54647.33</v>
      </c>
      <c r="C2774" s="74">
        <v>2432.9</v>
      </c>
      <c r="D2774" s="74">
        <f t="shared" si="87"/>
        <v>2.2638589234392728E-2</v>
      </c>
      <c r="E2774" s="74">
        <f t="shared" si="88"/>
        <v>2.6215103557858246E-2</v>
      </c>
      <c r="F2774" s="75"/>
    </row>
    <row r="2775" spans="1:6" ht="14.25" customHeight="1" x14ac:dyDescent="0.3">
      <c r="A2775" s="73">
        <v>44630</v>
      </c>
      <c r="B2775" s="74">
        <v>55464.39</v>
      </c>
      <c r="C2775" s="74">
        <v>2467</v>
      </c>
      <c r="D2775" s="74">
        <f t="shared" si="87"/>
        <v>1.4840836133133917E-2</v>
      </c>
      <c r="E2775" s="74">
        <f t="shared" si="88"/>
        <v>1.3918876111280879E-2</v>
      </c>
      <c r="F2775" s="75"/>
    </row>
    <row r="2776" spans="1:6" ht="14.25" customHeight="1" x14ac:dyDescent="0.3">
      <c r="A2776" s="73">
        <v>44631</v>
      </c>
      <c r="B2776" s="74">
        <v>55550.3</v>
      </c>
      <c r="C2776" s="74">
        <v>2494.6999999999998</v>
      </c>
      <c r="D2776" s="74">
        <f t="shared" si="87"/>
        <v>1.5477234075852921E-3</v>
      </c>
      <c r="E2776" s="74">
        <f t="shared" si="88"/>
        <v>1.1165643945834107E-2</v>
      </c>
      <c r="F2776" s="75"/>
    </row>
    <row r="2777" spans="1:6" ht="14.25" customHeight="1" x14ac:dyDescent="0.3">
      <c r="A2777" s="73">
        <v>44634</v>
      </c>
      <c r="B2777" s="74">
        <v>56486.02</v>
      </c>
      <c r="C2777" s="74">
        <v>2538</v>
      </c>
      <c r="D2777" s="74">
        <f t="shared" si="87"/>
        <v>1.6704257296215753E-2</v>
      </c>
      <c r="E2777" s="74">
        <f t="shared" si="88"/>
        <v>1.7207887799142063E-2</v>
      </c>
      <c r="F2777" s="75"/>
    </row>
    <row r="2778" spans="1:6" ht="14.25" customHeight="1" x14ac:dyDescent="0.3">
      <c r="A2778" s="73">
        <v>44635</v>
      </c>
      <c r="B2778" s="74">
        <v>55776.85</v>
      </c>
      <c r="C2778" s="74">
        <v>2555.6999999999998</v>
      </c>
      <c r="D2778" s="74">
        <f t="shared" si="87"/>
        <v>-1.2634265156289163E-2</v>
      </c>
      <c r="E2778" s="74">
        <f t="shared" si="88"/>
        <v>6.9497894425713871E-3</v>
      </c>
      <c r="F2778" s="75"/>
    </row>
    <row r="2779" spans="1:6" ht="14.25" customHeight="1" x14ac:dyDescent="0.3">
      <c r="A2779" s="73">
        <v>44636</v>
      </c>
      <c r="B2779" s="74">
        <v>56816.65</v>
      </c>
      <c r="C2779" s="74">
        <v>2586.9499999999998</v>
      </c>
      <c r="D2779" s="74">
        <f t="shared" si="87"/>
        <v>1.8470507823567E-2</v>
      </c>
      <c r="E2779" s="74">
        <f t="shared" si="88"/>
        <v>1.2153416876085888E-2</v>
      </c>
      <c r="F2779" s="75"/>
    </row>
    <row r="2780" spans="1:6" ht="14.25" customHeight="1" x14ac:dyDescent="0.3">
      <c r="A2780" s="73">
        <v>44637</v>
      </c>
      <c r="B2780" s="74">
        <v>57863.93</v>
      </c>
      <c r="C2780" s="74">
        <v>2703.25</v>
      </c>
      <c r="D2780" s="74">
        <f t="shared" si="87"/>
        <v>1.8264803238476818E-2</v>
      </c>
      <c r="E2780" s="74">
        <f t="shared" si="88"/>
        <v>4.3975177232656142E-2</v>
      </c>
      <c r="F2780" s="75"/>
    </row>
    <row r="2781" spans="1:6" ht="14.25" customHeight="1" x14ac:dyDescent="0.3">
      <c r="A2781" s="73">
        <v>44641</v>
      </c>
      <c r="B2781" s="74">
        <v>57292.49</v>
      </c>
      <c r="C2781" s="74">
        <v>2705.7</v>
      </c>
      <c r="D2781" s="74">
        <f t="shared" si="87"/>
        <v>-9.9246692545240968E-3</v>
      </c>
      <c r="E2781" s="74">
        <f t="shared" si="88"/>
        <v>9.0590601412571042E-4</v>
      </c>
      <c r="F2781" s="75"/>
    </row>
    <row r="2782" spans="1:6" ht="14.25" customHeight="1" x14ac:dyDescent="0.3">
      <c r="A2782" s="73">
        <v>44642</v>
      </c>
      <c r="B2782" s="74">
        <v>57989.3</v>
      </c>
      <c r="C2782" s="74">
        <v>2712.8</v>
      </c>
      <c r="D2782" s="74">
        <f t="shared" si="87"/>
        <v>1.2088960210204971E-2</v>
      </c>
      <c r="E2782" s="74">
        <f t="shared" si="88"/>
        <v>2.6206529716567895E-3</v>
      </c>
      <c r="F2782" s="75"/>
    </row>
    <row r="2783" spans="1:6" ht="14.25" customHeight="1" x14ac:dyDescent="0.3">
      <c r="A2783" s="73">
        <v>44643</v>
      </c>
      <c r="B2783" s="74">
        <v>57684.82</v>
      </c>
      <c r="C2783" s="74">
        <v>2689.4</v>
      </c>
      <c r="D2783" s="74">
        <f t="shared" si="87"/>
        <v>-5.2644567896269574E-3</v>
      </c>
      <c r="E2783" s="74">
        <f t="shared" si="88"/>
        <v>-8.6631914216592637E-3</v>
      </c>
      <c r="F2783" s="75"/>
    </row>
    <row r="2784" spans="1:6" ht="14.25" customHeight="1" x14ac:dyDescent="0.3">
      <c r="A2784" s="73">
        <v>44644</v>
      </c>
      <c r="B2784" s="74">
        <v>57595.68</v>
      </c>
      <c r="C2784" s="74">
        <v>2618.6999999999998</v>
      </c>
      <c r="D2784" s="74">
        <f t="shared" si="87"/>
        <v>-1.5464890899295123E-3</v>
      </c>
      <c r="E2784" s="74">
        <f t="shared" si="88"/>
        <v>-2.6640108980355966E-2</v>
      </c>
      <c r="F2784" s="75"/>
    </row>
    <row r="2785" spans="1:6" ht="14.25" customHeight="1" x14ac:dyDescent="0.3">
      <c r="A2785" s="73">
        <v>44645</v>
      </c>
      <c r="B2785" s="74">
        <v>57362.2</v>
      </c>
      <c r="C2785" s="74">
        <v>2524.6</v>
      </c>
      <c r="D2785" s="74">
        <f t="shared" si="87"/>
        <v>-4.06201507951024E-3</v>
      </c>
      <c r="E2785" s="74">
        <f t="shared" si="88"/>
        <v>-3.6595377090652428E-2</v>
      </c>
      <c r="F2785" s="75"/>
    </row>
    <row r="2786" spans="1:6" ht="14.25" customHeight="1" x14ac:dyDescent="0.3">
      <c r="A2786" s="73">
        <v>44648</v>
      </c>
      <c r="B2786" s="74">
        <v>57593.49</v>
      </c>
      <c r="C2786" s="74">
        <v>2535.85</v>
      </c>
      <c r="D2786" s="74">
        <f t="shared" si="87"/>
        <v>4.0239906714817164E-3</v>
      </c>
      <c r="E2786" s="74">
        <f t="shared" si="88"/>
        <v>4.4462522240435228E-3</v>
      </c>
      <c r="F2786" s="75"/>
    </row>
    <row r="2787" spans="1:6" ht="14.25" customHeight="1" x14ac:dyDescent="0.3">
      <c r="A2787" s="73">
        <v>44649</v>
      </c>
      <c r="B2787" s="74">
        <v>57943.65</v>
      </c>
      <c r="C2787" s="74">
        <v>2538.9</v>
      </c>
      <c r="D2787" s="74">
        <f t="shared" si="87"/>
        <v>6.0614460788189529E-3</v>
      </c>
      <c r="E2787" s="74">
        <f t="shared" si="88"/>
        <v>1.2020298013652934E-3</v>
      </c>
      <c r="F2787" s="75"/>
    </row>
    <row r="2788" spans="1:6" ht="14.25" customHeight="1" x14ac:dyDescent="0.3">
      <c r="A2788" s="73">
        <v>44650</v>
      </c>
      <c r="B2788" s="74">
        <v>58683.99</v>
      </c>
      <c r="C2788" s="74">
        <v>2523.5500000000002</v>
      </c>
      <c r="D2788" s="74">
        <f t="shared" si="87"/>
        <v>1.269596031318875E-2</v>
      </c>
      <c r="E2788" s="74">
        <f t="shared" si="88"/>
        <v>-6.0642760093996507E-3</v>
      </c>
      <c r="F2788" s="75"/>
    </row>
    <row r="2789" spans="1:6" ht="14.25" customHeight="1" x14ac:dyDescent="0.3">
      <c r="A2789" s="73">
        <v>44651</v>
      </c>
      <c r="B2789" s="74">
        <v>58568.51</v>
      </c>
      <c r="C2789" s="74">
        <v>2536.15</v>
      </c>
      <c r="D2789" s="74">
        <f t="shared" si="87"/>
        <v>-1.9697667399559897E-3</v>
      </c>
      <c r="E2789" s="74">
        <f t="shared" si="88"/>
        <v>4.9805427381407049E-3</v>
      </c>
      <c r="F2789" s="75"/>
    </row>
    <row r="2790" spans="1:6" ht="14.25" customHeight="1" x14ac:dyDescent="0.3">
      <c r="A2790" s="73">
        <v>44652</v>
      </c>
      <c r="B2790" s="74">
        <v>59276.69</v>
      </c>
      <c r="C2790" s="74">
        <v>2521.65</v>
      </c>
      <c r="D2790" s="74">
        <f t="shared" si="87"/>
        <v>1.2018962588523793E-2</v>
      </c>
      <c r="E2790" s="74">
        <f t="shared" si="88"/>
        <v>-5.7337339257337297E-3</v>
      </c>
      <c r="F2790" s="75"/>
    </row>
    <row r="2791" spans="1:6" ht="14.25" customHeight="1" x14ac:dyDescent="0.3">
      <c r="A2791" s="73">
        <v>44655</v>
      </c>
      <c r="B2791" s="74">
        <v>60611.74</v>
      </c>
      <c r="C2791" s="74">
        <v>2516.5</v>
      </c>
      <c r="D2791" s="74">
        <f t="shared" si="87"/>
        <v>2.2272460963342205E-2</v>
      </c>
      <c r="E2791" s="74">
        <f t="shared" si="88"/>
        <v>-2.0444019307627268E-3</v>
      </c>
      <c r="F2791" s="75"/>
    </row>
    <row r="2792" spans="1:6" ht="14.25" customHeight="1" x14ac:dyDescent="0.3">
      <c r="A2792" s="73">
        <v>44656</v>
      </c>
      <c r="B2792" s="74">
        <v>60176.5</v>
      </c>
      <c r="C2792" s="74">
        <v>2547.9499999999998</v>
      </c>
      <c r="D2792" s="74">
        <f t="shared" si="87"/>
        <v>-7.2066930312501302E-3</v>
      </c>
      <c r="E2792" s="74">
        <f t="shared" si="88"/>
        <v>1.242006704919209E-2</v>
      </c>
      <c r="F2792" s="75"/>
    </row>
    <row r="2793" spans="1:6" ht="14.25" customHeight="1" x14ac:dyDescent="0.3">
      <c r="A2793" s="73">
        <v>44657</v>
      </c>
      <c r="B2793" s="74">
        <v>59610.41</v>
      </c>
      <c r="C2793" s="74">
        <v>2541.25</v>
      </c>
      <c r="D2793" s="74">
        <f t="shared" si="87"/>
        <v>-9.4516874050654068E-3</v>
      </c>
      <c r="E2793" s="74">
        <f t="shared" si="88"/>
        <v>-2.6330283230503607E-3</v>
      </c>
      <c r="F2793" s="75"/>
    </row>
    <row r="2794" spans="1:6" ht="14.25" customHeight="1" x14ac:dyDescent="0.3">
      <c r="A2794" s="73">
        <v>44658</v>
      </c>
      <c r="B2794" s="74">
        <v>59034.95</v>
      </c>
      <c r="C2794" s="74">
        <v>2458.9499999999998</v>
      </c>
      <c r="D2794" s="74">
        <f t="shared" si="87"/>
        <v>-9.7005818452605141E-3</v>
      </c>
      <c r="E2794" s="74">
        <f t="shared" si="88"/>
        <v>-3.2921656401981525E-2</v>
      </c>
      <c r="F2794" s="75"/>
    </row>
    <row r="2795" spans="1:6" ht="14.25" customHeight="1" x14ac:dyDescent="0.3">
      <c r="A2795" s="73">
        <v>44659</v>
      </c>
      <c r="B2795" s="74">
        <v>59447.18</v>
      </c>
      <c r="C2795" s="74">
        <v>2514.5</v>
      </c>
      <c r="D2795" s="74">
        <f t="shared" si="87"/>
        <v>6.9585457890301381E-3</v>
      </c>
      <c r="E2795" s="74">
        <f t="shared" si="88"/>
        <v>2.2339547071444615E-2</v>
      </c>
      <c r="F2795" s="75"/>
    </row>
    <row r="2796" spans="1:6" ht="14.25" customHeight="1" x14ac:dyDescent="0.3">
      <c r="A2796" s="73">
        <v>44662</v>
      </c>
      <c r="B2796" s="74">
        <v>58964.57</v>
      </c>
      <c r="C2796" s="74">
        <v>2489.1</v>
      </c>
      <c r="D2796" s="74">
        <f t="shared" si="87"/>
        <v>-8.1514321388349888E-3</v>
      </c>
      <c r="E2796" s="74">
        <f t="shared" si="88"/>
        <v>-1.0152777273670189E-2</v>
      </c>
      <c r="F2796" s="75"/>
    </row>
    <row r="2797" spans="1:6" ht="14.25" customHeight="1" x14ac:dyDescent="0.3">
      <c r="A2797" s="73">
        <v>44663</v>
      </c>
      <c r="B2797" s="74">
        <v>58576.37</v>
      </c>
      <c r="C2797" s="74">
        <v>2488.35</v>
      </c>
      <c r="D2797" s="74">
        <f t="shared" si="87"/>
        <v>-6.6053821156131899E-3</v>
      </c>
      <c r="E2797" s="74">
        <f t="shared" si="88"/>
        <v>-3.0135913195558113E-4</v>
      </c>
      <c r="F2797" s="75"/>
    </row>
    <row r="2798" spans="1:6" ht="14.25" customHeight="1" x14ac:dyDescent="0.3">
      <c r="A2798" s="73">
        <v>44664</v>
      </c>
      <c r="B2798" s="74">
        <v>58338.93</v>
      </c>
      <c r="C2798" s="74">
        <v>2461.65</v>
      </c>
      <c r="D2798" s="74">
        <f t="shared" si="87"/>
        <v>-4.0617494277745674E-3</v>
      </c>
      <c r="E2798" s="74">
        <f t="shared" si="88"/>
        <v>-1.0787983412647134E-2</v>
      </c>
      <c r="F2798" s="75"/>
    </row>
    <row r="2799" spans="1:6" ht="14.25" customHeight="1" x14ac:dyDescent="0.3">
      <c r="A2799" s="73">
        <v>44669</v>
      </c>
      <c r="B2799" s="74">
        <v>57166.74</v>
      </c>
      <c r="C2799" s="74">
        <v>2491.4</v>
      </c>
      <c r="D2799" s="74">
        <f t="shared" si="87"/>
        <v>-2.0297362774429742E-2</v>
      </c>
      <c r="E2799" s="74">
        <f t="shared" si="88"/>
        <v>1.2012944658245858E-2</v>
      </c>
      <c r="F2799" s="75"/>
    </row>
    <row r="2800" spans="1:6" ht="14.25" customHeight="1" x14ac:dyDescent="0.3">
      <c r="A2800" s="73">
        <v>44670</v>
      </c>
      <c r="B2800" s="74">
        <v>56463.15</v>
      </c>
      <c r="C2800" s="74">
        <v>2452.4</v>
      </c>
      <c r="D2800" s="74">
        <f t="shared" si="87"/>
        <v>-1.2384047755906435E-2</v>
      </c>
      <c r="E2800" s="74">
        <f t="shared" si="88"/>
        <v>-1.5777664563459408E-2</v>
      </c>
      <c r="F2800" s="75"/>
    </row>
    <row r="2801" spans="1:6" ht="14.25" customHeight="1" x14ac:dyDescent="0.3">
      <c r="A2801" s="73">
        <v>44671</v>
      </c>
      <c r="B2801" s="74">
        <v>57037.5</v>
      </c>
      <c r="C2801" s="74">
        <v>2483.5500000000002</v>
      </c>
      <c r="D2801" s="74">
        <f t="shared" si="87"/>
        <v>1.012073327353143E-2</v>
      </c>
      <c r="E2801" s="74">
        <f t="shared" si="88"/>
        <v>1.2621851333196762E-2</v>
      </c>
      <c r="F2801" s="75"/>
    </row>
    <row r="2802" spans="1:6" ht="14.25" customHeight="1" x14ac:dyDescent="0.3">
      <c r="A2802" s="73">
        <v>44672</v>
      </c>
      <c r="B2802" s="74">
        <v>57911.68</v>
      </c>
      <c r="C2802" s="74">
        <v>2520.6</v>
      </c>
      <c r="D2802" s="74">
        <f t="shared" si="87"/>
        <v>1.5210145096966726E-2</v>
      </c>
      <c r="E2802" s="74">
        <f t="shared" si="88"/>
        <v>1.4807980181661675E-2</v>
      </c>
      <c r="F2802" s="75"/>
    </row>
    <row r="2803" spans="1:6" ht="14.25" customHeight="1" x14ac:dyDescent="0.3">
      <c r="A2803" s="73">
        <v>44673</v>
      </c>
      <c r="B2803" s="74">
        <v>57197.15</v>
      </c>
      <c r="C2803" s="74">
        <v>2512.6999999999998</v>
      </c>
      <c r="D2803" s="74">
        <f t="shared" si="87"/>
        <v>-1.2415019380875882E-2</v>
      </c>
      <c r="E2803" s="74">
        <f t="shared" si="88"/>
        <v>-3.1390962140807489E-3</v>
      </c>
      <c r="F2803" s="75"/>
    </row>
    <row r="2804" spans="1:6" ht="14.25" customHeight="1" x14ac:dyDescent="0.3">
      <c r="A2804" s="73">
        <v>44676</v>
      </c>
      <c r="B2804" s="74">
        <v>56579.89</v>
      </c>
      <c r="C2804" s="74">
        <v>2453.9</v>
      </c>
      <c r="D2804" s="74">
        <f t="shared" si="87"/>
        <v>-1.0850450247956851E-2</v>
      </c>
      <c r="E2804" s="74">
        <f t="shared" si="88"/>
        <v>-2.3679276545000315E-2</v>
      </c>
      <c r="F2804" s="75"/>
    </row>
    <row r="2805" spans="1:6" ht="14.25" customHeight="1" x14ac:dyDescent="0.3">
      <c r="A2805" s="73">
        <v>44677</v>
      </c>
      <c r="B2805" s="74">
        <v>57356.61</v>
      </c>
      <c r="C2805" s="74">
        <v>2547.3000000000002</v>
      </c>
      <c r="D2805" s="74">
        <f t="shared" si="87"/>
        <v>1.363447240480135E-2</v>
      </c>
      <c r="E2805" s="74">
        <f t="shared" si="88"/>
        <v>3.7355379029117182E-2</v>
      </c>
      <c r="F2805" s="75"/>
    </row>
    <row r="2806" spans="1:6" ht="14.25" customHeight="1" x14ac:dyDescent="0.3">
      <c r="A2806" s="73">
        <v>44678</v>
      </c>
      <c r="B2806" s="74">
        <v>56819.39</v>
      </c>
      <c r="C2806" s="74">
        <v>2491.5500000000002</v>
      </c>
      <c r="D2806" s="74">
        <f t="shared" si="87"/>
        <v>-9.4104534145010611E-3</v>
      </c>
      <c r="E2806" s="74">
        <f t="shared" si="88"/>
        <v>-2.2128967921343657E-2</v>
      </c>
      <c r="F2806" s="75"/>
    </row>
    <row r="2807" spans="1:6" ht="14.25" customHeight="1" x14ac:dyDescent="0.3">
      <c r="A2807" s="73">
        <v>44679</v>
      </c>
      <c r="B2807" s="74">
        <v>57521.06</v>
      </c>
      <c r="C2807" s="74">
        <v>2514.35</v>
      </c>
      <c r="D2807" s="74">
        <f t="shared" si="87"/>
        <v>1.2273500903775384E-2</v>
      </c>
      <c r="E2807" s="74">
        <f t="shared" si="88"/>
        <v>9.1093140738036874E-3</v>
      </c>
      <c r="F2807" s="75"/>
    </row>
    <row r="2808" spans="1:6" ht="14.25" customHeight="1" x14ac:dyDescent="0.3">
      <c r="A2808" s="73">
        <v>44680</v>
      </c>
      <c r="B2808" s="74">
        <v>57060.87</v>
      </c>
      <c r="C2808" s="74">
        <v>2459.1999999999998</v>
      </c>
      <c r="D2808" s="74">
        <f t="shared" si="87"/>
        <v>-8.0325488383057187E-3</v>
      </c>
      <c r="E2808" s="74">
        <f t="shared" si="88"/>
        <v>-2.2178227041556298E-2</v>
      </c>
      <c r="F2808" s="75"/>
    </row>
    <row r="2809" spans="1:6" ht="14.25" customHeight="1" x14ac:dyDescent="0.3">
      <c r="A2809" s="73">
        <v>44683</v>
      </c>
      <c r="B2809" s="74">
        <v>56975.99</v>
      </c>
      <c r="C2809" s="74">
        <v>2386.6</v>
      </c>
      <c r="D2809" s="74">
        <f t="shared" si="87"/>
        <v>-1.4886417545150463E-3</v>
      </c>
      <c r="E2809" s="74">
        <f t="shared" si="88"/>
        <v>-2.9966334848776071E-2</v>
      </c>
      <c r="F2809" s="75"/>
    </row>
    <row r="2810" spans="1:6" ht="14.25" customHeight="1" x14ac:dyDescent="0.3">
      <c r="A2810" s="73">
        <v>44685</v>
      </c>
      <c r="B2810" s="74">
        <v>55669.03</v>
      </c>
      <c r="C2810" s="74">
        <v>2288.4</v>
      </c>
      <c r="D2810" s="74">
        <f t="shared" si="87"/>
        <v>-2.3205973085636E-2</v>
      </c>
      <c r="E2810" s="74">
        <f t="shared" si="88"/>
        <v>-4.2016875541181553E-2</v>
      </c>
      <c r="F2810" s="75"/>
    </row>
    <row r="2811" spans="1:6" ht="14.25" customHeight="1" x14ac:dyDescent="0.3">
      <c r="A2811" s="73">
        <v>44686</v>
      </c>
      <c r="B2811" s="74">
        <v>55702.23</v>
      </c>
      <c r="C2811" s="74">
        <v>2261.85</v>
      </c>
      <c r="D2811" s="74">
        <f t="shared" si="87"/>
        <v>5.9620410119170402E-4</v>
      </c>
      <c r="E2811" s="74">
        <f t="shared" si="88"/>
        <v>-1.1669820914459469E-2</v>
      </c>
      <c r="F2811" s="75"/>
    </row>
    <row r="2812" spans="1:6" ht="14.25" customHeight="1" x14ac:dyDescent="0.3">
      <c r="A2812" s="73">
        <v>44687</v>
      </c>
      <c r="B2812" s="74">
        <v>54835.58</v>
      </c>
      <c r="C2812" s="74">
        <v>2207.6</v>
      </c>
      <c r="D2812" s="74">
        <f t="shared" si="87"/>
        <v>-1.5680928696127697E-2</v>
      </c>
      <c r="E2812" s="74">
        <f t="shared" si="88"/>
        <v>-2.4277109914568079E-2</v>
      </c>
      <c r="F2812" s="75"/>
    </row>
    <row r="2813" spans="1:6" ht="14.25" customHeight="1" x14ac:dyDescent="0.3">
      <c r="A2813" s="73">
        <v>44690</v>
      </c>
      <c r="B2813" s="74">
        <v>54470.67</v>
      </c>
      <c r="C2813" s="74">
        <v>2182.6</v>
      </c>
      <c r="D2813" s="74">
        <f t="shared" si="87"/>
        <v>-6.6768616735877395E-3</v>
      </c>
      <c r="E2813" s="74">
        <f t="shared" si="88"/>
        <v>-1.1389125886356811E-2</v>
      </c>
      <c r="F2813" s="75"/>
    </row>
    <row r="2814" spans="1:6" ht="14.25" customHeight="1" x14ac:dyDescent="0.3">
      <c r="A2814" s="73">
        <v>44691</v>
      </c>
      <c r="B2814" s="74">
        <v>54364.85</v>
      </c>
      <c r="C2814" s="74">
        <v>2135.65</v>
      </c>
      <c r="D2814" s="74">
        <f t="shared" si="87"/>
        <v>-1.9445863509594571E-3</v>
      </c>
      <c r="E2814" s="74">
        <f t="shared" si="88"/>
        <v>-2.1745776702942476E-2</v>
      </c>
      <c r="F2814" s="75"/>
    </row>
    <row r="2815" spans="1:6" ht="14.25" customHeight="1" x14ac:dyDescent="0.3">
      <c r="A2815" s="73">
        <v>44692</v>
      </c>
      <c r="B2815" s="74">
        <v>54088.39</v>
      </c>
      <c r="C2815" s="74">
        <v>2114.6999999999998</v>
      </c>
      <c r="D2815" s="74">
        <f t="shared" si="87"/>
        <v>-5.0982450835856874E-3</v>
      </c>
      <c r="E2815" s="74">
        <f t="shared" si="88"/>
        <v>-9.8580915281073576E-3</v>
      </c>
      <c r="F2815" s="75"/>
    </row>
    <row r="2816" spans="1:6" ht="14.25" customHeight="1" x14ac:dyDescent="0.3">
      <c r="A2816" s="73">
        <v>44693</v>
      </c>
      <c r="B2816" s="74">
        <v>52930.31</v>
      </c>
      <c r="C2816" s="74">
        <v>2048.4</v>
      </c>
      <c r="D2816" s="74">
        <f t="shared" si="87"/>
        <v>-2.1643417589470547E-2</v>
      </c>
      <c r="E2816" s="74">
        <f t="shared" si="88"/>
        <v>-3.185395785954425E-2</v>
      </c>
      <c r="F2816" s="75"/>
    </row>
    <row r="2817" spans="1:6" ht="14.25" customHeight="1" x14ac:dyDescent="0.3">
      <c r="A2817" s="73">
        <v>44694</v>
      </c>
      <c r="B2817" s="74">
        <v>52793.62</v>
      </c>
      <c r="C2817" s="74">
        <v>2091.0500000000002</v>
      </c>
      <c r="D2817" s="74">
        <f t="shared" si="87"/>
        <v>-2.5857925667875305E-3</v>
      </c>
      <c r="E2817" s="74">
        <f t="shared" si="88"/>
        <v>2.0607331558176845E-2</v>
      </c>
      <c r="F2817" s="75"/>
    </row>
    <row r="2818" spans="1:6" ht="14.25" customHeight="1" x14ac:dyDescent="0.3">
      <c r="A2818" s="73">
        <v>44697</v>
      </c>
      <c r="B2818" s="74">
        <v>52973.84</v>
      </c>
      <c r="C2818" s="74">
        <v>2110.75</v>
      </c>
      <c r="D2818" s="74">
        <f t="shared" si="87"/>
        <v>3.4078567153864262E-3</v>
      </c>
      <c r="E2818" s="74">
        <f t="shared" si="88"/>
        <v>9.3770024030370297E-3</v>
      </c>
      <c r="F2818" s="75"/>
    </row>
    <row r="2819" spans="1:6" ht="14.25" customHeight="1" x14ac:dyDescent="0.3">
      <c r="A2819" s="73">
        <v>44698</v>
      </c>
      <c r="B2819" s="74">
        <v>54318.47</v>
      </c>
      <c r="C2819" s="74">
        <v>2176.1</v>
      </c>
      <c r="D2819" s="74">
        <f t="shared" si="87"/>
        <v>2.5066109639218341E-2</v>
      </c>
      <c r="E2819" s="74">
        <f t="shared" si="88"/>
        <v>3.0490949252637692E-2</v>
      </c>
      <c r="F2819" s="75"/>
    </row>
    <row r="2820" spans="1:6" ht="14.25" customHeight="1" x14ac:dyDescent="0.3">
      <c r="A2820" s="73">
        <v>44699</v>
      </c>
      <c r="B2820" s="74">
        <v>54208.53</v>
      </c>
      <c r="C2820" s="74">
        <v>2166.5</v>
      </c>
      <c r="D2820" s="74">
        <f t="shared" ref="D2820:D2883" si="89">LN(B2820/B2819)</f>
        <v>-2.0260402960952917E-3</v>
      </c>
      <c r="E2820" s="74">
        <f t="shared" ref="E2820:E2883" si="90">LN(C2820/C2819)</f>
        <v>-4.4213216222827884E-3</v>
      </c>
      <c r="F2820" s="75"/>
    </row>
    <row r="2821" spans="1:6" ht="14.25" customHeight="1" x14ac:dyDescent="0.3">
      <c r="A2821" s="73">
        <v>44700</v>
      </c>
      <c r="B2821" s="74">
        <v>52792.23</v>
      </c>
      <c r="C2821" s="74">
        <v>2110.8000000000002</v>
      </c>
      <c r="D2821" s="74">
        <f t="shared" si="89"/>
        <v>-2.6474255344111325E-2</v>
      </c>
      <c r="E2821" s="74">
        <f t="shared" si="90"/>
        <v>-2.6045939648451193E-2</v>
      </c>
      <c r="F2821" s="75"/>
    </row>
    <row r="2822" spans="1:6" ht="14.25" customHeight="1" x14ac:dyDescent="0.3">
      <c r="A2822" s="73">
        <v>44701</v>
      </c>
      <c r="B2822" s="74">
        <v>54326.39</v>
      </c>
      <c r="C2822" s="74">
        <v>2137.5</v>
      </c>
      <c r="D2822" s="74">
        <f t="shared" si="89"/>
        <v>2.8646091769246346E-2</v>
      </c>
      <c r="E2822" s="74">
        <f t="shared" si="90"/>
        <v>1.2569899279402464E-2</v>
      </c>
      <c r="F2822" s="75"/>
    </row>
    <row r="2823" spans="1:6" ht="14.25" customHeight="1" x14ac:dyDescent="0.3">
      <c r="A2823" s="73">
        <v>44704</v>
      </c>
      <c r="B2823" s="74">
        <v>54288.61</v>
      </c>
      <c r="C2823" s="74">
        <v>2149.85</v>
      </c>
      <c r="D2823" s="74">
        <f t="shared" si="89"/>
        <v>-6.9566821384974985E-4</v>
      </c>
      <c r="E2823" s="74">
        <f t="shared" si="90"/>
        <v>5.7611504350714412E-3</v>
      </c>
      <c r="F2823" s="75"/>
    </row>
    <row r="2824" spans="1:6" ht="14.25" customHeight="1" x14ac:dyDescent="0.3">
      <c r="A2824" s="73">
        <v>44705</v>
      </c>
      <c r="B2824" s="74">
        <v>54052.61</v>
      </c>
      <c r="C2824" s="74">
        <v>2140.1</v>
      </c>
      <c r="D2824" s="74">
        <f t="shared" si="89"/>
        <v>-4.3566128067359048E-3</v>
      </c>
      <c r="E2824" s="74">
        <f t="shared" si="90"/>
        <v>-4.5455153498914803E-3</v>
      </c>
      <c r="F2824" s="75"/>
    </row>
    <row r="2825" spans="1:6" ht="14.25" customHeight="1" x14ac:dyDescent="0.3">
      <c r="A2825" s="73">
        <v>44706</v>
      </c>
      <c r="B2825" s="74">
        <v>53749.26</v>
      </c>
      <c r="C2825" s="74">
        <v>2112</v>
      </c>
      <c r="D2825" s="74">
        <f t="shared" si="89"/>
        <v>-5.6279320698662885E-3</v>
      </c>
      <c r="E2825" s="74">
        <f t="shared" si="90"/>
        <v>-1.3217191069943259E-2</v>
      </c>
      <c r="F2825" s="75"/>
    </row>
    <row r="2826" spans="1:6" ht="14.25" customHeight="1" x14ac:dyDescent="0.3">
      <c r="A2826" s="73">
        <v>44707</v>
      </c>
      <c r="B2826" s="74">
        <v>54252.53</v>
      </c>
      <c r="C2826" s="74">
        <v>2141.65</v>
      </c>
      <c r="D2826" s="74">
        <f t="shared" si="89"/>
        <v>9.3197278067077872E-3</v>
      </c>
      <c r="E2826" s="74">
        <f t="shared" si="90"/>
        <v>1.3941194137710852E-2</v>
      </c>
      <c r="F2826" s="75"/>
    </row>
    <row r="2827" spans="1:6" ht="14.25" customHeight="1" x14ac:dyDescent="0.3">
      <c r="A2827" s="73">
        <v>44708</v>
      </c>
      <c r="B2827" s="74">
        <v>54884.66</v>
      </c>
      <c r="C2827" s="74">
        <v>2149.0500000000002</v>
      </c>
      <c r="D2827" s="74">
        <f t="shared" si="89"/>
        <v>1.1584265071360044E-2</v>
      </c>
      <c r="E2827" s="74">
        <f t="shared" si="90"/>
        <v>3.4493240436282344E-3</v>
      </c>
      <c r="F2827" s="75"/>
    </row>
    <row r="2828" spans="1:6" ht="14.25" customHeight="1" x14ac:dyDescent="0.3">
      <c r="A2828" s="73">
        <v>44711</v>
      </c>
      <c r="B2828" s="74">
        <v>55925.74</v>
      </c>
      <c r="C2828" s="74">
        <v>2255.25</v>
      </c>
      <c r="D2828" s="74">
        <f t="shared" si="89"/>
        <v>1.8790846946595927E-2</v>
      </c>
      <c r="E2828" s="74">
        <f t="shared" si="90"/>
        <v>4.8234947529257138E-2</v>
      </c>
      <c r="F2828" s="75"/>
    </row>
    <row r="2829" spans="1:6" ht="14.25" customHeight="1" x14ac:dyDescent="0.3">
      <c r="A2829" s="73">
        <v>44712</v>
      </c>
      <c r="B2829" s="74">
        <v>55566.41</v>
      </c>
      <c r="C2829" s="74">
        <v>2217.6</v>
      </c>
      <c r="D2829" s="74">
        <f t="shared" si="89"/>
        <v>-6.4458572940174919E-3</v>
      </c>
      <c r="E2829" s="74">
        <f t="shared" si="90"/>
        <v>-1.6835301541164045E-2</v>
      </c>
      <c r="F2829" s="75"/>
    </row>
    <row r="2830" spans="1:6" ht="14.25" customHeight="1" x14ac:dyDescent="0.3">
      <c r="A2830" s="73">
        <v>44713</v>
      </c>
      <c r="B2830" s="74">
        <v>55381.17</v>
      </c>
      <c r="C2830" s="74">
        <v>2197.5</v>
      </c>
      <c r="D2830" s="74">
        <f t="shared" si="89"/>
        <v>-3.3392377215737232E-3</v>
      </c>
      <c r="E2830" s="74">
        <f t="shared" si="90"/>
        <v>-9.1051794362520203E-3</v>
      </c>
      <c r="F2830" s="75"/>
    </row>
    <row r="2831" spans="1:6" ht="14.25" customHeight="1" x14ac:dyDescent="0.3">
      <c r="A2831" s="73">
        <v>44714</v>
      </c>
      <c r="B2831" s="74">
        <v>55818.11</v>
      </c>
      <c r="C2831" s="74">
        <v>2221.35</v>
      </c>
      <c r="D2831" s="74">
        <f t="shared" si="89"/>
        <v>7.8587244227807888E-3</v>
      </c>
      <c r="E2831" s="74">
        <f t="shared" si="90"/>
        <v>1.0794768592289828E-2</v>
      </c>
      <c r="F2831" s="75"/>
    </row>
    <row r="2832" spans="1:6" ht="14.25" customHeight="1" x14ac:dyDescent="0.3">
      <c r="A2832" s="73">
        <v>44715</v>
      </c>
      <c r="B2832" s="74">
        <v>55769.23</v>
      </c>
      <c r="C2832" s="74">
        <v>2204.3000000000002</v>
      </c>
      <c r="D2832" s="74">
        <f t="shared" si="89"/>
        <v>-8.760851029585529E-4</v>
      </c>
      <c r="E2832" s="74">
        <f t="shared" si="90"/>
        <v>-7.7051209893296523E-3</v>
      </c>
      <c r="F2832" s="75"/>
    </row>
    <row r="2833" spans="1:6" ht="14.25" customHeight="1" x14ac:dyDescent="0.3">
      <c r="A2833" s="73">
        <v>44718</v>
      </c>
      <c r="B2833" s="74">
        <v>55675.32</v>
      </c>
      <c r="C2833" s="74">
        <v>2199.3000000000002</v>
      </c>
      <c r="D2833" s="74">
        <f t="shared" si="89"/>
        <v>-1.6853228305523723E-3</v>
      </c>
      <c r="E2833" s="74">
        <f t="shared" si="90"/>
        <v>-2.2708702646416982E-3</v>
      </c>
      <c r="F2833" s="75"/>
    </row>
    <row r="2834" spans="1:6" ht="14.25" customHeight="1" x14ac:dyDescent="0.3">
      <c r="A2834" s="73">
        <v>44719</v>
      </c>
      <c r="B2834" s="74">
        <v>55107.34</v>
      </c>
      <c r="C2834" s="74">
        <v>2100.6999999999998</v>
      </c>
      <c r="D2834" s="74">
        <f t="shared" si="89"/>
        <v>-1.0254041141391607E-2</v>
      </c>
      <c r="E2834" s="74">
        <f t="shared" si="90"/>
        <v>-4.5868505396016022E-2</v>
      </c>
      <c r="F2834" s="75"/>
    </row>
    <row r="2835" spans="1:6" ht="14.25" customHeight="1" x14ac:dyDescent="0.3">
      <c r="A2835" s="73">
        <v>44720</v>
      </c>
      <c r="B2835" s="74">
        <v>54892.49</v>
      </c>
      <c r="C2835" s="74">
        <v>2128.5</v>
      </c>
      <c r="D2835" s="74">
        <f t="shared" si="89"/>
        <v>-3.9063746410020464E-3</v>
      </c>
      <c r="E2835" s="74">
        <f t="shared" si="90"/>
        <v>1.314688376657238E-2</v>
      </c>
      <c r="F2835" s="75"/>
    </row>
    <row r="2836" spans="1:6" ht="14.25" customHeight="1" x14ac:dyDescent="0.3">
      <c r="A2836" s="73">
        <v>44721</v>
      </c>
      <c r="B2836" s="74">
        <v>55320.28</v>
      </c>
      <c r="C2836" s="74">
        <v>2139.3000000000002</v>
      </c>
      <c r="D2836" s="74">
        <f t="shared" si="89"/>
        <v>7.7630232572527243E-3</v>
      </c>
      <c r="E2836" s="74">
        <f t="shared" si="90"/>
        <v>5.0611664341607271E-3</v>
      </c>
      <c r="F2836" s="75"/>
    </row>
    <row r="2837" spans="1:6" ht="14.25" customHeight="1" x14ac:dyDescent="0.3">
      <c r="A2837" s="73">
        <v>44722</v>
      </c>
      <c r="B2837" s="74">
        <v>54303.44</v>
      </c>
      <c r="C2837" s="74">
        <v>2141.85</v>
      </c>
      <c r="D2837" s="74">
        <f t="shared" si="89"/>
        <v>-1.8551991561549186E-2</v>
      </c>
      <c r="E2837" s="74">
        <f t="shared" si="90"/>
        <v>1.1912688420462586E-3</v>
      </c>
      <c r="F2837" s="75"/>
    </row>
    <row r="2838" spans="1:6" ht="14.25" customHeight="1" x14ac:dyDescent="0.3">
      <c r="A2838" s="73">
        <v>44725</v>
      </c>
      <c r="B2838" s="74">
        <v>52846.7</v>
      </c>
      <c r="C2838" s="74">
        <v>2103.6999999999998</v>
      </c>
      <c r="D2838" s="74">
        <f t="shared" si="89"/>
        <v>-2.7192307186445636E-2</v>
      </c>
      <c r="E2838" s="74">
        <f t="shared" si="90"/>
        <v>-1.7972242404430367E-2</v>
      </c>
      <c r="F2838" s="75"/>
    </row>
    <row r="2839" spans="1:6" ht="14.25" customHeight="1" x14ac:dyDescent="0.3">
      <c r="A2839" s="73">
        <v>44726</v>
      </c>
      <c r="B2839" s="74">
        <v>52693.57</v>
      </c>
      <c r="C2839" s="74">
        <v>2100.25</v>
      </c>
      <c r="D2839" s="74">
        <f t="shared" si="89"/>
        <v>-2.9018327782235967E-3</v>
      </c>
      <c r="E2839" s="74">
        <f t="shared" si="90"/>
        <v>-1.6413138950269988E-3</v>
      </c>
      <c r="F2839" s="75"/>
    </row>
    <row r="2840" spans="1:6" ht="14.25" customHeight="1" x14ac:dyDescent="0.3">
      <c r="A2840" s="73">
        <v>44727</v>
      </c>
      <c r="B2840" s="74">
        <v>52541.39</v>
      </c>
      <c r="C2840" s="74">
        <v>2104.6</v>
      </c>
      <c r="D2840" s="74">
        <f t="shared" si="89"/>
        <v>-2.8921967771854602E-3</v>
      </c>
      <c r="E2840" s="74">
        <f t="shared" si="90"/>
        <v>2.0690400617553025E-3</v>
      </c>
      <c r="F2840" s="75"/>
    </row>
    <row r="2841" spans="1:6" ht="14.25" customHeight="1" x14ac:dyDescent="0.3">
      <c r="A2841" s="73">
        <v>44728</v>
      </c>
      <c r="B2841" s="74">
        <v>51495.79</v>
      </c>
      <c r="C2841" s="74">
        <v>2060.15</v>
      </c>
      <c r="D2841" s="74">
        <f t="shared" si="89"/>
        <v>-2.010118318557735E-2</v>
      </c>
      <c r="E2841" s="74">
        <f t="shared" si="90"/>
        <v>-2.1346629640026642E-2</v>
      </c>
      <c r="F2841" s="75"/>
    </row>
    <row r="2842" spans="1:6" ht="14.25" customHeight="1" x14ac:dyDescent="0.3">
      <c r="A2842" s="73">
        <v>44729</v>
      </c>
      <c r="B2842" s="74">
        <v>51360.42</v>
      </c>
      <c r="C2842" s="74">
        <v>1935.35</v>
      </c>
      <c r="D2842" s="74">
        <f t="shared" si="89"/>
        <v>-2.6322198369969673E-3</v>
      </c>
      <c r="E2842" s="74">
        <f t="shared" si="90"/>
        <v>-6.2490607006384549E-2</v>
      </c>
      <c r="F2842" s="75"/>
    </row>
    <row r="2843" spans="1:6" ht="14.25" customHeight="1" x14ac:dyDescent="0.3">
      <c r="A2843" s="73">
        <v>44732</v>
      </c>
      <c r="B2843" s="74">
        <v>51597.84</v>
      </c>
      <c r="C2843" s="74">
        <v>1962.35</v>
      </c>
      <c r="D2843" s="74">
        <f t="shared" si="89"/>
        <v>4.6119742278640675E-3</v>
      </c>
      <c r="E2843" s="74">
        <f t="shared" si="90"/>
        <v>1.385454595408386E-2</v>
      </c>
      <c r="F2843" s="75"/>
    </row>
    <row r="2844" spans="1:6" ht="14.25" customHeight="1" x14ac:dyDescent="0.3">
      <c r="A2844" s="73">
        <v>44733</v>
      </c>
      <c r="B2844" s="74">
        <v>52532.07</v>
      </c>
      <c r="C2844" s="74">
        <v>2078.4499999999998</v>
      </c>
      <c r="D2844" s="74">
        <f t="shared" si="89"/>
        <v>1.7944029096928767E-2</v>
      </c>
      <c r="E2844" s="74">
        <f t="shared" si="90"/>
        <v>5.7479688979483967E-2</v>
      </c>
      <c r="F2844" s="75"/>
    </row>
    <row r="2845" spans="1:6" ht="14.25" customHeight="1" x14ac:dyDescent="0.3">
      <c r="A2845" s="73">
        <v>44734</v>
      </c>
      <c r="B2845" s="74">
        <v>51822.53</v>
      </c>
      <c r="C2845" s="74">
        <v>2030.3</v>
      </c>
      <c r="D2845" s="74">
        <f t="shared" si="89"/>
        <v>-1.3598843452667111E-2</v>
      </c>
      <c r="E2845" s="74">
        <f t="shared" si="90"/>
        <v>-2.3438858225672845E-2</v>
      </c>
      <c r="F2845" s="75"/>
    </row>
    <row r="2846" spans="1:6" ht="14.25" customHeight="1" x14ac:dyDescent="0.3">
      <c r="A2846" s="73">
        <v>44735</v>
      </c>
      <c r="B2846" s="74">
        <v>52265.72</v>
      </c>
      <c r="C2846" s="74">
        <v>2041.45</v>
      </c>
      <c r="D2846" s="74">
        <f t="shared" si="89"/>
        <v>8.515710048782656E-3</v>
      </c>
      <c r="E2846" s="74">
        <f t="shared" si="90"/>
        <v>5.4767742962572802E-3</v>
      </c>
      <c r="F2846" s="75"/>
    </row>
    <row r="2847" spans="1:6" ht="14.25" customHeight="1" x14ac:dyDescent="0.3">
      <c r="A2847" s="73">
        <v>44736</v>
      </c>
      <c r="B2847" s="74">
        <v>52727.98</v>
      </c>
      <c r="C2847" s="74">
        <v>2045.45</v>
      </c>
      <c r="D2847" s="74">
        <f t="shared" si="89"/>
        <v>8.8055376059626139E-3</v>
      </c>
      <c r="E2847" s="74">
        <f t="shared" si="90"/>
        <v>1.9574745049965596E-3</v>
      </c>
      <c r="F2847" s="75"/>
    </row>
    <row r="2848" spans="1:6" ht="14.25" customHeight="1" x14ac:dyDescent="0.3">
      <c r="A2848" s="73">
        <v>44739</v>
      </c>
      <c r="B2848" s="74">
        <v>53161.279999999999</v>
      </c>
      <c r="C2848" s="74">
        <v>2040.25</v>
      </c>
      <c r="D2848" s="74">
        <f t="shared" si="89"/>
        <v>8.1840673642607394E-3</v>
      </c>
      <c r="E2848" s="74">
        <f t="shared" si="90"/>
        <v>-2.5454648200973614E-3</v>
      </c>
      <c r="F2848" s="75"/>
    </row>
    <row r="2849" spans="1:6" ht="14.25" customHeight="1" x14ac:dyDescent="0.3">
      <c r="A2849" s="73">
        <v>44740</v>
      </c>
      <c r="B2849" s="74">
        <v>53177.45</v>
      </c>
      <c r="C2849" s="74">
        <v>1968.1</v>
      </c>
      <c r="D2849" s="74">
        <f t="shared" si="89"/>
        <v>3.0412249844677803E-4</v>
      </c>
      <c r="E2849" s="74">
        <f t="shared" si="90"/>
        <v>-3.6003739019960658E-2</v>
      </c>
      <c r="F2849" s="75"/>
    </row>
    <row r="2850" spans="1:6" ht="14.25" customHeight="1" x14ac:dyDescent="0.3">
      <c r="A2850" s="73">
        <v>44741</v>
      </c>
      <c r="B2850" s="74">
        <v>53026.97</v>
      </c>
      <c r="C2850" s="74">
        <v>1936</v>
      </c>
      <c r="D2850" s="74">
        <f t="shared" si="89"/>
        <v>-2.8337822606671194E-3</v>
      </c>
      <c r="E2850" s="74">
        <f t="shared" si="90"/>
        <v>-1.6444621492869259E-2</v>
      </c>
      <c r="F2850" s="75"/>
    </row>
    <row r="2851" spans="1:6" ht="14.25" customHeight="1" x14ac:dyDescent="0.3">
      <c r="A2851" s="73">
        <v>44742</v>
      </c>
      <c r="B2851" s="74">
        <v>53018.94</v>
      </c>
      <c r="C2851" s="74">
        <v>1942.45</v>
      </c>
      <c r="D2851" s="74">
        <f t="shared" si="89"/>
        <v>-1.5144384192365874E-4</v>
      </c>
      <c r="E2851" s="74">
        <f t="shared" si="90"/>
        <v>3.3260740482600453E-3</v>
      </c>
      <c r="F2851" s="75"/>
    </row>
    <row r="2852" spans="1:6" ht="14.25" customHeight="1" x14ac:dyDescent="0.3">
      <c r="A2852" s="73">
        <v>44743</v>
      </c>
      <c r="B2852" s="74">
        <v>52907.93</v>
      </c>
      <c r="C2852" s="74">
        <v>1946.1</v>
      </c>
      <c r="D2852" s="74">
        <f t="shared" si="89"/>
        <v>-2.0959750937593878E-3</v>
      </c>
      <c r="E2852" s="74">
        <f t="shared" si="90"/>
        <v>1.8773070023369548E-3</v>
      </c>
      <c r="F2852" s="75"/>
    </row>
    <row r="2853" spans="1:6" ht="14.25" customHeight="1" x14ac:dyDescent="0.3">
      <c r="A2853" s="73">
        <v>44746</v>
      </c>
      <c r="B2853" s="74">
        <v>53234.77</v>
      </c>
      <c r="C2853" s="74">
        <v>1962.35</v>
      </c>
      <c r="D2853" s="74">
        <f t="shared" si="89"/>
        <v>6.1585211797859241E-3</v>
      </c>
      <c r="E2853" s="74">
        <f t="shared" si="90"/>
        <v>8.3153647272651635E-3</v>
      </c>
      <c r="F2853" s="75"/>
    </row>
    <row r="2854" spans="1:6" ht="14.25" customHeight="1" x14ac:dyDescent="0.3">
      <c r="A2854" s="73">
        <v>44747</v>
      </c>
      <c r="B2854" s="74">
        <v>53134.35</v>
      </c>
      <c r="C2854" s="74">
        <v>1950.7</v>
      </c>
      <c r="D2854" s="74">
        <f t="shared" si="89"/>
        <v>-1.8881425329793815E-3</v>
      </c>
      <c r="E2854" s="74">
        <f t="shared" si="90"/>
        <v>-5.9544521134975142E-3</v>
      </c>
      <c r="F2854" s="75"/>
    </row>
    <row r="2855" spans="1:6" ht="14.25" customHeight="1" x14ac:dyDescent="0.3">
      <c r="A2855" s="73">
        <v>44748</v>
      </c>
      <c r="B2855" s="74">
        <v>53750.97</v>
      </c>
      <c r="C2855" s="74">
        <v>2013.4</v>
      </c>
      <c r="D2855" s="74">
        <f t="shared" si="89"/>
        <v>1.1538101598165861E-2</v>
      </c>
      <c r="E2855" s="74">
        <f t="shared" si="90"/>
        <v>3.1636552794435994E-2</v>
      </c>
      <c r="F2855" s="75"/>
    </row>
    <row r="2856" spans="1:6" ht="14.25" customHeight="1" x14ac:dyDescent="0.3">
      <c r="A2856" s="73">
        <v>44749</v>
      </c>
      <c r="B2856" s="74">
        <v>54178.46</v>
      </c>
      <c r="C2856" s="74">
        <v>2128</v>
      </c>
      <c r="D2856" s="74">
        <f t="shared" si="89"/>
        <v>7.9216991238123917E-3</v>
      </c>
      <c r="E2856" s="74">
        <f t="shared" si="90"/>
        <v>5.5357736166212028E-2</v>
      </c>
      <c r="F2856" s="75"/>
    </row>
    <row r="2857" spans="1:6" ht="14.25" customHeight="1" x14ac:dyDescent="0.3">
      <c r="A2857" s="73">
        <v>44750</v>
      </c>
      <c r="B2857" s="74">
        <v>54481.84</v>
      </c>
      <c r="C2857" s="74">
        <v>2143.75</v>
      </c>
      <c r="D2857" s="74">
        <f t="shared" si="89"/>
        <v>5.5840226525243741E-3</v>
      </c>
      <c r="E2857" s="74">
        <f t="shared" si="90"/>
        <v>7.3740604527150313E-3</v>
      </c>
      <c r="F2857" s="75"/>
    </row>
    <row r="2858" spans="1:6" ht="14.25" customHeight="1" x14ac:dyDescent="0.3">
      <c r="A2858" s="73">
        <v>44753</v>
      </c>
      <c r="B2858" s="74">
        <v>54395.23</v>
      </c>
      <c r="C2858" s="74">
        <v>2158.75</v>
      </c>
      <c r="D2858" s="74">
        <f t="shared" si="89"/>
        <v>-1.5909689389841108E-3</v>
      </c>
      <c r="E2858" s="74">
        <f t="shared" si="90"/>
        <v>6.9727185466382374E-3</v>
      </c>
      <c r="F2858" s="75"/>
    </row>
    <row r="2859" spans="1:6" ht="14.25" customHeight="1" x14ac:dyDescent="0.3">
      <c r="A2859" s="73">
        <v>44754</v>
      </c>
      <c r="B2859" s="74">
        <v>53886.61</v>
      </c>
      <c r="C2859" s="74">
        <v>2130.85</v>
      </c>
      <c r="D2859" s="74">
        <f t="shared" si="89"/>
        <v>-9.3944421466369485E-3</v>
      </c>
      <c r="E2859" s="74">
        <f t="shared" si="90"/>
        <v>-1.3008389328230658E-2</v>
      </c>
      <c r="F2859" s="75"/>
    </row>
    <row r="2860" spans="1:6" ht="14.25" customHeight="1" x14ac:dyDescent="0.3">
      <c r="A2860" s="73">
        <v>44755</v>
      </c>
      <c r="B2860" s="74">
        <v>53514.15</v>
      </c>
      <c r="C2860" s="74">
        <v>2110.65</v>
      </c>
      <c r="D2860" s="74">
        <f t="shared" si="89"/>
        <v>-6.9359191342613204E-3</v>
      </c>
      <c r="E2860" s="74">
        <f t="shared" si="90"/>
        <v>-9.5250042302832579E-3</v>
      </c>
      <c r="F2860" s="75"/>
    </row>
    <row r="2861" spans="1:6" ht="14.25" customHeight="1" x14ac:dyDescent="0.3">
      <c r="A2861" s="73">
        <v>44756</v>
      </c>
      <c r="B2861" s="74">
        <v>53416.15</v>
      </c>
      <c r="C2861" s="74">
        <v>2128.5</v>
      </c>
      <c r="D2861" s="74">
        <f t="shared" si="89"/>
        <v>-1.8329702140216432E-3</v>
      </c>
      <c r="E2861" s="74">
        <f t="shared" si="90"/>
        <v>8.4215493658326927E-3</v>
      </c>
      <c r="F2861" s="75"/>
    </row>
    <row r="2862" spans="1:6" ht="14.25" customHeight="1" x14ac:dyDescent="0.3">
      <c r="A2862" s="73">
        <v>44757</v>
      </c>
      <c r="B2862" s="74">
        <v>53760.78</v>
      </c>
      <c r="C2862" s="74">
        <v>2188.9</v>
      </c>
      <c r="D2862" s="74">
        <f t="shared" si="89"/>
        <v>6.4310703392155581E-3</v>
      </c>
      <c r="E2862" s="74">
        <f t="shared" si="90"/>
        <v>2.7981628250901835E-2</v>
      </c>
      <c r="F2862" s="75"/>
    </row>
    <row r="2863" spans="1:6" ht="14.25" customHeight="1" x14ac:dyDescent="0.3">
      <c r="A2863" s="73">
        <v>44760</v>
      </c>
      <c r="B2863" s="74">
        <v>54521.15</v>
      </c>
      <c r="C2863" s="74">
        <v>2236.85</v>
      </c>
      <c r="D2863" s="74">
        <f t="shared" si="89"/>
        <v>1.4044494744477897E-2</v>
      </c>
      <c r="E2863" s="74">
        <f t="shared" si="90"/>
        <v>2.1669491632495003E-2</v>
      </c>
      <c r="F2863" s="75"/>
    </row>
    <row r="2864" spans="1:6" ht="14.25" customHeight="1" x14ac:dyDescent="0.3">
      <c r="A2864" s="73">
        <v>44761</v>
      </c>
      <c r="B2864" s="74">
        <v>54767.62</v>
      </c>
      <c r="C2864" s="74">
        <v>2239.65</v>
      </c>
      <c r="D2864" s="74">
        <f t="shared" si="89"/>
        <v>4.5104436229039795E-3</v>
      </c>
      <c r="E2864" s="74">
        <f t="shared" si="90"/>
        <v>1.250977489178589E-3</v>
      </c>
      <c r="F2864" s="75"/>
    </row>
    <row r="2865" spans="1:6" ht="14.25" customHeight="1" x14ac:dyDescent="0.3">
      <c r="A2865" s="73">
        <v>44762</v>
      </c>
      <c r="B2865" s="74">
        <v>55397.53</v>
      </c>
      <c r="C2865" s="74">
        <v>2270.8000000000002</v>
      </c>
      <c r="D2865" s="74">
        <f t="shared" si="89"/>
        <v>1.1435864516165881E-2</v>
      </c>
      <c r="E2865" s="74">
        <f t="shared" si="90"/>
        <v>1.3812588655788705E-2</v>
      </c>
      <c r="F2865" s="75"/>
    </row>
    <row r="2866" spans="1:6" ht="14.25" customHeight="1" x14ac:dyDescent="0.3">
      <c r="A2866" s="73">
        <v>44763</v>
      </c>
      <c r="B2866" s="74">
        <v>55681.95</v>
      </c>
      <c r="C2866" s="74">
        <v>2287.85</v>
      </c>
      <c r="D2866" s="74">
        <f t="shared" si="89"/>
        <v>5.1210290428885946E-3</v>
      </c>
      <c r="E2866" s="74">
        <f t="shared" si="90"/>
        <v>7.4803196134437273E-3</v>
      </c>
      <c r="F2866" s="75"/>
    </row>
    <row r="2867" spans="1:6" ht="14.25" customHeight="1" x14ac:dyDescent="0.3">
      <c r="A2867" s="73">
        <v>44764</v>
      </c>
      <c r="B2867" s="74">
        <v>56072.23</v>
      </c>
      <c r="C2867" s="74">
        <v>2324.9</v>
      </c>
      <c r="D2867" s="74">
        <f t="shared" si="89"/>
        <v>6.9846440939884203E-3</v>
      </c>
      <c r="E2867" s="74">
        <f t="shared" si="90"/>
        <v>1.6064515433764671E-2</v>
      </c>
      <c r="F2867" s="75"/>
    </row>
    <row r="2868" spans="1:6" ht="14.25" customHeight="1" x14ac:dyDescent="0.3">
      <c r="A2868" s="73">
        <v>44767</v>
      </c>
      <c r="B2868" s="74">
        <v>55766.22</v>
      </c>
      <c r="C2868" s="74">
        <v>2328.85</v>
      </c>
      <c r="D2868" s="74">
        <f t="shared" si="89"/>
        <v>-5.4723713297028052E-3</v>
      </c>
      <c r="E2868" s="74">
        <f t="shared" si="90"/>
        <v>1.6975561422760467E-3</v>
      </c>
      <c r="F2868" s="75"/>
    </row>
    <row r="2869" spans="1:6" ht="14.25" customHeight="1" x14ac:dyDescent="0.3">
      <c r="A2869" s="73">
        <v>44768</v>
      </c>
      <c r="B2869" s="74">
        <v>55268.49</v>
      </c>
      <c r="C2869" s="74">
        <v>2292.85</v>
      </c>
      <c r="D2869" s="74">
        <f t="shared" si="89"/>
        <v>-8.9653646839666784E-3</v>
      </c>
      <c r="E2869" s="74">
        <f t="shared" si="90"/>
        <v>-1.5578998252856925E-2</v>
      </c>
      <c r="F2869" s="75"/>
    </row>
    <row r="2870" spans="1:6" ht="14.25" customHeight="1" x14ac:dyDescent="0.3">
      <c r="A2870" s="73">
        <v>44769</v>
      </c>
      <c r="B2870" s="74">
        <v>55816.32</v>
      </c>
      <c r="C2870" s="74">
        <v>2302.1999999999998</v>
      </c>
      <c r="D2870" s="74">
        <f t="shared" si="89"/>
        <v>9.8633546986528504E-3</v>
      </c>
      <c r="E2870" s="74">
        <f t="shared" si="90"/>
        <v>4.0696022477630552E-3</v>
      </c>
      <c r="F2870" s="75"/>
    </row>
    <row r="2871" spans="1:6" ht="14.25" customHeight="1" x14ac:dyDescent="0.3">
      <c r="A2871" s="73">
        <v>44770</v>
      </c>
      <c r="B2871" s="74">
        <v>56857.79</v>
      </c>
      <c r="C2871" s="74">
        <v>2334.6</v>
      </c>
      <c r="D2871" s="74">
        <f t="shared" si="89"/>
        <v>1.8486938330278646E-2</v>
      </c>
      <c r="E2871" s="74">
        <f t="shared" si="90"/>
        <v>1.3975382737601239E-2</v>
      </c>
      <c r="F2871" s="75"/>
    </row>
    <row r="2872" spans="1:6" ht="14.25" customHeight="1" x14ac:dyDescent="0.3">
      <c r="A2872" s="73">
        <v>44771</v>
      </c>
      <c r="B2872" s="74">
        <v>57570.25</v>
      </c>
      <c r="C2872" s="74">
        <v>2353.0500000000002</v>
      </c>
      <c r="D2872" s="74">
        <f t="shared" si="89"/>
        <v>1.2452703143907838E-2</v>
      </c>
      <c r="E2872" s="74">
        <f t="shared" si="90"/>
        <v>7.8717887517962132E-3</v>
      </c>
      <c r="F2872" s="75"/>
    </row>
    <row r="2873" spans="1:6" ht="14.25" customHeight="1" x14ac:dyDescent="0.3">
      <c r="A2873" s="73">
        <v>44774</v>
      </c>
      <c r="B2873" s="74">
        <v>58115.5</v>
      </c>
      <c r="C2873" s="74">
        <v>2376.65</v>
      </c>
      <c r="D2873" s="74">
        <f t="shared" si="89"/>
        <v>9.4264684715859356E-3</v>
      </c>
      <c r="E2873" s="74">
        <f t="shared" si="90"/>
        <v>9.9795741225634158E-3</v>
      </c>
      <c r="F2873" s="75"/>
    </row>
    <row r="2874" spans="1:6" ht="14.25" customHeight="1" x14ac:dyDescent="0.3">
      <c r="A2874" s="73">
        <v>44775</v>
      </c>
      <c r="B2874" s="74">
        <v>58136.36</v>
      </c>
      <c r="C2874" s="74">
        <v>2384.25</v>
      </c>
      <c r="D2874" s="74">
        <f t="shared" si="89"/>
        <v>3.5887598226622483E-4</v>
      </c>
      <c r="E2874" s="74">
        <f t="shared" si="90"/>
        <v>3.1926763660992058E-3</v>
      </c>
      <c r="F2874" s="75"/>
    </row>
    <row r="2875" spans="1:6" ht="14.25" customHeight="1" x14ac:dyDescent="0.3">
      <c r="A2875" s="73">
        <v>44776</v>
      </c>
      <c r="B2875" s="74">
        <v>58350.53</v>
      </c>
      <c r="C2875" s="74">
        <v>2414.5</v>
      </c>
      <c r="D2875" s="74">
        <f t="shared" si="89"/>
        <v>3.6771561387639101E-3</v>
      </c>
      <c r="E2875" s="74">
        <f t="shared" si="90"/>
        <v>1.2607616854574854E-2</v>
      </c>
      <c r="F2875" s="75"/>
    </row>
    <row r="2876" spans="1:6" ht="14.25" customHeight="1" x14ac:dyDescent="0.3">
      <c r="A2876" s="73">
        <v>44777</v>
      </c>
      <c r="B2876" s="74">
        <v>58298.8</v>
      </c>
      <c r="C2876" s="74">
        <v>2423.1999999999998</v>
      </c>
      <c r="D2876" s="74">
        <f t="shared" si="89"/>
        <v>-8.8693185620705413E-4</v>
      </c>
      <c r="E2876" s="74">
        <f t="shared" si="90"/>
        <v>3.5967543994309594E-3</v>
      </c>
      <c r="F2876" s="75"/>
    </row>
    <row r="2877" spans="1:6" ht="14.25" customHeight="1" x14ac:dyDescent="0.3">
      <c r="A2877" s="73">
        <v>44778</v>
      </c>
      <c r="B2877" s="74">
        <v>58387.93</v>
      </c>
      <c r="C2877" s="74">
        <v>2432.5500000000002</v>
      </c>
      <c r="D2877" s="74">
        <f t="shared" si="89"/>
        <v>1.5276804369159518E-3</v>
      </c>
      <c r="E2877" s="74">
        <f t="shared" si="90"/>
        <v>3.8511091204656363E-3</v>
      </c>
      <c r="F2877" s="75"/>
    </row>
    <row r="2878" spans="1:6" ht="14.25" customHeight="1" x14ac:dyDescent="0.3">
      <c r="A2878" s="73">
        <v>44781</v>
      </c>
      <c r="B2878" s="74">
        <v>58853.07</v>
      </c>
      <c r="C2878" s="74">
        <v>2446.6999999999998</v>
      </c>
      <c r="D2878" s="74">
        <f t="shared" si="89"/>
        <v>7.9348084795921626E-3</v>
      </c>
      <c r="E2878" s="74">
        <f t="shared" si="90"/>
        <v>5.8000879923544293E-3</v>
      </c>
      <c r="F2878" s="75"/>
    </row>
    <row r="2879" spans="1:6" ht="14.25" customHeight="1" x14ac:dyDescent="0.3">
      <c r="A2879" s="73">
        <v>44783</v>
      </c>
      <c r="B2879" s="74">
        <v>58817.29</v>
      </c>
      <c r="C2879" s="74">
        <v>2431.85</v>
      </c>
      <c r="D2879" s="74">
        <f t="shared" si="89"/>
        <v>-6.081395706228252E-4</v>
      </c>
      <c r="E2879" s="74">
        <f t="shared" si="90"/>
        <v>-6.0878932735123287E-3</v>
      </c>
      <c r="F2879" s="75"/>
    </row>
    <row r="2880" spans="1:6" ht="14.25" customHeight="1" x14ac:dyDescent="0.3">
      <c r="A2880" s="73">
        <v>44784</v>
      </c>
      <c r="B2880" s="74">
        <v>59332.6</v>
      </c>
      <c r="C2880" s="74">
        <v>2471.6</v>
      </c>
      <c r="D2880" s="74">
        <f t="shared" si="89"/>
        <v>8.7230426969330428E-3</v>
      </c>
      <c r="E2880" s="74">
        <f t="shared" si="90"/>
        <v>1.6213429634489213E-2</v>
      </c>
      <c r="F2880" s="75"/>
    </row>
    <row r="2881" spans="1:6" ht="14.25" customHeight="1" x14ac:dyDescent="0.3">
      <c r="A2881" s="73">
        <v>44785</v>
      </c>
      <c r="B2881" s="74">
        <v>59462.78</v>
      </c>
      <c r="C2881" s="74">
        <v>2471.9499999999998</v>
      </c>
      <c r="D2881" s="74">
        <f t="shared" si="89"/>
        <v>2.1916686003950426E-3</v>
      </c>
      <c r="E2881" s="74">
        <f t="shared" si="90"/>
        <v>1.4159864898082174E-4</v>
      </c>
      <c r="F2881" s="75"/>
    </row>
    <row r="2882" spans="1:6" ht="14.25" customHeight="1" x14ac:dyDescent="0.3">
      <c r="A2882" s="73">
        <v>44789</v>
      </c>
      <c r="B2882" s="74">
        <v>59842.21</v>
      </c>
      <c r="C2882" s="74">
        <v>2493.65</v>
      </c>
      <c r="D2882" s="74">
        <f t="shared" si="89"/>
        <v>6.360694205011945E-3</v>
      </c>
      <c r="E2882" s="74">
        <f t="shared" si="90"/>
        <v>8.7401877477052692E-3</v>
      </c>
      <c r="F2882" s="75"/>
    </row>
    <row r="2883" spans="1:6" ht="14.25" customHeight="1" x14ac:dyDescent="0.3">
      <c r="A2883" s="73">
        <v>44790</v>
      </c>
      <c r="B2883" s="74">
        <v>60260.13</v>
      </c>
      <c r="C2883" s="74">
        <v>2492.15</v>
      </c>
      <c r="D2883" s="74">
        <f t="shared" si="89"/>
        <v>6.9594262156747605E-3</v>
      </c>
      <c r="E2883" s="74">
        <f t="shared" si="90"/>
        <v>-6.0170887129712923E-4</v>
      </c>
      <c r="F2883" s="75"/>
    </row>
    <row r="2884" spans="1:6" ht="14.25" customHeight="1" x14ac:dyDescent="0.3">
      <c r="A2884" s="73">
        <v>44791</v>
      </c>
      <c r="B2884" s="74">
        <v>60298</v>
      </c>
      <c r="C2884" s="74">
        <v>2478.0500000000002</v>
      </c>
      <c r="D2884" s="74">
        <f t="shared" ref="D2884:D2947" si="91">LN(B2884/B2883)</f>
        <v>6.2824466911668613E-4</v>
      </c>
      <c r="E2884" s="74">
        <f t="shared" ref="E2884:E2947" si="92">LN(C2884/C2883)</f>
        <v>-5.673831164139353E-3</v>
      </c>
      <c r="F2884" s="75"/>
    </row>
    <row r="2885" spans="1:6" ht="14.25" customHeight="1" x14ac:dyDescent="0.3">
      <c r="A2885" s="73">
        <v>44792</v>
      </c>
      <c r="B2885" s="74">
        <v>59646.15</v>
      </c>
      <c r="C2885" s="74">
        <v>2439.65</v>
      </c>
      <c r="D2885" s="74">
        <f t="shared" si="91"/>
        <v>-1.0869332394789702E-2</v>
      </c>
      <c r="E2885" s="74">
        <f t="shared" si="92"/>
        <v>-1.5617374172654203E-2</v>
      </c>
      <c r="F2885" s="75"/>
    </row>
    <row r="2886" spans="1:6" ht="14.25" customHeight="1" x14ac:dyDescent="0.3">
      <c r="A2886" s="73">
        <v>44795</v>
      </c>
      <c r="B2886" s="74">
        <v>58773.87</v>
      </c>
      <c r="C2886" s="74">
        <v>2417.5</v>
      </c>
      <c r="D2886" s="74">
        <f t="shared" si="91"/>
        <v>-1.4732234912463969E-2</v>
      </c>
      <c r="E2886" s="74">
        <f t="shared" si="92"/>
        <v>-9.1206380479704439E-3</v>
      </c>
      <c r="F2886" s="75"/>
    </row>
    <row r="2887" spans="1:6" ht="14.25" customHeight="1" x14ac:dyDescent="0.3">
      <c r="A2887" s="73">
        <v>44796</v>
      </c>
      <c r="B2887" s="74">
        <v>59031.3</v>
      </c>
      <c r="C2887" s="74">
        <v>2480.3000000000002</v>
      </c>
      <c r="D2887" s="74">
        <f t="shared" si="91"/>
        <v>4.3704433304453671E-3</v>
      </c>
      <c r="E2887" s="74">
        <f t="shared" si="92"/>
        <v>2.5645572257506747E-2</v>
      </c>
      <c r="F2887" s="75"/>
    </row>
    <row r="2888" spans="1:6" ht="14.25" customHeight="1" x14ac:dyDescent="0.3">
      <c r="A2888" s="73">
        <v>44797</v>
      </c>
      <c r="B2888" s="74">
        <v>59085.43</v>
      </c>
      <c r="C2888" s="74">
        <v>2460.35</v>
      </c>
      <c r="D2888" s="74">
        <f t="shared" si="91"/>
        <v>9.1655100491518787E-4</v>
      </c>
      <c r="E2888" s="74">
        <f t="shared" si="92"/>
        <v>-8.0759043561137913E-3</v>
      </c>
      <c r="F2888" s="75"/>
    </row>
    <row r="2889" spans="1:6" ht="14.25" customHeight="1" x14ac:dyDescent="0.3">
      <c r="A2889" s="73">
        <v>44798</v>
      </c>
      <c r="B2889" s="74">
        <v>58774.720000000001</v>
      </c>
      <c r="C2889" s="74">
        <v>2467.1</v>
      </c>
      <c r="D2889" s="74">
        <f t="shared" si="91"/>
        <v>-5.2725322307956742E-3</v>
      </c>
      <c r="E2889" s="74">
        <f t="shared" si="92"/>
        <v>2.7397555418202757E-3</v>
      </c>
      <c r="F2889" s="75"/>
    </row>
    <row r="2890" spans="1:6" ht="14.25" customHeight="1" x14ac:dyDescent="0.3">
      <c r="A2890" s="73">
        <v>44799</v>
      </c>
      <c r="B2890" s="74">
        <v>58833.87</v>
      </c>
      <c r="C2890" s="74">
        <v>2532.5</v>
      </c>
      <c r="D2890" s="74">
        <f t="shared" si="91"/>
        <v>1.0058789921261755E-3</v>
      </c>
      <c r="E2890" s="74">
        <f t="shared" si="92"/>
        <v>2.6163585352175892E-2</v>
      </c>
      <c r="F2890" s="75"/>
    </row>
    <row r="2891" spans="1:6" ht="14.25" customHeight="1" x14ac:dyDescent="0.3">
      <c r="A2891" s="73">
        <v>44802</v>
      </c>
      <c r="B2891" s="74">
        <v>57972.62</v>
      </c>
      <c r="C2891" s="74">
        <v>2531.0500000000002</v>
      </c>
      <c r="D2891" s="74">
        <f t="shared" si="91"/>
        <v>-1.4746879355400555E-2</v>
      </c>
      <c r="E2891" s="74">
        <f t="shared" si="92"/>
        <v>-5.7272073530788032E-4</v>
      </c>
      <c r="F2891" s="75"/>
    </row>
    <row r="2892" spans="1:6" ht="14.25" customHeight="1" x14ac:dyDescent="0.3">
      <c r="A2892" s="73">
        <v>44803</v>
      </c>
      <c r="B2892" s="74">
        <v>59537.07</v>
      </c>
      <c r="C2892" s="74">
        <v>2602.6999999999998</v>
      </c>
      <c r="D2892" s="74">
        <f t="shared" si="91"/>
        <v>2.6628313640766593E-2</v>
      </c>
      <c r="E2892" s="74">
        <f t="shared" si="92"/>
        <v>2.7915131332323526E-2</v>
      </c>
      <c r="F2892" s="75"/>
    </row>
    <row r="2893" spans="1:6" ht="14.25" customHeight="1" x14ac:dyDescent="0.3">
      <c r="A2893" s="73">
        <v>44805</v>
      </c>
      <c r="B2893" s="74">
        <v>58766.59</v>
      </c>
      <c r="C2893" s="74">
        <v>2623</v>
      </c>
      <c r="D2893" s="74">
        <f t="shared" si="91"/>
        <v>-1.3025647621612986E-2</v>
      </c>
      <c r="E2893" s="74">
        <f t="shared" si="92"/>
        <v>7.7693331470196584E-3</v>
      </c>
      <c r="F2893" s="75"/>
    </row>
    <row r="2894" spans="1:6" ht="14.25" customHeight="1" x14ac:dyDescent="0.3">
      <c r="A2894" s="73">
        <v>44806</v>
      </c>
      <c r="B2894" s="74">
        <v>58803.33</v>
      </c>
      <c r="C2894" s="74">
        <v>2612</v>
      </c>
      <c r="D2894" s="74">
        <f t="shared" si="91"/>
        <v>6.2498981365187803E-4</v>
      </c>
      <c r="E2894" s="74">
        <f t="shared" si="92"/>
        <v>-4.2024894705520437E-3</v>
      </c>
      <c r="F2894" s="75"/>
    </row>
    <row r="2895" spans="1:6" ht="14.25" customHeight="1" x14ac:dyDescent="0.3">
      <c r="A2895" s="73">
        <v>44809</v>
      </c>
      <c r="B2895" s="74">
        <v>59245.98</v>
      </c>
      <c r="C2895" s="74">
        <v>2624.45</v>
      </c>
      <c r="D2895" s="74">
        <f t="shared" si="91"/>
        <v>7.4994436581140274E-3</v>
      </c>
      <c r="E2895" s="74">
        <f t="shared" si="92"/>
        <v>4.7551388666985791E-3</v>
      </c>
      <c r="F2895" s="75"/>
    </row>
    <row r="2896" spans="1:6" ht="14.25" customHeight="1" x14ac:dyDescent="0.3">
      <c r="A2896" s="73">
        <v>44810</v>
      </c>
      <c r="B2896" s="74">
        <v>59196.99</v>
      </c>
      <c r="C2896" s="74">
        <v>2624.3</v>
      </c>
      <c r="D2896" s="74">
        <f t="shared" si="91"/>
        <v>-8.2723360945310682E-4</v>
      </c>
      <c r="E2896" s="74">
        <f t="shared" si="92"/>
        <v>-5.7156465840626971E-5</v>
      </c>
      <c r="F2896" s="75"/>
    </row>
    <row r="2897" spans="1:6" ht="14.25" customHeight="1" x14ac:dyDescent="0.3">
      <c r="A2897" s="73">
        <v>44811</v>
      </c>
      <c r="B2897" s="74">
        <v>59028.91</v>
      </c>
      <c r="C2897" s="74">
        <v>2637.9</v>
      </c>
      <c r="D2897" s="74">
        <f t="shared" si="91"/>
        <v>-2.8433721078137569E-3</v>
      </c>
      <c r="E2897" s="74">
        <f t="shared" si="92"/>
        <v>5.1689522558863599E-3</v>
      </c>
      <c r="F2897" s="75"/>
    </row>
    <row r="2898" spans="1:6" ht="14.25" customHeight="1" x14ac:dyDescent="0.3">
      <c r="A2898" s="73">
        <v>44812</v>
      </c>
      <c r="B2898" s="74">
        <v>59688.22</v>
      </c>
      <c r="C2898" s="74">
        <v>2626.25</v>
      </c>
      <c r="D2898" s="74">
        <f t="shared" si="91"/>
        <v>1.1107357100497371E-2</v>
      </c>
      <c r="E2898" s="74">
        <f t="shared" si="92"/>
        <v>-4.426172893855964E-3</v>
      </c>
      <c r="F2898" s="75"/>
    </row>
    <row r="2899" spans="1:6" ht="14.25" customHeight="1" x14ac:dyDescent="0.3">
      <c r="A2899" s="73">
        <v>44813</v>
      </c>
      <c r="B2899" s="74">
        <v>59793.14</v>
      </c>
      <c r="C2899" s="74">
        <v>2602.85</v>
      </c>
      <c r="D2899" s="74">
        <f t="shared" si="91"/>
        <v>1.7562576617521954E-3</v>
      </c>
      <c r="E2899" s="74">
        <f t="shared" si="92"/>
        <v>-8.9499746414417256E-3</v>
      </c>
      <c r="F2899" s="75"/>
    </row>
    <row r="2900" spans="1:6" ht="14.25" customHeight="1" x14ac:dyDescent="0.3">
      <c r="A2900" s="73">
        <v>44816</v>
      </c>
      <c r="B2900" s="74">
        <v>60115.13</v>
      </c>
      <c r="C2900" s="74">
        <v>2661.45</v>
      </c>
      <c r="D2900" s="74">
        <f t="shared" si="91"/>
        <v>5.3706182891961477E-3</v>
      </c>
      <c r="E2900" s="74">
        <f t="shared" si="92"/>
        <v>2.226408851992966E-2</v>
      </c>
      <c r="F2900" s="75"/>
    </row>
    <row r="2901" spans="1:6" ht="14.25" customHeight="1" x14ac:dyDescent="0.3">
      <c r="A2901" s="73">
        <v>44817</v>
      </c>
      <c r="B2901" s="74">
        <v>60571.08</v>
      </c>
      <c r="C2901" s="74">
        <v>2706.2</v>
      </c>
      <c r="D2901" s="74">
        <f t="shared" si="91"/>
        <v>7.5559944967375286E-3</v>
      </c>
      <c r="E2901" s="74">
        <f t="shared" si="92"/>
        <v>1.667434979184574E-2</v>
      </c>
      <c r="F2901" s="75"/>
    </row>
    <row r="2902" spans="1:6" ht="14.25" customHeight="1" x14ac:dyDescent="0.3">
      <c r="A2902" s="73">
        <v>44818</v>
      </c>
      <c r="B2902" s="74">
        <v>60346.97</v>
      </c>
      <c r="C2902" s="74">
        <v>2699.9</v>
      </c>
      <c r="D2902" s="74">
        <f t="shared" si="91"/>
        <v>-3.7068122850878221E-3</v>
      </c>
      <c r="E2902" s="74">
        <f t="shared" si="92"/>
        <v>-2.3307015600483563E-3</v>
      </c>
      <c r="F2902" s="75"/>
    </row>
    <row r="2903" spans="1:6" ht="14.25" customHeight="1" x14ac:dyDescent="0.3">
      <c r="A2903" s="73">
        <v>44819</v>
      </c>
      <c r="B2903" s="74">
        <v>59934.01</v>
      </c>
      <c r="C2903" s="74">
        <v>2656.5</v>
      </c>
      <c r="D2903" s="74">
        <f t="shared" si="91"/>
        <v>-6.8666155297613524E-3</v>
      </c>
      <c r="E2903" s="74">
        <f t="shared" si="92"/>
        <v>-1.6205268378497562E-2</v>
      </c>
      <c r="F2903" s="75"/>
    </row>
    <row r="2904" spans="1:6" ht="14.25" customHeight="1" x14ac:dyDescent="0.3">
      <c r="A2904" s="73">
        <v>44820</v>
      </c>
      <c r="B2904" s="74">
        <v>58840.79</v>
      </c>
      <c r="C2904" s="74">
        <v>2612.3000000000002</v>
      </c>
      <c r="D2904" s="74">
        <f t="shared" si="91"/>
        <v>-1.84088017444974E-2</v>
      </c>
      <c r="E2904" s="74">
        <f t="shared" si="92"/>
        <v>-1.6778407572340254E-2</v>
      </c>
      <c r="F2904" s="75"/>
    </row>
    <row r="2905" spans="1:6" ht="14.25" customHeight="1" x14ac:dyDescent="0.3">
      <c r="A2905" s="73">
        <v>44823</v>
      </c>
      <c r="B2905" s="74">
        <v>59141.23</v>
      </c>
      <c r="C2905" s="74">
        <v>2620.8000000000002</v>
      </c>
      <c r="D2905" s="74">
        <f t="shared" si="91"/>
        <v>5.0929904304841305E-3</v>
      </c>
      <c r="E2905" s="74">
        <f t="shared" si="92"/>
        <v>3.2485553400928039E-3</v>
      </c>
      <c r="F2905" s="75"/>
    </row>
    <row r="2906" spans="1:6" ht="14.25" customHeight="1" x14ac:dyDescent="0.3">
      <c r="A2906" s="73">
        <v>44824</v>
      </c>
      <c r="B2906" s="74">
        <v>59719.74</v>
      </c>
      <c r="C2906" s="74">
        <v>2683.35</v>
      </c>
      <c r="D2906" s="74">
        <f t="shared" si="91"/>
        <v>9.7343066969017636E-3</v>
      </c>
      <c r="E2906" s="74">
        <f t="shared" si="92"/>
        <v>2.3586399246583973E-2</v>
      </c>
      <c r="F2906" s="75"/>
    </row>
    <row r="2907" spans="1:6" ht="14.25" customHeight="1" x14ac:dyDescent="0.3">
      <c r="A2907" s="73">
        <v>44825</v>
      </c>
      <c r="B2907" s="74">
        <v>59456.78</v>
      </c>
      <c r="C2907" s="74">
        <v>2665.15</v>
      </c>
      <c r="D2907" s="74">
        <f t="shared" si="91"/>
        <v>-4.4129569607210461E-3</v>
      </c>
      <c r="E2907" s="74">
        <f t="shared" si="92"/>
        <v>-6.8056727111040997E-3</v>
      </c>
      <c r="F2907" s="75"/>
    </row>
    <row r="2908" spans="1:6" ht="14.25" customHeight="1" x14ac:dyDescent="0.3">
      <c r="A2908" s="73">
        <v>44826</v>
      </c>
      <c r="B2908" s="74">
        <v>59119.72</v>
      </c>
      <c r="C2908" s="74">
        <v>2737.9</v>
      </c>
      <c r="D2908" s="74">
        <f t="shared" si="91"/>
        <v>-5.6851215515974166E-3</v>
      </c>
      <c r="E2908" s="74">
        <f t="shared" si="92"/>
        <v>2.6930861977686717E-2</v>
      </c>
      <c r="F2908" s="75"/>
    </row>
    <row r="2909" spans="1:6" ht="14.25" customHeight="1" x14ac:dyDescent="0.3">
      <c r="A2909" s="73">
        <v>44827</v>
      </c>
      <c r="B2909" s="74">
        <v>58098.92</v>
      </c>
      <c r="C2909" s="74">
        <v>2672.45</v>
      </c>
      <c r="D2909" s="74">
        <f t="shared" si="91"/>
        <v>-1.7417465454006385E-2</v>
      </c>
      <c r="E2909" s="74">
        <f t="shared" si="92"/>
        <v>-2.4195548521634407E-2</v>
      </c>
      <c r="F2909" s="75"/>
    </row>
    <row r="2910" spans="1:6" ht="14.25" customHeight="1" x14ac:dyDescent="0.3">
      <c r="A2910" s="73">
        <v>44830</v>
      </c>
      <c r="B2910" s="74">
        <v>57145.22</v>
      </c>
      <c r="C2910" s="74">
        <v>2654.5</v>
      </c>
      <c r="D2910" s="74">
        <f t="shared" si="91"/>
        <v>-1.6551327847038173E-2</v>
      </c>
      <c r="E2910" s="74">
        <f t="shared" si="92"/>
        <v>-6.7393416265563028E-3</v>
      </c>
      <c r="F2910" s="75"/>
    </row>
    <row r="2911" spans="1:6" ht="14.25" customHeight="1" x14ac:dyDescent="0.3">
      <c r="A2911" s="73">
        <v>44831</v>
      </c>
      <c r="B2911" s="74">
        <v>57107.519999999997</v>
      </c>
      <c r="C2911" s="74">
        <v>2597.25</v>
      </c>
      <c r="D2911" s="74">
        <f t="shared" si="91"/>
        <v>-6.59940433258149E-4</v>
      </c>
      <c r="E2911" s="74">
        <f t="shared" si="92"/>
        <v>-2.1803120073085134E-2</v>
      </c>
      <c r="F2911" s="75"/>
    </row>
    <row r="2912" spans="1:6" ht="14.25" customHeight="1" x14ac:dyDescent="0.3">
      <c r="A2912" s="73">
        <v>44832</v>
      </c>
      <c r="B2912" s="74">
        <v>56598.28</v>
      </c>
      <c r="C2912" s="74">
        <v>2575.3000000000002</v>
      </c>
      <c r="D2912" s="74">
        <f t="shared" si="91"/>
        <v>-8.9572107097108111E-3</v>
      </c>
      <c r="E2912" s="74">
        <f t="shared" si="92"/>
        <v>-8.4871607845990269E-3</v>
      </c>
      <c r="F2912" s="75"/>
    </row>
    <row r="2913" spans="1:6" ht="14.25" customHeight="1" x14ac:dyDescent="0.3">
      <c r="A2913" s="73">
        <v>44833</v>
      </c>
      <c r="B2913" s="74">
        <v>56409.96</v>
      </c>
      <c r="C2913" s="74">
        <v>2531.85</v>
      </c>
      <c r="D2913" s="74">
        <f t="shared" si="91"/>
        <v>-3.3328573973110303E-3</v>
      </c>
      <c r="E2913" s="74">
        <f t="shared" si="92"/>
        <v>-1.7015771362995657E-2</v>
      </c>
      <c r="F2913" s="75"/>
    </row>
    <row r="2914" spans="1:6" ht="14.25" customHeight="1" x14ac:dyDescent="0.3">
      <c r="A2914" s="73">
        <v>44834</v>
      </c>
      <c r="B2914" s="74">
        <v>57426.92</v>
      </c>
      <c r="C2914" s="74">
        <v>2606.5500000000002</v>
      </c>
      <c r="D2914" s="74">
        <f t="shared" si="91"/>
        <v>1.7867444273833206E-2</v>
      </c>
      <c r="E2914" s="74">
        <f t="shared" si="92"/>
        <v>2.9077247033326748E-2</v>
      </c>
      <c r="F2914" s="75"/>
    </row>
    <row r="2915" spans="1:6" ht="14.25" customHeight="1" x14ac:dyDescent="0.3">
      <c r="A2915" s="73">
        <v>44837</v>
      </c>
      <c r="B2915" s="74">
        <v>56788.81</v>
      </c>
      <c r="C2915" s="74">
        <v>2575.75</v>
      </c>
      <c r="D2915" s="74">
        <f t="shared" si="91"/>
        <v>-1.1173883654918598E-2</v>
      </c>
      <c r="E2915" s="74">
        <f t="shared" si="92"/>
        <v>-1.1886754011195721E-2</v>
      </c>
      <c r="F2915" s="75"/>
    </row>
    <row r="2916" spans="1:6" ht="14.25" customHeight="1" x14ac:dyDescent="0.3">
      <c r="A2916" s="73">
        <v>44838</v>
      </c>
      <c r="B2916" s="74">
        <v>58065.47</v>
      </c>
      <c r="C2916" s="74">
        <v>2585</v>
      </c>
      <c r="D2916" s="74">
        <f t="shared" si="91"/>
        <v>2.2231867765537542E-2</v>
      </c>
      <c r="E2916" s="74">
        <f t="shared" si="92"/>
        <v>3.5847541173521171E-3</v>
      </c>
      <c r="F2916" s="75"/>
    </row>
    <row r="2917" spans="1:6" ht="14.25" customHeight="1" x14ac:dyDescent="0.3">
      <c r="A2917" s="73">
        <v>44840</v>
      </c>
      <c r="B2917" s="74">
        <v>58222.1</v>
      </c>
      <c r="C2917" s="74">
        <v>2593.6999999999998</v>
      </c>
      <c r="D2917" s="74">
        <f t="shared" si="91"/>
        <v>2.6938407040250321E-3</v>
      </c>
      <c r="E2917" s="74">
        <f t="shared" si="92"/>
        <v>3.3599197422393692E-3</v>
      </c>
      <c r="F2917" s="75"/>
    </row>
    <row r="2918" spans="1:6" ht="14.25" customHeight="1" x14ac:dyDescent="0.3">
      <c r="A2918" s="73">
        <v>44841</v>
      </c>
      <c r="B2918" s="74">
        <v>58191.29</v>
      </c>
      <c r="C2918" s="74">
        <v>2730.5</v>
      </c>
      <c r="D2918" s="74">
        <f t="shared" si="91"/>
        <v>-5.2932056560434744E-4</v>
      </c>
      <c r="E2918" s="74">
        <f t="shared" si="92"/>
        <v>5.1399314907439576E-2</v>
      </c>
      <c r="F2918" s="75"/>
    </row>
    <row r="2919" spans="1:6" ht="14.25" customHeight="1" x14ac:dyDescent="0.3">
      <c r="A2919" s="73">
        <v>44844</v>
      </c>
      <c r="B2919" s="74">
        <v>57991.11</v>
      </c>
      <c r="C2919" s="74">
        <v>2679.6</v>
      </c>
      <c r="D2919" s="74">
        <f t="shared" si="91"/>
        <v>-3.4459642439688023E-3</v>
      </c>
      <c r="E2919" s="74">
        <f t="shared" si="92"/>
        <v>-1.8817212958095957E-2</v>
      </c>
      <c r="F2919" s="75"/>
    </row>
    <row r="2920" spans="1:6" ht="14.25" customHeight="1" x14ac:dyDescent="0.3">
      <c r="A2920" s="73">
        <v>44845</v>
      </c>
      <c r="B2920" s="74">
        <v>57147.32</v>
      </c>
      <c r="C2920" s="74">
        <v>2624.75</v>
      </c>
      <c r="D2920" s="74">
        <f t="shared" si="91"/>
        <v>-1.4657227933382467E-2</v>
      </c>
      <c r="E2920" s="74">
        <f t="shared" si="92"/>
        <v>-2.0681876239061803E-2</v>
      </c>
      <c r="F2920" s="75"/>
    </row>
    <row r="2921" spans="1:6" ht="14.25" customHeight="1" x14ac:dyDescent="0.3">
      <c r="A2921" s="73">
        <v>44846</v>
      </c>
      <c r="B2921" s="74">
        <v>57625.91</v>
      </c>
      <c r="C2921" s="74">
        <v>2618.5</v>
      </c>
      <c r="D2921" s="74">
        <f t="shared" si="91"/>
        <v>8.339797946151575E-3</v>
      </c>
      <c r="E2921" s="74">
        <f t="shared" si="92"/>
        <v>-2.3840186755082786E-3</v>
      </c>
      <c r="F2921" s="75"/>
    </row>
    <row r="2922" spans="1:6" ht="14.25" customHeight="1" x14ac:dyDescent="0.3">
      <c r="A2922" s="73">
        <v>44847</v>
      </c>
      <c r="B2922" s="74">
        <v>57235.33</v>
      </c>
      <c r="C2922" s="74">
        <v>2597.85</v>
      </c>
      <c r="D2922" s="74">
        <f t="shared" si="91"/>
        <v>-6.8009278925517565E-3</v>
      </c>
      <c r="E2922" s="74">
        <f t="shared" si="92"/>
        <v>-7.9174548763804378E-3</v>
      </c>
      <c r="F2922" s="75"/>
    </row>
    <row r="2923" spans="1:6" ht="14.25" customHeight="1" x14ac:dyDescent="0.3">
      <c r="A2923" s="73">
        <v>44848</v>
      </c>
      <c r="B2923" s="74">
        <v>57919.97</v>
      </c>
      <c r="C2923" s="74">
        <v>2617.8000000000002</v>
      </c>
      <c r="D2923" s="74">
        <f t="shared" si="91"/>
        <v>1.1890865064903354E-2</v>
      </c>
      <c r="E2923" s="74">
        <f t="shared" si="92"/>
        <v>7.6500905144571401E-3</v>
      </c>
      <c r="F2923" s="75"/>
    </row>
    <row r="2924" spans="1:6" ht="14.25" customHeight="1" x14ac:dyDescent="0.3">
      <c r="A2924" s="73">
        <v>44851</v>
      </c>
      <c r="B2924" s="74">
        <v>58410.98</v>
      </c>
      <c r="C2924" s="74">
        <v>2625.2</v>
      </c>
      <c r="D2924" s="74">
        <f t="shared" si="91"/>
        <v>8.4416557389255277E-3</v>
      </c>
      <c r="E2924" s="74">
        <f t="shared" si="92"/>
        <v>2.8228132419485141E-3</v>
      </c>
      <c r="F2924" s="75"/>
    </row>
    <row r="2925" spans="1:6" ht="14.25" customHeight="1" x14ac:dyDescent="0.3">
      <c r="A2925" s="73">
        <v>44852</v>
      </c>
      <c r="B2925" s="74">
        <v>58960.6</v>
      </c>
      <c r="C2925" s="74">
        <v>2639.4</v>
      </c>
      <c r="D2925" s="74">
        <f t="shared" si="91"/>
        <v>9.3655383596243091E-3</v>
      </c>
      <c r="E2925" s="74">
        <f t="shared" si="92"/>
        <v>5.39453498316151E-3</v>
      </c>
      <c r="F2925" s="75"/>
    </row>
    <row r="2926" spans="1:6" ht="14.25" customHeight="1" x14ac:dyDescent="0.3">
      <c r="A2926" s="73">
        <v>44853</v>
      </c>
      <c r="B2926" s="74">
        <v>59107.19</v>
      </c>
      <c r="C2926" s="74">
        <v>2644.4</v>
      </c>
      <c r="D2926" s="74">
        <f t="shared" si="91"/>
        <v>2.4831509986474134E-3</v>
      </c>
      <c r="E2926" s="74">
        <f t="shared" si="92"/>
        <v>1.8925778766939779E-3</v>
      </c>
      <c r="F2926" s="75"/>
    </row>
    <row r="2927" spans="1:6" ht="14.25" customHeight="1" x14ac:dyDescent="0.3">
      <c r="A2927" s="73">
        <v>44854</v>
      </c>
      <c r="B2927" s="74">
        <v>59202.9</v>
      </c>
      <c r="C2927" s="74">
        <v>2629.65</v>
      </c>
      <c r="D2927" s="74">
        <f t="shared" si="91"/>
        <v>1.6179519579247791E-3</v>
      </c>
      <c r="E2927" s="74">
        <f t="shared" si="92"/>
        <v>-5.593438991430227E-3</v>
      </c>
      <c r="F2927" s="75"/>
    </row>
    <row r="2928" spans="1:6" ht="14.25" customHeight="1" x14ac:dyDescent="0.3">
      <c r="A2928" s="73">
        <v>44855</v>
      </c>
      <c r="B2928" s="74">
        <v>59307.15</v>
      </c>
      <c r="C2928" s="74">
        <v>2666.1</v>
      </c>
      <c r="D2928" s="74">
        <f t="shared" si="91"/>
        <v>1.7593449144670183E-3</v>
      </c>
      <c r="E2928" s="74">
        <f t="shared" si="92"/>
        <v>1.3765972944546278E-2</v>
      </c>
      <c r="F2928" s="75"/>
    </row>
    <row r="2929" spans="1:6" ht="14.25" customHeight="1" x14ac:dyDescent="0.3">
      <c r="A2929" s="73">
        <v>44858</v>
      </c>
      <c r="B2929" s="74">
        <v>59831.66</v>
      </c>
      <c r="C2929" s="74">
        <v>2683.3</v>
      </c>
      <c r="D2929" s="74">
        <f t="shared" si="91"/>
        <v>8.8050802042209456E-3</v>
      </c>
      <c r="E2929" s="74">
        <f t="shared" si="92"/>
        <v>6.4306498945536951E-3</v>
      </c>
      <c r="F2929" s="75"/>
    </row>
    <row r="2930" spans="1:6" ht="14.25" customHeight="1" x14ac:dyDescent="0.3">
      <c r="A2930" s="73">
        <v>44859</v>
      </c>
      <c r="B2930" s="74">
        <v>59543.96</v>
      </c>
      <c r="C2930" s="74">
        <v>2670.4</v>
      </c>
      <c r="D2930" s="74">
        <f t="shared" si="91"/>
        <v>-4.8200890100868147E-3</v>
      </c>
      <c r="E2930" s="74">
        <f t="shared" si="92"/>
        <v>-4.8191063995221377E-3</v>
      </c>
      <c r="F2930" s="75"/>
    </row>
    <row r="2931" spans="1:6" ht="14.25" customHeight="1" x14ac:dyDescent="0.3">
      <c r="A2931" s="73">
        <v>44861</v>
      </c>
      <c r="B2931" s="74">
        <v>59756.84</v>
      </c>
      <c r="C2931" s="74">
        <v>2700.95</v>
      </c>
      <c r="D2931" s="74">
        <f t="shared" si="91"/>
        <v>3.5687979618284392E-3</v>
      </c>
      <c r="E2931" s="74">
        <f t="shared" si="92"/>
        <v>1.1375289051354579E-2</v>
      </c>
      <c r="F2931" s="75"/>
    </row>
    <row r="2932" spans="1:6" ht="14.25" customHeight="1" x14ac:dyDescent="0.3">
      <c r="A2932" s="73">
        <v>44862</v>
      </c>
      <c r="B2932" s="74">
        <v>59959.85</v>
      </c>
      <c r="C2932" s="74">
        <v>2735.5</v>
      </c>
      <c r="D2932" s="74">
        <f t="shared" si="91"/>
        <v>3.3915103164117466E-3</v>
      </c>
      <c r="E2932" s="74">
        <f t="shared" si="92"/>
        <v>1.2710671544955258E-2</v>
      </c>
      <c r="F2932" s="75"/>
    </row>
    <row r="2933" spans="1:6" ht="14.25" customHeight="1" x14ac:dyDescent="0.3">
      <c r="A2933" s="73">
        <v>44865</v>
      </c>
      <c r="B2933" s="74">
        <v>60746.59</v>
      </c>
      <c r="C2933" s="74">
        <v>2753.05</v>
      </c>
      <c r="D2933" s="74">
        <f t="shared" si="91"/>
        <v>1.3035777394483599E-2</v>
      </c>
      <c r="E2933" s="74">
        <f t="shared" si="92"/>
        <v>6.3951534788849107E-3</v>
      </c>
      <c r="F2933" s="75"/>
    </row>
    <row r="2934" spans="1:6" ht="14.25" customHeight="1" x14ac:dyDescent="0.3">
      <c r="A2934" s="73">
        <v>44866</v>
      </c>
      <c r="B2934" s="74">
        <v>61121.35</v>
      </c>
      <c r="C2934" s="74">
        <v>2753.2</v>
      </c>
      <c r="D2934" s="74">
        <f t="shared" si="91"/>
        <v>6.1502833526977429E-3</v>
      </c>
      <c r="E2934" s="74">
        <f t="shared" si="92"/>
        <v>5.4483541443614119E-5</v>
      </c>
      <c r="F2934" s="75"/>
    </row>
    <row r="2935" spans="1:6" ht="14.25" customHeight="1" x14ac:dyDescent="0.3">
      <c r="A2935" s="73">
        <v>44867</v>
      </c>
      <c r="B2935" s="74">
        <v>60906.09</v>
      </c>
      <c r="C2935" s="74">
        <v>2724.2</v>
      </c>
      <c r="D2935" s="74">
        <f t="shared" si="91"/>
        <v>-3.5280625944859555E-3</v>
      </c>
      <c r="E2935" s="74">
        <f t="shared" si="92"/>
        <v>-1.0589064510967892E-2</v>
      </c>
      <c r="F2935" s="75"/>
    </row>
    <row r="2936" spans="1:6" ht="14.25" customHeight="1" x14ac:dyDescent="0.3">
      <c r="A2936" s="73">
        <v>44868</v>
      </c>
      <c r="B2936" s="74">
        <v>60836.41</v>
      </c>
      <c r="C2936" s="74">
        <v>2763.25</v>
      </c>
      <c r="D2936" s="74">
        <f t="shared" si="91"/>
        <v>-1.1447112981717873E-3</v>
      </c>
      <c r="E2936" s="74">
        <f t="shared" si="92"/>
        <v>1.4232716177823646E-2</v>
      </c>
      <c r="F2936" s="75"/>
    </row>
    <row r="2937" spans="1:6" ht="14.25" customHeight="1" x14ac:dyDescent="0.3">
      <c r="A2937" s="73">
        <v>44869</v>
      </c>
      <c r="B2937" s="74">
        <v>60950.36</v>
      </c>
      <c r="C2937" s="74">
        <v>2768.3</v>
      </c>
      <c r="D2937" s="74">
        <f t="shared" si="91"/>
        <v>1.8713039725464105E-3</v>
      </c>
      <c r="E2937" s="74">
        <f t="shared" si="92"/>
        <v>1.8258901765348904E-3</v>
      </c>
      <c r="F2937" s="75"/>
    </row>
    <row r="2938" spans="1:6" ht="14.25" customHeight="1" x14ac:dyDescent="0.3">
      <c r="A2938" s="73">
        <v>44872</v>
      </c>
      <c r="B2938" s="74">
        <v>61185.15</v>
      </c>
      <c r="C2938" s="74">
        <v>2741.95</v>
      </c>
      <c r="D2938" s="74">
        <f t="shared" si="91"/>
        <v>3.8447506253369485E-3</v>
      </c>
      <c r="E2938" s="74">
        <f t="shared" si="92"/>
        <v>-9.5640672766592154E-3</v>
      </c>
      <c r="F2938" s="75"/>
    </row>
    <row r="2939" spans="1:6" ht="14.25" customHeight="1" x14ac:dyDescent="0.3">
      <c r="A2939" s="73">
        <v>44874</v>
      </c>
      <c r="B2939" s="74">
        <v>61033.55</v>
      </c>
      <c r="C2939" s="74">
        <v>2718</v>
      </c>
      <c r="D2939" s="74">
        <f t="shared" si="91"/>
        <v>-2.4808000371495439E-3</v>
      </c>
      <c r="E2939" s="74">
        <f t="shared" si="92"/>
        <v>-8.773030379851476E-3</v>
      </c>
      <c r="F2939" s="75"/>
    </row>
    <row r="2940" spans="1:6" ht="14.25" customHeight="1" x14ac:dyDescent="0.3">
      <c r="A2940" s="73">
        <v>44875</v>
      </c>
      <c r="B2940" s="74">
        <v>60613.7</v>
      </c>
      <c r="C2940" s="74">
        <v>2636.85</v>
      </c>
      <c r="D2940" s="74">
        <f t="shared" si="91"/>
        <v>-6.9027728467784405E-3</v>
      </c>
      <c r="E2940" s="74">
        <f t="shared" si="92"/>
        <v>-3.0311292797079337E-2</v>
      </c>
      <c r="F2940" s="75"/>
    </row>
    <row r="2941" spans="1:6" ht="14.25" customHeight="1" x14ac:dyDescent="0.3">
      <c r="A2941" s="73">
        <v>44876</v>
      </c>
      <c r="B2941" s="74">
        <v>61795.040000000001</v>
      </c>
      <c r="C2941" s="74">
        <v>2652.35</v>
      </c>
      <c r="D2941" s="74">
        <f t="shared" si="91"/>
        <v>1.9302162211082573E-2</v>
      </c>
      <c r="E2941" s="74">
        <f t="shared" si="92"/>
        <v>5.8610165509648156E-3</v>
      </c>
      <c r="F2941" s="75"/>
    </row>
    <row r="2942" spans="1:6" ht="14.25" customHeight="1" x14ac:dyDescent="0.3">
      <c r="A2942" s="73">
        <v>44879</v>
      </c>
      <c r="B2942" s="74">
        <v>61624.15</v>
      </c>
      <c r="C2942" s="74">
        <v>2629.7</v>
      </c>
      <c r="D2942" s="74">
        <f t="shared" si="91"/>
        <v>-2.7692631787707375E-3</v>
      </c>
      <c r="E2942" s="74">
        <f t="shared" si="92"/>
        <v>-8.5762682405283921E-3</v>
      </c>
      <c r="F2942" s="75"/>
    </row>
    <row r="2943" spans="1:6" ht="14.25" customHeight="1" x14ac:dyDescent="0.3">
      <c r="A2943" s="73">
        <v>44880</v>
      </c>
      <c r="B2943" s="74">
        <v>61872.99</v>
      </c>
      <c r="C2943" s="74">
        <v>2657.05</v>
      </c>
      <c r="D2943" s="74">
        <f t="shared" si="91"/>
        <v>4.0298963484451979E-3</v>
      </c>
      <c r="E2943" s="74">
        <f t="shared" si="92"/>
        <v>1.0346713574340234E-2</v>
      </c>
      <c r="F2943" s="75"/>
    </row>
    <row r="2944" spans="1:6" ht="14.25" customHeight="1" x14ac:dyDescent="0.3">
      <c r="A2944" s="73">
        <v>44881</v>
      </c>
      <c r="B2944" s="74">
        <v>61980.72</v>
      </c>
      <c r="C2944" s="74">
        <v>2643.45</v>
      </c>
      <c r="D2944" s="74">
        <f t="shared" si="91"/>
        <v>1.7396334299364243E-3</v>
      </c>
      <c r="E2944" s="74">
        <f t="shared" si="92"/>
        <v>-5.1316026202982484E-3</v>
      </c>
      <c r="F2944" s="75"/>
    </row>
    <row r="2945" spans="1:6" ht="14.25" customHeight="1" x14ac:dyDescent="0.3">
      <c r="A2945" s="73">
        <v>44882</v>
      </c>
      <c r="B2945" s="74">
        <v>61750.6</v>
      </c>
      <c r="C2945" s="74">
        <v>2582.1999999999998</v>
      </c>
      <c r="D2945" s="74">
        <f t="shared" si="91"/>
        <v>-3.7196768825908796E-3</v>
      </c>
      <c r="E2945" s="74">
        <f t="shared" si="92"/>
        <v>-2.3443133437869901E-2</v>
      </c>
      <c r="F2945" s="75"/>
    </row>
    <row r="2946" spans="1:6" ht="14.25" customHeight="1" x14ac:dyDescent="0.3">
      <c r="A2946" s="73">
        <v>44883</v>
      </c>
      <c r="B2946" s="74">
        <v>61663.48</v>
      </c>
      <c r="C2946" s="74">
        <v>2568.15</v>
      </c>
      <c r="D2946" s="74">
        <f t="shared" si="91"/>
        <v>-1.4118326607652715E-3</v>
      </c>
      <c r="E2946" s="74">
        <f t="shared" si="92"/>
        <v>-5.4559534216817038E-3</v>
      </c>
      <c r="F2946" s="75"/>
    </row>
    <row r="2947" spans="1:6" ht="14.25" customHeight="1" x14ac:dyDescent="0.3">
      <c r="A2947" s="73">
        <v>44886</v>
      </c>
      <c r="B2947" s="74">
        <v>61144.84</v>
      </c>
      <c r="C2947" s="74">
        <v>2573.6</v>
      </c>
      <c r="D2947" s="74">
        <f t="shared" si="91"/>
        <v>-8.4463834921183045E-3</v>
      </c>
      <c r="E2947" s="74">
        <f t="shared" si="92"/>
        <v>2.1199016058800354E-3</v>
      </c>
      <c r="F2947" s="75"/>
    </row>
    <row r="2948" spans="1:6" ht="14.25" customHeight="1" x14ac:dyDescent="0.3">
      <c r="A2948" s="73">
        <v>44887</v>
      </c>
      <c r="B2948" s="74">
        <v>61418.96</v>
      </c>
      <c r="C2948" s="74">
        <v>2606.1</v>
      </c>
      <c r="D2948" s="74">
        <f t="shared" ref="D2948:D3011" si="93">LN(B2948/B2947)</f>
        <v>4.4731063668849852E-3</v>
      </c>
      <c r="E2948" s="74">
        <f t="shared" ref="E2948:E3011" si="94">LN(C2948/C2947)</f>
        <v>1.2549154009167956E-2</v>
      </c>
      <c r="F2948" s="75"/>
    </row>
    <row r="2949" spans="1:6" ht="14.25" customHeight="1" x14ac:dyDescent="0.3">
      <c r="A2949" s="73">
        <v>44888</v>
      </c>
      <c r="B2949" s="74">
        <v>61510.58</v>
      </c>
      <c r="C2949" s="74">
        <v>2603.0500000000002</v>
      </c>
      <c r="D2949" s="74">
        <f t="shared" si="93"/>
        <v>1.4906102628279418E-3</v>
      </c>
      <c r="E2949" s="74">
        <f t="shared" si="94"/>
        <v>-1.171016518446653E-3</v>
      </c>
      <c r="F2949" s="75"/>
    </row>
    <row r="2950" spans="1:6" ht="14.25" customHeight="1" x14ac:dyDescent="0.3">
      <c r="A2950" s="73">
        <v>44889</v>
      </c>
      <c r="B2950" s="74">
        <v>62272.68</v>
      </c>
      <c r="C2950" s="74">
        <v>2610.8000000000002</v>
      </c>
      <c r="D2950" s="74">
        <f t="shared" si="93"/>
        <v>1.2313613802578673E-2</v>
      </c>
      <c r="E2950" s="74">
        <f t="shared" si="94"/>
        <v>2.9728533455245999E-3</v>
      </c>
      <c r="F2950" s="75"/>
    </row>
    <row r="2951" spans="1:6" ht="14.25" customHeight="1" x14ac:dyDescent="0.3">
      <c r="A2951" s="73">
        <v>44890</v>
      </c>
      <c r="B2951" s="74">
        <v>62293.64</v>
      </c>
      <c r="C2951" s="74">
        <v>2595.6</v>
      </c>
      <c r="D2951" s="74">
        <f t="shared" si="93"/>
        <v>3.3652756536135835E-4</v>
      </c>
      <c r="E2951" s="74">
        <f t="shared" si="94"/>
        <v>-5.8389840140491232E-3</v>
      </c>
      <c r="F2951" s="75"/>
    </row>
    <row r="2952" spans="1:6" ht="14.25" customHeight="1" x14ac:dyDescent="0.3">
      <c r="A2952" s="73">
        <v>44893</v>
      </c>
      <c r="B2952" s="74">
        <v>62504.800000000003</v>
      </c>
      <c r="C2952" s="74">
        <v>2590.85</v>
      </c>
      <c r="D2952" s="74">
        <f t="shared" si="93"/>
        <v>3.3840198885464494E-3</v>
      </c>
      <c r="E2952" s="74">
        <f t="shared" si="94"/>
        <v>-1.8316965662698876E-3</v>
      </c>
      <c r="F2952" s="75"/>
    </row>
    <row r="2953" spans="1:6" ht="14.25" customHeight="1" x14ac:dyDescent="0.3">
      <c r="A2953" s="73">
        <v>44894</v>
      </c>
      <c r="B2953" s="74">
        <v>62681.84</v>
      </c>
      <c r="C2953" s="74">
        <v>2614.75</v>
      </c>
      <c r="D2953" s="74">
        <f t="shared" si="93"/>
        <v>2.8284187198561912E-3</v>
      </c>
      <c r="E2953" s="74">
        <f t="shared" si="94"/>
        <v>9.182483453634099E-3</v>
      </c>
      <c r="F2953" s="75"/>
    </row>
    <row r="2954" spans="1:6" ht="14.25" customHeight="1" x14ac:dyDescent="0.3">
      <c r="A2954" s="73">
        <v>44895</v>
      </c>
      <c r="B2954" s="74">
        <v>63099.65</v>
      </c>
      <c r="C2954" s="74">
        <v>2649.95</v>
      </c>
      <c r="D2954" s="74">
        <f t="shared" si="93"/>
        <v>6.6434502673527168E-3</v>
      </c>
      <c r="E2954" s="74">
        <f t="shared" si="94"/>
        <v>1.3372281243360477E-2</v>
      </c>
      <c r="F2954" s="75"/>
    </row>
    <row r="2955" spans="1:6" ht="14.25" customHeight="1" x14ac:dyDescent="0.3">
      <c r="A2955" s="73">
        <v>44896</v>
      </c>
      <c r="B2955" s="74">
        <v>63284.19</v>
      </c>
      <c r="C2955" s="74">
        <v>2639.05</v>
      </c>
      <c r="D2955" s="74">
        <f t="shared" si="93"/>
        <v>2.9203121403785807E-3</v>
      </c>
      <c r="E2955" s="74">
        <f t="shared" si="94"/>
        <v>-4.1217679832271726E-3</v>
      </c>
      <c r="F2955" s="75"/>
    </row>
    <row r="2956" spans="1:6" ht="14.25" customHeight="1" x14ac:dyDescent="0.3">
      <c r="A2956" s="73">
        <v>44897</v>
      </c>
      <c r="B2956" s="74">
        <v>62868.5</v>
      </c>
      <c r="C2956" s="74">
        <v>2617.4</v>
      </c>
      <c r="D2956" s="74">
        <f t="shared" si="93"/>
        <v>-6.5902915667927072E-3</v>
      </c>
      <c r="E2956" s="74">
        <f t="shared" si="94"/>
        <v>-8.2375452731306056E-3</v>
      </c>
      <c r="F2956" s="75"/>
    </row>
    <row r="2957" spans="1:6" ht="14.25" customHeight="1" x14ac:dyDescent="0.3">
      <c r="A2957" s="73">
        <v>44900</v>
      </c>
      <c r="B2957" s="74">
        <v>62834.6</v>
      </c>
      <c r="C2957" s="74">
        <v>2615.9499999999998</v>
      </c>
      <c r="D2957" s="74">
        <f t="shared" si="93"/>
        <v>-5.3936618622516192E-4</v>
      </c>
      <c r="E2957" s="74">
        <f t="shared" si="94"/>
        <v>-5.541383767967349E-4</v>
      </c>
      <c r="F2957" s="75"/>
    </row>
    <row r="2958" spans="1:6" ht="14.25" customHeight="1" x14ac:dyDescent="0.3">
      <c r="A2958" s="73">
        <v>44901</v>
      </c>
      <c r="B2958" s="74">
        <v>62626.36</v>
      </c>
      <c r="C2958" s="74">
        <v>2616.5</v>
      </c>
      <c r="D2958" s="74">
        <f t="shared" si="93"/>
        <v>-3.3196014318625133E-3</v>
      </c>
      <c r="E2958" s="74">
        <f t="shared" si="94"/>
        <v>2.1022656767881844E-4</v>
      </c>
      <c r="F2958" s="75"/>
    </row>
    <row r="2959" spans="1:6" ht="14.25" customHeight="1" x14ac:dyDescent="0.3">
      <c r="A2959" s="73">
        <v>44902</v>
      </c>
      <c r="B2959" s="74">
        <v>62410.68</v>
      </c>
      <c r="C2959" s="74">
        <v>2596.1999999999998</v>
      </c>
      <c r="D2959" s="74">
        <f t="shared" si="93"/>
        <v>-3.449861159706552E-3</v>
      </c>
      <c r="E2959" s="74">
        <f t="shared" si="94"/>
        <v>-7.7887093533684426E-3</v>
      </c>
      <c r="F2959" s="75"/>
    </row>
    <row r="2960" spans="1:6" ht="14.25" customHeight="1" x14ac:dyDescent="0.3">
      <c r="A2960" s="73">
        <v>44903</v>
      </c>
      <c r="B2960" s="74">
        <v>62570.68</v>
      </c>
      <c r="C2960" s="74">
        <v>2583.3000000000002</v>
      </c>
      <c r="D2960" s="74">
        <f t="shared" si="93"/>
        <v>2.5603832028629992E-3</v>
      </c>
      <c r="E2960" s="74">
        <f t="shared" si="94"/>
        <v>-4.981186088664746E-3</v>
      </c>
      <c r="F2960" s="75"/>
    </row>
    <row r="2961" spans="1:6" ht="14.25" customHeight="1" x14ac:dyDescent="0.3">
      <c r="A2961" s="73">
        <v>44904</v>
      </c>
      <c r="B2961" s="74">
        <v>62181.67</v>
      </c>
      <c r="C2961" s="74">
        <v>2615.3000000000002</v>
      </c>
      <c r="D2961" s="74">
        <f t="shared" si="93"/>
        <v>-6.2365359988455389E-3</v>
      </c>
      <c r="E2961" s="74">
        <f t="shared" si="94"/>
        <v>1.2311162301988334E-2</v>
      </c>
      <c r="F2961" s="75"/>
    </row>
    <row r="2962" spans="1:6" ht="14.25" customHeight="1" x14ac:dyDescent="0.3">
      <c r="A2962" s="73">
        <v>44907</v>
      </c>
      <c r="B2962" s="74">
        <v>62130.57</v>
      </c>
      <c r="C2962" s="74">
        <v>2583</v>
      </c>
      <c r="D2962" s="74">
        <f t="shared" si="93"/>
        <v>-8.2212343495940748E-4</v>
      </c>
      <c r="E2962" s="74">
        <f t="shared" si="94"/>
        <v>-1.2427299576377084E-2</v>
      </c>
      <c r="F2962" s="75"/>
    </row>
    <row r="2963" spans="1:6" ht="14.25" customHeight="1" x14ac:dyDescent="0.3">
      <c r="A2963" s="73">
        <v>44908</v>
      </c>
      <c r="B2963" s="74">
        <v>62533.3</v>
      </c>
      <c r="C2963" s="74">
        <v>2574.85</v>
      </c>
      <c r="D2963" s="74">
        <f t="shared" si="93"/>
        <v>6.4610765093866696E-3</v>
      </c>
      <c r="E2963" s="74">
        <f t="shared" si="94"/>
        <v>-3.1602341219270267E-3</v>
      </c>
      <c r="F2963" s="75"/>
    </row>
    <row r="2964" spans="1:6" ht="14.25" customHeight="1" x14ac:dyDescent="0.3">
      <c r="A2964" s="73">
        <v>44909</v>
      </c>
      <c r="B2964" s="74">
        <v>62677.91</v>
      </c>
      <c r="C2964" s="74">
        <v>2589.85</v>
      </c>
      <c r="D2964" s="74">
        <f t="shared" si="93"/>
        <v>2.3098581076973343E-3</v>
      </c>
      <c r="E2964" s="74">
        <f t="shared" si="94"/>
        <v>5.8086789846132246E-3</v>
      </c>
      <c r="F2964" s="75"/>
    </row>
    <row r="2965" spans="1:6" ht="14.25" customHeight="1" x14ac:dyDescent="0.3">
      <c r="A2965" s="73">
        <v>44910</v>
      </c>
      <c r="B2965" s="74">
        <v>61799.03</v>
      </c>
      <c r="C2965" s="74">
        <v>2523.35</v>
      </c>
      <c r="D2965" s="74">
        <f t="shared" si="93"/>
        <v>-1.4121404414944838E-2</v>
      </c>
      <c r="E2965" s="74">
        <f t="shared" si="94"/>
        <v>-2.6012575197139891E-2</v>
      </c>
      <c r="F2965" s="75"/>
    </row>
    <row r="2966" spans="1:6" ht="14.25" customHeight="1" x14ac:dyDescent="0.3">
      <c r="A2966" s="73">
        <v>44911</v>
      </c>
      <c r="B2966" s="74">
        <v>61337.81</v>
      </c>
      <c r="C2966" s="74">
        <v>2483.1999999999998</v>
      </c>
      <c r="D2966" s="74">
        <f t="shared" si="93"/>
        <v>-7.4912131398508757E-3</v>
      </c>
      <c r="E2966" s="74">
        <f t="shared" si="94"/>
        <v>-1.6039332772487157E-2</v>
      </c>
      <c r="F2966" s="75"/>
    </row>
    <row r="2967" spans="1:6" ht="14.25" customHeight="1" x14ac:dyDescent="0.3">
      <c r="A2967" s="73">
        <v>44914</v>
      </c>
      <c r="B2967" s="74">
        <v>61806.19</v>
      </c>
      <c r="C2967" s="74">
        <v>2521.3000000000002</v>
      </c>
      <c r="D2967" s="74">
        <f t="shared" si="93"/>
        <v>7.6070658523497018E-3</v>
      </c>
      <c r="E2967" s="74">
        <f t="shared" si="94"/>
        <v>1.5226590515702796E-2</v>
      </c>
      <c r="F2967" s="75"/>
    </row>
    <row r="2968" spans="1:6" ht="14.25" customHeight="1" x14ac:dyDescent="0.3">
      <c r="A2968" s="73">
        <v>44915</v>
      </c>
      <c r="B2968" s="74">
        <v>61702.29</v>
      </c>
      <c r="C2968" s="74">
        <v>2508.4499999999998</v>
      </c>
      <c r="D2968" s="74">
        <f t="shared" si="93"/>
        <v>-1.6824759645550644E-3</v>
      </c>
      <c r="E2968" s="74">
        <f t="shared" si="94"/>
        <v>-5.1096090093609428E-3</v>
      </c>
      <c r="F2968" s="75"/>
    </row>
    <row r="2969" spans="1:6" ht="14.25" customHeight="1" x14ac:dyDescent="0.3">
      <c r="A2969" s="73">
        <v>44916</v>
      </c>
      <c r="B2969" s="74">
        <v>61067.24</v>
      </c>
      <c r="C2969" s="74">
        <v>2489.4</v>
      </c>
      <c r="D2969" s="74">
        <f t="shared" si="93"/>
        <v>-1.0345493121393134E-2</v>
      </c>
      <c r="E2969" s="74">
        <f t="shared" si="94"/>
        <v>-7.623314928364165E-3</v>
      </c>
      <c r="F2969" s="75"/>
    </row>
    <row r="2970" spans="1:6" ht="14.25" customHeight="1" x14ac:dyDescent="0.3">
      <c r="A2970" s="73">
        <v>44917</v>
      </c>
      <c r="B2970" s="74">
        <v>60826.22</v>
      </c>
      <c r="C2970" s="74">
        <v>2483.1</v>
      </c>
      <c r="D2970" s="74">
        <f t="shared" si="93"/>
        <v>-3.9546061635697474E-3</v>
      </c>
      <c r="E2970" s="74">
        <f t="shared" si="94"/>
        <v>-2.5339380074174641E-3</v>
      </c>
      <c r="F2970" s="75"/>
    </row>
    <row r="2971" spans="1:6" ht="14.25" customHeight="1" x14ac:dyDescent="0.3">
      <c r="A2971" s="73">
        <v>44918</v>
      </c>
      <c r="B2971" s="74">
        <v>59845.29</v>
      </c>
      <c r="C2971" s="74">
        <v>2483.1</v>
      </c>
      <c r="D2971" s="74">
        <f t="shared" si="93"/>
        <v>-1.6258213845189131E-2</v>
      </c>
      <c r="E2971" s="74">
        <f t="shared" si="94"/>
        <v>0</v>
      </c>
      <c r="F2971" s="75"/>
    </row>
    <row r="2972" spans="1:6" ht="14.25" customHeight="1" x14ac:dyDescent="0.3">
      <c r="A2972" s="73">
        <v>44921</v>
      </c>
      <c r="B2972" s="74">
        <v>60566.42</v>
      </c>
      <c r="C2972" s="74">
        <v>2481.75</v>
      </c>
      <c r="D2972" s="74">
        <f t="shared" si="93"/>
        <v>1.1977881913125446E-2</v>
      </c>
      <c r="E2972" s="74">
        <f t="shared" si="94"/>
        <v>-5.4382308962850679E-4</v>
      </c>
      <c r="F2972" s="75"/>
    </row>
    <row r="2973" spans="1:6" ht="14.25" customHeight="1" x14ac:dyDescent="0.3">
      <c r="A2973" s="73">
        <v>44922</v>
      </c>
      <c r="B2973" s="74">
        <v>60927.43</v>
      </c>
      <c r="C2973" s="74">
        <v>2503.65</v>
      </c>
      <c r="D2973" s="74">
        <f t="shared" si="93"/>
        <v>5.9428697420153527E-3</v>
      </c>
      <c r="E2973" s="74">
        <f t="shared" si="94"/>
        <v>8.7857106227048742E-3</v>
      </c>
      <c r="F2973" s="75"/>
    </row>
    <row r="2974" spans="1:6" ht="14.25" customHeight="1" x14ac:dyDescent="0.3">
      <c r="A2974" s="73">
        <v>44923</v>
      </c>
      <c r="B2974" s="74">
        <v>60910.28</v>
      </c>
      <c r="C2974" s="74">
        <v>2581.1999999999998</v>
      </c>
      <c r="D2974" s="74">
        <f t="shared" si="93"/>
        <v>-2.8152203637557685E-4</v>
      </c>
      <c r="E2974" s="74">
        <f t="shared" si="94"/>
        <v>3.0504739969148379E-2</v>
      </c>
      <c r="F2974" s="75"/>
    </row>
    <row r="2975" spans="1:6" ht="14.25" customHeight="1" x14ac:dyDescent="0.3">
      <c r="A2975" s="73">
        <v>44924</v>
      </c>
      <c r="B2975" s="74">
        <v>61133.88</v>
      </c>
      <c r="C2975" s="74">
        <v>2552.6999999999998</v>
      </c>
      <c r="D2975" s="74">
        <f t="shared" si="93"/>
        <v>3.6642515329672882E-3</v>
      </c>
      <c r="E2975" s="74">
        <f t="shared" si="94"/>
        <v>-1.1102784538063305E-2</v>
      </c>
      <c r="F2975" s="75"/>
    </row>
    <row r="2976" spans="1:6" ht="14.25" customHeight="1" x14ac:dyDescent="0.3">
      <c r="A2976" s="73">
        <v>44925</v>
      </c>
      <c r="B2976" s="74">
        <v>60840.74</v>
      </c>
      <c r="C2976" s="74">
        <v>2597.9499999999998</v>
      </c>
      <c r="D2976" s="74">
        <f t="shared" si="93"/>
        <v>-4.8065829493614542E-3</v>
      </c>
      <c r="E2976" s="74">
        <f t="shared" si="94"/>
        <v>1.7571049948206977E-2</v>
      </c>
      <c r="F2976" s="75"/>
    </row>
    <row r="2977" spans="1:6" ht="14.25" customHeight="1" x14ac:dyDescent="0.3">
      <c r="A2977" s="73">
        <v>44928</v>
      </c>
      <c r="B2977" s="74">
        <v>61167.79</v>
      </c>
      <c r="C2977" s="74">
        <v>2565.8000000000002</v>
      </c>
      <c r="D2977" s="74">
        <f t="shared" si="93"/>
        <v>5.361113412746905E-3</v>
      </c>
      <c r="E2977" s="74">
        <f t="shared" si="94"/>
        <v>-1.2452351656588357E-2</v>
      </c>
      <c r="F2977" s="75"/>
    </row>
    <row r="2978" spans="1:6" ht="14.25" customHeight="1" x14ac:dyDescent="0.3">
      <c r="A2978" s="73">
        <v>44929</v>
      </c>
      <c r="B2978" s="74">
        <v>61294.2</v>
      </c>
      <c r="C2978" s="74">
        <v>2613.8000000000002</v>
      </c>
      <c r="D2978" s="74">
        <f t="shared" si="93"/>
        <v>2.0644780457567901E-3</v>
      </c>
      <c r="E2978" s="74">
        <f t="shared" si="94"/>
        <v>1.8534780347695626E-2</v>
      </c>
      <c r="F2978" s="75"/>
    </row>
    <row r="2979" spans="1:6" ht="14.25" customHeight="1" x14ac:dyDescent="0.3">
      <c r="A2979" s="73">
        <v>44930</v>
      </c>
      <c r="B2979" s="74">
        <v>60657.45</v>
      </c>
      <c r="C2979" s="74">
        <v>2595.6999999999998</v>
      </c>
      <c r="D2979" s="74">
        <f t="shared" si="93"/>
        <v>-1.0442758035968112E-2</v>
      </c>
      <c r="E2979" s="74">
        <f t="shared" si="94"/>
        <v>-6.9488714205020894E-3</v>
      </c>
      <c r="F2979" s="75"/>
    </row>
    <row r="2980" spans="1:6" ht="14.25" customHeight="1" x14ac:dyDescent="0.3">
      <c r="A2980" s="73">
        <v>44931</v>
      </c>
      <c r="B2980" s="74">
        <v>60353.27</v>
      </c>
      <c r="C2980" s="74">
        <v>2563.1</v>
      </c>
      <c r="D2980" s="74">
        <f t="shared" si="93"/>
        <v>-5.0273337875464414E-3</v>
      </c>
      <c r="E2980" s="74">
        <f t="shared" si="94"/>
        <v>-1.263876636228284E-2</v>
      </c>
      <c r="F2980" s="75"/>
    </row>
    <row r="2981" spans="1:6" ht="14.25" customHeight="1" x14ac:dyDescent="0.3">
      <c r="A2981" s="73">
        <v>44932</v>
      </c>
      <c r="B2981" s="74">
        <v>59900.37</v>
      </c>
      <c r="C2981" s="74">
        <v>2536.9499999999998</v>
      </c>
      <c r="D2981" s="74">
        <f t="shared" si="93"/>
        <v>-7.5324479388074609E-3</v>
      </c>
      <c r="E2981" s="74">
        <f t="shared" si="94"/>
        <v>-1.0254891291990028E-2</v>
      </c>
      <c r="F2981" s="75"/>
    </row>
    <row r="2982" spans="1:6" ht="14.25" customHeight="1" x14ac:dyDescent="0.3">
      <c r="A2982" s="73">
        <v>44935</v>
      </c>
      <c r="B2982" s="74">
        <v>60747.31</v>
      </c>
      <c r="C2982" s="74">
        <v>2483.1999999999998</v>
      </c>
      <c r="D2982" s="74">
        <f t="shared" si="93"/>
        <v>1.4040119340956957E-2</v>
      </c>
      <c r="E2982" s="74">
        <f t="shared" si="94"/>
        <v>-2.1414521099261119E-2</v>
      </c>
      <c r="F2982" s="75"/>
    </row>
    <row r="2983" spans="1:6" ht="14.25" customHeight="1" x14ac:dyDescent="0.3">
      <c r="A2983" s="73">
        <v>44936</v>
      </c>
      <c r="B2983" s="74">
        <v>60115.48</v>
      </c>
      <c r="C2983" s="74">
        <v>2467.3000000000002</v>
      </c>
      <c r="D2983" s="74">
        <f t="shared" si="93"/>
        <v>-1.0455422313891682E-2</v>
      </c>
      <c r="E2983" s="74">
        <f t="shared" si="94"/>
        <v>-6.4236156643662874E-3</v>
      </c>
      <c r="F2983" s="75"/>
    </row>
    <row r="2984" spans="1:6" ht="14.25" customHeight="1" x14ac:dyDescent="0.3">
      <c r="A2984" s="73">
        <v>44937</v>
      </c>
      <c r="B2984" s="74">
        <v>60105.5</v>
      </c>
      <c r="C2984" s="74">
        <v>2437.6</v>
      </c>
      <c r="D2984" s="74">
        <f t="shared" si="93"/>
        <v>-1.6602759390126941E-4</v>
      </c>
      <c r="E2984" s="74">
        <f t="shared" si="94"/>
        <v>-1.2110486653033953E-2</v>
      </c>
      <c r="F2984" s="75"/>
    </row>
    <row r="2985" spans="1:6" ht="14.25" customHeight="1" x14ac:dyDescent="0.3">
      <c r="A2985" s="73">
        <v>44938</v>
      </c>
      <c r="B2985" s="74">
        <v>59958.03</v>
      </c>
      <c r="C2985" s="74">
        <v>2445.65</v>
      </c>
      <c r="D2985" s="74">
        <f t="shared" si="93"/>
        <v>-2.4565340392656817E-3</v>
      </c>
      <c r="E2985" s="74">
        <f t="shared" si="94"/>
        <v>3.2969875767337427E-3</v>
      </c>
      <c r="F2985" s="75"/>
    </row>
    <row r="2986" spans="1:6" ht="14.25" customHeight="1" x14ac:dyDescent="0.3">
      <c r="A2986" s="73">
        <v>44939</v>
      </c>
      <c r="B2986" s="74">
        <v>60261.18</v>
      </c>
      <c r="C2986" s="74">
        <v>2417.65</v>
      </c>
      <c r="D2986" s="74">
        <f t="shared" si="93"/>
        <v>5.043297864754011E-3</v>
      </c>
      <c r="E2986" s="74">
        <f t="shared" si="94"/>
        <v>-1.1514942275850818E-2</v>
      </c>
      <c r="F2986" s="75"/>
    </row>
    <row r="2987" spans="1:6" ht="14.25" customHeight="1" x14ac:dyDescent="0.3">
      <c r="A2987" s="73">
        <v>44942</v>
      </c>
      <c r="B2987" s="74">
        <v>60092.97</v>
      </c>
      <c r="C2987" s="74">
        <v>2405.8000000000002</v>
      </c>
      <c r="D2987" s="74">
        <f t="shared" si="93"/>
        <v>-2.7952523369542486E-3</v>
      </c>
      <c r="E2987" s="74">
        <f t="shared" si="94"/>
        <v>-4.913505412409782E-3</v>
      </c>
      <c r="F2987" s="75"/>
    </row>
    <row r="2988" spans="1:6" ht="14.25" customHeight="1" x14ac:dyDescent="0.3">
      <c r="A2988" s="73">
        <v>44943</v>
      </c>
      <c r="B2988" s="74">
        <v>60655.72</v>
      </c>
      <c r="C2988" s="74">
        <v>2408.5</v>
      </c>
      <c r="D2988" s="74">
        <f t="shared" si="93"/>
        <v>9.321079581443013E-3</v>
      </c>
      <c r="E2988" s="74">
        <f t="shared" si="94"/>
        <v>1.1216585103032831E-3</v>
      </c>
      <c r="F2988" s="75"/>
    </row>
    <row r="2989" spans="1:6" ht="14.25" customHeight="1" x14ac:dyDescent="0.3">
      <c r="A2989" s="73">
        <v>44944</v>
      </c>
      <c r="B2989" s="74">
        <v>61045.74</v>
      </c>
      <c r="C2989" s="74">
        <v>2423.9499999999998</v>
      </c>
      <c r="D2989" s="74">
        <f t="shared" si="93"/>
        <v>6.4094766852060879E-3</v>
      </c>
      <c r="E2989" s="74">
        <f t="shared" si="94"/>
        <v>6.3942938434825222E-3</v>
      </c>
      <c r="F2989" s="75"/>
    </row>
    <row r="2990" spans="1:6" ht="14.25" customHeight="1" x14ac:dyDescent="0.3">
      <c r="A2990" s="73">
        <v>44945</v>
      </c>
      <c r="B2990" s="74">
        <v>60858.43</v>
      </c>
      <c r="C2990" s="74">
        <v>2385.35</v>
      </c>
      <c r="D2990" s="74">
        <f t="shared" si="93"/>
        <v>-3.0730720271403052E-3</v>
      </c>
      <c r="E2990" s="74">
        <f t="shared" si="94"/>
        <v>-1.6052576834012136E-2</v>
      </c>
      <c r="F2990" s="75"/>
    </row>
    <row r="2991" spans="1:6" ht="14.25" customHeight="1" x14ac:dyDescent="0.3">
      <c r="A2991" s="73">
        <v>44946</v>
      </c>
      <c r="B2991" s="74">
        <v>60621.77</v>
      </c>
      <c r="C2991" s="74">
        <v>2371.9</v>
      </c>
      <c r="D2991" s="74">
        <f t="shared" si="93"/>
        <v>-3.8962777373458789E-3</v>
      </c>
      <c r="E2991" s="74">
        <f t="shared" si="94"/>
        <v>-5.6545423668451214E-3</v>
      </c>
      <c r="F2991" s="75"/>
    </row>
    <row r="2992" spans="1:6" ht="14.25" customHeight="1" x14ac:dyDescent="0.3">
      <c r="A2992" s="73">
        <v>44949</v>
      </c>
      <c r="B2992" s="74">
        <v>60941.67</v>
      </c>
      <c r="C2992" s="74">
        <v>2365.75</v>
      </c>
      <c r="D2992" s="74">
        <f t="shared" si="93"/>
        <v>5.2631076982284667E-3</v>
      </c>
      <c r="E2992" s="74">
        <f t="shared" si="94"/>
        <v>-2.5962253245586037E-3</v>
      </c>
      <c r="F2992" s="75"/>
    </row>
    <row r="2993" spans="1:6" ht="14.25" customHeight="1" x14ac:dyDescent="0.3">
      <c r="A2993" s="73">
        <v>44950</v>
      </c>
      <c r="B2993" s="74">
        <v>60978.75</v>
      </c>
      <c r="C2993" s="74">
        <v>2371.5500000000002</v>
      </c>
      <c r="D2993" s="74">
        <f t="shared" si="93"/>
        <v>6.0826563988650563E-4</v>
      </c>
      <c r="E2993" s="74">
        <f t="shared" si="94"/>
        <v>2.4486534093344312E-3</v>
      </c>
      <c r="F2993" s="75"/>
    </row>
    <row r="2994" spans="1:6" ht="14.25" customHeight="1" x14ac:dyDescent="0.3">
      <c r="A2994" s="73">
        <v>44951</v>
      </c>
      <c r="B2994" s="74">
        <v>60205.06</v>
      </c>
      <c r="C2994" s="74">
        <v>2356.4499999999998</v>
      </c>
      <c r="D2994" s="74">
        <f t="shared" si="93"/>
        <v>-1.2769040887251892E-2</v>
      </c>
      <c r="E2994" s="74">
        <f t="shared" si="94"/>
        <v>-6.3875005669083319E-3</v>
      </c>
      <c r="F2994" s="75"/>
    </row>
    <row r="2995" spans="1:6" ht="14.25" customHeight="1" x14ac:dyDescent="0.3">
      <c r="A2995" s="73">
        <v>44953</v>
      </c>
      <c r="B2995" s="74">
        <v>59330.9</v>
      </c>
      <c r="C2995" s="74">
        <v>2331.75</v>
      </c>
      <c r="D2995" s="74">
        <f t="shared" si="93"/>
        <v>-1.4626152391616199E-2</v>
      </c>
      <c r="E2995" s="74">
        <f t="shared" si="94"/>
        <v>-1.0537190623795285E-2</v>
      </c>
      <c r="F2995" s="75"/>
    </row>
    <row r="2996" spans="1:6" ht="14.25" customHeight="1" x14ac:dyDescent="0.3">
      <c r="A2996" s="73">
        <v>44956</v>
      </c>
      <c r="B2996" s="74">
        <v>59500.41</v>
      </c>
      <c r="C2996" s="74">
        <v>2335.4499999999998</v>
      </c>
      <c r="D2996" s="74">
        <f t="shared" si="93"/>
        <v>2.8529537371088467E-3</v>
      </c>
      <c r="E2996" s="74">
        <f t="shared" si="94"/>
        <v>1.5855334140914717E-3</v>
      </c>
      <c r="F2996" s="75"/>
    </row>
    <row r="2997" spans="1:6" ht="14.25" customHeight="1" x14ac:dyDescent="0.3">
      <c r="A2997" s="73">
        <v>44957</v>
      </c>
      <c r="B2997" s="74">
        <v>59549.9</v>
      </c>
      <c r="C2997" s="74">
        <v>2377.4499999999998</v>
      </c>
      <c r="D2997" s="74">
        <f t="shared" si="93"/>
        <v>8.3141325462863678E-4</v>
      </c>
      <c r="E2997" s="74">
        <f t="shared" si="94"/>
        <v>1.7823892683120287E-2</v>
      </c>
      <c r="F2997" s="75"/>
    </row>
    <row r="2998" spans="1:6" ht="14.25" customHeight="1" x14ac:dyDescent="0.3">
      <c r="A2998" s="73">
        <v>44958</v>
      </c>
      <c r="B2998" s="74">
        <v>59708.08</v>
      </c>
      <c r="C2998" s="74">
        <v>2347.15</v>
      </c>
      <c r="D2998" s="74">
        <f t="shared" si="93"/>
        <v>2.652738085277519E-3</v>
      </c>
      <c r="E2998" s="74">
        <f t="shared" si="94"/>
        <v>-1.2826658519181197E-2</v>
      </c>
      <c r="F2998" s="75"/>
    </row>
    <row r="2999" spans="1:6" ht="14.25" customHeight="1" x14ac:dyDescent="0.3">
      <c r="A2999" s="73">
        <v>44959</v>
      </c>
      <c r="B2999" s="74">
        <v>59932.24</v>
      </c>
      <c r="C2999" s="74">
        <v>2304.9499999999998</v>
      </c>
      <c r="D2999" s="74">
        <f t="shared" si="93"/>
        <v>3.7472360873048874E-3</v>
      </c>
      <c r="E2999" s="74">
        <f t="shared" si="94"/>
        <v>-1.8142841963498649E-2</v>
      </c>
      <c r="F2999" s="75"/>
    </row>
    <row r="3000" spans="1:6" ht="14.25" customHeight="1" x14ac:dyDescent="0.3">
      <c r="A3000" s="73">
        <v>44960</v>
      </c>
      <c r="B3000" s="74">
        <v>60841.88</v>
      </c>
      <c r="C3000" s="74">
        <v>2463.1999999999998</v>
      </c>
      <c r="D3000" s="74">
        <f t="shared" si="93"/>
        <v>1.5063776925526557E-2</v>
      </c>
      <c r="E3000" s="74">
        <f t="shared" si="94"/>
        <v>6.6402333388785567E-2</v>
      </c>
      <c r="F3000" s="75"/>
    </row>
    <row r="3001" spans="1:6" ht="14.25" customHeight="1" x14ac:dyDescent="0.3">
      <c r="A3001" s="73">
        <v>44963</v>
      </c>
      <c r="B3001" s="74">
        <v>60506.9</v>
      </c>
      <c r="C3001" s="74">
        <v>2457.85</v>
      </c>
      <c r="D3001" s="74">
        <f t="shared" si="93"/>
        <v>-5.5209595164699846E-3</v>
      </c>
      <c r="E3001" s="74">
        <f t="shared" si="94"/>
        <v>-2.1743335701843174E-3</v>
      </c>
      <c r="F3001" s="75"/>
    </row>
    <row r="3002" spans="1:6" ht="14.25" customHeight="1" x14ac:dyDescent="0.3">
      <c r="A3002" s="73">
        <v>44964</v>
      </c>
      <c r="B3002" s="74">
        <v>60286.04</v>
      </c>
      <c r="C3002" s="74">
        <v>2448.1999999999998</v>
      </c>
      <c r="D3002" s="74">
        <f t="shared" si="93"/>
        <v>-3.6568403107079405E-3</v>
      </c>
      <c r="E3002" s="74">
        <f t="shared" si="94"/>
        <v>-3.933923398694251E-3</v>
      </c>
      <c r="F3002" s="75"/>
    </row>
    <row r="3003" spans="1:6" ht="14.25" customHeight="1" x14ac:dyDescent="0.3">
      <c r="A3003" s="73">
        <v>44965</v>
      </c>
      <c r="B3003" s="74">
        <v>60663.79</v>
      </c>
      <c r="C3003" s="74">
        <v>2465.1</v>
      </c>
      <c r="D3003" s="74">
        <f t="shared" si="93"/>
        <v>6.2464118923139062E-3</v>
      </c>
      <c r="E3003" s="74">
        <f t="shared" si="94"/>
        <v>6.8793139638398358E-3</v>
      </c>
      <c r="F3003" s="75"/>
    </row>
    <row r="3004" spans="1:6" ht="14.25" customHeight="1" x14ac:dyDescent="0.3">
      <c r="A3004" s="73">
        <v>44966</v>
      </c>
      <c r="B3004" s="74">
        <v>60806.22</v>
      </c>
      <c r="C3004" s="74">
        <v>2462.15</v>
      </c>
      <c r="D3004" s="74">
        <f t="shared" si="93"/>
        <v>2.3451066691240275E-3</v>
      </c>
      <c r="E3004" s="74">
        <f t="shared" si="94"/>
        <v>-1.1974226404103349E-3</v>
      </c>
      <c r="F3004" s="75"/>
    </row>
    <row r="3005" spans="1:6" ht="14.25" customHeight="1" x14ac:dyDescent="0.3">
      <c r="A3005" s="73">
        <v>44967</v>
      </c>
      <c r="B3005" s="74">
        <v>60682.7</v>
      </c>
      <c r="C3005" s="74">
        <v>2468.3000000000002</v>
      </c>
      <c r="D3005" s="74">
        <f t="shared" si="93"/>
        <v>-2.0334371654890135E-3</v>
      </c>
      <c r="E3005" s="74">
        <f t="shared" si="94"/>
        <v>2.4947025888365074E-3</v>
      </c>
      <c r="F3005" s="75"/>
    </row>
    <row r="3006" spans="1:6" ht="14.25" customHeight="1" x14ac:dyDescent="0.3">
      <c r="A3006" s="73">
        <v>44970</v>
      </c>
      <c r="B3006" s="74">
        <v>60431.839999999997</v>
      </c>
      <c r="C3006" s="74">
        <v>2519.4499999999998</v>
      </c>
      <c r="D3006" s="74">
        <f t="shared" si="93"/>
        <v>-4.1425308429762697E-3</v>
      </c>
      <c r="E3006" s="74">
        <f t="shared" si="94"/>
        <v>2.0510969162673538E-2</v>
      </c>
      <c r="F3006" s="75"/>
    </row>
    <row r="3007" spans="1:6" ht="14.25" customHeight="1" x14ac:dyDescent="0.3">
      <c r="A3007" s="73">
        <v>44971</v>
      </c>
      <c r="B3007" s="74">
        <v>61032.26</v>
      </c>
      <c r="C3007" s="74">
        <v>2506.9</v>
      </c>
      <c r="D3007" s="74">
        <f t="shared" si="93"/>
        <v>9.8864584764729157E-3</v>
      </c>
      <c r="E3007" s="74">
        <f t="shared" si="94"/>
        <v>-4.9936936663424435E-3</v>
      </c>
      <c r="F3007" s="75"/>
    </row>
    <row r="3008" spans="1:6" ht="14.25" customHeight="1" x14ac:dyDescent="0.3">
      <c r="A3008" s="73">
        <v>44972</v>
      </c>
      <c r="B3008" s="74">
        <v>61275.09</v>
      </c>
      <c r="C3008" s="74">
        <v>2524.1</v>
      </c>
      <c r="D3008" s="74">
        <f t="shared" si="93"/>
        <v>3.9708213621967615E-3</v>
      </c>
      <c r="E3008" s="74">
        <f t="shared" si="94"/>
        <v>6.8376334776039686E-3</v>
      </c>
      <c r="F3008" s="75"/>
    </row>
    <row r="3009" spans="1:6" ht="14.25" customHeight="1" x14ac:dyDescent="0.3">
      <c r="A3009" s="73">
        <v>44973</v>
      </c>
      <c r="B3009" s="74">
        <v>61319.51</v>
      </c>
      <c r="C3009" s="74">
        <v>2522.1</v>
      </c>
      <c r="D3009" s="74">
        <f t="shared" si="93"/>
        <v>7.2466490275919864E-4</v>
      </c>
      <c r="E3009" s="74">
        <f t="shared" si="94"/>
        <v>-7.9267571825230394E-4</v>
      </c>
      <c r="F3009" s="75"/>
    </row>
    <row r="3010" spans="1:6" ht="14.25" customHeight="1" x14ac:dyDescent="0.3">
      <c r="A3010" s="73">
        <v>44974</v>
      </c>
      <c r="B3010" s="74">
        <v>61002.57</v>
      </c>
      <c r="C3010" s="74">
        <v>2500.8000000000002</v>
      </c>
      <c r="D3010" s="74">
        <f t="shared" si="93"/>
        <v>-5.1820686707459819E-3</v>
      </c>
      <c r="E3010" s="74">
        <f t="shared" si="94"/>
        <v>-8.4812071421486255E-3</v>
      </c>
      <c r="F3010" s="75"/>
    </row>
    <row r="3011" spans="1:6" ht="14.25" customHeight="1" x14ac:dyDescent="0.3">
      <c r="A3011" s="73">
        <v>44977</v>
      </c>
      <c r="B3011" s="74">
        <v>60691.54</v>
      </c>
      <c r="C3011" s="74">
        <v>2474.5</v>
      </c>
      <c r="D3011" s="74">
        <f t="shared" si="93"/>
        <v>-5.111680051708048E-3</v>
      </c>
      <c r="E3011" s="74">
        <f t="shared" si="94"/>
        <v>-1.0572325275271468E-2</v>
      </c>
      <c r="F3011" s="75"/>
    </row>
    <row r="3012" spans="1:6" ht="14.25" customHeight="1" x14ac:dyDescent="0.3">
      <c r="A3012" s="73">
        <v>44978</v>
      </c>
      <c r="B3012" s="74">
        <v>60672.72</v>
      </c>
      <c r="C3012" s="74">
        <v>2464.0500000000002</v>
      </c>
      <c r="D3012" s="74">
        <f t="shared" ref="D3012:D3075" si="95">LN(B3012/B3011)</f>
        <v>-3.101407309014059E-4</v>
      </c>
      <c r="E3012" s="74">
        <f t="shared" ref="E3012:E3075" si="96">LN(C3012/C3011)</f>
        <v>-4.2320177366221646E-3</v>
      </c>
      <c r="F3012" s="75"/>
    </row>
    <row r="3013" spans="1:6" ht="14.25" customHeight="1" x14ac:dyDescent="0.3">
      <c r="A3013" s="73">
        <v>44979</v>
      </c>
      <c r="B3013" s="74">
        <v>59744.98</v>
      </c>
      <c r="C3013" s="74">
        <v>2424.4499999999998</v>
      </c>
      <c r="D3013" s="74">
        <f t="shared" si="95"/>
        <v>-1.5409003105136203E-2</v>
      </c>
      <c r="E3013" s="74">
        <f t="shared" si="96"/>
        <v>-1.6201643131391295E-2</v>
      </c>
      <c r="F3013" s="75"/>
    </row>
    <row r="3014" spans="1:6" ht="14.25" customHeight="1" x14ac:dyDescent="0.3">
      <c r="A3014" s="73">
        <v>44980</v>
      </c>
      <c r="B3014" s="74">
        <v>59605.8</v>
      </c>
      <c r="C3014" s="74">
        <v>2394.6</v>
      </c>
      <c r="D3014" s="74">
        <f t="shared" si="95"/>
        <v>-2.3322857729088488E-3</v>
      </c>
      <c r="E3014" s="74">
        <f t="shared" si="96"/>
        <v>-1.2388492241184075E-2</v>
      </c>
      <c r="F3014" s="75"/>
    </row>
    <row r="3015" spans="1:6" ht="14.25" customHeight="1" x14ac:dyDescent="0.3">
      <c r="A3015" s="73">
        <v>44981</v>
      </c>
      <c r="B3015" s="74">
        <v>59463.93</v>
      </c>
      <c r="C3015" s="74">
        <v>2399.65</v>
      </c>
      <c r="D3015" s="74">
        <f t="shared" si="95"/>
        <v>-2.3829745332396937E-3</v>
      </c>
      <c r="E3015" s="74">
        <f t="shared" si="96"/>
        <v>2.1066910852461122E-3</v>
      </c>
      <c r="F3015" s="75"/>
    </row>
    <row r="3016" spans="1:6" ht="14.25" customHeight="1" x14ac:dyDescent="0.3">
      <c r="A3016" s="73">
        <v>44984</v>
      </c>
      <c r="B3016" s="74">
        <v>59288.35</v>
      </c>
      <c r="C3016" s="74">
        <v>2401.15</v>
      </c>
      <c r="D3016" s="74">
        <f t="shared" si="95"/>
        <v>-2.9570822209760142E-3</v>
      </c>
      <c r="E3016" s="74">
        <f t="shared" si="96"/>
        <v>6.2489587102651826E-4</v>
      </c>
      <c r="F3016" s="75"/>
    </row>
    <row r="3017" spans="1:6" ht="14.25" customHeight="1" x14ac:dyDescent="0.3">
      <c r="A3017" s="73">
        <v>44985</v>
      </c>
      <c r="B3017" s="74">
        <v>58962.12</v>
      </c>
      <c r="C3017" s="74">
        <v>2374.1999999999998</v>
      </c>
      <c r="D3017" s="74">
        <f t="shared" si="95"/>
        <v>-5.5176242030985853E-3</v>
      </c>
      <c r="E3017" s="74">
        <f t="shared" si="96"/>
        <v>-1.1287250619582133E-2</v>
      </c>
      <c r="F3017" s="75"/>
    </row>
    <row r="3018" spans="1:6" ht="14.25" customHeight="1" x14ac:dyDescent="0.3">
      <c r="A3018" s="73">
        <v>44986</v>
      </c>
      <c r="B3018" s="74">
        <v>59411.08</v>
      </c>
      <c r="C3018" s="74">
        <v>2382.1999999999998</v>
      </c>
      <c r="D3018" s="74">
        <f t="shared" si="95"/>
        <v>7.5855371448118377E-3</v>
      </c>
      <c r="E3018" s="74">
        <f t="shared" si="96"/>
        <v>3.3638918273669648E-3</v>
      </c>
      <c r="F3018" s="75"/>
    </row>
    <row r="3019" spans="1:6" ht="14.25" customHeight="1" x14ac:dyDescent="0.3">
      <c r="A3019" s="73">
        <v>44987</v>
      </c>
      <c r="B3019" s="74">
        <v>58909.35</v>
      </c>
      <c r="C3019" s="74">
        <v>2359.6</v>
      </c>
      <c r="D3019" s="74">
        <f t="shared" si="95"/>
        <v>-8.4809192678229183E-3</v>
      </c>
      <c r="E3019" s="74">
        <f t="shared" si="96"/>
        <v>-9.5323173178803577E-3</v>
      </c>
      <c r="F3019" s="75"/>
    </row>
    <row r="3020" spans="1:6" ht="14.25" customHeight="1" x14ac:dyDescent="0.3">
      <c r="A3020" s="73">
        <v>44988</v>
      </c>
      <c r="B3020" s="74">
        <v>59808.97</v>
      </c>
      <c r="C3020" s="74">
        <v>2396.1999999999998</v>
      </c>
      <c r="D3020" s="74">
        <f t="shared" si="95"/>
        <v>1.5155828015330539E-2</v>
      </c>
      <c r="E3020" s="74">
        <f t="shared" si="96"/>
        <v>1.5392036076878385E-2</v>
      </c>
      <c r="F3020" s="75"/>
    </row>
    <row r="3021" spans="1:6" ht="14.25" customHeight="1" x14ac:dyDescent="0.3">
      <c r="A3021" s="73">
        <v>44991</v>
      </c>
      <c r="B3021" s="74">
        <v>60224.46</v>
      </c>
      <c r="C3021" s="74">
        <v>2404.15</v>
      </c>
      <c r="D3021" s="74">
        <f t="shared" si="95"/>
        <v>6.9229323769361807E-3</v>
      </c>
      <c r="E3021" s="74">
        <f t="shared" si="96"/>
        <v>3.3122615094053984E-3</v>
      </c>
      <c r="F3021" s="75"/>
    </row>
    <row r="3022" spans="1:6" ht="14.25" customHeight="1" x14ac:dyDescent="0.3">
      <c r="A3022" s="73">
        <v>44993</v>
      </c>
      <c r="B3022" s="74">
        <v>60348.09</v>
      </c>
      <c r="C3022" s="74">
        <v>2396.6999999999998</v>
      </c>
      <c r="D3022" s="74">
        <f t="shared" si="95"/>
        <v>2.0507162422376641E-3</v>
      </c>
      <c r="E3022" s="74">
        <f t="shared" si="96"/>
        <v>-3.1036195590981512E-3</v>
      </c>
      <c r="F3022" s="75"/>
    </row>
    <row r="3023" spans="1:6" ht="14.25" customHeight="1" x14ac:dyDescent="0.3">
      <c r="A3023" s="73">
        <v>44994</v>
      </c>
      <c r="B3023" s="74">
        <v>59806.28</v>
      </c>
      <c r="C3023" s="74">
        <v>2369.5500000000002</v>
      </c>
      <c r="D3023" s="74">
        <f t="shared" si="95"/>
        <v>-9.0186261617607767E-3</v>
      </c>
      <c r="E3023" s="74">
        <f t="shared" si="96"/>
        <v>-1.1392727472889864E-2</v>
      </c>
      <c r="F3023" s="75"/>
    </row>
    <row r="3024" spans="1:6" ht="14.25" customHeight="1" x14ac:dyDescent="0.3">
      <c r="A3024" s="73">
        <v>44995</v>
      </c>
      <c r="B3024" s="74">
        <v>59135.13</v>
      </c>
      <c r="C3024" s="74">
        <v>2375.35</v>
      </c>
      <c r="D3024" s="74">
        <f t="shared" si="95"/>
        <v>-1.1285508104774833E-2</v>
      </c>
      <c r="E3024" s="74">
        <f t="shared" si="96"/>
        <v>2.4447313489192432E-3</v>
      </c>
      <c r="F3024" s="75"/>
    </row>
    <row r="3025" spans="1:6" ht="14.25" customHeight="1" x14ac:dyDescent="0.3">
      <c r="A3025" s="73">
        <v>44998</v>
      </c>
      <c r="B3025" s="74">
        <v>58237.85</v>
      </c>
      <c r="C3025" s="74">
        <v>2334.75</v>
      </c>
      <c r="D3025" s="74">
        <f t="shared" si="95"/>
        <v>-1.5289677062129931E-2</v>
      </c>
      <c r="E3025" s="74">
        <f t="shared" si="96"/>
        <v>-1.7239976042307873E-2</v>
      </c>
      <c r="F3025" s="75"/>
    </row>
    <row r="3026" spans="1:6" ht="14.25" customHeight="1" x14ac:dyDescent="0.3">
      <c r="A3026" s="73">
        <v>44999</v>
      </c>
      <c r="B3026" s="74">
        <v>57900.19</v>
      </c>
      <c r="C3026" s="74">
        <v>2356.5500000000002</v>
      </c>
      <c r="D3026" s="74">
        <f t="shared" si="95"/>
        <v>-5.8148209047920495E-3</v>
      </c>
      <c r="E3026" s="74">
        <f t="shared" si="96"/>
        <v>9.2938660567761303E-3</v>
      </c>
      <c r="F3026" s="75"/>
    </row>
    <row r="3027" spans="1:6" ht="14.25" customHeight="1" x14ac:dyDescent="0.3">
      <c r="A3027" s="73">
        <v>45000</v>
      </c>
      <c r="B3027" s="74">
        <v>57555.9</v>
      </c>
      <c r="C3027" s="74">
        <v>2398.0500000000002</v>
      </c>
      <c r="D3027" s="74">
        <f t="shared" si="95"/>
        <v>-5.9640166320863346E-3</v>
      </c>
      <c r="E3027" s="74">
        <f t="shared" si="96"/>
        <v>1.7457222032407526E-2</v>
      </c>
      <c r="F3027" s="75"/>
    </row>
    <row r="3028" spans="1:6" ht="14.25" customHeight="1" x14ac:dyDescent="0.3">
      <c r="A3028" s="73">
        <v>45001</v>
      </c>
      <c r="B3028" s="74">
        <v>57634.84</v>
      </c>
      <c r="C3028" s="74">
        <v>2451</v>
      </c>
      <c r="D3028" s="74">
        <f t="shared" si="95"/>
        <v>1.3705964968646139E-3</v>
      </c>
      <c r="E3028" s="74">
        <f t="shared" si="96"/>
        <v>2.1840197449101779E-2</v>
      </c>
      <c r="F3028" s="75"/>
    </row>
    <row r="3029" spans="1:6" ht="14.25" customHeight="1" x14ac:dyDescent="0.3">
      <c r="A3029" s="73">
        <v>45002</v>
      </c>
      <c r="B3029" s="74">
        <v>57989.9</v>
      </c>
      <c r="C3029" s="74">
        <v>2455.9</v>
      </c>
      <c r="D3029" s="74">
        <f t="shared" si="95"/>
        <v>6.1416114934094513E-3</v>
      </c>
      <c r="E3029" s="74">
        <f t="shared" si="96"/>
        <v>1.9971882975988228E-3</v>
      </c>
      <c r="F3029" s="75"/>
    </row>
    <row r="3030" spans="1:6" ht="14.25" customHeight="1" x14ac:dyDescent="0.3">
      <c r="A3030" s="73">
        <v>45005</v>
      </c>
      <c r="B3030" s="74">
        <v>57628.95</v>
      </c>
      <c r="C3030" s="74">
        <v>2461.15</v>
      </c>
      <c r="D3030" s="74">
        <f t="shared" si="95"/>
        <v>-6.2438118462718219E-3</v>
      </c>
      <c r="E3030" s="74">
        <f t="shared" si="96"/>
        <v>2.135427540912541E-3</v>
      </c>
      <c r="F3030" s="75"/>
    </row>
    <row r="3031" spans="1:6" ht="14.25" customHeight="1" x14ac:dyDescent="0.3">
      <c r="A3031" s="73">
        <v>45006</v>
      </c>
      <c r="B3031" s="74">
        <v>58074.68</v>
      </c>
      <c r="C3031" s="74">
        <v>2514</v>
      </c>
      <c r="D3031" s="74">
        <f t="shared" si="95"/>
        <v>7.7047229197198903E-3</v>
      </c>
      <c r="E3031" s="74">
        <f t="shared" si="96"/>
        <v>2.1246389783568732E-2</v>
      </c>
      <c r="F3031" s="75"/>
    </row>
    <row r="3032" spans="1:6" ht="14.25" customHeight="1" x14ac:dyDescent="0.3">
      <c r="A3032" s="73">
        <v>45007</v>
      </c>
      <c r="B3032" s="74">
        <v>58214.59</v>
      </c>
      <c r="C3032" s="74">
        <v>2507.6999999999998</v>
      </c>
      <c r="D3032" s="74">
        <f t="shared" si="95"/>
        <v>2.4062420807453053E-3</v>
      </c>
      <c r="E3032" s="74">
        <f t="shared" si="96"/>
        <v>-2.5091117769726477E-3</v>
      </c>
      <c r="F3032" s="75"/>
    </row>
    <row r="3033" spans="1:6" ht="14.25" customHeight="1" x14ac:dyDescent="0.3">
      <c r="A3033" s="73">
        <v>45008</v>
      </c>
      <c r="B3033" s="74">
        <v>57925.279999999999</v>
      </c>
      <c r="C3033" s="74">
        <v>2517.9499999999998</v>
      </c>
      <c r="D3033" s="74">
        <f t="shared" si="95"/>
        <v>-4.9821064621934441E-3</v>
      </c>
      <c r="E3033" s="74">
        <f t="shared" si="96"/>
        <v>4.0790800045306204E-3</v>
      </c>
      <c r="F3033" s="75"/>
    </row>
    <row r="3034" spans="1:6" ht="14.25" customHeight="1" x14ac:dyDescent="0.3">
      <c r="A3034" s="73">
        <v>45009</v>
      </c>
      <c r="B3034" s="74">
        <v>57527.1</v>
      </c>
      <c r="C3034" s="74">
        <v>2492.9499999999998</v>
      </c>
      <c r="D3034" s="74">
        <f t="shared" si="95"/>
        <v>-6.8977630214939866E-3</v>
      </c>
      <c r="E3034" s="74">
        <f t="shared" si="96"/>
        <v>-9.9783302125604784E-3</v>
      </c>
      <c r="F3034" s="75"/>
    </row>
    <row r="3035" spans="1:6" ht="14.25" customHeight="1" x14ac:dyDescent="0.3">
      <c r="A3035" s="73">
        <v>45012</v>
      </c>
      <c r="B3035" s="74">
        <v>57653.86</v>
      </c>
      <c r="C3035" s="74">
        <v>2494.9</v>
      </c>
      <c r="D3035" s="74">
        <f t="shared" si="95"/>
        <v>2.2010591190725834E-3</v>
      </c>
      <c r="E3035" s="74">
        <f t="shared" si="96"/>
        <v>7.8190005687720681E-4</v>
      </c>
      <c r="F3035" s="75"/>
    </row>
    <row r="3036" spans="1:6" ht="14.25" customHeight="1" x14ac:dyDescent="0.3">
      <c r="A3036" s="73">
        <v>45013</v>
      </c>
      <c r="B3036" s="74">
        <v>57613.72</v>
      </c>
      <c r="C3036" s="74">
        <v>2499.65</v>
      </c>
      <c r="D3036" s="74">
        <f t="shared" si="95"/>
        <v>-6.9646645869621889E-4</v>
      </c>
      <c r="E3036" s="74">
        <f t="shared" si="96"/>
        <v>1.9020738333099961E-3</v>
      </c>
      <c r="F3036" s="75"/>
    </row>
    <row r="3037" spans="1:6" ht="14.25" customHeight="1" x14ac:dyDescent="0.3">
      <c r="A3037" s="73">
        <v>45014</v>
      </c>
      <c r="B3037" s="74">
        <v>57960.09</v>
      </c>
      <c r="C3037" s="74">
        <v>2516.35</v>
      </c>
      <c r="D3037" s="74">
        <f t="shared" si="95"/>
        <v>5.993936463809804E-3</v>
      </c>
      <c r="E3037" s="74">
        <f t="shared" si="96"/>
        <v>6.6587167880301579E-3</v>
      </c>
      <c r="F3037" s="75"/>
    </row>
    <row r="3038" spans="1:6" ht="14.25" customHeight="1" x14ac:dyDescent="0.3">
      <c r="A3038" s="73">
        <v>45016</v>
      </c>
      <c r="B3038" s="74">
        <v>58991.519999999997</v>
      </c>
      <c r="C3038" s="74">
        <v>2515.1</v>
      </c>
      <c r="D3038" s="74">
        <f t="shared" si="95"/>
        <v>1.763903451587736E-2</v>
      </c>
      <c r="E3038" s="74">
        <f t="shared" si="96"/>
        <v>-4.9687466862126687E-4</v>
      </c>
      <c r="F3038" s="75"/>
    </row>
    <row r="3039" spans="1:6" ht="14.25" customHeight="1" x14ac:dyDescent="0.3">
      <c r="A3039" s="73">
        <v>45019</v>
      </c>
      <c r="B3039" s="74">
        <v>59106.44</v>
      </c>
      <c r="C3039" s="74">
        <v>2537.4499999999998</v>
      </c>
      <c r="D3039" s="74">
        <f t="shared" si="95"/>
        <v>1.9461815644029961E-3</v>
      </c>
      <c r="E3039" s="74">
        <f t="shared" si="96"/>
        <v>8.8470755476239057E-3</v>
      </c>
      <c r="F3039" s="75"/>
    </row>
    <row r="3040" spans="1:6" ht="14.25" customHeight="1" x14ac:dyDescent="0.3">
      <c r="A3040" s="73">
        <v>45021</v>
      </c>
      <c r="B3040" s="74">
        <v>59689.31</v>
      </c>
      <c r="C3040" s="74">
        <v>2572.6999999999998</v>
      </c>
      <c r="D3040" s="74">
        <f t="shared" si="95"/>
        <v>9.8130560619098701E-3</v>
      </c>
      <c r="E3040" s="74">
        <f t="shared" si="96"/>
        <v>1.3796291347646398E-2</v>
      </c>
      <c r="F3040" s="75"/>
    </row>
    <row r="3041" spans="1:6" ht="14.25" customHeight="1" x14ac:dyDescent="0.3">
      <c r="A3041" s="73">
        <v>45022</v>
      </c>
      <c r="B3041" s="74">
        <v>59832.97</v>
      </c>
      <c r="C3041" s="74">
        <v>2548.75</v>
      </c>
      <c r="D3041" s="74">
        <f t="shared" si="95"/>
        <v>2.4039044298910413E-3</v>
      </c>
      <c r="E3041" s="74">
        <f t="shared" si="96"/>
        <v>-9.3528881813918219E-3</v>
      </c>
      <c r="F3041" s="75"/>
    </row>
    <row r="3042" spans="1:6" ht="14.25" customHeight="1" x14ac:dyDescent="0.3">
      <c r="A3042" s="73">
        <v>45026</v>
      </c>
      <c r="B3042" s="74">
        <v>59846.51</v>
      </c>
      <c r="C3042" s="74">
        <v>2583.25</v>
      </c>
      <c r="D3042" s="74">
        <f t="shared" si="95"/>
        <v>2.2627103757079853E-4</v>
      </c>
      <c r="E3042" s="74">
        <f t="shared" si="96"/>
        <v>1.3445253205799295E-2</v>
      </c>
      <c r="F3042" s="75"/>
    </row>
    <row r="3043" spans="1:6" ht="14.25" customHeight="1" x14ac:dyDescent="0.3">
      <c r="A3043" s="73">
        <v>45027</v>
      </c>
      <c r="B3043" s="74">
        <v>60157.72</v>
      </c>
      <c r="C3043" s="74">
        <v>2580.5500000000002</v>
      </c>
      <c r="D3043" s="74">
        <f t="shared" si="95"/>
        <v>5.1866621312722542E-3</v>
      </c>
      <c r="E3043" s="74">
        <f t="shared" si="96"/>
        <v>-1.0457416034913003E-3</v>
      </c>
      <c r="F3043" s="75"/>
    </row>
    <row r="3044" spans="1:6" ht="14.25" customHeight="1" x14ac:dyDescent="0.3">
      <c r="A3044" s="73">
        <v>45028</v>
      </c>
      <c r="B3044" s="74">
        <v>60392.77</v>
      </c>
      <c r="C3044" s="74">
        <v>2587.1</v>
      </c>
      <c r="D3044" s="74">
        <f t="shared" si="95"/>
        <v>3.8996158019283132E-3</v>
      </c>
      <c r="E3044" s="74">
        <f t="shared" si="96"/>
        <v>2.5350027605022104E-3</v>
      </c>
      <c r="F3044" s="75"/>
    </row>
    <row r="3045" spans="1:6" ht="14.25" customHeight="1" x14ac:dyDescent="0.3">
      <c r="A3045" s="73">
        <v>45029</v>
      </c>
      <c r="B3045" s="74">
        <v>60431</v>
      </c>
      <c r="C3045" s="74">
        <v>2583.9</v>
      </c>
      <c r="D3045" s="74">
        <f t="shared" si="95"/>
        <v>6.3282251953927597E-4</v>
      </c>
      <c r="E3045" s="74">
        <f t="shared" si="96"/>
        <v>-1.2376717882375756E-3</v>
      </c>
      <c r="F3045" s="75"/>
    </row>
    <row r="3046" spans="1:6" ht="14.25" customHeight="1" x14ac:dyDescent="0.3">
      <c r="A3046" s="73">
        <v>45033</v>
      </c>
      <c r="B3046" s="74">
        <v>59910.75</v>
      </c>
      <c r="C3046" s="74">
        <v>2605.6</v>
      </c>
      <c r="D3046" s="74">
        <f t="shared" si="95"/>
        <v>-8.6462635130574259E-3</v>
      </c>
      <c r="E3046" s="74">
        <f t="shared" si="96"/>
        <v>8.3630894987860097E-3</v>
      </c>
      <c r="F3046" s="75"/>
    </row>
    <row r="3047" spans="1:6" ht="14.25" customHeight="1" x14ac:dyDescent="0.3">
      <c r="A3047" s="73">
        <v>45034</v>
      </c>
      <c r="B3047" s="74">
        <v>59727.01</v>
      </c>
      <c r="C3047" s="74">
        <v>2576.4</v>
      </c>
      <c r="D3047" s="74">
        <f t="shared" si="95"/>
        <v>-3.0716079014202324E-3</v>
      </c>
      <c r="E3047" s="74">
        <f t="shared" si="96"/>
        <v>-1.1269899289287967E-2</v>
      </c>
      <c r="F3047" s="75"/>
    </row>
    <row r="3048" spans="1:6" ht="14.25" customHeight="1" x14ac:dyDescent="0.3">
      <c r="A3048" s="73">
        <v>45035</v>
      </c>
      <c r="B3048" s="74">
        <v>59567.8</v>
      </c>
      <c r="C3048" s="74">
        <v>2566.0500000000002</v>
      </c>
      <c r="D3048" s="74">
        <f t="shared" si="95"/>
        <v>-2.6691872768831904E-3</v>
      </c>
      <c r="E3048" s="74">
        <f t="shared" si="96"/>
        <v>-4.025324106325041E-3</v>
      </c>
      <c r="F3048" s="75"/>
    </row>
    <row r="3049" spans="1:6" ht="14.25" customHeight="1" x14ac:dyDescent="0.3">
      <c r="A3049" s="73">
        <v>45036</v>
      </c>
      <c r="B3049" s="74">
        <v>59632.35</v>
      </c>
      <c r="C3049" s="74">
        <v>2578.5</v>
      </c>
      <c r="D3049" s="74">
        <f t="shared" si="95"/>
        <v>1.0830524342423486E-3</v>
      </c>
      <c r="E3049" s="74">
        <f t="shared" si="96"/>
        <v>4.8400829246028837E-3</v>
      </c>
      <c r="F3049" s="75"/>
    </row>
    <row r="3050" spans="1:6" ht="14.25" customHeight="1" x14ac:dyDescent="0.3">
      <c r="A3050" s="73">
        <v>45037</v>
      </c>
      <c r="B3050" s="74">
        <v>59655.06</v>
      </c>
      <c r="C3050" s="74">
        <v>2568.35</v>
      </c>
      <c r="D3050" s="74">
        <f t="shared" si="95"/>
        <v>3.8076105893103802E-4</v>
      </c>
      <c r="E3050" s="74">
        <f t="shared" si="96"/>
        <v>-3.9441651332954653E-3</v>
      </c>
      <c r="F3050" s="75"/>
    </row>
    <row r="3051" spans="1:6" ht="14.25" customHeight="1" x14ac:dyDescent="0.3">
      <c r="A3051" s="73">
        <v>45040</v>
      </c>
      <c r="B3051" s="74">
        <v>60056.1</v>
      </c>
      <c r="C3051" s="74">
        <v>2627.65</v>
      </c>
      <c r="D3051" s="74">
        <f t="shared" si="95"/>
        <v>6.7001522713650841E-3</v>
      </c>
      <c r="E3051" s="74">
        <f t="shared" si="96"/>
        <v>2.2826241251057561E-2</v>
      </c>
      <c r="F3051" s="75"/>
    </row>
    <row r="3052" spans="1:6" ht="14.25" customHeight="1" x14ac:dyDescent="0.3">
      <c r="A3052" s="73">
        <v>45041</v>
      </c>
      <c r="B3052" s="74">
        <v>60130.71</v>
      </c>
      <c r="C3052" s="74">
        <v>2633.65</v>
      </c>
      <c r="D3052" s="74">
        <f t="shared" si="95"/>
        <v>1.241567349765141E-3</v>
      </c>
      <c r="E3052" s="74">
        <f t="shared" si="96"/>
        <v>2.2808061129524263E-3</v>
      </c>
      <c r="F3052" s="75"/>
    </row>
    <row r="3053" spans="1:6" ht="14.25" customHeight="1" x14ac:dyDescent="0.3">
      <c r="A3053" s="73">
        <v>45042</v>
      </c>
      <c r="B3053" s="74">
        <v>60300.58</v>
      </c>
      <c r="C3053" s="74">
        <v>2640.65</v>
      </c>
      <c r="D3053" s="74">
        <f t="shared" si="95"/>
        <v>2.821029529037569E-3</v>
      </c>
      <c r="E3053" s="74">
        <f t="shared" si="96"/>
        <v>2.6543822346159068E-3</v>
      </c>
      <c r="F3053" s="75"/>
    </row>
    <row r="3054" spans="1:6" ht="14.25" customHeight="1" x14ac:dyDescent="0.3">
      <c r="A3054" s="73">
        <v>45043</v>
      </c>
      <c r="B3054" s="74">
        <v>60649.38</v>
      </c>
      <c r="C3054" s="74">
        <v>2659.55</v>
      </c>
      <c r="D3054" s="74">
        <f t="shared" si="95"/>
        <v>5.7676904885056602E-3</v>
      </c>
      <c r="E3054" s="74">
        <f t="shared" si="96"/>
        <v>7.131836575715457E-3</v>
      </c>
      <c r="F3054" s="75"/>
    </row>
    <row r="3055" spans="1:6" ht="14.25" customHeight="1" x14ac:dyDescent="0.3">
      <c r="A3055" s="73">
        <v>45044</v>
      </c>
      <c r="B3055" s="74">
        <v>61112.44</v>
      </c>
      <c r="C3055" s="74">
        <v>2640.4</v>
      </c>
      <c r="D3055" s="74">
        <f t="shared" si="95"/>
        <v>7.6060333592288124E-3</v>
      </c>
      <c r="E3055" s="74">
        <f t="shared" si="96"/>
        <v>-7.2265147174436417E-3</v>
      </c>
      <c r="F3055" s="75"/>
    </row>
    <row r="3056" spans="1:6" ht="14.25" customHeight="1" x14ac:dyDescent="0.3">
      <c r="A3056" s="73">
        <v>45048</v>
      </c>
      <c r="B3056" s="74">
        <v>61354.71</v>
      </c>
      <c r="C3056" s="74">
        <v>2661.15</v>
      </c>
      <c r="D3056" s="74">
        <f t="shared" si="95"/>
        <v>3.9564947177770822E-3</v>
      </c>
      <c r="E3056" s="74">
        <f t="shared" si="96"/>
        <v>7.8279393601516367E-3</v>
      </c>
      <c r="F3056" s="75"/>
    </row>
    <row r="3057" spans="1:6" ht="14.25" customHeight="1" x14ac:dyDescent="0.3">
      <c r="A3057" s="73">
        <v>45049</v>
      </c>
      <c r="B3057" s="74">
        <v>61193.3</v>
      </c>
      <c r="C3057" s="74">
        <v>2654.35</v>
      </c>
      <c r="D3057" s="74">
        <f t="shared" si="95"/>
        <v>-2.6342344251512107E-3</v>
      </c>
      <c r="E3057" s="74">
        <f t="shared" si="96"/>
        <v>-2.5585565645827161E-3</v>
      </c>
      <c r="F3057" s="75"/>
    </row>
    <row r="3058" spans="1:6" ht="14.25" customHeight="1" x14ac:dyDescent="0.3">
      <c r="A3058" s="73">
        <v>45050</v>
      </c>
      <c r="B3058" s="74">
        <v>61749.25</v>
      </c>
      <c r="C3058" s="74">
        <v>2669.7</v>
      </c>
      <c r="D3058" s="74">
        <f t="shared" si="95"/>
        <v>9.0441232842987957E-3</v>
      </c>
      <c r="E3058" s="74">
        <f t="shared" si="96"/>
        <v>5.7663029207414406E-3</v>
      </c>
      <c r="F3058" s="75"/>
    </row>
    <row r="3059" spans="1:6" ht="14.25" customHeight="1" x14ac:dyDescent="0.3">
      <c r="A3059" s="73">
        <v>45051</v>
      </c>
      <c r="B3059" s="74">
        <v>61054.29</v>
      </c>
      <c r="C3059" s="74">
        <v>2734.95</v>
      </c>
      <c r="D3059" s="74">
        <f t="shared" si="95"/>
        <v>-1.1318361327194357E-2</v>
      </c>
      <c r="E3059" s="74">
        <f t="shared" si="96"/>
        <v>2.4147047622397066E-2</v>
      </c>
      <c r="F3059" s="75"/>
    </row>
    <row r="3060" spans="1:6" ht="14.25" customHeight="1" x14ac:dyDescent="0.3">
      <c r="A3060" s="73">
        <v>45054</v>
      </c>
      <c r="B3060" s="74">
        <v>61764.25</v>
      </c>
      <c r="C3060" s="74">
        <v>2750.45</v>
      </c>
      <c r="D3060" s="74">
        <f t="shared" si="95"/>
        <v>1.1561249757588515E-2</v>
      </c>
      <c r="E3060" s="74">
        <f t="shared" si="96"/>
        <v>5.6513804839607379E-3</v>
      </c>
      <c r="F3060" s="75"/>
    </row>
    <row r="3061" spans="1:6" ht="14.25" customHeight="1" x14ac:dyDescent="0.3">
      <c r="A3061" s="73">
        <v>45055</v>
      </c>
      <c r="B3061" s="74">
        <v>61761.33</v>
      </c>
      <c r="C3061" s="74">
        <v>2748.8</v>
      </c>
      <c r="D3061" s="74">
        <f t="shared" si="95"/>
        <v>-4.7277656992860826E-5</v>
      </c>
      <c r="E3061" s="74">
        <f t="shared" si="96"/>
        <v>-6.0008184734761257E-4</v>
      </c>
      <c r="F3061" s="75"/>
    </row>
    <row r="3062" spans="1:6" ht="14.25" customHeight="1" x14ac:dyDescent="0.3">
      <c r="A3062" s="73">
        <v>45056</v>
      </c>
      <c r="B3062" s="74">
        <v>61940.2</v>
      </c>
      <c r="C3062" s="74">
        <v>2744.55</v>
      </c>
      <c r="D3062" s="74">
        <f t="shared" si="95"/>
        <v>2.8919630123275591E-3</v>
      </c>
      <c r="E3062" s="74">
        <f t="shared" si="96"/>
        <v>-1.5473257112515221E-3</v>
      </c>
      <c r="F3062" s="75"/>
    </row>
    <row r="3063" spans="1:6" ht="14.25" customHeight="1" x14ac:dyDescent="0.3">
      <c r="A3063" s="73">
        <v>45057</v>
      </c>
      <c r="B3063" s="74">
        <v>61904.52</v>
      </c>
      <c r="C3063" s="74">
        <v>2757</v>
      </c>
      <c r="D3063" s="74">
        <f t="shared" si="95"/>
        <v>-5.7620544480511992E-4</v>
      </c>
      <c r="E3063" s="74">
        <f t="shared" si="96"/>
        <v>4.5260049451119359E-3</v>
      </c>
      <c r="F3063" s="75"/>
    </row>
    <row r="3064" spans="1:6" ht="14.25" customHeight="1" x14ac:dyDescent="0.3">
      <c r="A3064" s="73">
        <v>45058</v>
      </c>
      <c r="B3064" s="74">
        <v>62027.9</v>
      </c>
      <c r="C3064" s="74">
        <v>2773.25</v>
      </c>
      <c r="D3064" s="74">
        <f t="shared" si="95"/>
        <v>1.9910857991940786E-3</v>
      </c>
      <c r="E3064" s="74">
        <f t="shared" si="96"/>
        <v>5.8767855949722718E-3</v>
      </c>
      <c r="F3064" s="75"/>
    </row>
    <row r="3065" spans="1:6" ht="14.25" customHeight="1" x14ac:dyDescent="0.3">
      <c r="A3065" s="73">
        <v>45061</v>
      </c>
      <c r="B3065" s="74">
        <v>62345.71</v>
      </c>
      <c r="C3065" s="74">
        <v>2779.2</v>
      </c>
      <c r="D3065" s="74">
        <f t="shared" si="95"/>
        <v>5.1105808010898758E-3</v>
      </c>
      <c r="E3065" s="74">
        <f t="shared" si="96"/>
        <v>2.1431988680714609E-3</v>
      </c>
      <c r="F3065" s="75"/>
    </row>
    <row r="3066" spans="1:6" ht="14.25" customHeight="1" x14ac:dyDescent="0.3">
      <c r="A3066" s="73">
        <v>45062</v>
      </c>
      <c r="B3066" s="74">
        <v>61932.47</v>
      </c>
      <c r="C3066" s="74">
        <v>2790.95</v>
      </c>
      <c r="D3066" s="74">
        <f t="shared" si="95"/>
        <v>-6.6502667322057198E-3</v>
      </c>
      <c r="E3066" s="74">
        <f t="shared" si="96"/>
        <v>4.218923163106323E-3</v>
      </c>
      <c r="F3066" s="75"/>
    </row>
    <row r="3067" spans="1:6" ht="14.25" customHeight="1" x14ac:dyDescent="0.3">
      <c r="A3067" s="73">
        <v>45063</v>
      </c>
      <c r="B3067" s="74">
        <v>61560.639999999999</v>
      </c>
      <c r="C3067" s="74">
        <v>2762.5</v>
      </c>
      <c r="D3067" s="74">
        <f t="shared" si="95"/>
        <v>-6.0218926164302498E-3</v>
      </c>
      <c r="E3067" s="74">
        <f t="shared" si="96"/>
        <v>-1.0245972823938583E-2</v>
      </c>
      <c r="F3067" s="75"/>
    </row>
    <row r="3068" spans="1:6" ht="14.25" customHeight="1" x14ac:dyDescent="0.3">
      <c r="A3068" s="73">
        <v>45064</v>
      </c>
      <c r="B3068" s="74">
        <v>61431.74</v>
      </c>
      <c r="C3068" s="74">
        <v>2720.65</v>
      </c>
      <c r="D3068" s="74">
        <f t="shared" si="95"/>
        <v>-2.0960655805410716E-3</v>
      </c>
      <c r="E3068" s="74">
        <f t="shared" si="96"/>
        <v>-1.5265244496652839E-2</v>
      </c>
      <c r="F3068" s="75"/>
    </row>
    <row r="3069" spans="1:6" ht="14.25" customHeight="1" x14ac:dyDescent="0.3">
      <c r="A3069" s="73">
        <v>45065</v>
      </c>
      <c r="B3069" s="74">
        <v>61729.68</v>
      </c>
      <c r="C3069" s="74">
        <v>2702.6</v>
      </c>
      <c r="D3069" s="74">
        <f t="shared" si="95"/>
        <v>4.8382128297795052E-3</v>
      </c>
      <c r="E3069" s="74">
        <f t="shared" si="96"/>
        <v>-6.6565497253698184E-3</v>
      </c>
      <c r="F3069" s="75"/>
    </row>
    <row r="3070" spans="1:6" ht="14.25" customHeight="1" x14ac:dyDescent="0.3">
      <c r="A3070" s="73">
        <v>45068</v>
      </c>
      <c r="B3070" s="74">
        <v>61963.68</v>
      </c>
      <c r="C3070" s="74">
        <v>2713.1</v>
      </c>
      <c r="D3070" s="74">
        <f t="shared" si="95"/>
        <v>3.7835544146908877E-3</v>
      </c>
      <c r="E3070" s="74">
        <f t="shared" si="96"/>
        <v>3.8776199407060609E-3</v>
      </c>
      <c r="F3070" s="75"/>
    </row>
    <row r="3071" spans="1:6" ht="14.25" customHeight="1" x14ac:dyDescent="0.3">
      <c r="A3071" s="73">
        <v>45069</v>
      </c>
      <c r="B3071" s="74">
        <v>61981.79</v>
      </c>
      <c r="C3071" s="74">
        <v>2682.9</v>
      </c>
      <c r="D3071" s="74">
        <f t="shared" si="95"/>
        <v>2.9222528469776765E-4</v>
      </c>
      <c r="E3071" s="74">
        <f t="shared" si="96"/>
        <v>-1.1193593524446563E-2</v>
      </c>
      <c r="F3071" s="75"/>
    </row>
    <row r="3072" spans="1:6" ht="14.25" customHeight="1" x14ac:dyDescent="0.3">
      <c r="A3072" s="73">
        <v>45070</v>
      </c>
      <c r="B3072" s="74">
        <v>61773.78</v>
      </c>
      <c r="C3072" s="74">
        <v>2707</v>
      </c>
      <c r="D3072" s="74">
        <f t="shared" si="95"/>
        <v>-3.3616296363169402E-3</v>
      </c>
      <c r="E3072" s="74">
        <f t="shared" si="96"/>
        <v>8.9427115940560794E-3</v>
      </c>
      <c r="F3072" s="75"/>
    </row>
    <row r="3073" spans="1:6" ht="14.25" customHeight="1" x14ac:dyDescent="0.3">
      <c r="A3073" s="73">
        <v>45071</v>
      </c>
      <c r="B3073" s="74">
        <v>61872.62</v>
      </c>
      <c r="C3073" s="74">
        <v>2704.45</v>
      </c>
      <c r="D3073" s="74">
        <f t="shared" si="95"/>
        <v>1.598752912385734E-3</v>
      </c>
      <c r="E3073" s="74">
        <f t="shared" si="96"/>
        <v>-9.4244617939507973E-4</v>
      </c>
      <c r="F3073" s="75"/>
    </row>
    <row r="3074" spans="1:6" ht="14.25" customHeight="1" x14ac:dyDescent="0.3">
      <c r="A3074" s="73">
        <v>45072</v>
      </c>
      <c r="B3074" s="74">
        <v>62501.69</v>
      </c>
      <c r="C3074" s="74">
        <v>2741.95</v>
      </c>
      <c r="D3074" s="74">
        <f t="shared" si="95"/>
        <v>1.0115840874175455E-2</v>
      </c>
      <c r="E3074" s="74">
        <f t="shared" si="96"/>
        <v>1.3770781656034285E-2</v>
      </c>
      <c r="F3074" s="75"/>
    </row>
    <row r="3075" spans="1:6" ht="14.25" customHeight="1" x14ac:dyDescent="0.3">
      <c r="A3075" s="73">
        <v>45075</v>
      </c>
      <c r="B3075" s="74">
        <v>62846.38</v>
      </c>
      <c r="C3075" s="74">
        <v>2810.05</v>
      </c>
      <c r="D3075" s="74">
        <f t="shared" si="95"/>
        <v>5.4997395464214949E-3</v>
      </c>
      <c r="E3075" s="74">
        <f t="shared" si="96"/>
        <v>2.4532930672853007E-2</v>
      </c>
      <c r="F3075" s="75"/>
    </row>
    <row r="3076" spans="1:6" ht="14.25" customHeight="1" x14ac:dyDescent="0.3">
      <c r="A3076" s="73">
        <v>45076</v>
      </c>
      <c r="B3076" s="74">
        <v>62969.13</v>
      </c>
      <c r="C3076" s="74">
        <v>2801.85</v>
      </c>
      <c r="D3076" s="74">
        <f t="shared" ref="D3076:D3139" si="97">LN(B3076/B3075)</f>
        <v>1.9512703790986754E-3</v>
      </c>
      <c r="E3076" s="74">
        <f t="shared" ref="E3076:E3139" si="98">LN(C3076/C3075)</f>
        <v>-2.9223634903716715E-3</v>
      </c>
      <c r="F3076" s="75"/>
    </row>
    <row r="3077" spans="1:6" ht="14.25" customHeight="1" x14ac:dyDescent="0.3">
      <c r="A3077" s="73">
        <v>45077</v>
      </c>
      <c r="B3077" s="74">
        <v>62622.239999999998</v>
      </c>
      <c r="C3077" s="74">
        <v>2822.4</v>
      </c>
      <c r="D3077" s="74">
        <f t="shared" si="97"/>
        <v>-5.5241197247532341E-3</v>
      </c>
      <c r="E3077" s="74">
        <f t="shared" si="98"/>
        <v>7.3076735390504802E-3</v>
      </c>
      <c r="F3077" s="75"/>
    </row>
    <row r="3078" spans="1:6" ht="14.25" customHeight="1" x14ac:dyDescent="0.3">
      <c r="A3078" s="73">
        <v>45078</v>
      </c>
      <c r="B3078" s="74">
        <v>62428.54</v>
      </c>
      <c r="C3078" s="74">
        <v>2826.7</v>
      </c>
      <c r="D3078" s="74">
        <f t="shared" si="97"/>
        <v>-3.0979439698927353E-3</v>
      </c>
      <c r="E3078" s="74">
        <f t="shared" si="98"/>
        <v>1.5223666886665381E-3</v>
      </c>
      <c r="F3078" s="75"/>
    </row>
    <row r="3079" spans="1:6" ht="14.25" customHeight="1" x14ac:dyDescent="0.3">
      <c r="A3079" s="73">
        <v>45079</v>
      </c>
      <c r="B3079" s="74">
        <v>62547.11</v>
      </c>
      <c r="C3079" s="74">
        <v>2859.6</v>
      </c>
      <c r="D3079" s="74">
        <f t="shared" si="97"/>
        <v>1.8974902003012141E-3</v>
      </c>
      <c r="E3079" s="74">
        <f t="shared" si="98"/>
        <v>1.157180139155802E-2</v>
      </c>
      <c r="F3079" s="75"/>
    </row>
    <row r="3080" spans="1:6" ht="14.25" customHeight="1" x14ac:dyDescent="0.3">
      <c r="A3080" s="73">
        <v>45082</v>
      </c>
      <c r="B3080" s="74">
        <v>62787.47</v>
      </c>
      <c r="C3080" s="74">
        <v>2854.8</v>
      </c>
      <c r="D3080" s="74">
        <f t="shared" si="97"/>
        <v>3.8354984659817494E-3</v>
      </c>
      <c r="E3080" s="74">
        <f t="shared" si="98"/>
        <v>-1.6799667957843017E-3</v>
      </c>
      <c r="F3080" s="75"/>
    </row>
    <row r="3081" spans="1:6" ht="14.25" customHeight="1" x14ac:dyDescent="0.3">
      <c r="A3081" s="73">
        <v>45083</v>
      </c>
      <c r="B3081" s="74">
        <v>62792.88</v>
      </c>
      <c r="C3081" s="74">
        <v>2881.15</v>
      </c>
      <c r="D3081" s="74">
        <f t="shared" si="97"/>
        <v>8.6159976514601697E-5</v>
      </c>
      <c r="E3081" s="74">
        <f t="shared" si="98"/>
        <v>9.1877318873874684E-3</v>
      </c>
      <c r="F3081" s="75"/>
    </row>
    <row r="3082" spans="1:6" ht="14.25" customHeight="1" x14ac:dyDescent="0.3">
      <c r="A3082" s="73">
        <v>45084</v>
      </c>
      <c r="B3082" s="74">
        <v>63142.96</v>
      </c>
      <c r="C3082" s="74">
        <v>2904.65</v>
      </c>
      <c r="D3082" s="74">
        <f t="shared" si="97"/>
        <v>5.5596707298809379E-3</v>
      </c>
      <c r="E3082" s="74">
        <f t="shared" si="98"/>
        <v>8.123381115470403E-3</v>
      </c>
      <c r="F3082" s="75"/>
    </row>
    <row r="3083" spans="1:6" ht="14.25" customHeight="1" x14ac:dyDescent="0.3">
      <c r="A3083" s="73">
        <v>45085</v>
      </c>
      <c r="B3083" s="74">
        <v>62848.639999999999</v>
      </c>
      <c r="C3083" s="74">
        <v>2876.8</v>
      </c>
      <c r="D3083" s="74">
        <f t="shared" si="97"/>
        <v>-4.672066000793812E-3</v>
      </c>
      <c r="E3083" s="74">
        <f t="shared" si="98"/>
        <v>-9.6343358224691613E-3</v>
      </c>
      <c r="F3083" s="75"/>
    </row>
    <row r="3084" spans="1:6" ht="14.25" customHeight="1" x14ac:dyDescent="0.3">
      <c r="A3084" s="73">
        <v>45086</v>
      </c>
      <c r="B3084" s="74">
        <v>62625.63</v>
      </c>
      <c r="C3084" s="74">
        <v>2876.85</v>
      </c>
      <c r="D3084" s="74">
        <f t="shared" si="97"/>
        <v>-3.554676744872096E-3</v>
      </c>
      <c r="E3084" s="74">
        <f t="shared" si="98"/>
        <v>1.7380271653929833E-5</v>
      </c>
      <c r="F3084" s="75"/>
    </row>
    <row r="3085" spans="1:6" ht="14.25" customHeight="1" x14ac:dyDescent="0.3">
      <c r="A3085" s="73">
        <v>45089</v>
      </c>
      <c r="B3085" s="74">
        <v>62724.71</v>
      </c>
      <c r="C3085" s="74">
        <v>2853.2</v>
      </c>
      <c r="D3085" s="74">
        <f t="shared" si="97"/>
        <v>1.5808496512114438E-3</v>
      </c>
      <c r="E3085" s="74">
        <f t="shared" si="98"/>
        <v>-8.2547741450722089E-3</v>
      </c>
      <c r="F3085" s="75"/>
    </row>
    <row r="3086" spans="1:6" ht="14.25" customHeight="1" x14ac:dyDescent="0.3">
      <c r="A3086" s="73">
        <v>45090</v>
      </c>
      <c r="B3086" s="74">
        <v>63143.16</v>
      </c>
      <c r="C3086" s="74">
        <v>2912.4</v>
      </c>
      <c r="D3086" s="74">
        <f t="shared" si="97"/>
        <v>6.6490605050932546E-3</v>
      </c>
      <c r="E3086" s="74">
        <f t="shared" si="98"/>
        <v>2.0536312116673061E-2</v>
      </c>
      <c r="F3086" s="75"/>
    </row>
    <row r="3087" spans="1:6" ht="14.25" customHeight="1" x14ac:dyDescent="0.3">
      <c r="A3087" s="73">
        <v>45091</v>
      </c>
      <c r="B3087" s="74">
        <v>63228.51</v>
      </c>
      <c r="C3087" s="74">
        <v>2905.25</v>
      </c>
      <c r="D3087" s="74">
        <f t="shared" si="97"/>
        <v>1.3507776383340519E-3</v>
      </c>
      <c r="E3087" s="74">
        <f t="shared" si="98"/>
        <v>-2.4580384175729268E-3</v>
      </c>
      <c r="F3087" s="75"/>
    </row>
    <row r="3088" spans="1:6" ht="14.25" customHeight="1" x14ac:dyDescent="0.3">
      <c r="A3088" s="73">
        <v>45092</v>
      </c>
      <c r="B3088" s="74">
        <v>62917.63</v>
      </c>
      <c r="C3088" s="74">
        <v>2905.6</v>
      </c>
      <c r="D3088" s="74">
        <f t="shared" si="97"/>
        <v>-4.9288964272205275E-3</v>
      </c>
      <c r="E3088" s="74">
        <f t="shared" si="98"/>
        <v>1.2046430399100589E-4</v>
      </c>
      <c r="F3088" s="75"/>
    </row>
    <row r="3089" spans="1:6" ht="14.25" customHeight="1" x14ac:dyDescent="0.3">
      <c r="A3089" s="73">
        <v>45093</v>
      </c>
      <c r="B3089" s="74">
        <v>63384.58</v>
      </c>
      <c r="C3089" s="74">
        <v>2954.15</v>
      </c>
      <c r="D3089" s="74">
        <f t="shared" si="97"/>
        <v>7.394203593265568E-3</v>
      </c>
      <c r="E3089" s="74">
        <f t="shared" si="98"/>
        <v>1.6571052000442312E-2</v>
      </c>
      <c r="F3089" s="75"/>
    </row>
    <row r="3090" spans="1:6" ht="14.25" customHeight="1" x14ac:dyDescent="0.3">
      <c r="A3090" s="73">
        <v>45096</v>
      </c>
      <c r="B3090" s="74">
        <v>63168.3</v>
      </c>
      <c r="C3090" s="74">
        <v>2969.55</v>
      </c>
      <c r="D3090" s="74">
        <f t="shared" si="97"/>
        <v>-3.41802115549155E-3</v>
      </c>
      <c r="E3090" s="74">
        <f t="shared" si="98"/>
        <v>5.1994647582336035E-3</v>
      </c>
      <c r="F3090" s="75"/>
    </row>
    <row r="3091" spans="1:6" ht="14.25" customHeight="1" x14ac:dyDescent="0.3">
      <c r="A3091" s="73">
        <v>45097</v>
      </c>
      <c r="B3091" s="74">
        <v>63327.7</v>
      </c>
      <c r="C3091" s="74">
        <v>2968.8</v>
      </c>
      <c r="D3091" s="74">
        <f t="shared" si="97"/>
        <v>2.5202391280431048E-3</v>
      </c>
      <c r="E3091" s="74">
        <f t="shared" si="98"/>
        <v>-2.5259541926221353E-4</v>
      </c>
      <c r="F3091" s="75"/>
    </row>
    <row r="3092" spans="1:6" ht="14.25" customHeight="1" x14ac:dyDescent="0.3">
      <c r="A3092" s="73">
        <v>45098</v>
      </c>
      <c r="B3092" s="74">
        <v>63523.15</v>
      </c>
      <c r="C3092" s="74">
        <v>2969.75</v>
      </c>
      <c r="D3092" s="74">
        <f t="shared" si="97"/>
        <v>3.0815742215002549E-3</v>
      </c>
      <c r="E3092" s="74">
        <f t="shared" si="98"/>
        <v>3.199434232610183E-4</v>
      </c>
      <c r="F3092" s="75"/>
    </row>
    <row r="3093" spans="1:6" ht="14.25" customHeight="1" x14ac:dyDescent="0.3">
      <c r="A3093" s="73">
        <v>45099</v>
      </c>
      <c r="B3093" s="74">
        <v>63238.89</v>
      </c>
      <c r="C3093" s="74">
        <v>2968.55</v>
      </c>
      <c r="D3093" s="74">
        <f t="shared" si="97"/>
        <v>-4.484946384337195E-3</v>
      </c>
      <c r="E3093" s="74">
        <f t="shared" si="98"/>
        <v>-4.0415607710420266E-4</v>
      </c>
      <c r="F3093" s="75"/>
    </row>
    <row r="3094" spans="1:6" ht="14.25" customHeight="1" x14ac:dyDescent="0.3">
      <c r="A3094" s="73">
        <v>45100</v>
      </c>
      <c r="B3094" s="74">
        <v>62979.37</v>
      </c>
      <c r="C3094" s="74">
        <v>2939.15</v>
      </c>
      <c r="D3094" s="74">
        <f t="shared" si="97"/>
        <v>-4.1122475578314879E-3</v>
      </c>
      <c r="E3094" s="74">
        <f t="shared" si="98"/>
        <v>-9.9531942080617018E-3</v>
      </c>
      <c r="F3094" s="75"/>
    </row>
    <row r="3095" spans="1:6" ht="14.25" customHeight="1" x14ac:dyDescent="0.3">
      <c r="A3095" s="73">
        <v>45103</v>
      </c>
      <c r="B3095" s="74">
        <v>62970</v>
      </c>
      <c r="C3095" s="74">
        <v>2972.55</v>
      </c>
      <c r="D3095" s="74">
        <f t="shared" si="97"/>
        <v>-1.4878994658388799E-4</v>
      </c>
      <c r="E3095" s="74">
        <f t="shared" si="98"/>
        <v>1.129974639684863E-2</v>
      </c>
      <c r="F3095" s="75"/>
    </row>
    <row r="3096" spans="1:6" ht="14.25" customHeight="1" x14ac:dyDescent="0.3">
      <c r="A3096" s="73">
        <v>45104</v>
      </c>
      <c r="B3096" s="74">
        <v>63416.03</v>
      </c>
      <c r="C3096" s="74">
        <v>2976.2</v>
      </c>
      <c r="D3096" s="74">
        <f t="shared" si="97"/>
        <v>7.0582461008253687E-3</v>
      </c>
      <c r="E3096" s="74">
        <f t="shared" si="98"/>
        <v>1.227148714618202E-3</v>
      </c>
      <c r="F3096" s="75"/>
    </row>
    <row r="3097" spans="1:6" ht="14.25" customHeight="1" x14ac:dyDescent="0.3">
      <c r="A3097" s="73">
        <v>45105</v>
      </c>
      <c r="B3097" s="74">
        <v>63915.42</v>
      </c>
      <c r="C3097" s="74">
        <v>3024.95</v>
      </c>
      <c r="D3097" s="74">
        <f t="shared" si="97"/>
        <v>7.8439782243291886E-3</v>
      </c>
      <c r="E3097" s="74">
        <f t="shared" si="98"/>
        <v>1.6247243406767916E-2</v>
      </c>
      <c r="F3097" s="75"/>
    </row>
    <row r="3098" spans="1:6" ht="14.25" customHeight="1" x14ac:dyDescent="0.3">
      <c r="A3098" s="73">
        <v>45107</v>
      </c>
      <c r="B3098" s="74">
        <v>64718.559999999998</v>
      </c>
      <c r="C3098" s="74">
        <v>3048.6</v>
      </c>
      <c r="D3098" s="74">
        <f t="shared" si="97"/>
        <v>1.2487375985925612E-2</v>
      </c>
      <c r="E3098" s="74">
        <f t="shared" si="98"/>
        <v>7.7879064250234043E-3</v>
      </c>
      <c r="F3098" s="75"/>
    </row>
    <row r="3099" spans="1:6" ht="14.25" customHeight="1" x14ac:dyDescent="0.3">
      <c r="A3099" s="73">
        <v>45110</v>
      </c>
      <c r="B3099" s="74">
        <v>65205.05</v>
      </c>
      <c r="C3099" s="74">
        <v>3037.85</v>
      </c>
      <c r="D3099" s="74">
        <f t="shared" si="97"/>
        <v>7.4888971092005371E-3</v>
      </c>
      <c r="E3099" s="74">
        <f t="shared" si="98"/>
        <v>-3.5324404795332382E-3</v>
      </c>
      <c r="F3099" s="75"/>
    </row>
    <row r="3100" spans="1:6" ht="14.25" customHeight="1" x14ac:dyDescent="0.3">
      <c r="A3100" s="73">
        <v>45111</v>
      </c>
      <c r="B3100" s="74">
        <v>65479.05</v>
      </c>
      <c r="C3100" s="74">
        <v>3074.6</v>
      </c>
      <c r="D3100" s="74">
        <f t="shared" si="97"/>
        <v>4.1933242299635404E-3</v>
      </c>
      <c r="E3100" s="74">
        <f t="shared" si="98"/>
        <v>1.2024783130291027E-2</v>
      </c>
      <c r="F3100" s="75"/>
    </row>
    <row r="3101" spans="1:6" ht="14.25" customHeight="1" x14ac:dyDescent="0.3">
      <c r="A3101" s="73">
        <v>45112</v>
      </c>
      <c r="B3101" s="74">
        <v>65446.04</v>
      </c>
      <c r="C3101" s="74">
        <v>3100.05</v>
      </c>
      <c r="D3101" s="74">
        <f t="shared" si="97"/>
        <v>-5.0425782712039109E-4</v>
      </c>
      <c r="E3101" s="74">
        <f t="shared" si="98"/>
        <v>8.2434288969252777E-3</v>
      </c>
      <c r="F3101" s="75"/>
    </row>
    <row r="3102" spans="1:6" ht="14.25" customHeight="1" x14ac:dyDescent="0.3">
      <c r="A3102" s="73">
        <v>45113</v>
      </c>
      <c r="B3102" s="74">
        <v>65785.64</v>
      </c>
      <c r="C3102" s="74">
        <v>3105.7</v>
      </c>
      <c r="D3102" s="74">
        <f t="shared" si="97"/>
        <v>5.1755911082521965E-3</v>
      </c>
      <c r="E3102" s="74">
        <f t="shared" si="98"/>
        <v>1.8208924178761371E-3</v>
      </c>
      <c r="F3102" s="75"/>
    </row>
    <row r="3103" spans="1:6" ht="14.25" customHeight="1" x14ac:dyDescent="0.3">
      <c r="A3103" s="73">
        <v>45114</v>
      </c>
      <c r="B3103" s="74">
        <v>65280.45</v>
      </c>
      <c r="C3103" s="74">
        <v>3144.75</v>
      </c>
      <c r="D3103" s="74">
        <f t="shared" si="97"/>
        <v>-7.7089734175821425E-3</v>
      </c>
      <c r="E3103" s="74">
        <f t="shared" si="98"/>
        <v>1.2495262925681308E-2</v>
      </c>
      <c r="F3103" s="75"/>
    </row>
    <row r="3104" spans="1:6" ht="14.25" customHeight="1" x14ac:dyDescent="0.3">
      <c r="A3104" s="73">
        <v>45117</v>
      </c>
      <c r="B3104" s="74">
        <v>65344.17</v>
      </c>
      <c r="C3104" s="74">
        <v>3044.1</v>
      </c>
      <c r="D3104" s="74">
        <f t="shared" si="97"/>
        <v>9.7562014043352024E-4</v>
      </c>
      <c r="E3104" s="74">
        <f t="shared" si="98"/>
        <v>-3.2529104765834836E-2</v>
      </c>
      <c r="F3104" s="75"/>
    </row>
    <row r="3105" spans="1:6" ht="14.25" customHeight="1" x14ac:dyDescent="0.3">
      <c r="A3105" s="73">
        <v>45118</v>
      </c>
      <c r="B3105" s="74">
        <v>65617.84</v>
      </c>
      <c r="C3105" s="74">
        <v>3088.35</v>
      </c>
      <c r="D3105" s="74">
        <f t="shared" si="97"/>
        <v>4.1793860426467362E-3</v>
      </c>
      <c r="E3105" s="74">
        <f t="shared" si="98"/>
        <v>1.4431676737716103E-2</v>
      </c>
      <c r="F3105" s="75"/>
    </row>
    <row r="3106" spans="1:6" ht="14.25" customHeight="1" x14ac:dyDescent="0.3">
      <c r="A3106" s="73">
        <v>45119</v>
      </c>
      <c r="B3106" s="74">
        <v>65393.9</v>
      </c>
      <c r="C3106" s="74">
        <v>3095.45</v>
      </c>
      <c r="D3106" s="74">
        <f t="shared" si="97"/>
        <v>-3.418628255745806E-3</v>
      </c>
      <c r="E3106" s="74">
        <f t="shared" si="98"/>
        <v>2.2963236585654403E-3</v>
      </c>
      <c r="F3106" s="75"/>
    </row>
    <row r="3107" spans="1:6" ht="14.25" customHeight="1" x14ac:dyDescent="0.3">
      <c r="A3107" s="73">
        <v>45120</v>
      </c>
      <c r="B3107" s="74">
        <v>65558.89</v>
      </c>
      <c r="C3107" s="74">
        <v>3085.35</v>
      </c>
      <c r="D3107" s="74">
        <f t="shared" si="97"/>
        <v>2.5198407349955698E-3</v>
      </c>
      <c r="E3107" s="74">
        <f t="shared" si="98"/>
        <v>-3.2681882571465519E-3</v>
      </c>
      <c r="F3107" s="75"/>
    </row>
    <row r="3108" spans="1:6" ht="14.25" customHeight="1" x14ac:dyDescent="0.3">
      <c r="A3108" s="73">
        <v>45121</v>
      </c>
      <c r="B3108" s="74">
        <v>66060.899999999994</v>
      </c>
      <c r="C3108" s="74">
        <v>3055.4</v>
      </c>
      <c r="D3108" s="74">
        <f t="shared" si="97"/>
        <v>7.6282211712641818E-3</v>
      </c>
      <c r="E3108" s="74">
        <f t="shared" si="98"/>
        <v>-9.7545861606593964E-3</v>
      </c>
      <c r="F3108" s="75"/>
    </row>
    <row r="3109" spans="1:6" ht="14.25" customHeight="1" x14ac:dyDescent="0.3">
      <c r="A3109" s="73">
        <v>45124</v>
      </c>
      <c r="B3109" s="74">
        <v>66589.929999999993</v>
      </c>
      <c r="C3109" s="74">
        <v>3034</v>
      </c>
      <c r="D3109" s="74">
        <f t="shared" si="97"/>
        <v>7.9763210650486416E-3</v>
      </c>
      <c r="E3109" s="74">
        <f t="shared" si="98"/>
        <v>-7.0286360231448953E-3</v>
      </c>
      <c r="F3109" s="75"/>
    </row>
    <row r="3110" spans="1:6" ht="14.25" customHeight="1" x14ac:dyDescent="0.3">
      <c r="A3110" s="73">
        <v>45125</v>
      </c>
      <c r="B3110" s="74">
        <v>66795.14</v>
      </c>
      <c r="C3110" s="74">
        <v>2995.15</v>
      </c>
      <c r="D3110" s="74">
        <f t="shared" si="97"/>
        <v>3.0769584917575447E-3</v>
      </c>
      <c r="E3110" s="74">
        <f t="shared" si="98"/>
        <v>-1.2887567140608989E-2</v>
      </c>
      <c r="F3110" s="75"/>
    </row>
    <row r="3111" spans="1:6" ht="14.25" customHeight="1" x14ac:dyDescent="0.3">
      <c r="A3111" s="73">
        <v>45126</v>
      </c>
      <c r="B3111" s="74">
        <v>67097.440000000002</v>
      </c>
      <c r="C3111" s="74">
        <v>2996.45</v>
      </c>
      <c r="D3111" s="74">
        <f t="shared" si="97"/>
        <v>4.5155678330613533E-3</v>
      </c>
      <c r="E3111" s="74">
        <f t="shared" si="98"/>
        <v>4.3394085733349148E-4</v>
      </c>
      <c r="F3111" s="75"/>
    </row>
    <row r="3112" spans="1:6" ht="14.25" customHeight="1" x14ac:dyDescent="0.3">
      <c r="A3112" s="73">
        <v>45127</v>
      </c>
      <c r="B3112" s="74">
        <v>67571.899999999994</v>
      </c>
      <c r="C3112" s="74">
        <v>2988.35</v>
      </c>
      <c r="D3112" s="74">
        <f t="shared" si="97"/>
        <v>7.0463249185610975E-3</v>
      </c>
      <c r="E3112" s="74">
        <f t="shared" si="98"/>
        <v>-2.706859024790224E-3</v>
      </c>
      <c r="F3112" s="75"/>
    </row>
    <row r="3113" spans="1:6" ht="14.25" customHeight="1" x14ac:dyDescent="0.3">
      <c r="A3113" s="73">
        <v>45128</v>
      </c>
      <c r="B3113" s="74">
        <v>66684.259999999995</v>
      </c>
      <c r="C3113" s="74">
        <v>2975.8</v>
      </c>
      <c r="D3113" s="74">
        <f t="shared" si="97"/>
        <v>-1.3223273092021287E-2</v>
      </c>
      <c r="E3113" s="74">
        <f t="shared" si="98"/>
        <v>-4.2084852068148063E-3</v>
      </c>
      <c r="F3113" s="75"/>
    </row>
    <row r="3114" spans="1:6" ht="14.25" customHeight="1" x14ac:dyDescent="0.3">
      <c r="A3114" s="73">
        <v>45131</v>
      </c>
      <c r="B3114" s="74">
        <v>66384.78</v>
      </c>
      <c r="C3114" s="74">
        <v>2978.85</v>
      </c>
      <c r="D3114" s="74">
        <f t="shared" si="97"/>
        <v>-4.501129723729947E-3</v>
      </c>
      <c r="E3114" s="74">
        <f t="shared" si="98"/>
        <v>1.0244095846863252E-3</v>
      </c>
      <c r="F3114" s="75"/>
    </row>
    <row r="3115" spans="1:6" ht="14.25" customHeight="1" x14ac:dyDescent="0.3">
      <c r="A3115" s="73">
        <v>45132</v>
      </c>
      <c r="B3115" s="74">
        <v>66355.710000000006</v>
      </c>
      <c r="C3115" s="74">
        <v>3029.45</v>
      </c>
      <c r="D3115" s="74">
        <f t="shared" si="97"/>
        <v>-4.3799748614348709E-4</v>
      </c>
      <c r="E3115" s="74">
        <f t="shared" si="98"/>
        <v>1.6843764896902723E-2</v>
      </c>
      <c r="F3115" s="75"/>
    </row>
    <row r="3116" spans="1:6" ht="14.25" customHeight="1" x14ac:dyDescent="0.3">
      <c r="A3116" s="73">
        <v>45133</v>
      </c>
      <c r="B3116" s="74">
        <v>66707.199999999997</v>
      </c>
      <c r="C3116" s="74">
        <v>3008.5</v>
      </c>
      <c r="D3116" s="74">
        <f t="shared" si="97"/>
        <v>5.2830772682378535E-3</v>
      </c>
      <c r="E3116" s="74">
        <f t="shared" si="98"/>
        <v>-6.9394692147795624E-3</v>
      </c>
      <c r="F3116" s="75"/>
    </row>
    <row r="3117" spans="1:6" ht="14.25" customHeight="1" x14ac:dyDescent="0.3">
      <c r="A3117" s="73">
        <v>45134</v>
      </c>
      <c r="B3117" s="74">
        <v>66266.820000000007</v>
      </c>
      <c r="C3117" s="74">
        <v>3000.65</v>
      </c>
      <c r="D3117" s="74">
        <f t="shared" si="97"/>
        <v>-6.6235736878245566E-3</v>
      </c>
      <c r="E3117" s="74">
        <f t="shared" si="98"/>
        <v>-2.612683812325386E-3</v>
      </c>
      <c r="F3117" s="75"/>
    </row>
    <row r="3118" spans="1:6" ht="14.25" customHeight="1" x14ac:dyDescent="0.3">
      <c r="A3118" s="73">
        <v>45135</v>
      </c>
      <c r="B3118" s="74">
        <v>66160.2</v>
      </c>
      <c r="C3118" s="74">
        <v>2988.2</v>
      </c>
      <c r="D3118" s="74">
        <f t="shared" si="97"/>
        <v>-1.6102457495132006E-3</v>
      </c>
      <c r="E3118" s="74">
        <f t="shared" si="98"/>
        <v>-4.1577324310966626E-3</v>
      </c>
      <c r="F3118" s="75"/>
    </row>
    <row r="3119" spans="1:6" ht="14.25" customHeight="1" x14ac:dyDescent="0.3">
      <c r="A3119" s="73">
        <v>45138</v>
      </c>
      <c r="B3119" s="74">
        <v>66527.67</v>
      </c>
      <c r="C3119" s="74">
        <v>3005.8</v>
      </c>
      <c r="D3119" s="74">
        <f t="shared" si="97"/>
        <v>5.5388776603659349E-3</v>
      </c>
      <c r="E3119" s="74">
        <f t="shared" si="98"/>
        <v>5.8725560830095325E-3</v>
      </c>
      <c r="F3119" s="75"/>
    </row>
    <row r="3120" spans="1:6" ht="14.25" customHeight="1" x14ac:dyDescent="0.3">
      <c r="A3120" s="73">
        <v>45139</v>
      </c>
      <c r="B3120" s="74">
        <v>66459.31</v>
      </c>
      <c r="C3120" s="74">
        <v>3001.1</v>
      </c>
      <c r="D3120" s="74">
        <f t="shared" si="97"/>
        <v>-1.0280706580595214E-3</v>
      </c>
      <c r="E3120" s="74">
        <f t="shared" si="98"/>
        <v>-1.5648673888753303E-3</v>
      </c>
      <c r="F3120" s="75"/>
    </row>
    <row r="3121" spans="1:6" ht="14.25" customHeight="1" x14ac:dyDescent="0.3">
      <c r="A3121" s="73">
        <v>45140</v>
      </c>
      <c r="B3121" s="74">
        <v>65782.78</v>
      </c>
      <c r="C3121" s="74">
        <v>2978.45</v>
      </c>
      <c r="D3121" s="74">
        <f t="shared" si="97"/>
        <v>-1.0231778734145708E-2</v>
      </c>
      <c r="E3121" s="74">
        <f t="shared" si="98"/>
        <v>-7.5758571565881505E-3</v>
      </c>
      <c r="F3121" s="75"/>
    </row>
    <row r="3122" spans="1:6" ht="14.25" customHeight="1" x14ac:dyDescent="0.3">
      <c r="A3122" s="73">
        <v>45141</v>
      </c>
      <c r="B3122" s="74">
        <v>65240.68</v>
      </c>
      <c r="C3122" s="74">
        <v>2902.3</v>
      </c>
      <c r="D3122" s="74">
        <f t="shared" si="97"/>
        <v>-8.2749012017995192E-3</v>
      </c>
      <c r="E3122" s="74">
        <f t="shared" si="98"/>
        <v>-2.5899504872037061E-2</v>
      </c>
      <c r="F3122" s="75"/>
    </row>
    <row r="3123" spans="1:6" ht="14.25" customHeight="1" x14ac:dyDescent="0.3">
      <c r="A3123" s="73">
        <v>45142</v>
      </c>
      <c r="B3123" s="74">
        <v>65721.25</v>
      </c>
      <c r="C3123" s="74">
        <v>2903.6</v>
      </c>
      <c r="D3123" s="74">
        <f t="shared" si="97"/>
        <v>7.3391123215627001E-3</v>
      </c>
      <c r="E3123" s="74">
        <f t="shared" si="98"/>
        <v>4.4782032819207121E-4</v>
      </c>
      <c r="F3123" s="75"/>
    </row>
    <row r="3124" spans="1:6" ht="14.25" customHeight="1" x14ac:dyDescent="0.3">
      <c r="A3124" s="73">
        <v>45145</v>
      </c>
      <c r="B3124" s="74">
        <v>65953.48</v>
      </c>
      <c r="C3124" s="74">
        <v>2904.95</v>
      </c>
      <c r="D3124" s="74">
        <f t="shared" si="97"/>
        <v>3.5273319456986677E-3</v>
      </c>
      <c r="E3124" s="74">
        <f t="shared" si="98"/>
        <v>4.6483202324420624E-4</v>
      </c>
      <c r="F3124" s="75"/>
    </row>
    <row r="3125" spans="1:6" ht="14.25" customHeight="1" x14ac:dyDescent="0.3">
      <c r="A3125" s="73">
        <v>45146</v>
      </c>
      <c r="B3125" s="74">
        <v>65846.5</v>
      </c>
      <c r="C3125" s="74">
        <v>2920.8</v>
      </c>
      <c r="D3125" s="74">
        <f t="shared" si="97"/>
        <v>-1.6233693433632197E-3</v>
      </c>
      <c r="E3125" s="74">
        <f t="shared" si="98"/>
        <v>5.4413729074974694E-3</v>
      </c>
      <c r="F3125" s="75"/>
    </row>
    <row r="3126" spans="1:6" ht="14.25" customHeight="1" x14ac:dyDescent="0.3">
      <c r="A3126" s="73">
        <v>45147</v>
      </c>
      <c r="B3126" s="74">
        <v>65995.81</v>
      </c>
      <c r="C3126" s="74">
        <v>2955.4</v>
      </c>
      <c r="D3126" s="74">
        <f t="shared" si="97"/>
        <v>2.264979486959238E-3</v>
      </c>
      <c r="E3126" s="74">
        <f t="shared" si="98"/>
        <v>1.1776454128106295E-2</v>
      </c>
      <c r="F3126" s="75"/>
    </row>
    <row r="3127" spans="1:6" ht="14.25" customHeight="1" x14ac:dyDescent="0.3">
      <c r="A3127" s="73">
        <v>45148</v>
      </c>
      <c r="B3127" s="74">
        <v>65688.179999999993</v>
      </c>
      <c r="C3127" s="74">
        <v>2989.6</v>
      </c>
      <c r="D3127" s="74">
        <f t="shared" si="97"/>
        <v>-4.6722545334338872E-3</v>
      </c>
      <c r="E3127" s="74">
        <f t="shared" si="98"/>
        <v>1.1505593701740553E-2</v>
      </c>
      <c r="F3127" s="75"/>
    </row>
    <row r="3128" spans="1:6" ht="14.25" customHeight="1" x14ac:dyDescent="0.3">
      <c r="A3128" s="73">
        <v>45149</v>
      </c>
      <c r="B3128" s="74">
        <v>65322.65</v>
      </c>
      <c r="C3128" s="74">
        <v>3015.85</v>
      </c>
      <c r="D3128" s="74">
        <f t="shared" si="97"/>
        <v>-5.5801638459338021E-3</v>
      </c>
      <c r="E3128" s="74">
        <f t="shared" si="98"/>
        <v>8.7421149717484426E-3</v>
      </c>
      <c r="F3128" s="75"/>
    </row>
    <row r="3129" spans="1:6" ht="14.25" customHeight="1" x14ac:dyDescent="0.3">
      <c r="A3129" s="73">
        <v>45152</v>
      </c>
      <c r="B3129" s="74">
        <v>65401.919999999998</v>
      </c>
      <c r="C3129" s="74">
        <v>3009.75</v>
      </c>
      <c r="D3129" s="74">
        <f t="shared" si="97"/>
        <v>1.2127790470616428E-3</v>
      </c>
      <c r="E3129" s="74">
        <f t="shared" si="98"/>
        <v>-2.0246953278866562E-3</v>
      </c>
      <c r="F3129" s="75"/>
    </row>
    <row r="3130" spans="1:6" ht="14.25" customHeight="1" x14ac:dyDescent="0.3">
      <c r="A3130" s="73">
        <v>45154</v>
      </c>
      <c r="B3130" s="74">
        <v>65539.42</v>
      </c>
      <c r="C3130" s="74">
        <v>3009.35</v>
      </c>
      <c r="D3130" s="74">
        <f t="shared" si="97"/>
        <v>2.1001778436024088E-3</v>
      </c>
      <c r="E3130" s="74">
        <f t="shared" si="98"/>
        <v>-1.3291023594520044E-4</v>
      </c>
      <c r="F3130" s="75"/>
    </row>
    <row r="3131" spans="1:6" ht="14.25" customHeight="1" x14ac:dyDescent="0.3">
      <c r="A3131" s="73">
        <v>45155</v>
      </c>
      <c r="B3131" s="74">
        <v>65151.02</v>
      </c>
      <c r="C3131" s="74">
        <v>3072.4</v>
      </c>
      <c r="D3131" s="74">
        <f t="shared" si="97"/>
        <v>-5.9438340476407952E-3</v>
      </c>
      <c r="E3131" s="74">
        <f t="shared" si="98"/>
        <v>2.073490654533643E-2</v>
      </c>
      <c r="F3131" s="75"/>
    </row>
    <row r="3132" spans="1:6" ht="14.25" customHeight="1" x14ac:dyDescent="0.3">
      <c r="A3132" s="73">
        <v>45156</v>
      </c>
      <c r="B3132" s="74">
        <v>64948.66</v>
      </c>
      <c r="C3132" s="74">
        <v>3049.15</v>
      </c>
      <c r="D3132" s="74">
        <f t="shared" si="97"/>
        <v>-3.1108479773780647E-3</v>
      </c>
      <c r="E3132" s="74">
        <f t="shared" si="98"/>
        <v>-7.5961518885230752E-3</v>
      </c>
      <c r="F3132" s="75"/>
    </row>
    <row r="3133" spans="1:6" ht="14.25" customHeight="1" x14ac:dyDescent="0.3">
      <c r="A3133" s="73">
        <v>45159</v>
      </c>
      <c r="B3133" s="74">
        <v>65216.09</v>
      </c>
      <c r="C3133" s="74">
        <v>3078.6</v>
      </c>
      <c r="D3133" s="74">
        <f t="shared" si="97"/>
        <v>4.1091059797780096E-3</v>
      </c>
      <c r="E3133" s="74">
        <f t="shared" si="98"/>
        <v>9.6120849399702404E-3</v>
      </c>
      <c r="F3133" s="75"/>
    </row>
    <row r="3134" spans="1:6" ht="14.25" customHeight="1" x14ac:dyDescent="0.3">
      <c r="A3134" s="73">
        <v>45160</v>
      </c>
      <c r="B3134" s="74">
        <v>65220.03</v>
      </c>
      <c r="C3134" s="74">
        <v>3075.1</v>
      </c>
      <c r="D3134" s="74">
        <f t="shared" si="97"/>
        <v>6.0412713920037044E-5</v>
      </c>
      <c r="E3134" s="74">
        <f t="shared" si="98"/>
        <v>-1.1375271389269229E-3</v>
      </c>
      <c r="F3134" s="75"/>
    </row>
    <row r="3135" spans="1:6" ht="14.25" customHeight="1" x14ac:dyDescent="0.3">
      <c r="A3135" s="73">
        <v>45161</v>
      </c>
      <c r="B3135" s="74">
        <v>65433.3</v>
      </c>
      <c r="C3135" s="74">
        <v>3068</v>
      </c>
      <c r="D3135" s="74">
        <f t="shared" si="97"/>
        <v>3.2646728471575842E-3</v>
      </c>
      <c r="E3135" s="74">
        <f t="shared" si="98"/>
        <v>-2.3115375499003659E-3</v>
      </c>
      <c r="F3135" s="75"/>
    </row>
    <row r="3136" spans="1:6" ht="14.25" customHeight="1" x14ac:dyDescent="0.3">
      <c r="A3136" s="73">
        <v>45162</v>
      </c>
      <c r="B3136" s="74">
        <v>65252.34</v>
      </c>
      <c r="C3136" s="74">
        <v>3059.5</v>
      </c>
      <c r="D3136" s="74">
        <f t="shared" si="97"/>
        <v>-2.76939556108588E-3</v>
      </c>
      <c r="E3136" s="74">
        <f t="shared" si="98"/>
        <v>-2.7743795845516276E-3</v>
      </c>
      <c r="F3136" s="75"/>
    </row>
    <row r="3137" spans="1:6" ht="14.25" customHeight="1" x14ac:dyDescent="0.3">
      <c r="A3137" s="73">
        <v>45163</v>
      </c>
      <c r="B3137" s="74">
        <v>64886.51</v>
      </c>
      <c r="C3137" s="74">
        <v>3066.25</v>
      </c>
      <c r="D3137" s="74">
        <f t="shared" si="97"/>
        <v>-5.6221637676654437E-3</v>
      </c>
      <c r="E3137" s="74">
        <f t="shared" si="98"/>
        <v>2.203812670103751E-3</v>
      </c>
      <c r="F3137" s="75"/>
    </row>
    <row r="3138" spans="1:6" ht="14.25" customHeight="1" x14ac:dyDescent="0.3">
      <c r="A3138" s="73">
        <v>45166</v>
      </c>
      <c r="B3138" s="74">
        <v>64996.6</v>
      </c>
      <c r="C3138" s="74">
        <v>3049.3</v>
      </c>
      <c r="D3138" s="74">
        <f t="shared" si="97"/>
        <v>1.6952169741600441E-3</v>
      </c>
      <c r="E3138" s="74">
        <f t="shared" si="98"/>
        <v>-5.5432605089996093E-3</v>
      </c>
      <c r="F3138" s="75"/>
    </row>
    <row r="3139" spans="1:6" ht="14.25" customHeight="1" x14ac:dyDescent="0.3">
      <c r="A3139" s="73">
        <v>45167</v>
      </c>
      <c r="B3139" s="74">
        <v>65075.82</v>
      </c>
      <c r="C3139" s="74">
        <v>3079</v>
      </c>
      <c r="D3139" s="74">
        <f t="shared" si="97"/>
        <v>1.2180908111833076E-3</v>
      </c>
      <c r="E3139" s="74">
        <f t="shared" si="98"/>
        <v>9.6928128608009621E-3</v>
      </c>
      <c r="F3139" s="75"/>
    </row>
    <row r="3140" spans="1:6" ht="14.25" customHeight="1" x14ac:dyDescent="0.3">
      <c r="A3140" s="73">
        <v>45168</v>
      </c>
      <c r="B3140" s="74">
        <v>65087.25</v>
      </c>
      <c r="C3140" s="74">
        <v>3078.35</v>
      </c>
      <c r="D3140" s="74">
        <f t="shared" ref="D3140:D3203" si="99">LN(B3140/B3139)</f>
        <v>1.7562585193138601E-4</v>
      </c>
      <c r="E3140" s="74">
        <f t="shared" ref="E3140:E3203" si="100">LN(C3140/C3139)</f>
        <v>-2.1112978876130224E-4</v>
      </c>
      <c r="F3140" s="75"/>
    </row>
    <row r="3141" spans="1:6" ht="14.25" customHeight="1" x14ac:dyDescent="0.3">
      <c r="A3141" s="73">
        <v>45169</v>
      </c>
      <c r="B3141" s="74">
        <v>64831.41</v>
      </c>
      <c r="C3141" s="74">
        <v>3107.15</v>
      </c>
      <c r="D3141" s="74">
        <f t="shared" si="99"/>
        <v>-3.938469357765235E-3</v>
      </c>
      <c r="E3141" s="74">
        <f t="shared" si="100"/>
        <v>9.312168173710212E-3</v>
      </c>
      <c r="F3141" s="75"/>
    </row>
    <row r="3142" spans="1:6" ht="14.25" customHeight="1" x14ac:dyDescent="0.3">
      <c r="A3142" s="73">
        <v>45170</v>
      </c>
      <c r="B3142" s="74">
        <v>65387.16</v>
      </c>
      <c r="C3142" s="74">
        <v>3115.95</v>
      </c>
      <c r="D3142" s="74">
        <f t="shared" si="99"/>
        <v>8.5357007720284865E-3</v>
      </c>
      <c r="E3142" s="74">
        <f t="shared" si="100"/>
        <v>2.8281743393540177E-3</v>
      </c>
      <c r="F3142" s="75"/>
    </row>
    <row r="3143" spans="1:6" ht="14.25" customHeight="1" x14ac:dyDescent="0.3">
      <c r="A3143" s="73">
        <v>45173</v>
      </c>
      <c r="B3143" s="74">
        <v>65628.14</v>
      </c>
      <c r="C3143" s="74">
        <v>3099.25</v>
      </c>
      <c r="D3143" s="74">
        <f t="shared" si="99"/>
        <v>3.6786584735623478E-3</v>
      </c>
      <c r="E3143" s="74">
        <f t="shared" si="100"/>
        <v>-5.3739349305470009E-3</v>
      </c>
      <c r="F3143" s="75"/>
    </row>
    <row r="3144" spans="1:6" ht="14.25" customHeight="1" x14ac:dyDescent="0.3">
      <c r="A3144" s="73">
        <v>45174</v>
      </c>
      <c r="B3144" s="74">
        <v>65780.259999999995</v>
      </c>
      <c r="C3144" s="74">
        <v>3135.95</v>
      </c>
      <c r="D3144" s="74">
        <f t="shared" si="99"/>
        <v>2.3152259360947757E-3</v>
      </c>
      <c r="E3144" s="74">
        <f t="shared" si="100"/>
        <v>1.1772011747386176E-2</v>
      </c>
      <c r="F3144" s="75"/>
    </row>
    <row r="3145" spans="1:6" ht="14.25" customHeight="1" x14ac:dyDescent="0.3">
      <c r="A3145" s="73">
        <v>45175</v>
      </c>
      <c r="B3145" s="74">
        <v>65880.52</v>
      </c>
      <c r="C3145" s="74">
        <v>3175.25</v>
      </c>
      <c r="D3145" s="74">
        <f t="shared" si="99"/>
        <v>1.5230050950603322E-3</v>
      </c>
      <c r="E3145" s="74">
        <f t="shared" si="100"/>
        <v>1.2454210918786505E-2</v>
      </c>
      <c r="F3145" s="75"/>
    </row>
    <row r="3146" spans="1:6" ht="14.25" customHeight="1" x14ac:dyDescent="0.3">
      <c r="A3146" s="73">
        <v>45176</v>
      </c>
      <c r="B3146" s="74">
        <v>66265.56</v>
      </c>
      <c r="C3146" s="74">
        <v>3172.3</v>
      </c>
      <c r="D3146" s="74">
        <f t="shared" si="99"/>
        <v>5.8275067963771705E-3</v>
      </c>
      <c r="E3146" s="74">
        <f t="shared" si="100"/>
        <v>-9.2949254827111435E-4</v>
      </c>
      <c r="F3146" s="75"/>
    </row>
    <row r="3147" spans="1:6" ht="14.25" customHeight="1" x14ac:dyDescent="0.3">
      <c r="A3147" s="73">
        <v>45177</v>
      </c>
      <c r="B3147" s="74">
        <v>66598.91</v>
      </c>
      <c r="C3147" s="74">
        <v>3199.35</v>
      </c>
      <c r="D3147" s="74">
        <f t="shared" si="99"/>
        <v>5.0179058323399049E-3</v>
      </c>
      <c r="E3147" s="74">
        <f t="shared" si="100"/>
        <v>8.4907873189832561E-3</v>
      </c>
      <c r="F3147" s="75"/>
    </row>
    <row r="3148" spans="1:6" ht="14.25" customHeight="1" x14ac:dyDescent="0.3">
      <c r="A3148" s="73">
        <v>45180</v>
      </c>
      <c r="B3148" s="74">
        <v>67127.08</v>
      </c>
      <c r="C3148" s="74">
        <v>3213.1</v>
      </c>
      <c r="D3148" s="74">
        <f t="shared" si="99"/>
        <v>7.8993282675142284E-3</v>
      </c>
      <c r="E3148" s="74">
        <f t="shared" si="100"/>
        <v>4.2885390369248799E-3</v>
      </c>
      <c r="F3148" s="75"/>
    </row>
    <row r="3149" spans="1:6" ht="14.25" customHeight="1" x14ac:dyDescent="0.3">
      <c r="A3149" s="73">
        <v>45181</v>
      </c>
      <c r="B3149" s="74">
        <v>67221.13</v>
      </c>
      <c r="C3149" s="74">
        <v>3185.9</v>
      </c>
      <c r="D3149" s="74">
        <f t="shared" si="99"/>
        <v>1.4000933151777223E-3</v>
      </c>
      <c r="E3149" s="74">
        <f t="shared" si="100"/>
        <v>-8.5013795341870625E-3</v>
      </c>
      <c r="F3149" s="75"/>
    </row>
    <row r="3150" spans="1:6" ht="14.25" customHeight="1" x14ac:dyDescent="0.3">
      <c r="A3150" s="73">
        <v>45182</v>
      </c>
      <c r="B3150" s="74">
        <v>67466.990000000005</v>
      </c>
      <c r="C3150" s="74">
        <v>3262.85</v>
      </c>
      <c r="D3150" s="74">
        <f t="shared" si="99"/>
        <v>3.6508085950968084E-3</v>
      </c>
      <c r="E3150" s="74">
        <f t="shared" si="100"/>
        <v>2.3866222912501889E-2</v>
      </c>
      <c r="F3150" s="75"/>
    </row>
    <row r="3151" spans="1:6" ht="14.25" customHeight="1" x14ac:dyDescent="0.3">
      <c r="A3151" s="73">
        <v>45183</v>
      </c>
      <c r="B3151" s="74">
        <v>67519</v>
      </c>
      <c r="C3151" s="74">
        <v>3260.65</v>
      </c>
      <c r="D3151" s="74">
        <f t="shared" si="99"/>
        <v>7.7059852765049084E-4</v>
      </c>
      <c r="E3151" s="74">
        <f t="shared" si="100"/>
        <v>-6.7448458140674679E-4</v>
      </c>
      <c r="F3151" s="75"/>
    </row>
    <row r="3152" spans="1:6" ht="14.25" customHeight="1" x14ac:dyDescent="0.3">
      <c r="A3152" s="73">
        <v>45184</v>
      </c>
      <c r="B3152" s="74">
        <v>67838.63</v>
      </c>
      <c r="C3152" s="74">
        <v>3250.45</v>
      </c>
      <c r="D3152" s="74">
        <f t="shared" si="99"/>
        <v>4.7227569527767731E-3</v>
      </c>
      <c r="E3152" s="74">
        <f t="shared" si="100"/>
        <v>-3.1331137116433001E-3</v>
      </c>
      <c r="F3152" s="75"/>
    </row>
    <row r="3153" spans="1:6" ht="14.25" customHeight="1" x14ac:dyDescent="0.3">
      <c r="A3153" s="73">
        <v>45187</v>
      </c>
      <c r="B3153" s="74">
        <v>67596.84</v>
      </c>
      <c r="C3153" s="74">
        <v>3339.2</v>
      </c>
      <c r="D3153" s="74">
        <f t="shared" si="99"/>
        <v>-3.5705603100824488E-3</v>
      </c>
      <c r="E3153" s="74">
        <f t="shared" si="100"/>
        <v>2.6937809045605672E-2</v>
      </c>
      <c r="F3153" s="75"/>
    </row>
    <row r="3154" spans="1:6" ht="14.25" customHeight="1" x14ac:dyDescent="0.3">
      <c r="A3154" s="73">
        <v>45189</v>
      </c>
      <c r="B3154" s="74">
        <v>66800.84</v>
      </c>
      <c r="C3154" s="74">
        <v>3307.25</v>
      </c>
      <c r="D3154" s="74">
        <f t="shared" si="99"/>
        <v>-1.1845581080343745E-2</v>
      </c>
      <c r="E3154" s="74">
        <f t="shared" si="100"/>
        <v>-9.614228980446787E-3</v>
      </c>
      <c r="F3154" s="75"/>
    </row>
    <row r="3155" spans="1:6" ht="14.25" customHeight="1" x14ac:dyDescent="0.3">
      <c r="A3155" s="73">
        <v>45190</v>
      </c>
      <c r="B3155" s="74">
        <v>66230.240000000005</v>
      </c>
      <c r="C3155" s="74">
        <v>3302.45</v>
      </c>
      <c r="D3155" s="74">
        <f t="shared" si="99"/>
        <v>-8.5784990880468214E-3</v>
      </c>
      <c r="E3155" s="74">
        <f t="shared" si="100"/>
        <v>-1.4524111060408747E-3</v>
      </c>
      <c r="F3155" s="75"/>
    </row>
    <row r="3156" spans="1:6" ht="14.25" customHeight="1" x14ac:dyDescent="0.3">
      <c r="A3156" s="73">
        <v>45191</v>
      </c>
      <c r="B3156" s="74">
        <v>66009.149999999994</v>
      </c>
      <c r="C3156" s="74">
        <v>3273.1</v>
      </c>
      <c r="D3156" s="74">
        <f t="shared" si="99"/>
        <v>-3.3437874448605373E-3</v>
      </c>
      <c r="E3156" s="74">
        <f t="shared" si="100"/>
        <v>-8.9270691925303763E-3</v>
      </c>
      <c r="F3156" s="75"/>
    </row>
    <row r="3157" spans="1:6" ht="14.25" customHeight="1" x14ac:dyDescent="0.3">
      <c r="A3157" s="73">
        <v>45194</v>
      </c>
      <c r="B3157" s="74">
        <v>66023.69</v>
      </c>
      <c r="C3157" s="74">
        <v>3286.8</v>
      </c>
      <c r="D3157" s="74">
        <f t="shared" si="99"/>
        <v>2.2024823610223188E-4</v>
      </c>
      <c r="E3157" s="74">
        <f t="shared" si="100"/>
        <v>4.1768990131145489E-3</v>
      </c>
      <c r="F3157" s="75"/>
    </row>
    <row r="3158" spans="1:6" ht="14.25" customHeight="1" x14ac:dyDescent="0.3">
      <c r="A3158" s="73">
        <v>45195</v>
      </c>
      <c r="B3158" s="74">
        <v>65945.47</v>
      </c>
      <c r="C3158" s="74">
        <v>3262.3</v>
      </c>
      <c r="D3158" s="74">
        <f t="shared" si="99"/>
        <v>-1.1854286131673839E-3</v>
      </c>
      <c r="E3158" s="74">
        <f t="shared" si="100"/>
        <v>-7.4819789871624796E-3</v>
      </c>
      <c r="F3158" s="75"/>
    </row>
    <row r="3159" spans="1:6" ht="14.25" customHeight="1" x14ac:dyDescent="0.3">
      <c r="A3159" s="73">
        <v>45196</v>
      </c>
      <c r="B3159" s="74">
        <v>66118.69</v>
      </c>
      <c r="C3159" s="74">
        <v>3213.9</v>
      </c>
      <c r="D3159" s="74">
        <f t="shared" si="99"/>
        <v>2.6232718904999827E-3</v>
      </c>
      <c r="E3159" s="74">
        <f t="shared" si="100"/>
        <v>-1.4947315133248247E-2</v>
      </c>
      <c r="F3159" s="75"/>
    </row>
    <row r="3160" spans="1:6" ht="14.25" customHeight="1" x14ac:dyDescent="0.3">
      <c r="A3160" s="73">
        <v>45197</v>
      </c>
      <c r="B3160" s="74">
        <v>65508.32</v>
      </c>
      <c r="C3160" s="74">
        <v>3160.55</v>
      </c>
      <c r="D3160" s="74">
        <f t="shared" si="99"/>
        <v>-9.274302819120046E-3</v>
      </c>
      <c r="E3160" s="74">
        <f t="shared" si="100"/>
        <v>-1.6739089867807019E-2</v>
      </c>
      <c r="F3160" s="75"/>
    </row>
    <row r="3161" spans="1:6" ht="14.25" customHeight="1" x14ac:dyDescent="0.3">
      <c r="A3161" s="73">
        <v>45198</v>
      </c>
      <c r="B3161" s="74">
        <v>65828.41</v>
      </c>
      <c r="C3161" s="74">
        <v>3149.6</v>
      </c>
      <c r="D3161" s="74">
        <f t="shared" si="99"/>
        <v>4.8743505911730033E-3</v>
      </c>
      <c r="E3161" s="74">
        <f t="shared" si="100"/>
        <v>-3.4706024392873935E-3</v>
      </c>
      <c r="F3161" s="75"/>
    </row>
    <row r="3162" spans="1:6" ht="14.25" customHeight="1" x14ac:dyDescent="0.3">
      <c r="A3162" s="73">
        <v>45202</v>
      </c>
      <c r="B3162" s="74">
        <v>65512.1</v>
      </c>
      <c r="C3162" s="74">
        <v>3196.85</v>
      </c>
      <c r="D3162" s="74">
        <f t="shared" si="99"/>
        <v>-4.8166496617904307E-3</v>
      </c>
      <c r="E3162" s="74">
        <f t="shared" si="100"/>
        <v>1.4890489343033643E-2</v>
      </c>
      <c r="F3162" s="75"/>
    </row>
    <row r="3163" spans="1:6" ht="14.25" customHeight="1" x14ac:dyDescent="0.3">
      <c r="A3163" s="73">
        <v>45203</v>
      </c>
      <c r="B3163" s="74">
        <v>65226.04</v>
      </c>
      <c r="C3163" s="74">
        <v>3166.7</v>
      </c>
      <c r="D3163" s="74">
        <f t="shared" si="99"/>
        <v>-4.3760827025122887E-3</v>
      </c>
      <c r="E3163" s="74">
        <f t="shared" si="100"/>
        <v>-9.4759137916508151E-3</v>
      </c>
      <c r="F3163" s="75"/>
    </row>
    <row r="3164" spans="1:6" ht="14.25" customHeight="1" x14ac:dyDescent="0.3">
      <c r="A3164" s="73">
        <v>45204</v>
      </c>
      <c r="B3164" s="74">
        <v>65631.570000000007</v>
      </c>
      <c r="C3164" s="74">
        <v>3215.4</v>
      </c>
      <c r="D3164" s="74">
        <f t="shared" si="99"/>
        <v>6.1980544842873027E-3</v>
      </c>
      <c r="E3164" s="74">
        <f t="shared" si="100"/>
        <v>1.5261730547948946E-2</v>
      </c>
      <c r="F3164" s="75"/>
    </row>
    <row r="3165" spans="1:6" ht="14.25" customHeight="1" x14ac:dyDescent="0.3">
      <c r="A3165" s="73">
        <v>45205</v>
      </c>
      <c r="B3165" s="74">
        <v>65995.63</v>
      </c>
      <c r="C3165" s="74">
        <v>3311.15</v>
      </c>
      <c r="D3165" s="74">
        <f t="shared" si="99"/>
        <v>5.531697526692741E-3</v>
      </c>
      <c r="E3165" s="74">
        <f t="shared" si="100"/>
        <v>2.9343794325888333E-2</v>
      </c>
      <c r="F3165" s="75"/>
    </row>
    <row r="3166" spans="1:6" ht="14.25" customHeight="1" x14ac:dyDescent="0.3">
      <c r="A3166" s="73">
        <v>45208</v>
      </c>
      <c r="B3166" s="74">
        <v>65512.39</v>
      </c>
      <c r="C3166" s="74">
        <v>3266.75</v>
      </c>
      <c r="D3166" s="74">
        <f t="shared" si="99"/>
        <v>-7.349242655099222E-3</v>
      </c>
      <c r="E3166" s="74">
        <f t="shared" si="100"/>
        <v>-1.3499954185492347E-2</v>
      </c>
      <c r="F3166" s="75"/>
    </row>
    <row r="3167" spans="1:6" ht="14.25" customHeight="1" x14ac:dyDescent="0.3">
      <c r="A3167" s="73">
        <v>45209</v>
      </c>
      <c r="B3167" s="74">
        <v>66079.360000000001</v>
      </c>
      <c r="C3167" s="74">
        <v>3267.85</v>
      </c>
      <c r="D3167" s="74">
        <f t="shared" si="99"/>
        <v>8.6171588778013557E-3</v>
      </c>
      <c r="E3167" s="74">
        <f t="shared" si="100"/>
        <v>3.3666942441474613E-4</v>
      </c>
      <c r="F3167" s="75"/>
    </row>
    <row r="3168" spans="1:6" ht="14.25" customHeight="1" x14ac:dyDescent="0.3">
      <c r="A3168" s="73">
        <v>45210</v>
      </c>
      <c r="B3168" s="74">
        <v>66473.05</v>
      </c>
      <c r="C3168" s="74">
        <v>3279.7</v>
      </c>
      <c r="D3168" s="74">
        <f t="shared" si="99"/>
        <v>5.9401584268105254E-3</v>
      </c>
      <c r="E3168" s="74">
        <f t="shared" si="100"/>
        <v>3.6196784868518642E-3</v>
      </c>
      <c r="F3168" s="75"/>
    </row>
    <row r="3169" spans="1:6" ht="14.25" customHeight="1" x14ac:dyDescent="0.3">
      <c r="A3169" s="73">
        <v>45211</v>
      </c>
      <c r="B3169" s="74">
        <v>66408.39</v>
      </c>
      <c r="C3169" s="74">
        <v>3284.3</v>
      </c>
      <c r="D3169" s="74">
        <f t="shared" si="99"/>
        <v>-9.7319844070590752E-4</v>
      </c>
      <c r="E3169" s="74">
        <f t="shared" si="100"/>
        <v>1.4015846292003314E-3</v>
      </c>
      <c r="F3169" s="75"/>
    </row>
    <row r="3170" spans="1:6" ht="14.25" customHeight="1" x14ac:dyDescent="0.3">
      <c r="A3170" s="73">
        <v>45212</v>
      </c>
      <c r="B3170" s="74">
        <v>66282.740000000005</v>
      </c>
      <c r="C3170" s="74">
        <v>3284</v>
      </c>
      <c r="D3170" s="74">
        <f t="shared" si="99"/>
        <v>-1.8938724473336714E-3</v>
      </c>
      <c r="E3170" s="74">
        <f t="shared" si="100"/>
        <v>-9.1347837403484288E-5</v>
      </c>
      <c r="F3170" s="75"/>
    </row>
    <row r="3171" spans="1:6" ht="14.25" customHeight="1" x14ac:dyDescent="0.3">
      <c r="A3171" s="73">
        <v>45215</v>
      </c>
      <c r="B3171" s="74">
        <v>66166.929999999993</v>
      </c>
      <c r="C3171" s="74">
        <v>3300.1</v>
      </c>
      <c r="D3171" s="74">
        <f t="shared" si="99"/>
        <v>-1.7487401744851814E-3</v>
      </c>
      <c r="E3171" s="74">
        <f t="shared" si="100"/>
        <v>4.8905794534283226E-3</v>
      </c>
      <c r="F3171" s="75"/>
    </row>
    <row r="3172" spans="1:6" ht="14.25" customHeight="1" x14ac:dyDescent="0.3">
      <c r="A3172" s="73">
        <v>45216</v>
      </c>
      <c r="B3172" s="74">
        <v>66428.09</v>
      </c>
      <c r="C3172" s="74">
        <v>3309.6</v>
      </c>
      <c r="D3172" s="74">
        <f t="shared" si="99"/>
        <v>3.93921789387079E-3</v>
      </c>
      <c r="E3172" s="74">
        <f t="shared" si="100"/>
        <v>2.8745651214546141E-3</v>
      </c>
      <c r="F3172" s="75"/>
    </row>
    <row r="3173" spans="1:6" ht="14.25" customHeight="1" x14ac:dyDescent="0.3">
      <c r="A3173" s="73">
        <v>45217</v>
      </c>
      <c r="B3173" s="74">
        <v>65877.02</v>
      </c>
      <c r="C3173" s="74">
        <v>3283.05</v>
      </c>
      <c r="D3173" s="74">
        <f t="shared" si="99"/>
        <v>-8.3303386659392912E-3</v>
      </c>
      <c r="E3173" s="74">
        <f t="shared" si="100"/>
        <v>-8.0544677889977968E-3</v>
      </c>
      <c r="F3173" s="75"/>
    </row>
    <row r="3174" spans="1:6" ht="14.25" customHeight="1" x14ac:dyDescent="0.3">
      <c r="A3174" s="73">
        <v>45218</v>
      </c>
      <c r="B3174" s="74">
        <v>65629.240000000005</v>
      </c>
      <c r="C3174" s="74">
        <v>3284.3</v>
      </c>
      <c r="D3174" s="74">
        <f t="shared" si="99"/>
        <v>-3.7683421795217391E-3</v>
      </c>
      <c r="E3174" s="74">
        <f t="shared" si="100"/>
        <v>3.8067105151849971E-4</v>
      </c>
      <c r="F3174" s="75"/>
    </row>
    <row r="3175" spans="1:6" ht="14.25" customHeight="1" x14ac:dyDescent="0.3">
      <c r="A3175" s="73">
        <v>45219</v>
      </c>
      <c r="B3175" s="74">
        <v>65397.62</v>
      </c>
      <c r="C3175" s="74">
        <v>3265.85</v>
      </c>
      <c r="D3175" s="74">
        <f t="shared" si="99"/>
        <v>-3.5354619848322636E-3</v>
      </c>
      <c r="E3175" s="74">
        <f t="shared" si="100"/>
        <v>-5.6334736743780959E-3</v>
      </c>
      <c r="F3175" s="75"/>
    </row>
    <row r="3176" spans="1:6" ht="14.25" customHeight="1" x14ac:dyDescent="0.3">
      <c r="A3176" s="73">
        <v>45222</v>
      </c>
      <c r="B3176" s="74">
        <v>64571.88</v>
      </c>
      <c r="C3176" s="74">
        <v>3220.35</v>
      </c>
      <c r="D3176" s="74">
        <f t="shared" si="99"/>
        <v>-1.2706844460737445E-2</v>
      </c>
      <c r="E3176" s="74">
        <f t="shared" si="100"/>
        <v>-1.4030016451660703E-2</v>
      </c>
      <c r="F3176" s="75"/>
    </row>
    <row r="3177" spans="1:6" ht="14.25" customHeight="1" x14ac:dyDescent="0.3">
      <c r="A3177" s="73">
        <v>45224</v>
      </c>
      <c r="B3177" s="74">
        <v>64049.06</v>
      </c>
      <c r="C3177" s="74">
        <v>3188.7</v>
      </c>
      <c r="D3177" s="74">
        <f t="shared" si="99"/>
        <v>-8.129669702221301E-3</v>
      </c>
      <c r="E3177" s="74">
        <f t="shared" si="100"/>
        <v>-9.8767390760378781E-3</v>
      </c>
      <c r="F3177" s="75"/>
    </row>
    <row r="3178" spans="1:6" ht="14.25" customHeight="1" x14ac:dyDescent="0.3">
      <c r="A3178" s="73">
        <v>45225</v>
      </c>
      <c r="B3178" s="74">
        <v>63148.15</v>
      </c>
      <c r="C3178" s="74">
        <v>3100.6</v>
      </c>
      <c r="D3178" s="74">
        <f t="shared" si="99"/>
        <v>-1.4165799161900099E-2</v>
      </c>
      <c r="E3178" s="74">
        <f t="shared" si="100"/>
        <v>-2.8017669075383823E-2</v>
      </c>
      <c r="F3178" s="75"/>
    </row>
    <row r="3179" spans="1:6" ht="14.25" customHeight="1" x14ac:dyDescent="0.3">
      <c r="A3179" s="73">
        <v>45226</v>
      </c>
      <c r="B3179" s="74">
        <v>63782.8</v>
      </c>
      <c r="C3179" s="74">
        <v>3120.2</v>
      </c>
      <c r="D3179" s="74">
        <f t="shared" si="99"/>
        <v>1.0000008488869989E-2</v>
      </c>
      <c r="E3179" s="74">
        <f t="shared" si="100"/>
        <v>6.30146118088725E-3</v>
      </c>
      <c r="F3179" s="75"/>
    </row>
    <row r="3180" spans="1:6" ht="14.25" customHeight="1" x14ac:dyDescent="0.3">
      <c r="A3180" s="73">
        <v>45229</v>
      </c>
      <c r="B3180" s="74">
        <v>64112.65</v>
      </c>
      <c r="C3180" s="74">
        <v>3116.9</v>
      </c>
      <c r="D3180" s="74">
        <f t="shared" si="99"/>
        <v>5.1581308223353521E-3</v>
      </c>
      <c r="E3180" s="74">
        <f t="shared" si="100"/>
        <v>-1.0581841907079175E-3</v>
      </c>
      <c r="F3180" s="75"/>
    </row>
    <row r="3181" spans="1:6" ht="14.25" customHeight="1" x14ac:dyDescent="0.3">
      <c r="A3181" s="73">
        <v>45230</v>
      </c>
      <c r="B3181" s="74">
        <v>63874.93</v>
      </c>
      <c r="C3181" s="74">
        <v>3188.75</v>
      </c>
      <c r="D3181" s="74">
        <f t="shared" si="99"/>
        <v>-3.7147397171490436E-3</v>
      </c>
      <c r="E3181" s="74">
        <f t="shared" si="100"/>
        <v>2.2790072333580047E-2</v>
      </c>
      <c r="F3181" s="75"/>
    </row>
    <row r="3182" spans="1:6" ht="14.25" customHeight="1" x14ac:dyDescent="0.3">
      <c r="A3182" s="73">
        <v>45231</v>
      </c>
      <c r="B3182" s="74">
        <v>63591.33</v>
      </c>
      <c r="C3182" s="74">
        <v>3173.85</v>
      </c>
      <c r="D3182" s="74">
        <f t="shared" si="99"/>
        <v>-4.4498123340161741E-3</v>
      </c>
      <c r="E3182" s="74">
        <f t="shared" si="100"/>
        <v>-4.6836284656135855E-3</v>
      </c>
      <c r="F3182" s="75"/>
    </row>
    <row r="3183" spans="1:6" ht="14.25" customHeight="1" x14ac:dyDescent="0.3">
      <c r="A3183" s="73">
        <v>45232</v>
      </c>
      <c r="B3183" s="74">
        <v>64080.9</v>
      </c>
      <c r="C3183" s="74">
        <v>3201.3</v>
      </c>
      <c r="D3183" s="74">
        <f t="shared" si="99"/>
        <v>7.6692073064537547E-3</v>
      </c>
      <c r="E3183" s="74">
        <f t="shared" si="100"/>
        <v>8.6116153002213924E-3</v>
      </c>
      <c r="F3183" s="75"/>
    </row>
    <row r="3184" spans="1:6" ht="14.25" customHeight="1" x14ac:dyDescent="0.3">
      <c r="A3184" s="73">
        <v>45233</v>
      </c>
      <c r="B3184" s="74">
        <v>64363.78</v>
      </c>
      <c r="C3184" s="74">
        <v>3272.55</v>
      </c>
      <c r="D3184" s="74">
        <f t="shared" si="99"/>
        <v>4.4047049259823461E-3</v>
      </c>
      <c r="E3184" s="74">
        <f t="shared" si="100"/>
        <v>2.2012520215514159E-2</v>
      </c>
      <c r="F3184" s="75"/>
    </row>
    <row r="3185" spans="1:6" ht="14.25" customHeight="1" x14ac:dyDescent="0.3">
      <c r="A3185" s="73">
        <v>45236</v>
      </c>
      <c r="B3185" s="74">
        <v>64958.69</v>
      </c>
      <c r="C3185" s="74">
        <v>3266.45</v>
      </c>
      <c r="D3185" s="74">
        <f t="shared" si="99"/>
        <v>9.2004768626460266E-3</v>
      </c>
      <c r="E3185" s="74">
        <f t="shared" si="100"/>
        <v>-1.8657292459033198E-3</v>
      </c>
      <c r="F3185" s="75"/>
    </row>
    <row r="3186" spans="1:6" ht="14.25" customHeight="1" x14ac:dyDescent="0.3">
      <c r="A3186" s="73">
        <v>45237</v>
      </c>
      <c r="B3186" s="74">
        <v>64942.400000000001</v>
      </c>
      <c r="C3186" s="74">
        <v>3270.55</v>
      </c>
      <c r="D3186" s="74">
        <f t="shared" si="99"/>
        <v>-2.5080621087003656E-4</v>
      </c>
      <c r="E3186" s="74">
        <f t="shared" si="100"/>
        <v>1.2543982063998027E-3</v>
      </c>
      <c r="F3186" s="75"/>
    </row>
    <row r="3187" spans="1:6" ht="14.25" customHeight="1" x14ac:dyDescent="0.3">
      <c r="A3187" s="73">
        <v>45238</v>
      </c>
      <c r="B3187" s="74">
        <v>64975.61</v>
      </c>
      <c r="C3187" s="74">
        <v>3311.2</v>
      </c>
      <c r="D3187" s="74">
        <f t="shared" si="99"/>
        <v>5.1124552667246911E-4</v>
      </c>
      <c r="E3187" s="74">
        <f t="shared" si="100"/>
        <v>1.2352494967883054E-2</v>
      </c>
      <c r="F3187" s="75"/>
    </row>
    <row r="3188" spans="1:6" ht="14.25" customHeight="1" x14ac:dyDescent="0.3">
      <c r="A3188" s="73">
        <v>45239</v>
      </c>
      <c r="B3188" s="74">
        <v>64832.2</v>
      </c>
      <c r="C3188" s="74">
        <v>3284.45</v>
      </c>
      <c r="D3188" s="74">
        <f t="shared" si="99"/>
        <v>-2.2095751919183801E-3</v>
      </c>
      <c r="E3188" s="74">
        <f t="shared" si="100"/>
        <v>-8.1114512350683662E-3</v>
      </c>
      <c r="F3188" s="75"/>
    </row>
    <row r="3189" spans="1:6" ht="14.25" customHeight="1" x14ac:dyDescent="0.3">
      <c r="A3189" s="73">
        <v>45240</v>
      </c>
      <c r="B3189" s="74">
        <v>64904.68</v>
      </c>
      <c r="C3189" s="74">
        <v>3256.35</v>
      </c>
      <c r="D3189" s="74">
        <f t="shared" si="99"/>
        <v>1.1173385322755856E-3</v>
      </c>
      <c r="E3189" s="74">
        <f t="shared" si="100"/>
        <v>-8.5922739965802446E-3</v>
      </c>
      <c r="F3189" s="75"/>
    </row>
    <row r="3190" spans="1:6" ht="14.25" customHeight="1" x14ac:dyDescent="0.3">
      <c r="A3190" s="73">
        <v>45242</v>
      </c>
      <c r="B3190" s="74">
        <v>65259.45</v>
      </c>
      <c r="C3190" s="74">
        <v>3279.25</v>
      </c>
      <c r="D3190" s="74">
        <f t="shared" si="99"/>
        <v>5.4511312524241429E-3</v>
      </c>
      <c r="E3190" s="74">
        <f t="shared" si="100"/>
        <v>7.0078014923810527E-3</v>
      </c>
      <c r="F3190" s="75"/>
    </row>
    <row r="3191" spans="1:6" ht="14.25" customHeight="1" x14ac:dyDescent="0.3">
      <c r="A3191" s="73">
        <v>45243</v>
      </c>
      <c r="B3191" s="74">
        <v>64933.87</v>
      </c>
      <c r="C3191" s="74">
        <v>3264.75</v>
      </c>
      <c r="D3191" s="74">
        <f t="shared" si="99"/>
        <v>-5.0014959092725582E-3</v>
      </c>
      <c r="E3191" s="74">
        <f t="shared" si="100"/>
        <v>-4.4315475947384452E-3</v>
      </c>
      <c r="F3191" s="75"/>
    </row>
    <row r="3192" spans="1:6" ht="14.25" customHeight="1" x14ac:dyDescent="0.3">
      <c r="A3192" s="73">
        <v>45245</v>
      </c>
      <c r="B3192" s="74">
        <v>65675.929999999993</v>
      </c>
      <c r="C3192" s="74">
        <v>3296.3</v>
      </c>
      <c r="D3192" s="74">
        <f t="shared" si="99"/>
        <v>1.1363128717620631E-2</v>
      </c>
      <c r="E3192" s="74">
        <f t="shared" si="100"/>
        <v>9.6174372043057298E-3</v>
      </c>
      <c r="F3192" s="75"/>
    </row>
    <row r="3193" spans="1:6" ht="14.25" customHeight="1" x14ac:dyDescent="0.3">
      <c r="A3193" s="73">
        <v>45246</v>
      </c>
      <c r="B3193" s="74">
        <v>65982.48</v>
      </c>
      <c r="C3193" s="74">
        <v>3335.4</v>
      </c>
      <c r="D3193" s="74">
        <f t="shared" si="99"/>
        <v>4.656756130821298E-3</v>
      </c>
      <c r="E3193" s="74">
        <f t="shared" si="100"/>
        <v>1.1791984882656597E-2</v>
      </c>
      <c r="F3193" s="75"/>
    </row>
    <row r="3194" spans="1:6" ht="14.25" customHeight="1" x14ac:dyDescent="0.3">
      <c r="A3194" s="73">
        <v>45247</v>
      </c>
      <c r="B3194" s="74">
        <v>65794.73</v>
      </c>
      <c r="C3194" s="74">
        <v>3338.25</v>
      </c>
      <c r="D3194" s="74">
        <f t="shared" si="99"/>
        <v>-2.849508303285776E-3</v>
      </c>
      <c r="E3194" s="74">
        <f t="shared" si="100"/>
        <v>8.5410537659455423E-4</v>
      </c>
      <c r="F3194" s="75"/>
    </row>
    <row r="3195" spans="1:6" ht="14.25" customHeight="1" x14ac:dyDescent="0.3">
      <c r="A3195" s="73">
        <v>45250</v>
      </c>
      <c r="B3195" s="74">
        <v>65655.149999999994</v>
      </c>
      <c r="C3195" s="74">
        <v>3345.85</v>
      </c>
      <c r="D3195" s="74">
        <f t="shared" si="99"/>
        <v>-2.1236999601672714E-3</v>
      </c>
      <c r="E3195" s="74">
        <f t="shared" si="100"/>
        <v>2.2740543304770092E-3</v>
      </c>
      <c r="F3195" s="75"/>
    </row>
    <row r="3196" spans="1:6" ht="14.25" customHeight="1" x14ac:dyDescent="0.3">
      <c r="A3196" s="73">
        <v>45251</v>
      </c>
      <c r="B3196" s="74">
        <v>65930.77</v>
      </c>
      <c r="C3196" s="74">
        <v>3394.15</v>
      </c>
      <c r="D3196" s="74">
        <f t="shared" si="99"/>
        <v>4.1892081323266547E-3</v>
      </c>
      <c r="E3196" s="74">
        <f t="shared" si="100"/>
        <v>1.4332589562386165E-2</v>
      </c>
      <c r="F3196" s="75"/>
    </row>
    <row r="3197" spans="1:6" ht="14.25" customHeight="1" x14ac:dyDescent="0.3">
      <c r="A3197" s="73">
        <v>45252</v>
      </c>
      <c r="B3197" s="74">
        <v>66023.240000000005</v>
      </c>
      <c r="C3197" s="74">
        <v>3429.65</v>
      </c>
      <c r="D3197" s="74">
        <f t="shared" si="99"/>
        <v>1.4015491478716958E-3</v>
      </c>
      <c r="E3197" s="74">
        <f t="shared" si="100"/>
        <v>1.0404853680204169E-2</v>
      </c>
      <c r="F3197" s="75"/>
    </row>
    <row r="3198" spans="1:6" ht="14.25" customHeight="1" x14ac:dyDescent="0.3">
      <c r="A3198" s="73">
        <v>45253</v>
      </c>
      <c r="B3198" s="74">
        <v>66017.81</v>
      </c>
      <c r="C3198" s="74">
        <v>3407</v>
      </c>
      <c r="D3198" s="74">
        <f t="shared" si="99"/>
        <v>-8.2247149701860256E-5</v>
      </c>
      <c r="E3198" s="74">
        <f t="shared" si="100"/>
        <v>-6.6260764761742188E-3</v>
      </c>
      <c r="F3198" s="75"/>
    </row>
    <row r="3199" spans="1:6" ht="14.25" customHeight="1" x14ac:dyDescent="0.3">
      <c r="A3199" s="73">
        <v>45254</v>
      </c>
      <c r="B3199" s="74">
        <v>65970.039999999994</v>
      </c>
      <c r="C3199" s="74">
        <v>3398.6</v>
      </c>
      <c r="D3199" s="74">
        <f t="shared" si="99"/>
        <v>-7.2385453791126817E-4</v>
      </c>
      <c r="E3199" s="74">
        <f t="shared" si="100"/>
        <v>-2.4685565609614845E-3</v>
      </c>
      <c r="F3199" s="75"/>
    </row>
    <row r="3200" spans="1:6" ht="14.25" customHeight="1" x14ac:dyDescent="0.3">
      <c r="A3200" s="73">
        <v>45258</v>
      </c>
      <c r="B3200" s="74">
        <v>66174.2</v>
      </c>
      <c r="C3200" s="74">
        <v>3442.05</v>
      </c>
      <c r="D3200" s="74">
        <f t="shared" si="99"/>
        <v>3.089959311744534E-3</v>
      </c>
      <c r="E3200" s="74">
        <f t="shared" si="100"/>
        <v>1.270364200408928E-2</v>
      </c>
      <c r="F3200" s="75"/>
    </row>
    <row r="3201" spans="1:6" ht="14.25" customHeight="1" x14ac:dyDescent="0.3">
      <c r="A3201" s="73">
        <v>45259</v>
      </c>
      <c r="B3201" s="74">
        <v>66901.91</v>
      </c>
      <c r="C3201" s="74">
        <v>3427.25</v>
      </c>
      <c r="D3201" s="74">
        <f t="shared" si="99"/>
        <v>1.0936857918821987E-2</v>
      </c>
      <c r="E3201" s="74">
        <f t="shared" si="100"/>
        <v>-4.3090337880847809E-3</v>
      </c>
      <c r="F3201" s="75"/>
    </row>
    <row r="3202" spans="1:6" ht="14.25" customHeight="1" x14ac:dyDescent="0.3">
      <c r="A3202" s="73">
        <v>45260</v>
      </c>
      <c r="B3202" s="74">
        <v>66988.44</v>
      </c>
      <c r="C3202" s="74">
        <v>3491.95</v>
      </c>
      <c r="D3202" s="74">
        <f t="shared" si="99"/>
        <v>1.2925503898830455E-3</v>
      </c>
      <c r="E3202" s="74">
        <f t="shared" si="100"/>
        <v>1.8702129098819676E-2</v>
      </c>
      <c r="F3202" s="75"/>
    </row>
    <row r="3203" spans="1:6" ht="14.25" customHeight="1" x14ac:dyDescent="0.3">
      <c r="A3203" s="73">
        <v>45261</v>
      </c>
      <c r="B3203" s="74">
        <v>67481.19</v>
      </c>
      <c r="C3203" s="74">
        <v>3488.55</v>
      </c>
      <c r="D3203" s="74">
        <f t="shared" si="99"/>
        <v>7.3288251857883766E-3</v>
      </c>
      <c r="E3203" s="74">
        <f t="shared" si="100"/>
        <v>-9.7414233045473031E-4</v>
      </c>
      <c r="F3203" s="75"/>
    </row>
    <row r="3204" spans="1:6" ht="14.25" customHeight="1" x14ac:dyDescent="0.3">
      <c r="A3204" s="73">
        <v>45264</v>
      </c>
      <c r="B3204" s="74">
        <v>68865.119999999995</v>
      </c>
      <c r="C3204" s="74">
        <v>3487.7</v>
      </c>
      <c r="D3204" s="74">
        <f t="shared" ref="D3204:D3267" si="101">LN(B3204/B3203)</f>
        <v>2.0300916530481338E-2</v>
      </c>
      <c r="E3204" s="74">
        <f t="shared" ref="E3204:E3267" si="102">LN(C3204/C3203)</f>
        <v>-2.436839288174786E-4</v>
      </c>
      <c r="F3204" s="75"/>
    </row>
    <row r="3205" spans="1:6" ht="14.25" customHeight="1" x14ac:dyDescent="0.3">
      <c r="A3205" s="73">
        <v>45265</v>
      </c>
      <c r="B3205" s="74">
        <v>69296.14</v>
      </c>
      <c r="C3205" s="74">
        <v>3546.3</v>
      </c>
      <c r="D3205" s="74">
        <f t="shared" si="101"/>
        <v>6.2393958813346789E-3</v>
      </c>
      <c r="E3205" s="74">
        <f t="shared" si="102"/>
        <v>1.6662313268883979E-2</v>
      </c>
      <c r="F3205" s="75"/>
    </row>
    <row r="3206" spans="1:6" ht="14.25" customHeight="1" x14ac:dyDescent="0.3">
      <c r="A3206" s="73">
        <v>45266</v>
      </c>
      <c r="B3206" s="74">
        <v>69653.73</v>
      </c>
      <c r="C3206" s="74">
        <v>3546.8</v>
      </c>
      <c r="D3206" s="74">
        <f t="shared" si="101"/>
        <v>5.147047484709311E-3</v>
      </c>
      <c r="E3206" s="74">
        <f t="shared" si="102"/>
        <v>1.4098208141094545E-4</v>
      </c>
      <c r="F3206" s="75"/>
    </row>
    <row r="3207" spans="1:6" ht="14.25" customHeight="1" x14ac:dyDescent="0.3">
      <c r="A3207" s="73">
        <v>45267</v>
      </c>
      <c r="B3207" s="74">
        <v>69521.69</v>
      </c>
      <c r="C3207" s="74">
        <v>3585.65</v>
      </c>
      <c r="D3207" s="74">
        <f t="shared" si="101"/>
        <v>-1.8974620606997882E-3</v>
      </c>
      <c r="E3207" s="74">
        <f t="shared" si="102"/>
        <v>1.0893980111143656E-2</v>
      </c>
      <c r="F3207" s="75"/>
    </row>
    <row r="3208" spans="1:6" ht="14.25" customHeight="1" x14ac:dyDescent="0.3">
      <c r="A3208" s="73">
        <v>45268</v>
      </c>
      <c r="B3208" s="74">
        <v>69825.600000000006</v>
      </c>
      <c r="C3208" s="74">
        <v>3634.7</v>
      </c>
      <c r="D3208" s="74">
        <f t="shared" si="101"/>
        <v>4.3619144922976564E-3</v>
      </c>
      <c r="E3208" s="74">
        <f t="shared" si="102"/>
        <v>1.3586807995651765E-2</v>
      </c>
      <c r="F3208" s="75"/>
    </row>
    <row r="3209" spans="1:6" ht="14.25" customHeight="1" x14ac:dyDescent="0.3">
      <c r="A3209" s="73">
        <v>45271</v>
      </c>
      <c r="B3209" s="74">
        <v>69928.53</v>
      </c>
      <c r="C3209" s="74">
        <v>3630.9</v>
      </c>
      <c r="D3209" s="74">
        <f t="shared" si="101"/>
        <v>1.4730157686393831E-3</v>
      </c>
      <c r="E3209" s="74">
        <f t="shared" si="102"/>
        <v>-1.046025199979759E-3</v>
      </c>
      <c r="F3209" s="75"/>
    </row>
    <row r="3210" spans="1:6" ht="14.25" customHeight="1" x14ac:dyDescent="0.3">
      <c r="A3210" s="73">
        <v>45272</v>
      </c>
      <c r="B3210" s="74">
        <v>69551.03</v>
      </c>
      <c r="C3210" s="74">
        <v>3568.75</v>
      </c>
      <c r="D3210" s="74">
        <f t="shared" si="101"/>
        <v>-5.412992724441291E-3</v>
      </c>
      <c r="E3210" s="74">
        <f t="shared" si="102"/>
        <v>-1.7265157008347486E-2</v>
      </c>
      <c r="F3210" s="75"/>
    </row>
    <row r="3211" spans="1:6" ht="14.25" customHeight="1" x14ac:dyDescent="0.3">
      <c r="A3211" s="73">
        <v>45273</v>
      </c>
      <c r="B3211" s="74">
        <v>69584.600000000006</v>
      </c>
      <c r="C3211" s="74">
        <v>3602.4</v>
      </c>
      <c r="D3211" s="74">
        <f t="shared" si="101"/>
        <v>4.8255074061791595E-4</v>
      </c>
      <c r="E3211" s="74">
        <f t="shared" si="102"/>
        <v>9.3848955830416469E-3</v>
      </c>
      <c r="F3211" s="75"/>
    </row>
    <row r="3212" spans="1:6" ht="14.25" customHeight="1" x14ac:dyDescent="0.3">
      <c r="A3212" s="73">
        <v>45274</v>
      </c>
      <c r="B3212" s="74">
        <v>70514.2</v>
      </c>
      <c r="C3212" s="74">
        <v>3591.05</v>
      </c>
      <c r="D3212" s="74">
        <f t="shared" si="101"/>
        <v>1.3270829485982407E-2</v>
      </c>
      <c r="E3212" s="74">
        <f t="shared" si="102"/>
        <v>-3.155651160078632E-3</v>
      </c>
      <c r="F3212" s="75"/>
    </row>
    <row r="3213" spans="1:6" ht="14.25" customHeight="1" x14ac:dyDescent="0.3">
      <c r="A3213" s="73">
        <v>45275</v>
      </c>
      <c r="B3213" s="74">
        <v>71483.75</v>
      </c>
      <c r="C3213" s="74">
        <v>3600.75</v>
      </c>
      <c r="D3213" s="74">
        <f t="shared" si="101"/>
        <v>1.3656043166360418E-2</v>
      </c>
      <c r="E3213" s="74">
        <f t="shared" si="102"/>
        <v>2.6975182518760789E-3</v>
      </c>
      <c r="F3213" s="75"/>
    </row>
    <row r="3214" spans="1:6" ht="14.25" customHeight="1" x14ac:dyDescent="0.3">
      <c r="A3214" s="73">
        <v>45278</v>
      </c>
      <c r="B3214" s="74">
        <v>71315.09</v>
      </c>
      <c r="C3214" s="74">
        <v>3618.55</v>
      </c>
      <c r="D3214" s="74">
        <f t="shared" si="101"/>
        <v>-2.3622051611495668E-3</v>
      </c>
      <c r="E3214" s="74">
        <f t="shared" si="102"/>
        <v>4.9312360118940954E-3</v>
      </c>
      <c r="F3214" s="75"/>
    </row>
    <row r="3215" spans="1:6" ht="14.25" customHeight="1" x14ac:dyDescent="0.3">
      <c r="A3215" s="73">
        <v>45279</v>
      </c>
      <c r="B3215" s="74">
        <v>71437.19</v>
      </c>
      <c r="C3215" s="74">
        <v>3612</v>
      </c>
      <c r="D3215" s="74">
        <f t="shared" si="101"/>
        <v>1.7106561068665376E-3</v>
      </c>
      <c r="E3215" s="74">
        <f t="shared" si="102"/>
        <v>-1.8117575541774702E-3</v>
      </c>
      <c r="F3215" s="75"/>
    </row>
    <row r="3216" spans="1:6" ht="14.25" customHeight="1" x14ac:dyDescent="0.3">
      <c r="A3216" s="73">
        <v>45280</v>
      </c>
      <c r="B3216" s="74">
        <v>70506.31</v>
      </c>
      <c r="C3216" s="74">
        <v>3553.05</v>
      </c>
      <c r="D3216" s="74">
        <f t="shared" si="101"/>
        <v>-1.3116392728927326E-2</v>
      </c>
      <c r="E3216" s="74">
        <f t="shared" si="102"/>
        <v>-1.6455246000175366E-2</v>
      </c>
      <c r="F3216" s="75"/>
    </row>
    <row r="3217" spans="1:6" ht="14.25" customHeight="1" x14ac:dyDescent="0.3">
      <c r="A3217" s="73">
        <v>45281</v>
      </c>
      <c r="B3217" s="74">
        <v>70865.100000000006</v>
      </c>
      <c r="C3217" s="74">
        <v>3579.5</v>
      </c>
      <c r="D3217" s="74">
        <f t="shared" si="101"/>
        <v>5.0758603926002784E-3</v>
      </c>
      <c r="E3217" s="74">
        <f t="shared" si="102"/>
        <v>7.4167362995390335E-3</v>
      </c>
      <c r="F3217" s="75"/>
    </row>
    <row r="3218" spans="1:6" ht="14.25" customHeight="1" x14ac:dyDescent="0.3">
      <c r="A3218" s="73">
        <v>45282</v>
      </c>
      <c r="B3218" s="74">
        <v>71106.960000000006</v>
      </c>
      <c r="C3218" s="74">
        <v>3624.25</v>
      </c>
      <c r="D3218" s="74">
        <f t="shared" si="101"/>
        <v>3.4071525618924515E-3</v>
      </c>
      <c r="E3218" s="74">
        <f t="shared" si="102"/>
        <v>1.242424449476707E-2</v>
      </c>
      <c r="F3218" s="75"/>
    </row>
    <row r="3219" spans="1:6" ht="14.25" customHeight="1" x14ac:dyDescent="0.3">
      <c r="A3219" s="73">
        <v>45286</v>
      </c>
      <c r="B3219" s="74">
        <v>71336.800000000003</v>
      </c>
      <c r="C3219" s="74">
        <v>3655.75</v>
      </c>
      <c r="D3219" s="74">
        <f t="shared" si="101"/>
        <v>3.2271009901205304E-3</v>
      </c>
      <c r="E3219" s="74">
        <f t="shared" si="102"/>
        <v>8.6539001609817132E-3</v>
      </c>
      <c r="F3219" s="75"/>
    </row>
    <row r="3220" spans="1:6" ht="14.25" customHeight="1" x14ac:dyDescent="0.3">
      <c r="A3220" s="73">
        <v>45287</v>
      </c>
      <c r="B3220" s="74">
        <v>72038.429999999993</v>
      </c>
      <c r="C3220" s="74">
        <v>3688.55</v>
      </c>
      <c r="D3220" s="74">
        <f t="shared" si="101"/>
        <v>9.7874033184580846E-3</v>
      </c>
      <c r="E3220" s="74">
        <f t="shared" si="102"/>
        <v>8.9321563864181181E-3</v>
      </c>
      <c r="F3220" s="75"/>
    </row>
    <row r="3221" spans="1:6" ht="14.25" customHeight="1" x14ac:dyDescent="0.3">
      <c r="A3221" s="73">
        <v>45288</v>
      </c>
      <c r="B3221" s="74">
        <v>72410.38</v>
      </c>
      <c r="C3221" s="74">
        <v>3716.45</v>
      </c>
      <c r="D3221" s="74">
        <f t="shared" si="101"/>
        <v>5.1499326587064352E-3</v>
      </c>
      <c r="E3221" s="74">
        <f t="shared" si="102"/>
        <v>7.5354846783472111E-3</v>
      </c>
      <c r="F3221" s="75"/>
    </row>
    <row r="3222" spans="1:6" ht="14.25" customHeight="1" x14ac:dyDescent="0.3">
      <c r="A3222" s="73">
        <v>45289</v>
      </c>
      <c r="B3222" s="74">
        <v>72240.259999999995</v>
      </c>
      <c r="C3222" s="74">
        <v>3675.95</v>
      </c>
      <c r="D3222" s="74">
        <f t="shared" si="101"/>
        <v>-2.3521510645792549E-3</v>
      </c>
      <c r="E3222" s="74">
        <f t="shared" si="102"/>
        <v>-1.0957308914703536E-2</v>
      </c>
      <c r="F3222" s="75"/>
    </row>
    <row r="3223" spans="1:6" ht="14.25" customHeight="1" x14ac:dyDescent="0.3">
      <c r="A3223" s="73">
        <v>45292</v>
      </c>
      <c r="B3223" s="74">
        <v>72271.94</v>
      </c>
      <c r="C3223" s="74">
        <v>3675.05</v>
      </c>
      <c r="D3223" s="74">
        <f t="shared" si="101"/>
        <v>4.3844049855309823E-4</v>
      </c>
      <c r="E3223" s="74">
        <f t="shared" si="102"/>
        <v>-2.4486464548942793E-4</v>
      </c>
      <c r="F3223" s="75"/>
    </row>
    <row r="3224" spans="1:6" ht="14.25" customHeight="1" x14ac:dyDescent="0.3">
      <c r="A3224" s="73">
        <v>45293</v>
      </c>
      <c r="B3224" s="74">
        <v>71892.479999999996</v>
      </c>
      <c r="C3224" s="74">
        <v>3696.8</v>
      </c>
      <c r="D3224" s="74">
        <f t="shared" si="101"/>
        <v>-5.2642791656820056E-3</v>
      </c>
      <c r="E3224" s="74">
        <f t="shared" si="102"/>
        <v>5.9008425594959989E-3</v>
      </c>
      <c r="F3224" s="75"/>
    </row>
    <row r="3225" spans="1:6" ht="14.25" customHeight="1" x14ac:dyDescent="0.3">
      <c r="A3225" s="73">
        <v>45294</v>
      </c>
      <c r="B3225" s="74">
        <v>71356.600000000006</v>
      </c>
      <c r="C3225" s="74">
        <v>3692.6</v>
      </c>
      <c r="D3225" s="74">
        <f t="shared" si="101"/>
        <v>-7.4818281524389307E-3</v>
      </c>
      <c r="E3225" s="74">
        <f t="shared" si="102"/>
        <v>-1.1367635944139864E-3</v>
      </c>
      <c r="F3225" s="75"/>
    </row>
    <row r="3226" spans="1:6" ht="14.25" customHeight="1" x14ac:dyDescent="0.3">
      <c r="A3226" s="73">
        <v>45295</v>
      </c>
      <c r="B3226" s="74">
        <v>71847.570000000007</v>
      </c>
      <c r="C3226" s="74">
        <v>3721.25</v>
      </c>
      <c r="D3226" s="74">
        <f t="shared" si="101"/>
        <v>6.8569500970698284E-3</v>
      </c>
      <c r="E3226" s="74">
        <f t="shared" si="102"/>
        <v>7.7288163683435027E-3</v>
      </c>
      <c r="F3226" s="75"/>
    </row>
    <row r="3227" spans="1:6" ht="14.25" customHeight="1" x14ac:dyDescent="0.3">
      <c r="A3227" s="73">
        <v>45296</v>
      </c>
      <c r="B3227" s="74">
        <v>72026.149999999994</v>
      </c>
      <c r="C3227" s="74">
        <v>3710.05</v>
      </c>
      <c r="D3227" s="74">
        <f t="shared" si="101"/>
        <v>2.4824560275436276E-3</v>
      </c>
      <c r="E3227" s="74">
        <f t="shared" si="102"/>
        <v>-3.0142797303716745E-3</v>
      </c>
      <c r="F3227" s="75"/>
    </row>
    <row r="3228" spans="1:6" ht="14.25" customHeight="1" x14ac:dyDescent="0.3">
      <c r="A3228" s="73">
        <v>45299</v>
      </c>
      <c r="B3228" s="74">
        <v>71355.22</v>
      </c>
      <c r="C3228" s="74">
        <v>3705.7</v>
      </c>
      <c r="D3228" s="74">
        <f t="shared" si="101"/>
        <v>-9.358745798090342E-3</v>
      </c>
      <c r="E3228" s="74">
        <f t="shared" si="102"/>
        <v>-1.1731788420393987E-3</v>
      </c>
      <c r="F3228" s="75"/>
    </row>
    <row r="3229" spans="1:6" ht="14.25" customHeight="1" x14ac:dyDescent="0.3">
      <c r="A3229" s="73">
        <v>45300</v>
      </c>
      <c r="B3229" s="74">
        <v>71386.210000000006</v>
      </c>
      <c r="C3229" s="74">
        <v>3691.85</v>
      </c>
      <c r="D3229" s="74">
        <f t="shared" si="101"/>
        <v>4.3421171396303127E-4</v>
      </c>
      <c r="E3229" s="74">
        <f t="shared" si="102"/>
        <v>-3.7444873458864691E-3</v>
      </c>
      <c r="F3229" s="75"/>
    </row>
    <row r="3230" spans="1:6" ht="14.25" customHeight="1" x14ac:dyDescent="0.3">
      <c r="A3230" s="73">
        <v>45301</v>
      </c>
      <c r="B3230" s="74">
        <v>71657.710000000006</v>
      </c>
      <c r="C3230" s="74">
        <v>3714.35</v>
      </c>
      <c r="D3230" s="74">
        <f t="shared" si="101"/>
        <v>3.7960414678877754E-3</v>
      </c>
      <c r="E3230" s="74">
        <f t="shared" si="102"/>
        <v>6.0760090791483418E-3</v>
      </c>
      <c r="F3230" s="75"/>
    </row>
    <row r="3231" spans="1:6" ht="14.25" customHeight="1" x14ac:dyDescent="0.3">
      <c r="A3231" s="73">
        <v>45302</v>
      </c>
      <c r="B3231" s="74">
        <v>71721.179999999993</v>
      </c>
      <c r="C3231" s="74">
        <v>3698.85</v>
      </c>
      <c r="D3231" s="74">
        <f t="shared" si="101"/>
        <v>8.8534656874309783E-4</v>
      </c>
      <c r="E3231" s="74">
        <f t="shared" si="102"/>
        <v>-4.1817359810229831E-3</v>
      </c>
      <c r="F3231" s="75"/>
    </row>
    <row r="3232" spans="1:6" ht="14.25" customHeight="1" x14ac:dyDescent="0.3">
      <c r="A3232" s="73">
        <v>45303</v>
      </c>
      <c r="B3232" s="74">
        <v>72568.45</v>
      </c>
      <c r="C3232" s="74">
        <v>3724.2</v>
      </c>
      <c r="D3232" s="74">
        <f t="shared" si="101"/>
        <v>1.1744152899916342E-2</v>
      </c>
      <c r="E3232" s="74">
        <f t="shared" si="102"/>
        <v>6.8301031378479628E-3</v>
      </c>
      <c r="F3232" s="75"/>
    </row>
    <row r="3233" spans="1:6" ht="14.25" customHeight="1" x14ac:dyDescent="0.3">
      <c r="A3233" s="73">
        <v>45306</v>
      </c>
      <c r="B3233" s="74">
        <v>73327.94</v>
      </c>
      <c r="C3233" s="74">
        <v>3758.75</v>
      </c>
      <c r="D3233" s="74">
        <f t="shared" si="101"/>
        <v>1.041145515132442E-2</v>
      </c>
      <c r="E3233" s="74">
        <f t="shared" si="102"/>
        <v>9.2343916550767582E-3</v>
      </c>
      <c r="F3233" s="75"/>
    </row>
    <row r="3234" spans="1:6" ht="14.25" customHeight="1" x14ac:dyDescent="0.3">
      <c r="A3234" s="73">
        <v>45307</v>
      </c>
      <c r="B3234" s="74">
        <v>73128.77</v>
      </c>
      <c r="C3234" s="74">
        <v>3819.3</v>
      </c>
      <c r="D3234" s="74">
        <f t="shared" si="101"/>
        <v>-2.7198497464726852E-3</v>
      </c>
      <c r="E3234" s="74">
        <f t="shared" si="102"/>
        <v>1.5980704432970585E-2</v>
      </c>
      <c r="F3234" s="75"/>
    </row>
    <row r="3235" spans="1:6" ht="14.25" customHeight="1" x14ac:dyDescent="0.3">
      <c r="A3235" s="73">
        <v>45308</v>
      </c>
      <c r="B3235" s="74">
        <v>71500.759999999995</v>
      </c>
      <c r="C3235" s="74">
        <v>3830</v>
      </c>
      <c r="D3235" s="74">
        <f t="shared" si="101"/>
        <v>-2.2513780764534256E-2</v>
      </c>
      <c r="E3235" s="74">
        <f t="shared" si="102"/>
        <v>2.7976434389821634E-3</v>
      </c>
      <c r="F3235" s="75"/>
    </row>
    <row r="3236" spans="1:6" ht="14.25" customHeight="1" x14ac:dyDescent="0.3">
      <c r="A3236" s="73">
        <v>45309</v>
      </c>
      <c r="B3236" s="74">
        <v>71186.86</v>
      </c>
      <c r="C3236" s="74">
        <v>3736.05</v>
      </c>
      <c r="D3236" s="74">
        <f t="shared" si="101"/>
        <v>-4.3998281895180121E-3</v>
      </c>
      <c r="E3236" s="74">
        <f t="shared" si="102"/>
        <v>-2.4835899617869334E-2</v>
      </c>
      <c r="F3236" s="75"/>
    </row>
    <row r="3237" spans="1:6" ht="14.25" customHeight="1" x14ac:dyDescent="0.3">
      <c r="A3237" s="73">
        <v>45310</v>
      </c>
      <c r="B3237" s="74">
        <v>71683.23</v>
      </c>
      <c r="C3237" s="74">
        <v>3809.6</v>
      </c>
      <c r="D3237" s="74">
        <f t="shared" si="101"/>
        <v>6.9485782107878893E-3</v>
      </c>
      <c r="E3237" s="74">
        <f t="shared" si="102"/>
        <v>1.9495293175775988E-2</v>
      </c>
      <c r="F3237" s="75"/>
    </row>
    <row r="3238" spans="1:6" ht="14.25" customHeight="1" x14ac:dyDescent="0.3">
      <c r="A3238" s="73">
        <v>45311</v>
      </c>
      <c r="B3238" s="74">
        <v>71423.649999999994</v>
      </c>
      <c r="C3238" s="74">
        <v>3784.95</v>
      </c>
      <c r="D3238" s="74">
        <f t="shared" si="101"/>
        <v>-3.6277820422056044E-3</v>
      </c>
      <c r="E3238" s="74">
        <f t="shared" si="102"/>
        <v>-6.4915199879327229E-3</v>
      </c>
      <c r="F3238" s="75"/>
    </row>
    <row r="3239" spans="1:6" ht="14.25" customHeight="1" x14ac:dyDescent="0.3">
      <c r="A3239" s="73">
        <v>45314</v>
      </c>
      <c r="B3239" s="74">
        <v>70370.55</v>
      </c>
      <c r="C3239" s="74">
        <v>3737.15</v>
      </c>
      <c r="D3239" s="74">
        <f t="shared" si="101"/>
        <v>-1.4854195214640591E-2</v>
      </c>
      <c r="E3239" s="74">
        <f t="shared" si="102"/>
        <v>-1.2709387915685801E-2</v>
      </c>
      <c r="F3239" s="75"/>
    </row>
    <row r="3240" spans="1:6" ht="14.25" customHeight="1" x14ac:dyDescent="0.3">
      <c r="A3240" s="73">
        <v>45315</v>
      </c>
      <c r="B3240" s="74">
        <v>71060.31</v>
      </c>
      <c r="C3240" s="74">
        <v>3765.05</v>
      </c>
      <c r="D3240" s="74">
        <f t="shared" si="101"/>
        <v>9.7541013153960143E-3</v>
      </c>
      <c r="E3240" s="74">
        <f t="shared" si="102"/>
        <v>7.4378525293163035E-3</v>
      </c>
      <c r="F3240" s="75"/>
    </row>
    <row r="3241" spans="1:6" ht="14.25" customHeight="1" x14ac:dyDescent="0.3">
      <c r="A3241" s="73">
        <v>45316</v>
      </c>
      <c r="B3241" s="74">
        <v>70700.67</v>
      </c>
      <c r="C3241" s="74">
        <v>3770.2</v>
      </c>
      <c r="D3241" s="74">
        <f t="shared" si="101"/>
        <v>-5.0739035743440986E-3</v>
      </c>
      <c r="E3241" s="74">
        <f t="shared" si="102"/>
        <v>1.3669090745156978E-3</v>
      </c>
      <c r="F3241" s="75"/>
    </row>
    <row r="3242" spans="1:6" ht="14.25" customHeight="1" x14ac:dyDescent="0.3">
      <c r="A3242" s="73">
        <v>45320</v>
      </c>
      <c r="B3242" s="74">
        <v>71941.570000000007</v>
      </c>
      <c r="C3242" s="74">
        <v>3866.05</v>
      </c>
      <c r="D3242" s="74">
        <f t="shared" si="101"/>
        <v>1.7399212251775192E-2</v>
      </c>
      <c r="E3242" s="74">
        <f t="shared" si="102"/>
        <v>2.5105263516186492E-2</v>
      </c>
      <c r="F3242" s="75"/>
    </row>
    <row r="3243" spans="1:6" ht="14.25" customHeight="1" x14ac:dyDescent="0.3">
      <c r="A3243" s="73">
        <v>45321</v>
      </c>
      <c r="B3243" s="74">
        <v>71139.899999999994</v>
      </c>
      <c r="C3243" s="74">
        <v>3735.85</v>
      </c>
      <c r="D3243" s="74">
        <f t="shared" si="101"/>
        <v>-1.1205900930972618E-2</v>
      </c>
      <c r="E3243" s="74">
        <f t="shared" si="102"/>
        <v>-3.4257944299227211E-2</v>
      </c>
      <c r="F3243" s="75"/>
    </row>
    <row r="3244" spans="1:6" ht="14.25" customHeight="1" x14ac:dyDescent="0.3">
      <c r="A3244" s="73">
        <v>45322</v>
      </c>
      <c r="B3244" s="74">
        <v>71752.11</v>
      </c>
      <c r="C3244" s="74">
        <v>3697.4</v>
      </c>
      <c r="D3244" s="74">
        <f t="shared" si="101"/>
        <v>8.5689010324606508E-3</v>
      </c>
      <c r="E3244" s="74">
        <f t="shared" si="102"/>
        <v>-1.0345499731425851E-2</v>
      </c>
      <c r="F3244" s="75"/>
    </row>
    <row r="3245" spans="1:6" ht="14.25" customHeight="1" x14ac:dyDescent="0.3">
      <c r="A3245" s="73">
        <v>45323</v>
      </c>
      <c r="B3245" s="74">
        <v>71645.3</v>
      </c>
      <c r="C3245" s="74">
        <v>3626</v>
      </c>
      <c r="D3245" s="74">
        <f t="shared" si="101"/>
        <v>-1.4897064005960515E-3</v>
      </c>
      <c r="E3245" s="74">
        <f t="shared" si="102"/>
        <v>-1.9499757603548839E-2</v>
      </c>
      <c r="F3245" s="75"/>
    </row>
    <row r="3246" spans="1:6" ht="14.25" customHeight="1" x14ac:dyDescent="0.3">
      <c r="A3246" s="73">
        <v>45324</v>
      </c>
      <c r="B3246" s="74">
        <v>72085.63</v>
      </c>
      <c r="C3246" s="74">
        <v>3613.75</v>
      </c>
      <c r="D3246" s="74">
        <f t="shared" si="101"/>
        <v>6.1271624357531551E-3</v>
      </c>
      <c r="E3246" s="74">
        <f t="shared" si="102"/>
        <v>-3.3840979842405684E-3</v>
      </c>
      <c r="F3246" s="75"/>
    </row>
    <row r="3247" spans="1:6" ht="14.25" customHeight="1" x14ac:dyDescent="0.3">
      <c r="A3247" s="73">
        <v>45327</v>
      </c>
      <c r="B3247" s="74">
        <v>71731.42</v>
      </c>
      <c r="C3247" s="74">
        <v>3552.6</v>
      </c>
      <c r="D3247" s="74">
        <f t="shared" si="101"/>
        <v>-4.9258515066568243E-3</v>
      </c>
      <c r="E3247" s="74">
        <f t="shared" si="102"/>
        <v>-1.7066284564770443E-2</v>
      </c>
      <c r="F3247" s="75"/>
    </row>
    <row r="3248" spans="1:6" ht="14.25" customHeight="1" x14ac:dyDescent="0.3">
      <c r="A3248" s="73">
        <v>45328</v>
      </c>
      <c r="B3248" s="74">
        <v>72186.09</v>
      </c>
      <c r="C3248" s="74">
        <v>3559.75</v>
      </c>
      <c r="D3248" s="74">
        <f t="shared" si="101"/>
        <v>6.3185016564799839E-3</v>
      </c>
      <c r="E3248" s="74">
        <f t="shared" si="102"/>
        <v>2.0105878953185987E-3</v>
      </c>
      <c r="F3248" s="75"/>
    </row>
    <row r="3249" spans="1:6" ht="14.25" customHeight="1" x14ac:dyDescent="0.3">
      <c r="A3249" s="73">
        <v>45329</v>
      </c>
      <c r="B3249" s="74">
        <v>72152</v>
      </c>
      <c r="C3249" s="74">
        <v>3576.75</v>
      </c>
      <c r="D3249" s="74">
        <f t="shared" si="101"/>
        <v>-4.7236319441204257E-4</v>
      </c>
      <c r="E3249" s="74">
        <f t="shared" si="102"/>
        <v>4.7642491853393471E-3</v>
      </c>
      <c r="F3249" s="75"/>
    </row>
    <row r="3250" spans="1:6" ht="14.25" customHeight="1" x14ac:dyDescent="0.3">
      <c r="A3250" s="73">
        <v>45330</v>
      </c>
      <c r="B3250" s="74">
        <v>71428.429999999993</v>
      </c>
      <c r="C3250" s="74">
        <v>3549</v>
      </c>
      <c r="D3250" s="74">
        <f t="shared" si="101"/>
        <v>-1.0079035498488948E-2</v>
      </c>
      <c r="E3250" s="74">
        <f t="shared" si="102"/>
        <v>-7.7886931999470018E-3</v>
      </c>
      <c r="F3250" s="75"/>
    </row>
    <row r="3251" spans="1:6" ht="14.25" customHeight="1" x14ac:dyDescent="0.3">
      <c r="A3251" s="73">
        <v>45331</v>
      </c>
      <c r="B3251" s="74">
        <v>71595.490000000005</v>
      </c>
      <c r="C3251" s="74">
        <v>3590.6</v>
      </c>
      <c r="D3251" s="74">
        <f t="shared" si="101"/>
        <v>2.3361137909867192E-3</v>
      </c>
      <c r="E3251" s="74">
        <f t="shared" si="102"/>
        <v>1.165344579023197E-2</v>
      </c>
      <c r="F3251" s="75"/>
    </row>
    <row r="3252" spans="1:6" ht="14.25" customHeight="1" x14ac:dyDescent="0.3">
      <c r="A3252" s="73">
        <v>45334</v>
      </c>
      <c r="B3252" s="74">
        <v>71072.490000000005</v>
      </c>
      <c r="C3252" s="74">
        <v>3584</v>
      </c>
      <c r="D3252" s="74">
        <f t="shared" si="101"/>
        <v>-7.3317410507249192E-3</v>
      </c>
      <c r="E3252" s="74">
        <f t="shared" si="102"/>
        <v>-1.8398243419073821E-3</v>
      </c>
      <c r="F3252" s="75"/>
    </row>
    <row r="3253" spans="1:6" ht="14.25" customHeight="1" x14ac:dyDescent="0.3">
      <c r="A3253" s="73">
        <v>45335</v>
      </c>
      <c r="B3253" s="74">
        <v>71555.19</v>
      </c>
      <c r="C3253" s="74">
        <v>3559.25</v>
      </c>
      <c r="D3253" s="74">
        <f t="shared" si="101"/>
        <v>6.7686979542527755E-3</v>
      </c>
      <c r="E3253" s="74">
        <f t="shared" si="102"/>
        <v>-6.9296466009658997E-3</v>
      </c>
      <c r="F3253" s="75"/>
    </row>
    <row r="3254" spans="1:6" ht="14.25" customHeight="1" x14ac:dyDescent="0.3">
      <c r="A3254" s="73">
        <v>45336</v>
      </c>
      <c r="B3254" s="74">
        <v>71822.83</v>
      </c>
      <c r="C3254" s="74">
        <v>3586.55</v>
      </c>
      <c r="D3254" s="74">
        <f t="shared" si="101"/>
        <v>3.7333520279041344E-3</v>
      </c>
      <c r="E3254" s="74">
        <f t="shared" si="102"/>
        <v>7.6408891437267541E-3</v>
      </c>
      <c r="F3254" s="75"/>
    </row>
    <row r="3255" spans="1:6" ht="14.25" customHeight="1" x14ac:dyDescent="0.3">
      <c r="A3255" s="73">
        <v>45337</v>
      </c>
      <c r="B3255" s="74">
        <v>72050.38</v>
      </c>
      <c r="C3255" s="74">
        <v>3621.7</v>
      </c>
      <c r="D3255" s="74">
        <f t="shared" si="101"/>
        <v>3.1632044594840075E-3</v>
      </c>
      <c r="E3255" s="74">
        <f t="shared" si="102"/>
        <v>9.7527912081066277E-3</v>
      </c>
      <c r="F3255" s="75"/>
    </row>
    <row r="3256" spans="1:6" ht="14.25" customHeight="1" x14ac:dyDescent="0.3">
      <c r="A3256" s="73">
        <v>45338</v>
      </c>
      <c r="B3256" s="74">
        <v>72426.64</v>
      </c>
      <c r="C3256" s="74">
        <v>3656.6</v>
      </c>
      <c r="D3256" s="74">
        <f t="shared" si="101"/>
        <v>5.2085909668204691E-3</v>
      </c>
      <c r="E3256" s="74">
        <f t="shared" si="102"/>
        <v>9.5902250487158759E-3</v>
      </c>
      <c r="F3256" s="75"/>
    </row>
    <row r="3257" spans="1:6" ht="14.25" customHeight="1" x14ac:dyDescent="0.3">
      <c r="A3257" s="73">
        <v>45341</v>
      </c>
      <c r="B3257" s="74">
        <v>72708.160000000003</v>
      </c>
      <c r="C3257" s="74">
        <v>3693.3</v>
      </c>
      <c r="D3257" s="74">
        <f t="shared" si="101"/>
        <v>3.8794328179443194E-3</v>
      </c>
      <c r="E3257" s="74">
        <f t="shared" si="102"/>
        <v>9.9866134272746376E-3</v>
      </c>
      <c r="F3257" s="75"/>
    </row>
    <row r="3258" spans="1:6" ht="14.25" customHeight="1" x14ac:dyDescent="0.3">
      <c r="A3258" s="73">
        <v>45342</v>
      </c>
      <c r="B3258" s="74">
        <v>73057.399999999994</v>
      </c>
      <c r="C3258" s="74">
        <v>3682.4</v>
      </c>
      <c r="D3258" s="74">
        <f t="shared" si="101"/>
        <v>4.7918132136997122E-3</v>
      </c>
      <c r="E3258" s="74">
        <f t="shared" si="102"/>
        <v>-2.955653818647382E-3</v>
      </c>
      <c r="F3258" s="75"/>
    </row>
    <row r="3259" spans="1:6" ht="14.25" customHeight="1" x14ac:dyDescent="0.3">
      <c r="A3259" s="73">
        <v>45343</v>
      </c>
      <c r="B3259" s="74">
        <v>72623.09</v>
      </c>
      <c r="C3259" s="74">
        <v>3653.5</v>
      </c>
      <c r="D3259" s="74">
        <f t="shared" si="101"/>
        <v>-5.9625182026963588E-3</v>
      </c>
      <c r="E3259" s="74">
        <f t="shared" si="102"/>
        <v>-7.8791012717591858E-3</v>
      </c>
      <c r="F3259" s="75"/>
    </row>
    <row r="3260" spans="1:6" ht="14.25" customHeight="1" x14ac:dyDescent="0.3">
      <c r="A3260" s="73">
        <v>45344</v>
      </c>
      <c r="B3260" s="74">
        <v>73158.240000000005</v>
      </c>
      <c r="C3260" s="74">
        <v>3651.8</v>
      </c>
      <c r="D3260" s="74">
        <f t="shared" si="101"/>
        <v>7.3418510290321811E-3</v>
      </c>
      <c r="E3260" s="74">
        <f t="shared" si="102"/>
        <v>-4.6541552863993099E-4</v>
      </c>
      <c r="F3260" s="75"/>
    </row>
    <row r="3261" spans="1:6" ht="14.25" customHeight="1" x14ac:dyDescent="0.3">
      <c r="A3261" s="73">
        <v>45345</v>
      </c>
      <c r="B3261" s="74">
        <v>73142.8</v>
      </c>
      <c r="C3261" s="74">
        <v>3692.95</v>
      </c>
      <c r="D3261" s="74">
        <f t="shared" si="101"/>
        <v>-2.1107163773173055E-4</v>
      </c>
      <c r="E3261" s="74">
        <f t="shared" si="102"/>
        <v>1.1205399930195474E-2</v>
      </c>
      <c r="F3261" s="75"/>
    </row>
    <row r="3262" spans="1:6" ht="14.25" customHeight="1" x14ac:dyDescent="0.3">
      <c r="A3262" s="73">
        <v>45348</v>
      </c>
      <c r="B3262" s="74">
        <v>72790.13</v>
      </c>
      <c r="C3262" s="74">
        <v>3621.05</v>
      </c>
      <c r="D3262" s="74">
        <f t="shared" si="101"/>
        <v>-4.8333256457077627E-3</v>
      </c>
      <c r="E3262" s="74">
        <f t="shared" si="102"/>
        <v>-1.9661557622283655E-2</v>
      </c>
      <c r="F3262" s="75"/>
    </row>
    <row r="3263" spans="1:6" ht="14.25" customHeight="1" x14ac:dyDescent="0.3">
      <c r="A3263" s="73">
        <v>45349</v>
      </c>
      <c r="B3263" s="74">
        <v>73095.22</v>
      </c>
      <c r="C3263" s="74">
        <v>3652.55</v>
      </c>
      <c r="D3263" s="74">
        <f t="shared" si="101"/>
        <v>4.182605652659049E-3</v>
      </c>
      <c r="E3263" s="74">
        <f t="shared" si="102"/>
        <v>8.6615147745487241E-3</v>
      </c>
      <c r="F3263" s="75"/>
    </row>
    <row r="3264" spans="1:6" ht="14.25" customHeight="1" x14ac:dyDescent="0.3">
      <c r="A3264" s="73">
        <v>45350</v>
      </c>
      <c r="B3264" s="74">
        <v>72304.88</v>
      </c>
      <c r="C3264" s="74">
        <v>3592.6</v>
      </c>
      <c r="D3264" s="74">
        <f t="shared" si="101"/>
        <v>-1.0871351311725373E-2</v>
      </c>
      <c r="E3264" s="74">
        <f t="shared" si="102"/>
        <v>-1.654937945035807E-2</v>
      </c>
      <c r="F3264" s="75"/>
    </row>
    <row r="3265" spans="1:6" ht="14.25" customHeight="1" x14ac:dyDescent="0.3">
      <c r="A3265" s="73">
        <v>45351</v>
      </c>
      <c r="B3265" s="74">
        <v>72500.3</v>
      </c>
      <c r="C3265" s="74">
        <v>3629.35</v>
      </c>
      <c r="D3265" s="74">
        <f t="shared" si="101"/>
        <v>2.6990763539870006E-3</v>
      </c>
      <c r="E3265" s="74">
        <f t="shared" si="102"/>
        <v>1.0177394529522056E-2</v>
      </c>
      <c r="F3265" s="75"/>
    </row>
    <row r="3266" spans="1:6" ht="14.25" customHeight="1" x14ac:dyDescent="0.3">
      <c r="A3266" s="73">
        <v>45352</v>
      </c>
      <c r="B3266" s="74">
        <v>73745.350000000006</v>
      </c>
      <c r="C3266" s="74">
        <v>3764.7</v>
      </c>
      <c r="D3266" s="74">
        <f t="shared" si="101"/>
        <v>1.702724260158095E-2</v>
      </c>
      <c r="E3266" s="74">
        <f t="shared" si="102"/>
        <v>3.6614607920114749E-2</v>
      </c>
      <c r="F3266" s="75"/>
    </row>
    <row r="3267" spans="1:6" ht="14.25" customHeight="1" x14ac:dyDescent="0.3">
      <c r="A3267" s="73">
        <v>45353</v>
      </c>
      <c r="B3267" s="74">
        <v>73806.149999999994</v>
      </c>
      <c r="C3267" s="74">
        <v>3764.45</v>
      </c>
      <c r="D3267" s="74">
        <f t="shared" si="101"/>
        <v>8.2411908304738852E-4</v>
      </c>
      <c r="E3267" s="74">
        <f t="shared" si="102"/>
        <v>-6.6408558759401288E-5</v>
      </c>
      <c r="F3267" s="75"/>
    </row>
    <row r="3268" spans="1:6" ht="14.25" customHeight="1" x14ac:dyDescent="0.3">
      <c r="A3268" s="73">
        <v>45355</v>
      </c>
      <c r="B3268" s="74">
        <v>73872.289999999994</v>
      </c>
      <c r="C3268" s="74">
        <v>3731.85</v>
      </c>
      <c r="D3268" s="74">
        <f t="shared" ref="D3268:D3331" si="103">LN(B3268/B3267)</f>
        <v>8.95729998531847E-4</v>
      </c>
      <c r="E3268" s="74">
        <f t="shared" ref="E3268:E3331" si="104">LN(C3268/C3267)</f>
        <v>-8.697678992180484E-3</v>
      </c>
      <c r="F3268" s="75"/>
    </row>
    <row r="3269" spans="1:6" ht="14.25" customHeight="1" x14ac:dyDescent="0.3">
      <c r="A3269" s="73">
        <v>45356</v>
      </c>
      <c r="B3269" s="74">
        <v>73677.13</v>
      </c>
      <c r="C3269" s="74">
        <v>3752.9</v>
      </c>
      <c r="D3269" s="74">
        <f t="shared" si="103"/>
        <v>-2.6453525037101852E-3</v>
      </c>
      <c r="E3269" s="74">
        <f t="shared" si="104"/>
        <v>5.6247851962087673E-3</v>
      </c>
      <c r="F3269" s="75"/>
    </row>
    <row r="3270" spans="1:6" ht="14.25" customHeight="1" x14ac:dyDescent="0.3">
      <c r="A3270" s="73">
        <v>45357</v>
      </c>
      <c r="B3270" s="74">
        <v>74085.990000000005</v>
      </c>
      <c r="C3270" s="74">
        <v>3809.85</v>
      </c>
      <c r="D3270" s="74">
        <f t="shared" si="103"/>
        <v>5.5340066378143484E-3</v>
      </c>
      <c r="E3270" s="74">
        <f t="shared" si="104"/>
        <v>1.5060943837343733E-2</v>
      </c>
      <c r="F3270" s="75"/>
    </row>
    <row r="3271" spans="1:6" ht="14.25" customHeight="1" x14ac:dyDescent="0.3">
      <c r="A3271" s="73">
        <v>45358</v>
      </c>
      <c r="B3271" s="74">
        <v>74119.39</v>
      </c>
      <c r="C3271" s="74">
        <v>3787.5</v>
      </c>
      <c r="D3271" s="74">
        <f t="shared" si="103"/>
        <v>4.507258854630576E-4</v>
      </c>
      <c r="E3271" s="74">
        <f t="shared" si="104"/>
        <v>-5.8836474493599621E-3</v>
      </c>
      <c r="F3271" s="75"/>
    </row>
    <row r="3272" spans="1:6" ht="14.25" customHeight="1" x14ac:dyDescent="0.3">
      <c r="A3272" s="73">
        <v>45362</v>
      </c>
      <c r="B3272" s="74">
        <v>73502.64</v>
      </c>
      <c r="C3272" s="74">
        <v>3750.05</v>
      </c>
      <c r="D3272" s="74">
        <f t="shared" si="103"/>
        <v>-8.3558475447408301E-3</v>
      </c>
      <c r="E3272" s="74">
        <f t="shared" si="104"/>
        <v>-9.9369976087228199E-3</v>
      </c>
      <c r="F3272" s="75"/>
    </row>
    <row r="3273" spans="1:6" ht="14.25" customHeight="1" x14ac:dyDescent="0.3">
      <c r="A3273" s="73">
        <v>45363</v>
      </c>
      <c r="B3273" s="74">
        <v>73667.960000000006</v>
      </c>
      <c r="C3273" s="74">
        <v>3749.8</v>
      </c>
      <c r="D3273" s="74">
        <f t="shared" si="103"/>
        <v>2.246645315525746E-3</v>
      </c>
      <c r="E3273" s="74">
        <f t="shared" si="104"/>
        <v>-6.6668000051306838E-5</v>
      </c>
      <c r="F3273" s="75"/>
    </row>
    <row r="3274" spans="1:6" ht="14.25" customHeight="1" x14ac:dyDescent="0.3">
      <c r="A3274" s="73">
        <v>45364</v>
      </c>
      <c r="B3274" s="74">
        <v>72761.89</v>
      </c>
      <c r="C3274" s="74">
        <v>3627.25</v>
      </c>
      <c r="D3274" s="74">
        <f t="shared" si="103"/>
        <v>-1.2375640133173453E-2</v>
      </c>
      <c r="E3274" s="74">
        <f t="shared" si="104"/>
        <v>-3.3227719813055903E-2</v>
      </c>
      <c r="F3274" s="75"/>
    </row>
    <row r="3275" spans="1:6" ht="14.25" customHeight="1" x14ac:dyDescent="0.3">
      <c r="A3275" s="73">
        <v>45365</v>
      </c>
      <c r="B3275" s="74">
        <v>73097.279999999999</v>
      </c>
      <c r="C3275" s="74">
        <v>3640.85</v>
      </c>
      <c r="D3275" s="74">
        <f t="shared" si="103"/>
        <v>4.5988276376828629E-3</v>
      </c>
      <c r="E3275" s="74">
        <f t="shared" si="104"/>
        <v>3.74238545777798E-3</v>
      </c>
      <c r="F3275" s="75"/>
    </row>
    <row r="3276" spans="1:6" ht="14.25" customHeight="1" x14ac:dyDescent="0.3">
      <c r="A3276" s="73">
        <v>45366</v>
      </c>
      <c r="B3276" s="74">
        <v>72643.429999999993</v>
      </c>
      <c r="C3276" s="74">
        <v>3633</v>
      </c>
      <c r="D3276" s="74">
        <f t="shared" si="103"/>
        <v>-6.228204419880156E-3</v>
      </c>
      <c r="E3276" s="74">
        <f t="shared" si="104"/>
        <v>-2.1584176323705922E-3</v>
      </c>
      <c r="F3276" s="75"/>
    </row>
    <row r="3277" spans="1:6" ht="14.25" customHeight="1" x14ac:dyDescent="0.3">
      <c r="A3277" s="73">
        <v>45369</v>
      </c>
      <c r="B3277" s="74">
        <v>72748.42</v>
      </c>
      <c r="C3277" s="74">
        <v>3581</v>
      </c>
      <c r="D3277" s="74">
        <f t="shared" si="103"/>
        <v>1.4442352614559091E-3</v>
      </c>
      <c r="E3277" s="74">
        <f t="shared" si="104"/>
        <v>-1.4416662222769279E-2</v>
      </c>
      <c r="F3277" s="75"/>
    </row>
    <row r="3278" spans="1:6" ht="14.25" customHeight="1" x14ac:dyDescent="0.3">
      <c r="A3278" s="73">
        <v>45370</v>
      </c>
      <c r="B3278" s="74">
        <v>72012.05</v>
      </c>
      <c r="C3278" s="74">
        <v>3582.55</v>
      </c>
      <c r="D3278" s="74">
        <f t="shared" si="103"/>
        <v>-1.0173721478841552E-2</v>
      </c>
      <c r="E3278" s="74">
        <f t="shared" si="104"/>
        <v>4.3274634062422194E-4</v>
      </c>
      <c r="F3278" s="75"/>
    </row>
    <row r="3279" spans="1:6" ht="14.25" customHeight="1" x14ac:dyDescent="0.3">
      <c r="A3279" s="73">
        <v>45371</v>
      </c>
      <c r="B3279" s="74">
        <v>72101.69</v>
      </c>
      <c r="C3279" s="74">
        <v>3592.45</v>
      </c>
      <c r="D3279" s="74">
        <f t="shared" si="103"/>
        <v>1.2440175594695723E-3</v>
      </c>
      <c r="E3279" s="74">
        <f t="shared" si="104"/>
        <v>2.7595836327868276E-3</v>
      </c>
      <c r="F3279" s="75"/>
    </row>
    <row r="3280" spans="1:6" ht="14.25" customHeight="1" x14ac:dyDescent="0.3">
      <c r="A3280" s="73">
        <v>45372</v>
      </c>
      <c r="B3280" s="74">
        <v>72641.19</v>
      </c>
      <c r="C3280" s="74">
        <v>3628.95</v>
      </c>
      <c r="D3280" s="74">
        <f t="shared" si="103"/>
        <v>7.4546326341144494E-3</v>
      </c>
      <c r="E3280" s="74">
        <f t="shared" si="104"/>
        <v>1.0108929246062381E-2</v>
      </c>
      <c r="F3280" s="75"/>
    </row>
    <row r="3281" spans="1:6" ht="14.25" customHeight="1" x14ac:dyDescent="0.3">
      <c r="A3281" s="73">
        <v>45373</v>
      </c>
      <c r="B3281" s="74">
        <v>72831.94</v>
      </c>
      <c r="C3281" s="74">
        <v>3709.15</v>
      </c>
      <c r="D3281" s="74">
        <f t="shared" si="103"/>
        <v>2.6224789323214251E-3</v>
      </c>
      <c r="E3281" s="74">
        <f t="shared" si="104"/>
        <v>2.1859389621622489E-2</v>
      </c>
      <c r="F3281" s="75"/>
    </row>
    <row r="3282" spans="1:6" ht="14.25" customHeight="1" x14ac:dyDescent="0.3">
      <c r="A3282" s="73">
        <v>45377</v>
      </c>
      <c r="B3282" s="74">
        <v>72470.3</v>
      </c>
      <c r="C3282" s="74">
        <v>3700.15</v>
      </c>
      <c r="D3282" s="74">
        <f t="shared" si="103"/>
        <v>-4.9777724931511095E-3</v>
      </c>
      <c r="E3282" s="74">
        <f t="shared" si="104"/>
        <v>-2.4293804884177234E-3</v>
      </c>
      <c r="F3282" s="75"/>
    </row>
    <row r="3283" spans="1:6" ht="14.25" customHeight="1" x14ac:dyDescent="0.3">
      <c r="A3283" s="73">
        <v>45378</v>
      </c>
      <c r="B3283" s="74">
        <v>72996.31</v>
      </c>
      <c r="C3283" s="74">
        <v>3761.2</v>
      </c>
      <c r="D3283" s="74">
        <f t="shared" si="103"/>
        <v>7.2320691689827495E-3</v>
      </c>
      <c r="E3283" s="74">
        <f t="shared" si="104"/>
        <v>1.6364696051810911E-2</v>
      </c>
      <c r="F3283" s="75"/>
    </row>
    <row r="3284" spans="1:6" ht="14.25" customHeight="1" x14ac:dyDescent="0.3">
      <c r="A3284" s="73">
        <v>45379</v>
      </c>
      <c r="B3284" s="74">
        <v>73651.350000000006</v>
      </c>
      <c r="C3284" s="74">
        <v>3804.75</v>
      </c>
      <c r="D3284" s="74">
        <f t="shared" si="103"/>
        <v>8.9335807539530042E-3</v>
      </c>
      <c r="E3284" s="74">
        <f t="shared" si="104"/>
        <v>1.151223071198732E-2</v>
      </c>
      <c r="F3284" s="75"/>
    </row>
    <row r="3285" spans="1:6" ht="14.25" customHeight="1" x14ac:dyDescent="0.3">
      <c r="A3285" s="73">
        <v>45383</v>
      </c>
      <c r="B3285" s="74">
        <v>74014.55</v>
      </c>
      <c r="C3285" s="74">
        <v>3737.95</v>
      </c>
      <c r="D3285" s="74">
        <f t="shared" si="103"/>
        <v>4.9192228187454959E-3</v>
      </c>
      <c r="E3285" s="74">
        <f t="shared" si="104"/>
        <v>-1.7712953325833961E-2</v>
      </c>
      <c r="F3285" s="75"/>
    </row>
    <row r="3286" spans="1:6" ht="14.25" customHeight="1" x14ac:dyDescent="0.3">
      <c r="A3286" s="73">
        <v>45384</v>
      </c>
      <c r="B3286" s="74">
        <v>73903.91</v>
      </c>
      <c r="C3286" s="74">
        <v>3756.7</v>
      </c>
      <c r="D3286" s="74">
        <f t="shared" si="103"/>
        <v>-1.4959596068453956E-3</v>
      </c>
      <c r="E3286" s="74">
        <f t="shared" si="104"/>
        <v>5.003579651734512E-3</v>
      </c>
      <c r="F3286" s="75"/>
    </row>
    <row r="3287" spans="1:6" ht="14.25" customHeight="1" x14ac:dyDescent="0.3">
      <c r="A3287" s="73">
        <v>45385</v>
      </c>
      <c r="B3287" s="74">
        <v>73876.820000000007</v>
      </c>
      <c r="C3287" s="74">
        <v>3713</v>
      </c>
      <c r="D3287" s="74">
        <f t="shared" si="103"/>
        <v>-3.6662425883849758E-4</v>
      </c>
      <c r="E3287" s="74">
        <f t="shared" si="104"/>
        <v>-1.1700737263729513E-2</v>
      </c>
      <c r="F3287" s="75"/>
    </row>
    <row r="3288" spans="1:6" ht="14.25" customHeight="1" x14ac:dyDescent="0.3">
      <c r="A3288" s="73">
        <v>45386</v>
      </c>
      <c r="B3288" s="74">
        <v>74227.63</v>
      </c>
      <c r="C3288" s="74">
        <v>3783.05</v>
      </c>
      <c r="D3288" s="74">
        <f t="shared" si="103"/>
        <v>4.7373411951451422E-3</v>
      </c>
      <c r="E3288" s="74">
        <f t="shared" si="104"/>
        <v>1.8690387392131497E-2</v>
      </c>
      <c r="F3288" s="75"/>
    </row>
    <row r="3289" spans="1:6" ht="14.25" customHeight="1" x14ac:dyDescent="0.3">
      <c r="A3289" s="73">
        <v>45387</v>
      </c>
      <c r="B3289" s="74">
        <v>74248.22</v>
      </c>
      <c r="C3289" s="74">
        <v>3754.85</v>
      </c>
      <c r="D3289" s="74">
        <f t="shared" si="103"/>
        <v>2.7735150372240749E-4</v>
      </c>
      <c r="E3289" s="74">
        <f t="shared" si="104"/>
        <v>-7.4822249065516922E-3</v>
      </c>
      <c r="F3289" s="75"/>
    </row>
    <row r="3290" spans="1:6" ht="14.25" customHeight="1" x14ac:dyDescent="0.3">
      <c r="A3290" s="73">
        <v>45390</v>
      </c>
      <c r="B3290" s="74">
        <v>74742.5</v>
      </c>
      <c r="C3290" s="74">
        <v>3747.7</v>
      </c>
      <c r="D3290" s="74">
        <f t="shared" si="103"/>
        <v>6.6350684573204151E-3</v>
      </c>
      <c r="E3290" s="74">
        <f t="shared" si="104"/>
        <v>-1.9060191973685023E-3</v>
      </c>
      <c r="F3290" s="75"/>
    </row>
    <row r="3291" spans="1:6" ht="14.25" customHeight="1" x14ac:dyDescent="0.3">
      <c r="A3291" s="73">
        <v>45391</v>
      </c>
      <c r="B3291" s="74">
        <v>74683.7</v>
      </c>
      <c r="C3291" s="74">
        <v>3679.7</v>
      </c>
      <c r="D3291" s="74">
        <f t="shared" si="103"/>
        <v>-7.8701061841889269E-4</v>
      </c>
      <c r="E3291" s="74">
        <f t="shared" si="104"/>
        <v>-1.8311091364522879E-2</v>
      </c>
      <c r="F3291" s="75"/>
    </row>
    <row r="3292" spans="1:6" ht="14.25" customHeight="1" x14ac:dyDescent="0.3">
      <c r="A3292" s="73">
        <v>45392</v>
      </c>
      <c r="B3292" s="74">
        <v>75038.149999999994</v>
      </c>
      <c r="C3292" s="74">
        <v>3708.65</v>
      </c>
      <c r="D3292" s="74">
        <f t="shared" si="103"/>
        <v>4.7347887055635305E-3</v>
      </c>
      <c r="E3292" s="74">
        <f t="shared" si="104"/>
        <v>7.836701878192999E-3</v>
      </c>
      <c r="F3292" s="75"/>
    </row>
    <row r="3293" spans="1:6" ht="14.25" customHeight="1" x14ac:dyDescent="0.3">
      <c r="A3293" s="73">
        <v>45394</v>
      </c>
      <c r="B3293" s="74">
        <v>74244.899999999994</v>
      </c>
      <c r="C3293" s="74">
        <v>3619.7</v>
      </c>
      <c r="D3293" s="74">
        <f t="shared" si="103"/>
        <v>-1.0627562420871458E-2</v>
      </c>
      <c r="E3293" s="74">
        <f t="shared" si="104"/>
        <v>-2.4276779521472443E-2</v>
      </c>
      <c r="F3293" s="75"/>
    </row>
    <row r="3294" spans="1:6" ht="14.25" customHeight="1" x14ac:dyDescent="0.3">
      <c r="A3294" s="73">
        <v>45397</v>
      </c>
      <c r="B3294" s="74">
        <v>73399.78</v>
      </c>
      <c r="C3294" s="74">
        <v>3601.55</v>
      </c>
      <c r="D3294" s="74">
        <f t="shared" si="103"/>
        <v>-1.144815011429739E-2</v>
      </c>
      <c r="E3294" s="74">
        <f t="shared" si="104"/>
        <v>-5.026841120178701E-3</v>
      </c>
      <c r="F3294" s="75"/>
    </row>
    <row r="3295" spans="1:6" ht="14.25" customHeight="1" x14ac:dyDescent="0.3">
      <c r="A3295" s="73">
        <v>45398</v>
      </c>
      <c r="B3295" s="74">
        <v>72943.679999999993</v>
      </c>
      <c r="C3295" s="74">
        <v>3647.05</v>
      </c>
      <c r="D3295" s="74">
        <f t="shared" si="103"/>
        <v>-6.2333018062683872E-3</v>
      </c>
      <c r="E3295" s="74">
        <f t="shared" si="104"/>
        <v>1.2554313275936823E-2</v>
      </c>
      <c r="F3295" s="75"/>
    </row>
    <row r="3296" spans="1:6" ht="14.25" customHeight="1" x14ac:dyDescent="0.3">
      <c r="A3296" s="73">
        <v>45400</v>
      </c>
      <c r="B3296" s="74">
        <v>72488.990000000005</v>
      </c>
      <c r="C3296" s="74">
        <v>3526.4</v>
      </c>
      <c r="D3296" s="74">
        <f t="shared" si="103"/>
        <v>-6.2529482750531265E-3</v>
      </c>
      <c r="E3296" s="74">
        <f t="shared" si="104"/>
        <v>-3.3641101094706582E-2</v>
      </c>
      <c r="F3296" s="75"/>
    </row>
    <row r="3297" spans="1:6" ht="14.25" customHeight="1" x14ac:dyDescent="0.3">
      <c r="A3297" s="73">
        <v>45401</v>
      </c>
      <c r="B3297" s="74">
        <v>73088.33</v>
      </c>
      <c r="C3297" s="74">
        <v>3562.85</v>
      </c>
      <c r="D3297" s="74">
        <f t="shared" si="103"/>
        <v>8.2340214289239912E-3</v>
      </c>
      <c r="E3297" s="74">
        <f t="shared" si="104"/>
        <v>1.0283265846616001E-2</v>
      </c>
      <c r="F3297" s="75"/>
    </row>
    <row r="3298" spans="1:6" ht="14.25" customHeight="1" x14ac:dyDescent="0.3">
      <c r="A3298" s="73">
        <v>45404</v>
      </c>
      <c r="B3298" s="74">
        <v>73648.62</v>
      </c>
      <c r="C3298" s="74">
        <v>3597.8</v>
      </c>
      <c r="D3298" s="74">
        <f t="shared" si="103"/>
        <v>7.636695773842391E-3</v>
      </c>
      <c r="E3298" s="74">
        <f t="shared" si="104"/>
        <v>9.7617611634291078E-3</v>
      </c>
      <c r="F3298" s="75"/>
    </row>
    <row r="3299" spans="1:6" ht="14.25" customHeight="1" x14ac:dyDescent="0.3">
      <c r="A3299" s="73">
        <v>45405</v>
      </c>
      <c r="B3299" s="74">
        <v>73738.45</v>
      </c>
      <c r="C3299" s="74">
        <v>3629.65</v>
      </c>
      <c r="D3299" s="74">
        <f t="shared" si="103"/>
        <v>1.2189673235658521E-3</v>
      </c>
      <c r="E3299" s="74">
        <f t="shared" si="104"/>
        <v>8.8136773489434651E-3</v>
      </c>
      <c r="F3299" s="75"/>
    </row>
    <row r="3300" spans="1:6" ht="14.25" customHeight="1" x14ac:dyDescent="0.3">
      <c r="A3300" s="73">
        <v>45406</v>
      </c>
      <c r="B3300" s="74">
        <v>73852.94</v>
      </c>
      <c r="C3300" s="74">
        <v>3607.55</v>
      </c>
      <c r="D3300" s="74">
        <f t="shared" si="103"/>
        <v>1.5514458257306575E-3</v>
      </c>
      <c r="E3300" s="74">
        <f t="shared" si="104"/>
        <v>-6.1073533116923779E-3</v>
      </c>
      <c r="F3300" s="75"/>
    </row>
    <row r="3301" spans="1:6" ht="14.25" customHeight="1" x14ac:dyDescent="0.3">
      <c r="A3301" s="73">
        <v>45407</v>
      </c>
      <c r="B3301" s="74">
        <v>74339.44</v>
      </c>
      <c r="C3301" s="74">
        <v>3572.65</v>
      </c>
      <c r="D3301" s="74">
        <f t="shared" si="103"/>
        <v>6.5658132725325584E-3</v>
      </c>
      <c r="E3301" s="74">
        <f t="shared" si="104"/>
        <v>-9.7212542394818774E-3</v>
      </c>
      <c r="F3301" s="75"/>
    </row>
    <row r="3302" spans="1:6" ht="14.25" customHeight="1" x14ac:dyDescent="0.3">
      <c r="A3302" s="73">
        <v>45408</v>
      </c>
      <c r="B3302" s="74">
        <v>73730.16</v>
      </c>
      <c r="C3302" s="74">
        <v>3584.4</v>
      </c>
      <c r="D3302" s="74">
        <f t="shared" si="103"/>
        <v>-8.2296898048214578E-3</v>
      </c>
      <c r="E3302" s="74">
        <f t="shared" si="104"/>
        <v>3.2834786837094712E-3</v>
      </c>
      <c r="F3302" s="75"/>
    </row>
    <row r="3303" spans="1:6" ht="14.25" customHeight="1" x14ac:dyDescent="0.3">
      <c r="A3303" s="73">
        <v>45411</v>
      </c>
      <c r="B3303" s="74">
        <v>74671.28</v>
      </c>
      <c r="C3303" s="74">
        <v>3605.15</v>
      </c>
      <c r="D3303" s="74">
        <f t="shared" si="103"/>
        <v>1.2683604913330964E-2</v>
      </c>
      <c r="E3303" s="74">
        <f t="shared" si="104"/>
        <v>5.7722827199201583E-3</v>
      </c>
      <c r="F3303" s="75"/>
    </row>
    <row r="3304" spans="1:6" ht="14.25" customHeight="1" x14ac:dyDescent="0.3">
      <c r="A3304" s="73">
        <v>45412</v>
      </c>
      <c r="B3304" s="74">
        <v>74482.78</v>
      </c>
      <c r="C3304" s="74">
        <v>3589.15</v>
      </c>
      <c r="D3304" s="74">
        <f t="shared" si="103"/>
        <v>-2.5275892638248012E-3</v>
      </c>
      <c r="E3304" s="74">
        <f t="shared" si="104"/>
        <v>-4.4479730840463663E-3</v>
      </c>
      <c r="F3304" s="75"/>
    </row>
    <row r="3305" spans="1:6" ht="14.25" customHeight="1" x14ac:dyDescent="0.3">
      <c r="A3305" s="73">
        <v>45414</v>
      </c>
      <c r="B3305" s="74">
        <v>74611.11</v>
      </c>
      <c r="C3305" s="74">
        <v>3569.5</v>
      </c>
      <c r="D3305" s="74">
        <f t="shared" si="103"/>
        <v>1.7214660063075305E-3</v>
      </c>
      <c r="E3305" s="74">
        <f t="shared" si="104"/>
        <v>-5.4898757034229397E-3</v>
      </c>
      <c r="F3305" s="75"/>
    </row>
    <row r="3306" spans="1:6" ht="14.25" customHeight="1" x14ac:dyDescent="0.3">
      <c r="A3306" s="73">
        <v>45415</v>
      </c>
      <c r="B3306" s="74">
        <v>73878.149999999994</v>
      </c>
      <c r="C3306" s="74">
        <v>3535.4</v>
      </c>
      <c r="D3306" s="74">
        <f t="shared" si="103"/>
        <v>-9.8723093239108713E-3</v>
      </c>
      <c r="E3306" s="74">
        <f t="shared" si="104"/>
        <v>-9.5990828407324542E-3</v>
      </c>
      <c r="F3306" s="75"/>
    </row>
    <row r="3307" spans="1:6" ht="14.25" customHeight="1" x14ac:dyDescent="0.3">
      <c r="A3307" s="73">
        <v>45418</v>
      </c>
      <c r="B3307" s="74">
        <v>73895.539999999994</v>
      </c>
      <c r="C3307" s="74">
        <v>3281.65</v>
      </c>
      <c r="D3307" s="74">
        <f t="shared" si="103"/>
        <v>2.3535989498904987E-4</v>
      </c>
      <c r="E3307" s="74">
        <f t="shared" si="104"/>
        <v>-7.4480102429725761E-2</v>
      </c>
      <c r="F3307" s="75"/>
    </row>
    <row r="3308" spans="1:6" ht="14.25" customHeight="1" x14ac:dyDescent="0.3">
      <c r="A3308" s="73">
        <v>45419</v>
      </c>
      <c r="B3308" s="74">
        <v>73511.850000000006</v>
      </c>
      <c r="C3308" s="74">
        <v>3276.25</v>
      </c>
      <c r="D3308" s="74">
        <f t="shared" si="103"/>
        <v>-5.2058565928025892E-3</v>
      </c>
      <c r="E3308" s="74">
        <f t="shared" si="104"/>
        <v>-1.6468690344408766E-3</v>
      </c>
      <c r="F3308" s="75"/>
    </row>
    <row r="3309" spans="1:6" ht="14.25" customHeight="1" x14ac:dyDescent="0.3">
      <c r="A3309" s="73">
        <v>45420</v>
      </c>
      <c r="B3309" s="74">
        <v>73466.39</v>
      </c>
      <c r="C3309" s="74">
        <v>3260.05</v>
      </c>
      <c r="D3309" s="74">
        <f t="shared" si="103"/>
        <v>-6.18594989974703E-4</v>
      </c>
      <c r="E3309" s="74">
        <f t="shared" si="104"/>
        <v>-4.9569429711668932E-3</v>
      </c>
      <c r="F3309" s="75"/>
    </row>
    <row r="3310" spans="1:6" ht="14.25" customHeight="1" x14ac:dyDescent="0.3">
      <c r="A3310" s="73">
        <v>45421</v>
      </c>
      <c r="B3310" s="74">
        <v>72404.17</v>
      </c>
      <c r="C3310" s="74">
        <v>3244.2</v>
      </c>
      <c r="D3310" s="74">
        <f t="shared" si="103"/>
        <v>-1.4564128305212818E-2</v>
      </c>
      <c r="E3310" s="74">
        <f t="shared" si="104"/>
        <v>-4.8737460504350997E-3</v>
      </c>
      <c r="F3310" s="75"/>
    </row>
    <row r="3311" spans="1:6" ht="14.25" customHeight="1" x14ac:dyDescent="0.3">
      <c r="A3311" s="73">
        <v>45422</v>
      </c>
      <c r="B3311" s="74">
        <v>72664.47</v>
      </c>
      <c r="C3311" s="74">
        <v>3291.1</v>
      </c>
      <c r="D3311" s="74">
        <f t="shared" si="103"/>
        <v>3.5886498881368295E-3</v>
      </c>
      <c r="E3311" s="74">
        <f t="shared" si="104"/>
        <v>1.4353068766625579E-2</v>
      </c>
      <c r="F3311" s="75"/>
    </row>
    <row r="3312" spans="1:6" ht="14.25" customHeight="1" x14ac:dyDescent="0.3">
      <c r="A3312" s="73">
        <v>45425</v>
      </c>
      <c r="B3312" s="74">
        <v>72776.13</v>
      </c>
      <c r="C3312" s="74">
        <v>3254.2</v>
      </c>
      <c r="D3312" s="74">
        <f t="shared" si="103"/>
        <v>1.5354725150772163E-3</v>
      </c>
      <c r="E3312" s="74">
        <f t="shared" si="104"/>
        <v>-1.1275385677421146E-2</v>
      </c>
      <c r="F3312" s="75"/>
    </row>
    <row r="3313" spans="1:6" ht="14.25" customHeight="1" x14ac:dyDescent="0.3">
      <c r="A3313" s="73">
        <v>45426</v>
      </c>
      <c r="B3313" s="74">
        <v>73104.61</v>
      </c>
      <c r="C3313" s="74">
        <v>3289.1</v>
      </c>
      <c r="D3313" s="74">
        <f t="shared" si="103"/>
        <v>4.5034122414071096E-3</v>
      </c>
      <c r="E3313" s="74">
        <f t="shared" si="104"/>
        <v>1.0667501399865076E-2</v>
      </c>
      <c r="F3313" s="75"/>
    </row>
    <row r="3314" spans="1:6" ht="14.25" customHeight="1" x14ac:dyDescent="0.3">
      <c r="A3314" s="73">
        <v>45427</v>
      </c>
      <c r="B3314" s="74">
        <v>72987.03</v>
      </c>
      <c r="C3314" s="74">
        <v>3268.5</v>
      </c>
      <c r="D3314" s="74">
        <f t="shared" si="103"/>
        <v>-1.6096749326381943E-3</v>
      </c>
      <c r="E3314" s="74">
        <f t="shared" si="104"/>
        <v>-6.2828070522993589E-3</v>
      </c>
      <c r="F3314" s="75"/>
    </row>
    <row r="3315" spans="1:6" ht="14.25" customHeight="1" x14ac:dyDescent="0.3">
      <c r="A3315" s="73">
        <v>45428</v>
      </c>
      <c r="B3315" s="74">
        <v>73663.72</v>
      </c>
      <c r="C3315" s="74">
        <v>3339.55</v>
      </c>
      <c r="D3315" s="74">
        <f t="shared" si="103"/>
        <v>9.2286579195106754E-3</v>
      </c>
      <c r="E3315" s="74">
        <f t="shared" si="104"/>
        <v>2.1504903302065295E-2</v>
      </c>
      <c r="F3315" s="75"/>
    </row>
    <row r="3316" spans="1:6" ht="14.25" customHeight="1" x14ac:dyDescent="0.3">
      <c r="A3316" s="73">
        <v>45429</v>
      </c>
      <c r="B3316" s="74">
        <v>73917.03</v>
      </c>
      <c r="C3316" s="74">
        <v>3361.35</v>
      </c>
      <c r="D3316" s="74">
        <f t="shared" si="103"/>
        <v>3.4328359051977943E-3</v>
      </c>
      <c r="E3316" s="74">
        <f t="shared" si="104"/>
        <v>6.506611622419666E-3</v>
      </c>
      <c r="F3316" s="75"/>
    </row>
    <row r="3317" spans="1:6" ht="14.25" customHeight="1" x14ac:dyDescent="0.3">
      <c r="A3317" s="73">
        <v>45430</v>
      </c>
      <c r="B3317" s="74">
        <v>74005.94</v>
      </c>
      <c r="C3317" s="74">
        <v>3360.8</v>
      </c>
      <c r="D3317" s="74">
        <f t="shared" si="103"/>
        <v>1.2021122981345092E-3</v>
      </c>
      <c r="E3317" s="74">
        <f t="shared" si="104"/>
        <v>-1.6363812209692087E-4</v>
      </c>
      <c r="F3317" s="75"/>
    </row>
    <row r="3318" spans="1:6" ht="14.25" customHeight="1" x14ac:dyDescent="0.3">
      <c r="A3318" s="73">
        <v>45433</v>
      </c>
      <c r="B3318" s="74">
        <v>73953.31</v>
      </c>
      <c r="C3318" s="74">
        <v>3375</v>
      </c>
      <c r="D3318" s="74">
        <f t="shared" si="103"/>
        <v>-7.1141212488853682E-4</v>
      </c>
      <c r="E3318" s="74">
        <f t="shared" si="104"/>
        <v>4.2162834514578862E-3</v>
      </c>
      <c r="F3318" s="75"/>
    </row>
    <row r="3319" spans="1:6" ht="14.25" customHeight="1" x14ac:dyDescent="0.3">
      <c r="A3319" s="73">
        <v>45434</v>
      </c>
      <c r="B3319" s="74">
        <v>74221.06</v>
      </c>
      <c r="C3319" s="74">
        <v>3384.15</v>
      </c>
      <c r="D3319" s="74">
        <f t="shared" si="103"/>
        <v>3.613989267127258E-3</v>
      </c>
      <c r="E3319" s="74">
        <f t="shared" si="104"/>
        <v>2.7074426782396524E-3</v>
      </c>
      <c r="F3319" s="75"/>
    </row>
    <row r="3320" spans="1:6" ht="14.25" customHeight="1" x14ac:dyDescent="0.3">
      <c r="A3320" s="73">
        <v>45435</v>
      </c>
      <c r="B3320" s="74">
        <v>75418.039999999994</v>
      </c>
      <c r="C3320" s="74">
        <v>3450.35</v>
      </c>
      <c r="D3320" s="74">
        <f t="shared" si="103"/>
        <v>1.599856629568484E-2</v>
      </c>
      <c r="E3320" s="74">
        <f t="shared" si="104"/>
        <v>1.9372908170268131E-2</v>
      </c>
      <c r="F3320" s="75"/>
    </row>
    <row r="3321" spans="1:6" ht="14.25" customHeight="1" x14ac:dyDescent="0.3">
      <c r="A3321" s="73">
        <v>45436</v>
      </c>
      <c r="B3321" s="74">
        <v>75410.39</v>
      </c>
      <c r="C3321" s="74">
        <v>3414.05</v>
      </c>
      <c r="D3321" s="74">
        <f t="shared" si="103"/>
        <v>-1.0143976180821501E-4</v>
      </c>
      <c r="E3321" s="74">
        <f t="shared" si="104"/>
        <v>-1.0576405330961719E-2</v>
      </c>
      <c r="F3321" s="75"/>
    </row>
    <row r="3322" spans="1:6" ht="14.25" customHeight="1" x14ac:dyDescent="0.3">
      <c r="A3322" s="73">
        <v>45439</v>
      </c>
      <c r="B3322" s="74">
        <v>75390.5</v>
      </c>
      <c r="C3322" s="74">
        <v>3403.65</v>
      </c>
      <c r="D3322" s="74">
        <f t="shared" si="103"/>
        <v>-2.6379154811806042E-4</v>
      </c>
      <c r="E3322" s="74">
        <f t="shared" si="104"/>
        <v>-3.0508846287877196E-3</v>
      </c>
      <c r="F3322" s="75"/>
    </row>
    <row r="3323" spans="1:6" ht="14.25" customHeight="1" x14ac:dyDescent="0.3">
      <c r="A3323" s="73">
        <v>45440</v>
      </c>
      <c r="B3323" s="74">
        <v>75170.45</v>
      </c>
      <c r="C3323" s="74">
        <v>3409.15</v>
      </c>
      <c r="D3323" s="74">
        <f t="shared" si="103"/>
        <v>-2.9230707787360069E-3</v>
      </c>
      <c r="E3323" s="74">
        <f t="shared" si="104"/>
        <v>1.6146081478558879E-3</v>
      </c>
      <c r="F3323" s="75"/>
    </row>
    <row r="3324" spans="1:6" ht="14.25" customHeight="1" x14ac:dyDescent="0.3">
      <c r="A3324" s="73">
        <v>45441</v>
      </c>
      <c r="B3324" s="74">
        <v>74502.899999999994</v>
      </c>
      <c r="C3324" s="74">
        <v>3376.9</v>
      </c>
      <c r="D3324" s="74">
        <f t="shared" si="103"/>
        <v>-8.9201507998092743E-3</v>
      </c>
      <c r="E3324" s="74">
        <f t="shared" si="104"/>
        <v>-9.5048644778524989E-3</v>
      </c>
      <c r="F3324" s="75"/>
    </row>
    <row r="3325" spans="1:6" ht="14.25" customHeight="1" x14ac:dyDescent="0.3">
      <c r="A3325" s="73">
        <v>45442</v>
      </c>
      <c r="B3325" s="74">
        <v>73885.600000000006</v>
      </c>
      <c r="C3325" s="74">
        <v>3270</v>
      </c>
      <c r="D3325" s="74">
        <f t="shared" si="103"/>
        <v>-8.3200997516235144E-3</v>
      </c>
      <c r="E3325" s="74">
        <f t="shared" si="104"/>
        <v>-3.2168143974092921E-2</v>
      </c>
      <c r="F3325" s="75"/>
    </row>
    <row r="3326" spans="1:6" ht="14.25" customHeight="1" x14ac:dyDescent="0.3">
      <c r="A3326" s="73">
        <v>45443</v>
      </c>
      <c r="B3326" s="74">
        <v>73961.31</v>
      </c>
      <c r="C3326" s="74">
        <v>3242.65</v>
      </c>
      <c r="D3326" s="74">
        <f t="shared" si="103"/>
        <v>1.0241675881868873E-3</v>
      </c>
      <c r="E3326" s="74">
        <f t="shared" si="104"/>
        <v>-8.3990881693009455E-3</v>
      </c>
      <c r="F3326" s="75"/>
    </row>
    <row r="3327" spans="1:6" ht="14.25" customHeight="1" x14ac:dyDescent="0.3">
      <c r="A3327" s="73">
        <v>45446</v>
      </c>
      <c r="B3327" s="74">
        <v>76468.78</v>
      </c>
      <c r="C3327" s="74">
        <v>3261.25</v>
      </c>
      <c r="D3327" s="74">
        <f t="shared" si="103"/>
        <v>3.334043432102108E-2</v>
      </c>
      <c r="E3327" s="74">
        <f t="shared" si="104"/>
        <v>5.7196607289399055E-3</v>
      </c>
      <c r="F3327" s="75"/>
    </row>
    <row r="3328" spans="1:6" ht="14.25" customHeight="1" x14ac:dyDescent="0.3">
      <c r="A3328" s="73">
        <v>45447</v>
      </c>
      <c r="B3328" s="74">
        <v>72079.05</v>
      </c>
      <c r="C3328" s="74">
        <v>3239.75</v>
      </c>
      <c r="D3328" s="74">
        <f t="shared" si="103"/>
        <v>-5.9119119546984893E-2</v>
      </c>
      <c r="E3328" s="74">
        <f t="shared" si="104"/>
        <v>-6.6143911354142864E-3</v>
      </c>
      <c r="F3328" s="75"/>
    </row>
    <row r="3329" spans="1:6" ht="14.25" customHeight="1" x14ac:dyDescent="0.3">
      <c r="A3329" s="73">
        <v>45448</v>
      </c>
      <c r="B3329" s="74">
        <v>74382.240000000005</v>
      </c>
      <c r="C3329" s="74">
        <v>3317</v>
      </c>
      <c r="D3329" s="74">
        <f t="shared" si="103"/>
        <v>3.1453770252930835E-2</v>
      </c>
      <c r="E3329" s="74">
        <f t="shared" si="104"/>
        <v>2.3564593631528526E-2</v>
      </c>
      <c r="F3329" s="75"/>
    </row>
    <row r="3330" spans="1:6" ht="14.25" customHeight="1" x14ac:dyDescent="0.3">
      <c r="A3330" s="73">
        <v>45449</v>
      </c>
      <c r="B3330" s="74">
        <v>75074.509999999995</v>
      </c>
      <c r="C3330" s="74">
        <v>3323.55</v>
      </c>
      <c r="D3330" s="74">
        <f t="shared" si="103"/>
        <v>9.2638833756304214E-3</v>
      </c>
      <c r="E3330" s="74">
        <f t="shared" si="104"/>
        <v>1.9727288023423969E-3</v>
      </c>
      <c r="F3330" s="75"/>
    </row>
    <row r="3331" spans="1:6" ht="14.25" customHeight="1" x14ac:dyDescent="0.3">
      <c r="A3331" s="73">
        <v>45450</v>
      </c>
      <c r="B3331" s="74">
        <v>76693.36</v>
      </c>
      <c r="C3331" s="74">
        <v>3443.45</v>
      </c>
      <c r="D3331" s="74">
        <f t="shared" si="103"/>
        <v>2.1334046528090411E-2</v>
      </c>
      <c r="E3331" s="74">
        <f t="shared" si="104"/>
        <v>3.5440387019587564E-2</v>
      </c>
      <c r="F3331" s="75"/>
    </row>
    <row r="3332" spans="1:6" ht="14.25" customHeight="1" x14ac:dyDescent="0.3">
      <c r="A3332" s="73">
        <v>45453</v>
      </c>
      <c r="B3332" s="74">
        <v>76490.080000000002</v>
      </c>
      <c r="C3332" s="74">
        <v>3420.15</v>
      </c>
      <c r="D3332" s="74">
        <f t="shared" ref="D3332:D3395" si="105">LN(B3332/B3331)</f>
        <v>-2.6540743480785644E-3</v>
      </c>
      <c r="E3332" s="74">
        <f t="shared" ref="E3332:E3395" si="106">LN(C3332/C3331)</f>
        <v>-6.7894660250148826E-3</v>
      </c>
      <c r="F3332" s="75"/>
    </row>
    <row r="3333" spans="1:6" ht="14.25" customHeight="1" x14ac:dyDescent="0.3">
      <c r="A3333" s="73">
        <v>45454</v>
      </c>
      <c r="B3333" s="74">
        <v>76456.59</v>
      </c>
      <c r="C3333" s="74">
        <v>3408.25</v>
      </c>
      <c r="D3333" s="74">
        <f t="shared" si="105"/>
        <v>-4.3793043072124632E-4</v>
      </c>
      <c r="E3333" s="74">
        <f t="shared" si="106"/>
        <v>-3.4854466777282959E-3</v>
      </c>
      <c r="F3333" s="75"/>
    </row>
    <row r="3334" spans="1:6" ht="14.25" customHeight="1" x14ac:dyDescent="0.3">
      <c r="A3334" s="73">
        <v>45455</v>
      </c>
      <c r="B3334" s="74">
        <v>76606.570000000007</v>
      </c>
      <c r="C3334" s="74">
        <v>3381.05</v>
      </c>
      <c r="D3334" s="74">
        <f t="shared" si="105"/>
        <v>1.9597145126185205E-3</v>
      </c>
      <c r="E3334" s="74">
        <f t="shared" si="106"/>
        <v>-8.0126509435968375E-3</v>
      </c>
      <c r="F3334" s="75"/>
    </row>
    <row r="3335" spans="1:6" ht="14.25" customHeight="1" x14ac:dyDescent="0.3">
      <c r="A3335" s="73">
        <v>45456</v>
      </c>
      <c r="B3335" s="74">
        <v>76810.899999999994</v>
      </c>
      <c r="C3335" s="74">
        <v>3471.75</v>
      </c>
      <c r="D3335" s="74">
        <f t="shared" si="105"/>
        <v>2.6637138627876827E-3</v>
      </c>
      <c r="E3335" s="74">
        <f t="shared" si="106"/>
        <v>2.6472477456847471E-2</v>
      </c>
      <c r="F3335" s="75"/>
    </row>
    <row r="3336" spans="1:6" ht="14.25" customHeight="1" x14ac:dyDescent="0.3">
      <c r="A3336" s="73">
        <v>45457</v>
      </c>
      <c r="B3336" s="74">
        <v>76992.77</v>
      </c>
      <c r="C3336" s="74">
        <v>3527.6</v>
      </c>
      <c r="D3336" s="74">
        <f t="shared" si="105"/>
        <v>2.3649641750085686E-3</v>
      </c>
      <c r="E3336" s="74">
        <f t="shared" si="106"/>
        <v>1.5958963434536094E-2</v>
      </c>
      <c r="F3336" s="75"/>
    </row>
    <row r="3337" spans="1:6" ht="14.25" customHeight="1" x14ac:dyDescent="0.3">
      <c r="A3337" s="73">
        <v>45461</v>
      </c>
      <c r="B3337" s="74">
        <v>77301.14</v>
      </c>
      <c r="C3337" s="74">
        <v>3586.2</v>
      </c>
      <c r="D3337" s="74">
        <f t="shared" si="105"/>
        <v>3.9971818794499268E-3</v>
      </c>
      <c r="E3337" s="74">
        <f t="shared" si="106"/>
        <v>1.6475393044237837E-2</v>
      </c>
      <c r="F3337" s="75"/>
    </row>
    <row r="3338" spans="1:6" ht="14.25" customHeight="1" x14ac:dyDescent="0.3">
      <c r="A3338" s="73">
        <v>45462</v>
      </c>
      <c r="B3338" s="74">
        <v>77337.59</v>
      </c>
      <c r="C3338" s="74">
        <v>3461.65</v>
      </c>
      <c r="D3338" s="74">
        <f t="shared" si="105"/>
        <v>4.7142136610986901E-4</v>
      </c>
      <c r="E3338" s="74">
        <f t="shared" si="106"/>
        <v>-3.5347792064245806E-2</v>
      </c>
      <c r="F3338" s="75"/>
    </row>
    <row r="3339" spans="1:6" ht="14.25" customHeight="1" x14ac:dyDescent="0.3">
      <c r="A3339" s="73">
        <v>45463</v>
      </c>
      <c r="B3339" s="74">
        <v>77478.929999999993</v>
      </c>
      <c r="C3339" s="74">
        <v>3433.45</v>
      </c>
      <c r="D3339" s="74">
        <f t="shared" si="105"/>
        <v>1.8259038411154722E-3</v>
      </c>
      <c r="E3339" s="74">
        <f t="shared" si="106"/>
        <v>-8.1797674392029059E-3</v>
      </c>
      <c r="F3339" s="75"/>
    </row>
    <row r="3340" spans="1:6" ht="14.25" customHeight="1" x14ac:dyDescent="0.3">
      <c r="A3340" s="73">
        <v>45464</v>
      </c>
      <c r="B3340" s="74">
        <v>77209.899999999994</v>
      </c>
      <c r="C3340" s="74">
        <v>3398.45</v>
      </c>
      <c r="D3340" s="74">
        <f t="shared" si="105"/>
        <v>-3.4783412770819618E-3</v>
      </c>
      <c r="E3340" s="74">
        <f t="shared" si="106"/>
        <v>-1.0246141249455703E-2</v>
      </c>
      <c r="F3340" s="75"/>
    </row>
    <row r="3341" spans="1:6" ht="14.25" customHeight="1" x14ac:dyDescent="0.3">
      <c r="A3341" s="73">
        <v>45467</v>
      </c>
      <c r="B3341" s="74">
        <v>77341.08</v>
      </c>
      <c r="C3341" s="74">
        <v>3413.3</v>
      </c>
      <c r="D3341" s="74">
        <f t="shared" si="105"/>
        <v>1.6975632442061386E-3</v>
      </c>
      <c r="E3341" s="74">
        <f t="shared" si="106"/>
        <v>4.3601199473461147E-3</v>
      </c>
      <c r="F3341" s="75"/>
    </row>
    <row r="3342" spans="1:6" ht="14.25" customHeight="1" x14ac:dyDescent="0.3">
      <c r="A3342" s="73">
        <v>45468</v>
      </c>
      <c r="B3342" s="74">
        <v>78053.52</v>
      </c>
      <c r="C3342" s="74">
        <v>3401.9</v>
      </c>
      <c r="D3342" s="74">
        <f t="shared" si="105"/>
        <v>9.1694948447498901E-3</v>
      </c>
      <c r="E3342" s="74">
        <f t="shared" si="106"/>
        <v>-3.3454662027629931E-3</v>
      </c>
      <c r="F3342" s="75"/>
    </row>
    <row r="3343" spans="1:6" ht="14.25" customHeight="1" x14ac:dyDescent="0.3">
      <c r="A3343" s="73">
        <v>45469</v>
      </c>
      <c r="B3343" s="74">
        <v>78674.25</v>
      </c>
      <c r="C3343" s="74">
        <v>3372.65</v>
      </c>
      <c r="D3343" s="74">
        <f t="shared" si="105"/>
        <v>7.9211647767451973E-3</v>
      </c>
      <c r="E3343" s="74">
        <f t="shared" si="106"/>
        <v>-8.6353135664612359E-3</v>
      </c>
      <c r="F3343" s="75"/>
    </row>
    <row r="3344" spans="1:6" ht="14.25" customHeight="1" x14ac:dyDescent="0.3">
      <c r="A3344" s="73">
        <v>45470</v>
      </c>
      <c r="B3344" s="74">
        <v>79243.179999999993</v>
      </c>
      <c r="C3344" s="74">
        <v>3380.4</v>
      </c>
      <c r="D3344" s="74">
        <f t="shared" si="105"/>
        <v>7.2054422553910194E-3</v>
      </c>
      <c r="E3344" s="74">
        <f t="shared" si="106"/>
        <v>2.2952601868463083E-3</v>
      </c>
      <c r="F3344" s="75"/>
    </row>
    <row r="3345" spans="1:6" ht="14.25" customHeight="1" x14ac:dyDescent="0.3">
      <c r="A3345" s="73">
        <v>45471</v>
      </c>
      <c r="B3345" s="74">
        <v>79032.73</v>
      </c>
      <c r="C3345" s="74">
        <v>3406.1</v>
      </c>
      <c r="D3345" s="74">
        <f t="shared" si="105"/>
        <v>-2.6592818075892306E-3</v>
      </c>
      <c r="E3345" s="74">
        <f t="shared" si="106"/>
        <v>7.5738960743352941E-3</v>
      </c>
      <c r="F3345" s="75"/>
    </row>
    <row r="3346" spans="1:6" ht="14.25" customHeight="1" x14ac:dyDescent="0.3">
      <c r="A3346" s="73">
        <v>45474</v>
      </c>
      <c r="B3346" s="74">
        <v>79476.19</v>
      </c>
      <c r="C3346" s="74">
        <v>3431.9</v>
      </c>
      <c r="D3346" s="74">
        <f t="shared" si="105"/>
        <v>5.5954094824314602E-3</v>
      </c>
      <c r="E3346" s="74">
        <f t="shared" si="106"/>
        <v>7.5461019095467751E-3</v>
      </c>
      <c r="F3346" s="75"/>
    </row>
    <row r="3347" spans="1:6" ht="14.25" customHeight="1" x14ac:dyDescent="0.3">
      <c r="A3347" s="73">
        <v>45475</v>
      </c>
      <c r="B3347" s="74">
        <v>79441.45</v>
      </c>
      <c r="C3347" s="74">
        <v>3399.8</v>
      </c>
      <c r="D3347" s="74">
        <f t="shared" si="105"/>
        <v>-4.3720760707731583E-4</v>
      </c>
      <c r="E3347" s="74">
        <f t="shared" si="106"/>
        <v>-9.3974373095400028E-3</v>
      </c>
      <c r="F3347" s="75"/>
    </row>
    <row r="3348" spans="1:6" ht="14.25" customHeight="1" x14ac:dyDescent="0.3">
      <c r="A3348" s="73">
        <v>45476</v>
      </c>
      <c r="B3348" s="74">
        <v>79986.8</v>
      </c>
      <c r="C3348" s="74">
        <v>3360.9</v>
      </c>
      <c r="D3348" s="74">
        <f t="shared" si="105"/>
        <v>6.8413487201609757E-3</v>
      </c>
      <c r="E3348" s="74">
        <f t="shared" si="106"/>
        <v>-1.150781111188204E-2</v>
      </c>
      <c r="F3348" s="75"/>
    </row>
    <row r="3349" spans="1:6" ht="14.25" customHeight="1" x14ac:dyDescent="0.3">
      <c r="A3349" s="73">
        <v>45477</v>
      </c>
      <c r="B3349" s="74">
        <v>80049.67</v>
      </c>
      <c r="C3349" s="74">
        <v>3335.75</v>
      </c>
      <c r="D3349" s="74">
        <f t="shared" si="105"/>
        <v>7.8569595085707525E-4</v>
      </c>
      <c r="E3349" s="74">
        <f t="shared" si="106"/>
        <v>-7.5112536102572838E-3</v>
      </c>
      <c r="F3349" s="75"/>
    </row>
    <row r="3350" spans="1:6" ht="14.25" customHeight="1" x14ac:dyDescent="0.3">
      <c r="A3350" s="73">
        <v>45478</v>
      </c>
      <c r="B3350" s="74">
        <v>79996.600000000006</v>
      </c>
      <c r="C3350" s="74">
        <v>3269.3</v>
      </c>
      <c r="D3350" s="74">
        <f t="shared" si="105"/>
        <v>-6.6318324001005298E-4</v>
      </c>
      <c r="E3350" s="74">
        <f t="shared" si="106"/>
        <v>-2.0121646925188631E-2</v>
      </c>
      <c r="F3350" s="75"/>
    </row>
    <row r="3351" spans="1:6" ht="14.25" customHeight="1" x14ac:dyDescent="0.3">
      <c r="A3351" s="73">
        <v>45481</v>
      </c>
      <c r="B3351" s="74">
        <v>79960.38</v>
      </c>
      <c r="C3351" s="74">
        <v>3153.7</v>
      </c>
      <c r="D3351" s="74">
        <f t="shared" si="105"/>
        <v>-4.528717736360783E-4</v>
      </c>
      <c r="E3351" s="74">
        <f t="shared" si="106"/>
        <v>-3.5999528009646814E-2</v>
      </c>
      <c r="F3351" s="75"/>
    </row>
    <row r="3352" spans="1:6" ht="14.25" customHeight="1" x14ac:dyDescent="0.3">
      <c r="A3352" s="73">
        <v>45482</v>
      </c>
      <c r="B3352" s="74">
        <v>80351.64</v>
      </c>
      <c r="C3352" s="74">
        <v>3215.55</v>
      </c>
      <c r="D3352" s="74">
        <f t="shared" si="105"/>
        <v>4.8812406813047386E-3</v>
      </c>
      <c r="E3352" s="74">
        <f t="shared" si="106"/>
        <v>1.9422049447559733E-2</v>
      </c>
      <c r="F3352" s="75"/>
    </row>
    <row r="3353" spans="1:6" ht="14.25" customHeight="1" x14ac:dyDescent="0.3">
      <c r="A3353" s="73">
        <v>45483</v>
      </c>
      <c r="B3353" s="74">
        <v>79924.77</v>
      </c>
      <c r="C3353" s="74">
        <v>3223.95</v>
      </c>
      <c r="D3353" s="74">
        <f t="shared" si="105"/>
        <v>-5.3266854344766979E-3</v>
      </c>
      <c r="E3353" s="74">
        <f t="shared" si="106"/>
        <v>2.6088996861401447E-3</v>
      </c>
      <c r="F3353" s="75"/>
    </row>
    <row r="3354" spans="1:6" ht="14.25" customHeight="1" x14ac:dyDescent="0.3">
      <c r="A3354" s="73">
        <v>45484</v>
      </c>
      <c r="B3354" s="74">
        <v>79897.34</v>
      </c>
      <c r="C3354" s="74">
        <v>3249.3</v>
      </c>
      <c r="D3354" s="74">
        <f t="shared" si="105"/>
        <v>-3.432566403901553E-4</v>
      </c>
      <c r="E3354" s="74">
        <f t="shared" si="106"/>
        <v>7.8322726884066645E-3</v>
      </c>
      <c r="F3354" s="75"/>
    </row>
    <row r="3355" spans="1:6" ht="14.25" customHeight="1" x14ac:dyDescent="0.3">
      <c r="A3355" s="73">
        <v>45485</v>
      </c>
      <c r="B3355" s="74">
        <v>80519.34</v>
      </c>
      <c r="C3355" s="74">
        <v>3231.4</v>
      </c>
      <c r="D3355" s="74">
        <f t="shared" si="105"/>
        <v>7.754843413153285E-3</v>
      </c>
      <c r="E3355" s="74">
        <f t="shared" si="106"/>
        <v>-5.5241086670710223E-3</v>
      </c>
      <c r="F3355" s="75"/>
    </row>
    <row r="3356" spans="1:6" ht="14.25" customHeight="1" x14ac:dyDescent="0.3">
      <c r="A3356" s="73">
        <v>45488</v>
      </c>
      <c r="B3356" s="74">
        <v>80664.86</v>
      </c>
      <c r="C3356" s="74">
        <v>3223.85</v>
      </c>
      <c r="D3356" s="74">
        <f t="shared" si="105"/>
        <v>1.8056365268662034E-3</v>
      </c>
      <c r="E3356" s="74">
        <f t="shared" si="106"/>
        <v>-2.3391823531722662E-3</v>
      </c>
      <c r="F3356" s="75"/>
    </row>
    <row r="3357" spans="1:6" ht="14.25" customHeight="1" x14ac:dyDescent="0.3">
      <c r="A3357" s="73">
        <v>45489</v>
      </c>
      <c r="B3357" s="74">
        <v>80716.55</v>
      </c>
      <c r="C3357" s="74">
        <v>3233.9</v>
      </c>
      <c r="D3357" s="74">
        <f t="shared" si="105"/>
        <v>6.4059425143991476E-4</v>
      </c>
      <c r="E3357" s="74">
        <f t="shared" si="106"/>
        <v>3.1125417099231636E-3</v>
      </c>
      <c r="F3357" s="75"/>
    </row>
    <row r="3358" spans="1:6" ht="14.25" customHeight="1" x14ac:dyDescent="0.3">
      <c r="A3358" s="73">
        <v>45491</v>
      </c>
      <c r="B3358" s="74">
        <v>81343.460000000006</v>
      </c>
      <c r="C3358" s="74">
        <v>3261.95</v>
      </c>
      <c r="D3358" s="74">
        <f t="shared" si="105"/>
        <v>7.7368022763193494E-3</v>
      </c>
      <c r="E3358" s="74">
        <f t="shared" si="106"/>
        <v>8.636336844382881E-3</v>
      </c>
      <c r="F3358" s="75"/>
    </row>
    <row r="3359" spans="1:6" ht="14.25" customHeight="1" x14ac:dyDescent="0.3">
      <c r="A3359" s="73">
        <v>45492</v>
      </c>
      <c r="B3359" s="74">
        <v>80604.649999999994</v>
      </c>
      <c r="C3359" s="74">
        <v>3258.7</v>
      </c>
      <c r="D3359" s="74">
        <f t="shared" si="105"/>
        <v>-9.1240969151737475E-3</v>
      </c>
      <c r="E3359" s="74">
        <f t="shared" si="106"/>
        <v>-9.9683322034480049E-4</v>
      </c>
      <c r="F3359" s="75"/>
    </row>
    <row r="3360" spans="1:6" ht="14.25" customHeight="1" x14ac:dyDescent="0.3">
      <c r="A3360" s="73">
        <v>45495</v>
      </c>
      <c r="B3360" s="74">
        <v>80502.080000000002</v>
      </c>
      <c r="C3360" s="74">
        <v>3252.6</v>
      </c>
      <c r="D3360" s="74">
        <f t="shared" si="105"/>
        <v>-1.2733175561117206E-3</v>
      </c>
      <c r="E3360" s="74">
        <f t="shared" si="106"/>
        <v>-1.8736663291716812E-3</v>
      </c>
      <c r="F3360" s="75"/>
    </row>
    <row r="3361" spans="1:6" ht="14.25" customHeight="1" x14ac:dyDescent="0.3">
      <c r="A3361" s="73">
        <v>45496</v>
      </c>
      <c r="B3361" s="74">
        <v>80429.039999999994</v>
      </c>
      <c r="C3361" s="74">
        <v>3468.15</v>
      </c>
      <c r="D3361" s="74">
        <f t="shared" si="105"/>
        <v>-9.0771760011523533E-4</v>
      </c>
      <c r="E3361" s="74">
        <f t="shared" si="106"/>
        <v>6.416663406587432E-2</v>
      </c>
      <c r="F3361" s="75"/>
    </row>
    <row r="3362" spans="1:6" ht="14.25" customHeight="1" x14ac:dyDescent="0.3">
      <c r="A3362" s="73">
        <v>45497</v>
      </c>
      <c r="B3362" s="74">
        <v>80148.88</v>
      </c>
      <c r="C3362" s="74">
        <v>3472.95</v>
      </c>
      <c r="D3362" s="74">
        <f t="shared" si="105"/>
        <v>-3.4893998411098682E-3</v>
      </c>
      <c r="E3362" s="74">
        <f t="shared" si="106"/>
        <v>1.383066305095406E-3</v>
      </c>
      <c r="F3362" s="75"/>
    </row>
    <row r="3363" spans="1:6" ht="14.25" customHeight="1" x14ac:dyDescent="0.3">
      <c r="A3363" s="73">
        <v>45498</v>
      </c>
      <c r="B3363" s="74">
        <v>80039.8</v>
      </c>
      <c r="C3363" s="74">
        <v>3405.25</v>
      </c>
      <c r="D3363" s="74">
        <f t="shared" si="105"/>
        <v>-1.3618941970148515E-3</v>
      </c>
      <c r="E3363" s="74">
        <f t="shared" si="106"/>
        <v>-1.9686018537866012E-2</v>
      </c>
      <c r="F3363" s="75"/>
    </row>
    <row r="3364" spans="1:6" ht="14.25" customHeight="1" x14ac:dyDescent="0.3">
      <c r="A3364" s="73">
        <v>45499</v>
      </c>
      <c r="B3364" s="74">
        <v>81332.72</v>
      </c>
      <c r="C3364" s="74">
        <v>3495.45</v>
      </c>
      <c r="D3364" s="74">
        <f t="shared" si="105"/>
        <v>1.6024384651266189E-2</v>
      </c>
      <c r="E3364" s="74">
        <f t="shared" si="106"/>
        <v>2.6143764417005784E-2</v>
      </c>
      <c r="F3364" s="75"/>
    </row>
    <row r="3365" spans="1:6" ht="14.25" customHeight="1" x14ac:dyDescent="0.3">
      <c r="A3365" s="73">
        <v>45502</v>
      </c>
      <c r="B3365" s="74">
        <v>81355.839999999997</v>
      </c>
      <c r="C3365" s="74">
        <v>3412.2</v>
      </c>
      <c r="D3365" s="74">
        <f t="shared" si="105"/>
        <v>2.8422404323491236E-4</v>
      </c>
      <c r="E3365" s="74">
        <f t="shared" si="106"/>
        <v>-2.4104878203647987E-2</v>
      </c>
      <c r="F3365" s="75"/>
    </row>
    <row r="3366" spans="1:6" ht="14.25" customHeight="1" x14ac:dyDescent="0.3">
      <c r="A3366" s="73">
        <v>45503</v>
      </c>
      <c r="B3366" s="74">
        <v>81455.399999999994</v>
      </c>
      <c r="C3366" s="74">
        <v>3468.2</v>
      </c>
      <c r="D3366" s="74">
        <f t="shared" si="105"/>
        <v>1.2230115366701842E-3</v>
      </c>
      <c r="E3366" s="74">
        <f t="shared" si="106"/>
        <v>1.6278482823639841E-2</v>
      </c>
      <c r="F3366" s="75"/>
    </row>
    <row r="3367" spans="1:6" ht="14.25" customHeight="1" x14ac:dyDescent="0.3">
      <c r="A3367" s="73">
        <v>45504</v>
      </c>
      <c r="B3367" s="74">
        <v>81741.34</v>
      </c>
      <c r="C3367" s="74">
        <v>3457.85</v>
      </c>
      <c r="D3367" s="74">
        <f t="shared" si="105"/>
        <v>3.5042402514255315E-3</v>
      </c>
      <c r="E3367" s="74">
        <f t="shared" si="106"/>
        <v>-2.9887187370082357E-3</v>
      </c>
      <c r="F3367" s="75"/>
    </row>
    <row r="3368" spans="1:6" ht="14.25" customHeight="1" x14ac:dyDescent="0.3">
      <c r="A3368" s="73">
        <v>45505</v>
      </c>
      <c r="B3368" s="74">
        <v>81867.55</v>
      </c>
      <c r="C3368" s="74">
        <v>3468.5</v>
      </c>
      <c r="D3368" s="74">
        <f t="shared" si="105"/>
        <v>1.542826004564158E-3</v>
      </c>
      <c r="E3368" s="74">
        <f t="shared" si="106"/>
        <v>3.0752151979152867E-3</v>
      </c>
      <c r="F3368" s="75"/>
    </row>
    <row r="3369" spans="1:6" ht="14.25" customHeight="1" x14ac:dyDescent="0.3">
      <c r="A3369" s="73">
        <v>45506</v>
      </c>
      <c r="B3369" s="74">
        <v>80981.95</v>
      </c>
      <c r="C3369" s="74">
        <v>3463.15</v>
      </c>
      <c r="D3369" s="74">
        <f t="shared" si="105"/>
        <v>-1.0876407115093309E-2</v>
      </c>
      <c r="E3369" s="74">
        <f t="shared" si="106"/>
        <v>-1.5436443162446236E-3</v>
      </c>
      <c r="F3369" s="75"/>
    </row>
    <row r="3370" spans="1:6" ht="14.25" customHeight="1" x14ac:dyDescent="0.3">
      <c r="A3370" s="73">
        <v>45509</v>
      </c>
      <c r="B3370" s="74">
        <v>78759.399999999994</v>
      </c>
      <c r="C3370" s="74">
        <v>3374.2</v>
      </c>
      <c r="D3370" s="74">
        <f t="shared" si="105"/>
        <v>-2.7828654672190808E-2</v>
      </c>
      <c r="E3370" s="74">
        <f t="shared" si="106"/>
        <v>-2.6020320337236971E-2</v>
      </c>
      <c r="F3370" s="75"/>
    </row>
    <row r="3371" spans="1:6" ht="14.25" customHeight="1" x14ac:dyDescent="0.3">
      <c r="A3371" s="73">
        <v>45510</v>
      </c>
      <c r="B3371" s="74">
        <v>78593.070000000007</v>
      </c>
      <c r="C3371" s="74">
        <v>3336.9</v>
      </c>
      <c r="D3371" s="74">
        <f t="shared" si="105"/>
        <v>-2.1141080524547415E-3</v>
      </c>
      <c r="E3371" s="74">
        <f t="shared" si="106"/>
        <v>-1.1116026905781139E-2</v>
      </c>
      <c r="F3371" s="75"/>
    </row>
    <row r="3372" spans="1:6" ht="14.25" customHeight="1" x14ac:dyDescent="0.3">
      <c r="A3372" s="73">
        <v>45511</v>
      </c>
      <c r="B3372" s="74">
        <v>79468.009999999995</v>
      </c>
      <c r="C3372" s="74">
        <v>3326.35</v>
      </c>
      <c r="D3372" s="74">
        <f t="shared" si="105"/>
        <v>1.1071023133415431E-2</v>
      </c>
      <c r="E3372" s="74">
        <f t="shared" si="106"/>
        <v>-3.1666255403466834E-3</v>
      </c>
      <c r="F3372" s="75"/>
    </row>
    <row r="3373" spans="1:6" ht="14.25" customHeight="1" x14ac:dyDescent="0.3">
      <c r="A3373" s="73">
        <v>45512</v>
      </c>
      <c r="B3373" s="74">
        <v>78886.22</v>
      </c>
      <c r="C3373" s="74">
        <v>3295.6</v>
      </c>
      <c r="D3373" s="74">
        <f t="shared" si="105"/>
        <v>-7.3479896016784389E-3</v>
      </c>
      <c r="E3373" s="74">
        <f t="shared" si="106"/>
        <v>-9.2873612843116429E-3</v>
      </c>
      <c r="F3373" s="75"/>
    </row>
    <row r="3374" spans="1:6" ht="14.25" customHeight="1" x14ac:dyDescent="0.3">
      <c r="A3374" s="73">
        <v>45513</v>
      </c>
      <c r="B3374" s="74">
        <v>79705.91</v>
      </c>
      <c r="C3374" s="74">
        <v>3331.75</v>
      </c>
      <c r="D3374" s="74">
        <f t="shared" si="105"/>
        <v>1.0337174980048292E-2</v>
      </c>
      <c r="E3374" s="74">
        <f t="shared" si="106"/>
        <v>1.0909446018401523E-2</v>
      </c>
      <c r="F3374" s="75"/>
    </row>
    <row r="3375" spans="1:6" ht="14.25" customHeight="1" x14ac:dyDescent="0.3">
      <c r="A3375" s="73">
        <v>45516</v>
      </c>
      <c r="B3375" s="74">
        <v>79648.92</v>
      </c>
      <c r="C3375" s="74">
        <v>3325</v>
      </c>
      <c r="D3375" s="74">
        <f t="shared" si="105"/>
        <v>-7.1525917889850082E-4</v>
      </c>
      <c r="E3375" s="74">
        <f t="shared" si="106"/>
        <v>-2.0280173698818118E-3</v>
      </c>
      <c r="F3375" s="75"/>
    </row>
    <row r="3376" spans="1:6" ht="14.25" customHeight="1" x14ac:dyDescent="0.3">
      <c r="A3376" s="73">
        <v>45517</v>
      </c>
      <c r="B3376" s="74">
        <v>78956.03</v>
      </c>
      <c r="C3376" s="74">
        <v>3384.3</v>
      </c>
      <c r="D3376" s="74">
        <f t="shared" si="105"/>
        <v>-8.7373617029684915E-3</v>
      </c>
      <c r="E3376" s="74">
        <f t="shared" si="106"/>
        <v>1.7677416189029932E-2</v>
      </c>
      <c r="F3376" s="75"/>
    </row>
    <row r="3377" spans="1:6" ht="14.25" customHeight="1" x14ac:dyDescent="0.3">
      <c r="A3377" s="73">
        <v>45518</v>
      </c>
      <c r="B3377" s="74">
        <v>79105.88</v>
      </c>
      <c r="C3377" s="74">
        <v>3402.2</v>
      </c>
      <c r="D3377" s="74">
        <f t="shared" si="105"/>
        <v>1.8960930548628816E-3</v>
      </c>
      <c r="E3377" s="74">
        <f t="shared" si="106"/>
        <v>5.2751908964980953E-3</v>
      </c>
      <c r="F3377" s="75"/>
    </row>
    <row r="3378" spans="1:6" ht="14.25" customHeight="1" x14ac:dyDescent="0.3">
      <c r="A3378" s="73">
        <v>45520</v>
      </c>
      <c r="B3378" s="74">
        <v>80436.84</v>
      </c>
      <c r="C3378" s="74">
        <v>3444.35</v>
      </c>
      <c r="D3378" s="74">
        <f t="shared" si="105"/>
        <v>1.6685071900488589E-2</v>
      </c>
      <c r="E3378" s="74">
        <f t="shared" si="106"/>
        <v>1.2312926224825407E-2</v>
      </c>
      <c r="F3378" s="75"/>
    </row>
    <row r="3379" spans="1:6" ht="14.25" customHeight="1" x14ac:dyDescent="0.3">
      <c r="A3379" s="73">
        <v>45523</v>
      </c>
      <c r="B3379" s="74">
        <v>80424.679999999993</v>
      </c>
      <c r="C3379" s="74">
        <v>3463.95</v>
      </c>
      <c r="D3379" s="74">
        <f t="shared" si="105"/>
        <v>-1.5118593959777287E-4</v>
      </c>
      <c r="E3379" s="74">
        <f t="shared" si="106"/>
        <v>5.6743489977054773E-3</v>
      </c>
      <c r="F3379" s="75"/>
    </row>
    <row r="3380" spans="1:6" ht="14.25" customHeight="1" x14ac:dyDescent="0.3">
      <c r="A3380" s="73">
        <v>45524</v>
      </c>
      <c r="B3380" s="74">
        <v>80802.86</v>
      </c>
      <c r="C3380" s="74">
        <v>3474.45</v>
      </c>
      <c r="D3380" s="74">
        <f t="shared" si="105"/>
        <v>4.6912666853485361E-3</v>
      </c>
      <c r="E3380" s="74">
        <f t="shared" si="106"/>
        <v>3.0266366930307002E-3</v>
      </c>
      <c r="F3380" s="75"/>
    </row>
    <row r="3381" spans="1:6" ht="14.25" customHeight="1" x14ac:dyDescent="0.3">
      <c r="A3381" s="73">
        <v>45525</v>
      </c>
      <c r="B3381" s="74">
        <v>80905.3</v>
      </c>
      <c r="C3381" s="74">
        <v>3559.65</v>
      </c>
      <c r="D3381" s="74">
        <f t="shared" si="105"/>
        <v>1.2669739573223069E-3</v>
      </c>
      <c r="E3381" s="74">
        <f t="shared" si="106"/>
        <v>2.422603231509271E-2</v>
      </c>
      <c r="F3381" s="75"/>
    </row>
    <row r="3382" spans="1:6" ht="14.25" customHeight="1" x14ac:dyDescent="0.3">
      <c r="A3382" s="73">
        <v>45526</v>
      </c>
      <c r="B3382" s="74">
        <v>81053.19</v>
      </c>
      <c r="C3382" s="74">
        <v>3603.4</v>
      </c>
      <c r="D3382" s="74">
        <f t="shared" si="105"/>
        <v>1.8262709303396981E-3</v>
      </c>
      <c r="E3382" s="74">
        <f t="shared" si="106"/>
        <v>1.2215618775463023E-2</v>
      </c>
      <c r="F3382" s="75"/>
    </row>
    <row r="3383" spans="1:6" ht="14.25" customHeight="1" x14ac:dyDescent="0.3">
      <c r="A3383" s="73">
        <v>45527</v>
      </c>
      <c r="B3383" s="74">
        <v>81086.210000000006</v>
      </c>
      <c r="C3383" s="74">
        <v>3568.55</v>
      </c>
      <c r="D3383" s="74">
        <f t="shared" si="105"/>
        <v>4.0730384417977863E-4</v>
      </c>
      <c r="E3383" s="74">
        <f t="shared" si="106"/>
        <v>-9.7184933792163804E-3</v>
      </c>
      <c r="F3383" s="75"/>
    </row>
    <row r="3384" spans="1:6" ht="14.25" customHeight="1" x14ac:dyDescent="0.3">
      <c r="A3384" s="73">
        <v>45530</v>
      </c>
      <c r="B3384" s="74">
        <v>81698.11</v>
      </c>
      <c r="C3384" s="74">
        <v>3630.2</v>
      </c>
      <c r="D3384" s="74">
        <f t="shared" si="105"/>
        <v>7.5179585113725068E-3</v>
      </c>
      <c r="E3384" s="74">
        <f t="shared" si="106"/>
        <v>1.7128392357493936E-2</v>
      </c>
      <c r="F3384" s="75"/>
    </row>
    <row r="3385" spans="1:6" ht="14.25" customHeight="1" x14ac:dyDescent="0.3">
      <c r="A3385" s="73">
        <v>45531</v>
      </c>
      <c r="B3385" s="74">
        <v>81711.759999999995</v>
      </c>
      <c r="C3385" s="74">
        <v>3550.7</v>
      </c>
      <c r="D3385" s="74">
        <f t="shared" si="105"/>
        <v>1.6706457243665033E-4</v>
      </c>
      <c r="E3385" s="74">
        <f t="shared" si="106"/>
        <v>-2.2142976029856307E-2</v>
      </c>
      <c r="F3385" s="75"/>
    </row>
    <row r="3386" spans="1:6" ht="14.25" customHeight="1" x14ac:dyDescent="0.3">
      <c r="A3386" s="73">
        <v>45532</v>
      </c>
      <c r="B3386" s="74">
        <v>81785.56</v>
      </c>
      <c r="C3386" s="74">
        <v>3528.1</v>
      </c>
      <c r="D3386" s="74">
        <f t="shared" si="105"/>
        <v>9.0276715254021382E-4</v>
      </c>
      <c r="E3386" s="74">
        <f t="shared" si="106"/>
        <v>-6.3852847338399191E-3</v>
      </c>
      <c r="F3386" s="75"/>
    </row>
    <row r="3387" spans="1:6" ht="14.25" customHeight="1" x14ac:dyDescent="0.3">
      <c r="A3387" s="73">
        <v>45533</v>
      </c>
      <c r="B3387" s="74">
        <v>82134.61</v>
      </c>
      <c r="C3387" s="74">
        <v>3534.75</v>
      </c>
      <c r="D3387" s="74">
        <f t="shared" si="105"/>
        <v>4.2587867931997495E-3</v>
      </c>
      <c r="E3387" s="74">
        <f t="shared" si="106"/>
        <v>1.8830930757687411E-3</v>
      </c>
      <c r="F3387" s="75"/>
    </row>
    <row r="3388" spans="1:6" ht="14.25" customHeight="1" x14ac:dyDescent="0.3">
      <c r="A3388" s="73">
        <v>45534</v>
      </c>
      <c r="B3388" s="74">
        <v>82365.77</v>
      </c>
      <c r="C3388" s="74">
        <v>3567.15</v>
      </c>
      <c r="D3388" s="74">
        <f t="shared" si="105"/>
        <v>2.8104512847209589E-3</v>
      </c>
      <c r="E3388" s="74">
        <f t="shared" si="106"/>
        <v>9.1243821474343012E-3</v>
      </c>
      <c r="F3388" s="75"/>
    </row>
    <row r="3389" spans="1:6" ht="14.25" customHeight="1" x14ac:dyDescent="0.3">
      <c r="A3389" s="73">
        <v>45537</v>
      </c>
      <c r="B3389" s="74">
        <v>82559.839999999997</v>
      </c>
      <c r="C3389" s="74">
        <v>3586.55</v>
      </c>
      <c r="D3389" s="74">
        <f t="shared" si="105"/>
        <v>2.3534257605377367E-3</v>
      </c>
      <c r="E3389" s="74">
        <f t="shared" si="106"/>
        <v>5.4237800181975646E-3</v>
      </c>
      <c r="F3389" s="75"/>
    </row>
    <row r="3390" spans="1:6" ht="14.25" customHeight="1" x14ac:dyDescent="0.3">
      <c r="A3390" s="73">
        <v>45538</v>
      </c>
      <c r="B3390" s="74">
        <v>82555.44</v>
      </c>
      <c r="C3390" s="74">
        <v>3619.75</v>
      </c>
      <c r="D3390" s="74">
        <f t="shared" si="105"/>
        <v>-5.3296097139361041E-5</v>
      </c>
      <c r="E3390" s="74">
        <f t="shared" si="106"/>
        <v>9.2142250239490714E-3</v>
      </c>
      <c r="F3390" s="75"/>
    </row>
    <row r="3391" spans="1:6" ht="14.25" customHeight="1" x14ac:dyDescent="0.3">
      <c r="A3391" s="73">
        <v>45539</v>
      </c>
      <c r="B3391" s="74">
        <v>82352.639999999999</v>
      </c>
      <c r="C3391" s="74">
        <v>3609</v>
      </c>
      <c r="D3391" s="74">
        <f t="shared" si="105"/>
        <v>-2.4595532521498467E-3</v>
      </c>
      <c r="E3391" s="74">
        <f t="shared" si="106"/>
        <v>-2.9742370187424449E-3</v>
      </c>
      <c r="F3391" s="75"/>
    </row>
    <row r="3392" spans="1:6" ht="14.25" customHeight="1" x14ac:dyDescent="0.3">
      <c r="A3392" s="73">
        <v>45540</v>
      </c>
      <c r="B3392" s="74">
        <v>82201.16</v>
      </c>
      <c r="C3392" s="74">
        <v>3721.4</v>
      </c>
      <c r="D3392" s="74">
        <f t="shared" si="105"/>
        <v>-1.8411005128862446E-3</v>
      </c>
      <c r="E3392" s="74">
        <f t="shared" si="106"/>
        <v>3.0669215910752369E-2</v>
      </c>
      <c r="F3392" s="75"/>
    </row>
    <row r="3393" spans="1:6" ht="14.25" customHeight="1" x14ac:dyDescent="0.3">
      <c r="A3393" s="73">
        <v>45541</v>
      </c>
      <c r="B3393" s="74">
        <v>81183.929999999993</v>
      </c>
      <c r="C3393" s="74">
        <v>3693.8</v>
      </c>
      <c r="D3393" s="74">
        <f t="shared" si="105"/>
        <v>-1.2452092707068351E-2</v>
      </c>
      <c r="E3393" s="74">
        <f t="shared" si="106"/>
        <v>-7.4442031117299707E-3</v>
      </c>
      <c r="F3393" s="75"/>
    </row>
    <row r="3394" spans="1:6" ht="14.25" customHeight="1" x14ac:dyDescent="0.3">
      <c r="A3394" s="73">
        <v>45544</v>
      </c>
      <c r="B3394" s="74">
        <v>81559.539999999994</v>
      </c>
      <c r="C3394" s="74">
        <v>3684.1</v>
      </c>
      <c r="D3394" s="74">
        <f t="shared" si="105"/>
        <v>4.6159844930972636E-3</v>
      </c>
      <c r="E3394" s="74">
        <f t="shared" si="106"/>
        <v>-2.6294760267645059E-3</v>
      </c>
      <c r="F3394" s="75"/>
    </row>
    <row r="3395" spans="1:6" ht="14.25" customHeight="1" x14ac:dyDescent="0.3">
      <c r="A3395" s="73">
        <v>45545</v>
      </c>
      <c r="B3395" s="74">
        <v>81921.289999999994</v>
      </c>
      <c r="C3395" s="74">
        <v>3727.95</v>
      </c>
      <c r="D3395" s="74">
        <f t="shared" si="105"/>
        <v>4.4256025667943769E-3</v>
      </c>
      <c r="E3395" s="74">
        <f t="shared" si="106"/>
        <v>1.1832222283325988E-2</v>
      </c>
      <c r="F3395" s="75"/>
    </row>
    <row r="3396" spans="1:6" ht="14.25" customHeight="1" x14ac:dyDescent="0.3">
      <c r="A3396" s="73">
        <v>45546</v>
      </c>
      <c r="B3396" s="74">
        <v>81523.16</v>
      </c>
      <c r="C3396" s="74">
        <v>3711.25</v>
      </c>
      <c r="D3396" s="74">
        <f t="shared" ref="D3396:D3459" si="107">LN(B3396/B3395)</f>
        <v>-4.8717565807204263E-3</v>
      </c>
      <c r="E3396" s="74">
        <f t="shared" ref="E3396:E3459" si="108">LN(C3396/C3395)</f>
        <v>-4.489737620402885E-3</v>
      </c>
      <c r="F3396" s="75"/>
    </row>
    <row r="3397" spans="1:6" ht="14.25" customHeight="1" x14ac:dyDescent="0.3">
      <c r="A3397" s="73">
        <v>45547</v>
      </c>
      <c r="B3397" s="74">
        <v>82962.710000000006</v>
      </c>
      <c r="C3397" s="74">
        <v>3763.4</v>
      </c>
      <c r="D3397" s="74">
        <f t="shared" si="107"/>
        <v>1.750407807615928E-2</v>
      </c>
      <c r="E3397" s="74">
        <f t="shared" si="108"/>
        <v>1.3954057032574589E-2</v>
      </c>
      <c r="F3397" s="75"/>
    </row>
    <row r="3398" spans="1:6" ht="14.25" customHeight="1" x14ac:dyDescent="0.3">
      <c r="A3398" s="73">
        <v>45548</v>
      </c>
      <c r="B3398" s="74">
        <v>82890.94</v>
      </c>
      <c r="C3398" s="74">
        <v>3767.65</v>
      </c>
      <c r="D3398" s="74">
        <f t="shared" si="107"/>
        <v>-8.6546186327279655E-4</v>
      </c>
      <c r="E3398" s="74">
        <f t="shared" si="108"/>
        <v>1.128660797940222E-3</v>
      </c>
      <c r="F3398" s="75"/>
    </row>
    <row r="3399" spans="1:6" ht="14.25" customHeight="1" x14ac:dyDescent="0.3">
      <c r="A3399" s="73">
        <v>45551</v>
      </c>
      <c r="B3399" s="74">
        <v>82988.78</v>
      </c>
      <c r="C3399" s="74">
        <v>3737.95</v>
      </c>
      <c r="D3399" s="74">
        <f t="shared" si="107"/>
        <v>1.1796500662765818E-3</v>
      </c>
      <c r="E3399" s="74">
        <f t="shared" si="108"/>
        <v>-7.9141321194093062E-3</v>
      </c>
      <c r="F3399" s="75"/>
    </row>
    <row r="3400" spans="1:6" ht="14.25" customHeight="1" x14ac:dyDescent="0.3">
      <c r="A3400" s="73">
        <v>45552</v>
      </c>
      <c r="B3400" s="74">
        <v>83079.66</v>
      </c>
      <c r="C3400" s="74">
        <v>3770.25</v>
      </c>
      <c r="D3400" s="74">
        <f t="shared" si="107"/>
        <v>1.0944886225479813E-3</v>
      </c>
      <c r="E3400" s="74">
        <f t="shared" si="108"/>
        <v>8.6039794517190869E-3</v>
      </c>
      <c r="F3400" s="75"/>
    </row>
    <row r="3401" spans="1:6" ht="14.25" customHeight="1" x14ac:dyDescent="0.3">
      <c r="A3401" s="73">
        <v>45553</v>
      </c>
      <c r="B3401" s="74">
        <v>82948.23</v>
      </c>
      <c r="C3401" s="74">
        <v>3723.65</v>
      </c>
      <c r="D3401" s="74">
        <f t="shared" si="107"/>
        <v>-1.5832283052404094E-3</v>
      </c>
      <c r="E3401" s="74">
        <f t="shared" si="108"/>
        <v>-1.2436942223105946E-2</v>
      </c>
      <c r="F3401" s="75"/>
    </row>
    <row r="3402" spans="1:6" ht="14.25" customHeight="1" x14ac:dyDescent="0.3">
      <c r="A3402" s="73">
        <v>45554</v>
      </c>
      <c r="B3402" s="74">
        <v>83184.800000000003</v>
      </c>
      <c r="C3402" s="74">
        <v>3781.6</v>
      </c>
      <c r="D3402" s="74">
        <f t="shared" si="107"/>
        <v>2.8479605759217188E-3</v>
      </c>
      <c r="E3402" s="74">
        <f t="shared" si="108"/>
        <v>1.5442830461338273E-2</v>
      </c>
      <c r="F3402" s="75"/>
    </row>
    <row r="3403" spans="1:6" ht="14.25" customHeight="1" x14ac:dyDescent="0.3">
      <c r="A3403" s="73">
        <v>45555</v>
      </c>
      <c r="B3403" s="74">
        <v>84544.31</v>
      </c>
      <c r="C3403" s="74">
        <v>3798.7</v>
      </c>
      <c r="D3403" s="74">
        <f t="shared" si="107"/>
        <v>1.6211136793689622E-2</v>
      </c>
      <c r="E3403" s="74">
        <f t="shared" si="108"/>
        <v>4.5117024409374058E-3</v>
      </c>
      <c r="F3403" s="75"/>
    </row>
    <row r="3404" spans="1:6" ht="14.25" customHeight="1" x14ac:dyDescent="0.3">
      <c r="A3404" s="73">
        <v>45558</v>
      </c>
      <c r="B3404" s="74">
        <v>84928.61</v>
      </c>
      <c r="C3404" s="74">
        <v>3819.1</v>
      </c>
      <c r="D3404" s="74">
        <f t="shared" si="107"/>
        <v>4.5352456156945468E-3</v>
      </c>
      <c r="E3404" s="74">
        <f t="shared" si="108"/>
        <v>5.3558898278826227E-3</v>
      </c>
      <c r="F3404" s="75"/>
    </row>
    <row r="3405" spans="1:6" ht="14.25" customHeight="1" x14ac:dyDescent="0.3">
      <c r="A3405" s="73">
        <v>45559</v>
      </c>
      <c r="B3405" s="74">
        <v>84914.04</v>
      </c>
      <c r="C3405" s="74">
        <v>3783.25</v>
      </c>
      <c r="D3405" s="74">
        <f t="shared" si="107"/>
        <v>-1.7157056882647357E-4</v>
      </c>
      <c r="E3405" s="74">
        <f t="shared" si="108"/>
        <v>-9.4313641807109785E-3</v>
      </c>
      <c r="F3405" s="75"/>
    </row>
    <row r="3406" spans="1:6" ht="14.25" customHeight="1" x14ac:dyDescent="0.3">
      <c r="A3406" s="73">
        <v>45560</v>
      </c>
      <c r="B3406" s="74">
        <v>85169.87</v>
      </c>
      <c r="C3406" s="74">
        <v>3738.45</v>
      </c>
      <c r="D3406" s="74">
        <f t="shared" si="107"/>
        <v>3.0082821230221052E-3</v>
      </c>
      <c r="E3406" s="74">
        <f t="shared" si="108"/>
        <v>-1.1912341564603331E-2</v>
      </c>
      <c r="F3406" s="75"/>
    </row>
    <row r="3407" spans="1:6" ht="14.25" customHeight="1" x14ac:dyDescent="0.3">
      <c r="A3407" s="73">
        <v>45561</v>
      </c>
      <c r="B3407" s="74">
        <v>85836.12</v>
      </c>
      <c r="C3407" s="74">
        <v>3757.8</v>
      </c>
      <c r="D3407" s="74">
        <f t="shared" si="107"/>
        <v>7.7921641353108518E-3</v>
      </c>
      <c r="E3407" s="74">
        <f t="shared" si="108"/>
        <v>5.162592756889915E-3</v>
      </c>
      <c r="F3407" s="75"/>
    </row>
    <row r="3408" spans="1:6" ht="14.25" customHeight="1" x14ac:dyDescent="0.3">
      <c r="A3408" s="73">
        <v>45562</v>
      </c>
      <c r="B3408" s="74">
        <v>85571.85</v>
      </c>
      <c r="C3408" s="74">
        <v>3814.3</v>
      </c>
      <c r="D3408" s="74">
        <f t="shared" si="107"/>
        <v>-3.0835230052884441E-3</v>
      </c>
      <c r="E3408" s="74">
        <f t="shared" si="108"/>
        <v>1.4923481884943796E-2</v>
      </c>
      <c r="F3408" s="75"/>
    </row>
    <row r="3409" spans="1:6" ht="14.25" customHeight="1" x14ac:dyDescent="0.3">
      <c r="A3409" s="73">
        <v>45565</v>
      </c>
      <c r="B3409" s="74">
        <v>84299.78</v>
      </c>
      <c r="C3409" s="74">
        <v>3821.6</v>
      </c>
      <c r="D3409" s="74">
        <f t="shared" si="107"/>
        <v>-1.4977118645560743E-2</v>
      </c>
      <c r="E3409" s="74">
        <f t="shared" si="108"/>
        <v>1.91202143138615E-3</v>
      </c>
      <c r="F3409" s="75"/>
    </row>
    <row r="3410" spans="1:6" ht="14.25" customHeight="1" x14ac:dyDescent="0.3">
      <c r="A3410" s="73">
        <v>45566</v>
      </c>
      <c r="B3410" s="74">
        <v>84266.29</v>
      </c>
      <c r="C3410" s="74">
        <v>3774.55</v>
      </c>
      <c r="D3410" s="74">
        <f t="shared" si="107"/>
        <v>-3.9735161934602927E-4</v>
      </c>
      <c r="E3410" s="74">
        <f t="shared" si="108"/>
        <v>-1.2388012796156457E-2</v>
      </c>
      <c r="F3410" s="75"/>
    </row>
    <row r="3411" spans="1:6" ht="14.25" customHeight="1" x14ac:dyDescent="0.3">
      <c r="A3411" s="73">
        <v>45568</v>
      </c>
      <c r="B3411" s="74">
        <v>82497.100000000006</v>
      </c>
      <c r="C3411" s="74">
        <v>3677.05</v>
      </c>
      <c r="D3411" s="74">
        <f t="shared" si="107"/>
        <v>-2.1218762450238689E-2</v>
      </c>
      <c r="E3411" s="74">
        <f t="shared" si="108"/>
        <v>-2.6170370028894125E-2</v>
      </c>
      <c r="F3411" s="75"/>
    </row>
    <row r="3412" spans="1:6" ht="14.25" customHeight="1" x14ac:dyDescent="0.3">
      <c r="A3412" s="73">
        <v>45569</v>
      </c>
      <c r="B3412" s="74">
        <v>81688.45</v>
      </c>
      <c r="C3412" s="74">
        <v>3663.2</v>
      </c>
      <c r="D3412" s="74">
        <f t="shared" si="107"/>
        <v>-9.8505202045339156E-3</v>
      </c>
      <c r="E3412" s="74">
        <f t="shared" si="108"/>
        <v>-3.7737179078158921E-3</v>
      </c>
      <c r="F3412" s="75"/>
    </row>
    <row r="3413" spans="1:6" ht="14.25" customHeight="1" x14ac:dyDescent="0.3">
      <c r="A3413" s="73">
        <v>45572</v>
      </c>
      <c r="B3413" s="74">
        <v>81050</v>
      </c>
      <c r="C3413" s="74">
        <v>3587.35</v>
      </c>
      <c r="D3413" s="74">
        <f t="shared" si="107"/>
        <v>-7.8463728214358489E-3</v>
      </c>
      <c r="E3413" s="74">
        <f t="shared" si="108"/>
        <v>-2.0923313995838654E-2</v>
      </c>
      <c r="F3413" s="75"/>
    </row>
    <row r="3414" spans="1:6" ht="14.25" customHeight="1" x14ac:dyDescent="0.3">
      <c r="A3414" s="73">
        <v>45573</v>
      </c>
      <c r="B3414" s="74">
        <v>81634.81</v>
      </c>
      <c r="C3414" s="74">
        <v>3494.45</v>
      </c>
      <c r="D3414" s="74">
        <f t="shared" si="107"/>
        <v>7.1895159606478465E-3</v>
      </c>
      <c r="E3414" s="74">
        <f t="shared" si="108"/>
        <v>-2.6237772730824373E-2</v>
      </c>
      <c r="F3414" s="75"/>
    </row>
    <row r="3415" spans="1:6" ht="14.25" customHeight="1" x14ac:dyDescent="0.3">
      <c r="A3415" s="73">
        <v>45574</v>
      </c>
      <c r="B3415" s="74">
        <v>81467.100000000006</v>
      </c>
      <c r="C3415" s="74">
        <v>3494.05</v>
      </c>
      <c r="D3415" s="74">
        <f t="shared" si="107"/>
        <v>-2.0565063782127424E-3</v>
      </c>
      <c r="E3415" s="74">
        <f t="shared" si="108"/>
        <v>-1.1447377847510385E-4</v>
      </c>
      <c r="F3415" s="75"/>
    </row>
    <row r="3416" spans="1:6" ht="14.25" customHeight="1" x14ac:dyDescent="0.3">
      <c r="A3416" s="73">
        <v>45575</v>
      </c>
      <c r="B3416" s="74">
        <v>81611.41</v>
      </c>
      <c r="C3416" s="74">
        <v>3447.6</v>
      </c>
      <c r="D3416" s="74">
        <f t="shared" si="107"/>
        <v>1.769822862229877E-3</v>
      </c>
      <c r="E3416" s="74">
        <f t="shared" si="108"/>
        <v>-1.3383185064503457E-2</v>
      </c>
      <c r="F3416" s="75"/>
    </row>
    <row r="3417" spans="1:6" ht="14.25" customHeight="1" x14ac:dyDescent="0.3">
      <c r="A3417" s="73">
        <v>45576</v>
      </c>
      <c r="B3417" s="74">
        <v>81381.36</v>
      </c>
      <c r="C3417" s="74">
        <v>3475.1</v>
      </c>
      <c r="D3417" s="74">
        <f t="shared" si="107"/>
        <v>-2.822826469663415E-3</v>
      </c>
      <c r="E3417" s="74">
        <f t="shared" si="108"/>
        <v>7.9449187900163514E-3</v>
      </c>
      <c r="F3417" s="75"/>
    </row>
    <row r="3418" spans="1:6" ht="14.25" customHeight="1" x14ac:dyDescent="0.3">
      <c r="A3418" s="73">
        <v>45579</v>
      </c>
      <c r="B3418" s="74">
        <v>81973.05</v>
      </c>
      <c r="C3418" s="74">
        <v>3497.7</v>
      </c>
      <c r="D3418" s="74">
        <f t="shared" si="107"/>
        <v>7.244280550927973E-3</v>
      </c>
      <c r="E3418" s="74">
        <f t="shared" si="108"/>
        <v>6.4823540440949257E-3</v>
      </c>
      <c r="F3418" s="75"/>
    </row>
    <row r="3419" spans="1:6" ht="14.25" customHeight="1" x14ac:dyDescent="0.3">
      <c r="A3419" s="73">
        <v>45580</v>
      </c>
      <c r="B3419" s="74">
        <v>81820.12</v>
      </c>
      <c r="C3419" s="74">
        <v>3508.05</v>
      </c>
      <c r="D3419" s="74">
        <f t="shared" si="107"/>
        <v>-1.8673555733627729E-3</v>
      </c>
      <c r="E3419" s="74">
        <f t="shared" si="108"/>
        <v>2.9547179188333535E-3</v>
      </c>
      <c r="F3419" s="75"/>
    </row>
    <row r="3420" spans="1:6" ht="14.25" customHeight="1" x14ac:dyDescent="0.3">
      <c r="A3420" s="73">
        <v>45581</v>
      </c>
      <c r="B3420" s="74">
        <v>81501.36</v>
      </c>
      <c r="C3420" s="74">
        <v>3469.15</v>
      </c>
      <c r="D3420" s="74">
        <f t="shared" si="107"/>
        <v>-3.9034719100986405E-3</v>
      </c>
      <c r="E3420" s="74">
        <f t="shared" si="108"/>
        <v>-1.1150720364428532E-2</v>
      </c>
      <c r="F3420" s="75"/>
    </row>
    <row r="3421" spans="1:6" ht="14.25" customHeight="1" x14ac:dyDescent="0.3">
      <c r="A3421" s="73">
        <v>45582</v>
      </c>
      <c r="B3421" s="74">
        <v>81006.61</v>
      </c>
      <c r="C3421" s="74">
        <v>3400.15</v>
      </c>
      <c r="D3421" s="74">
        <f t="shared" si="107"/>
        <v>-6.0889509429445108E-3</v>
      </c>
      <c r="E3421" s="74">
        <f t="shared" si="108"/>
        <v>-2.0090058883603289E-2</v>
      </c>
      <c r="F3421" s="75"/>
    </row>
    <row r="3422" spans="1:6" ht="14.25" customHeight="1" x14ac:dyDescent="0.3">
      <c r="A3422" s="73">
        <v>45583</v>
      </c>
      <c r="B3422" s="74">
        <v>81224.75</v>
      </c>
      <c r="C3422" s="74">
        <v>3379.8</v>
      </c>
      <c r="D3422" s="74">
        <f t="shared" si="107"/>
        <v>2.6892473991049644E-3</v>
      </c>
      <c r="E3422" s="74">
        <f t="shared" si="108"/>
        <v>-6.0030121494334659E-3</v>
      </c>
      <c r="F3422" s="75"/>
    </row>
    <row r="3423" spans="1:6" ht="14.25" customHeight="1" x14ac:dyDescent="0.3">
      <c r="A3423" s="73">
        <v>45586</v>
      </c>
      <c r="B3423" s="74">
        <v>81151.27</v>
      </c>
      <c r="C3423" s="74">
        <v>3362.8</v>
      </c>
      <c r="D3423" s="74">
        <f t="shared" si="107"/>
        <v>-9.0505981136651797E-4</v>
      </c>
      <c r="E3423" s="74">
        <f t="shared" si="108"/>
        <v>-5.0425758675814933E-3</v>
      </c>
      <c r="F3423" s="75"/>
    </row>
    <row r="3424" spans="1:6" ht="14.25" customHeight="1" x14ac:dyDescent="0.3">
      <c r="A3424" s="73">
        <v>45587</v>
      </c>
      <c r="B3424" s="74">
        <v>80220.72</v>
      </c>
      <c r="C3424" s="74">
        <v>3331.45</v>
      </c>
      <c r="D3424" s="74">
        <f t="shared" si="107"/>
        <v>-1.1533108249442195E-2</v>
      </c>
      <c r="E3424" s="74">
        <f t="shared" si="108"/>
        <v>-9.3663156257150909E-3</v>
      </c>
      <c r="F3424" s="75"/>
    </row>
    <row r="3425" spans="1:6" ht="14.25" customHeight="1" x14ac:dyDescent="0.3">
      <c r="A3425" s="73">
        <v>45588</v>
      </c>
      <c r="B3425" s="74">
        <v>80081.98</v>
      </c>
      <c r="C3425" s="74">
        <v>3289.85</v>
      </c>
      <c r="D3425" s="74">
        <f t="shared" si="107"/>
        <v>-1.7309756434789117E-3</v>
      </c>
      <c r="E3425" s="74">
        <f t="shared" si="108"/>
        <v>-1.2565673620555436E-2</v>
      </c>
      <c r="F3425" s="75"/>
    </row>
    <row r="3426" spans="1:6" ht="14.25" customHeight="1" x14ac:dyDescent="0.3">
      <c r="A3426" s="73">
        <v>45589</v>
      </c>
      <c r="B3426" s="74">
        <v>80065.16</v>
      </c>
      <c r="C3426" s="74">
        <v>3332.05</v>
      </c>
      <c r="D3426" s="74">
        <f t="shared" si="107"/>
        <v>-2.1005682726320319E-4</v>
      </c>
      <c r="E3426" s="74">
        <f t="shared" si="108"/>
        <v>1.2745759161674039E-2</v>
      </c>
      <c r="F3426" s="75"/>
    </row>
    <row r="3427" spans="1:6" ht="14.25" customHeight="1" x14ac:dyDescent="0.3">
      <c r="A3427" s="73">
        <v>45590</v>
      </c>
      <c r="B3427" s="74">
        <v>79402.289999999994</v>
      </c>
      <c r="C3427" s="74">
        <v>3265.55</v>
      </c>
      <c r="D3427" s="74">
        <f t="shared" si="107"/>
        <v>-8.3135940017515595E-3</v>
      </c>
      <c r="E3427" s="74">
        <f t="shared" si="108"/>
        <v>-2.0159528360180475E-2</v>
      </c>
      <c r="F3427" s="75"/>
    </row>
    <row r="3428" spans="1:6" ht="14.25" customHeight="1" x14ac:dyDescent="0.3">
      <c r="A3428" s="73">
        <v>45593</v>
      </c>
      <c r="B3428" s="74">
        <v>80005.039999999994</v>
      </c>
      <c r="C3428" s="74">
        <v>3286.55</v>
      </c>
      <c r="D3428" s="74">
        <f t="shared" si="107"/>
        <v>7.5624235424538253E-3</v>
      </c>
      <c r="E3428" s="74">
        <f t="shared" si="108"/>
        <v>6.4101805247710033E-3</v>
      </c>
      <c r="F3428" s="75"/>
    </row>
    <row r="3429" spans="1:6" ht="14.25" customHeight="1" x14ac:dyDescent="0.3">
      <c r="A3429" s="73">
        <v>45594</v>
      </c>
      <c r="B3429" s="74">
        <v>80369.03</v>
      </c>
      <c r="C3429" s="74">
        <v>3283.85</v>
      </c>
      <c r="D3429" s="74">
        <f t="shared" si="107"/>
        <v>4.5392702822866782E-3</v>
      </c>
      <c r="E3429" s="74">
        <f t="shared" si="108"/>
        <v>-8.2186781686964311E-4</v>
      </c>
      <c r="F3429" s="75"/>
    </row>
    <row r="3430" spans="1:6" ht="14.25" customHeight="1" x14ac:dyDescent="0.3">
      <c r="A3430" s="73">
        <v>45595</v>
      </c>
      <c r="B3430" s="74">
        <v>79942.179999999993</v>
      </c>
      <c r="C3430" s="74">
        <v>3307.4</v>
      </c>
      <c r="D3430" s="74">
        <f t="shared" si="107"/>
        <v>-5.3252796075666546E-3</v>
      </c>
      <c r="E3430" s="74">
        <f t="shared" si="108"/>
        <v>7.1458676918297499E-3</v>
      </c>
      <c r="F3430" s="75"/>
    </row>
    <row r="3431" spans="1:6" ht="14.25" customHeight="1" x14ac:dyDescent="0.3">
      <c r="A3431" s="73">
        <v>45596</v>
      </c>
      <c r="B3431" s="74">
        <v>79389.06</v>
      </c>
      <c r="C3431" s="74">
        <v>3269.1</v>
      </c>
      <c r="D3431" s="74">
        <f t="shared" si="107"/>
        <v>-6.9430479794111181E-3</v>
      </c>
      <c r="E3431" s="74">
        <f t="shared" si="108"/>
        <v>-1.1647664565145894E-2</v>
      </c>
      <c r="F3431" s="75"/>
    </row>
    <row r="3432" spans="1:6" ht="14.25" customHeight="1" x14ac:dyDescent="0.3">
      <c r="A3432" s="73">
        <v>45597</v>
      </c>
      <c r="B3432" s="74">
        <v>79724.12</v>
      </c>
      <c r="C3432" s="74">
        <v>3293.55</v>
      </c>
      <c r="D3432" s="74">
        <f t="shared" si="107"/>
        <v>4.2115995075000367E-3</v>
      </c>
      <c r="E3432" s="74">
        <f t="shared" si="108"/>
        <v>7.4512927325054486E-3</v>
      </c>
      <c r="F3432" s="75"/>
    </row>
    <row r="3433" spans="1:6" ht="14.25" customHeight="1" x14ac:dyDescent="0.3">
      <c r="A3433" s="73">
        <v>45600</v>
      </c>
      <c r="B3433" s="74">
        <v>78782.240000000005</v>
      </c>
      <c r="C3433" s="74">
        <v>3225.65</v>
      </c>
      <c r="D3433" s="74">
        <f t="shared" si="107"/>
        <v>-1.1884584141149467E-2</v>
      </c>
      <c r="E3433" s="74">
        <f t="shared" si="108"/>
        <v>-2.0831530074536395E-2</v>
      </c>
      <c r="F3433" s="75"/>
    </row>
    <row r="3434" spans="1:6" ht="14.25" customHeight="1" x14ac:dyDescent="0.3">
      <c r="A3434" s="73">
        <v>45601</v>
      </c>
      <c r="B3434" s="74">
        <v>79476.63</v>
      </c>
      <c r="C3434" s="74">
        <v>3233.05</v>
      </c>
      <c r="D3434" s="74">
        <f t="shared" si="107"/>
        <v>8.7754254296353151E-3</v>
      </c>
      <c r="E3434" s="74">
        <f t="shared" si="108"/>
        <v>2.2914838088326441E-3</v>
      </c>
      <c r="F3434" s="75"/>
    </row>
    <row r="3435" spans="1:6" ht="14.25" customHeight="1" x14ac:dyDescent="0.3">
      <c r="A3435" s="73">
        <v>45602</v>
      </c>
      <c r="B3435" s="74">
        <v>80378.13</v>
      </c>
      <c r="C3435" s="74">
        <v>3177.5</v>
      </c>
      <c r="D3435" s="74">
        <f t="shared" si="107"/>
        <v>1.1279108076017728E-2</v>
      </c>
      <c r="E3435" s="74">
        <f t="shared" si="108"/>
        <v>-1.7331240054142705E-2</v>
      </c>
      <c r="F3435" s="75"/>
    </row>
    <row r="3436" spans="1:6" ht="14.25" customHeight="1" x14ac:dyDescent="0.3">
      <c r="A3436" s="73">
        <v>45603</v>
      </c>
      <c r="B3436" s="74">
        <v>79541.789999999994</v>
      </c>
      <c r="C3436" s="74">
        <v>3119.95</v>
      </c>
      <c r="D3436" s="74">
        <f t="shared" si="107"/>
        <v>-1.0459580330151394E-2</v>
      </c>
      <c r="E3436" s="74">
        <f t="shared" si="108"/>
        <v>-1.8277748029518745E-2</v>
      </c>
      <c r="F3436" s="75"/>
    </row>
    <row r="3437" spans="1:6" ht="14.25" customHeight="1" x14ac:dyDescent="0.3">
      <c r="A3437" s="73">
        <v>45604</v>
      </c>
      <c r="B3437" s="74">
        <v>79486.320000000007</v>
      </c>
      <c r="C3437" s="74">
        <v>3186.35</v>
      </c>
      <c r="D3437" s="74">
        <f t="shared" si="107"/>
        <v>-6.976125447204272E-4</v>
      </c>
      <c r="E3437" s="74">
        <f t="shared" si="108"/>
        <v>2.105908502054709E-2</v>
      </c>
      <c r="F3437" s="75"/>
    </row>
    <row r="3438" spans="1:6" ht="14.25" customHeight="1" x14ac:dyDescent="0.3">
      <c r="A3438" s="73">
        <v>45607</v>
      </c>
      <c r="B3438" s="74">
        <v>79496.149999999994</v>
      </c>
      <c r="C3438" s="74">
        <v>3206.8</v>
      </c>
      <c r="D3438" s="74">
        <f t="shared" si="107"/>
        <v>1.2366143276690113E-4</v>
      </c>
      <c r="E3438" s="74">
        <f t="shared" si="108"/>
        <v>6.3974941141592429E-3</v>
      </c>
      <c r="F3438" s="75"/>
    </row>
    <row r="3439" spans="1:6" ht="14.25" customHeight="1" x14ac:dyDescent="0.3">
      <c r="A3439" s="73">
        <v>45608</v>
      </c>
      <c r="B3439" s="74">
        <v>78675.179999999993</v>
      </c>
      <c r="C3439" s="74">
        <v>3194.9</v>
      </c>
      <c r="D3439" s="74">
        <f t="shared" si="107"/>
        <v>-1.0380861973587606E-2</v>
      </c>
      <c r="E3439" s="74">
        <f t="shared" si="108"/>
        <v>-3.717766751520721E-3</v>
      </c>
      <c r="F3439" s="75"/>
    </row>
    <row r="3440" spans="1:6" ht="14.25" customHeight="1" x14ac:dyDescent="0.3">
      <c r="A3440" s="73">
        <v>45609</v>
      </c>
      <c r="B3440" s="74">
        <v>77690.95</v>
      </c>
      <c r="C3440" s="74">
        <v>3187.1</v>
      </c>
      <c r="D3440" s="74">
        <f t="shared" si="107"/>
        <v>-1.2588953867535163E-2</v>
      </c>
      <c r="E3440" s="74">
        <f t="shared" si="108"/>
        <v>-2.4443760212262502E-3</v>
      </c>
      <c r="F3440" s="75"/>
    </row>
    <row r="3441" spans="1:6" ht="14.25" customHeight="1" x14ac:dyDescent="0.3">
      <c r="A3441" s="73">
        <v>45610</v>
      </c>
      <c r="B3441" s="74">
        <v>77580.31</v>
      </c>
      <c r="C3441" s="74">
        <v>3184</v>
      </c>
      <c r="D3441" s="74">
        <f t="shared" si="107"/>
        <v>-1.4251190944865276E-3</v>
      </c>
      <c r="E3441" s="74">
        <f t="shared" si="108"/>
        <v>-9.7314443177606369E-4</v>
      </c>
      <c r="F3441" s="75"/>
    </row>
    <row r="3442" spans="1:6" ht="14.25" customHeight="1" x14ac:dyDescent="0.3">
      <c r="A3442" s="73">
        <v>45614</v>
      </c>
      <c r="B3442" s="74">
        <v>77339.009999999995</v>
      </c>
      <c r="C3442" s="74">
        <v>3171.95</v>
      </c>
      <c r="D3442" s="74">
        <f t="shared" si="107"/>
        <v>-3.115172402477061E-3</v>
      </c>
      <c r="E3442" s="74">
        <f t="shared" si="108"/>
        <v>-3.791727259370293E-3</v>
      </c>
      <c r="F3442" s="75"/>
    </row>
    <row r="3443" spans="1:6" ht="14.25" customHeight="1" x14ac:dyDescent="0.3">
      <c r="A3443" s="73">
        <v>45615</v>
      </c>
      <c r="B3443" s="74">
        <v>77578.38</v>
      </c>
      <c r="C3443" s="74">
        <v>3217.65</v>
      </c>
      <c r="D3443" s="74">
        <f t="shared" si="107"/>
        <v>3.0902946466761939E-3</v>
      </c>
      <c r="E3443" s="74">
        <f t="shared" si="108"/>
        <v>1.4304738725317824E-2</v>
      </c>
      <c r="F3443" s="75"/>
    </row>
    <row r="3444" spans="1:6" ht="14.25" customHeight="1" x14ac:dyDescent="0.3">
      <c r="A3444" s="73">
        <v>45617</v>
      </c>
      <c r="B3444" s="74">
        <v>77155.789999999994</v>
      </c>
      <c r="C3444" s="74">
        <v>3178.7</v>
      </c>
      <c r="D3444" s="74">
        <f t="shared" si="107"/>
        <v>-5.4621555234879221E-3</v>
      </c>
      <c r="E3444" s="74">
        <f t="shared" si="108"/>
        <v>-1.2178971271002524E-2</v>
      </c>
      <c r="F3444" s="75"/>
    </row>
    <row r="3445" spans="1:6" ht="14.25" customHeight="1" x14ac:dyDescent="0.3">
      <c r="A3445" s="73">
        <v>45618</v>
      </c>
      <c r="B3445" s="74">
        <v>79117.11</v>
      </c>
      <c r="C3445" s="74">
        <v>3309.1</v>
      </c>
      <c r="D3445" s="74">
        <f t="shared" si="107"/>
        <v>2.510253525282052E-2</v>
      </c>
      <c r="E3445" s="74">
        <f t="shared" si="108"/>
        <v>4.020394091621643E-2</v>
      </c>
      <c r="F3445" s="75"/>
    </row>
    <row r="3446" spans="1:6" ht="14.25" customHeight="1" x14ac:dyDescent="0.3">
      <c r="A3446" s="73">
        <v>45621</v>
      </c>
      <c r="B3446" s="74">
        <v>80109.850000000006</v>
      </c>
      <c r="C3446" s="74">
        <v>3309.25</v>
      </c>
      <c r="D3446" s="74">
        <f t="shared" si="107"/>
        <v>1.2469657947262611E-2</v>
      </c>
      <c r="E3446" s="74">
        <f t="shared" si="108"/>
        <v>4.5328518445241304E-5</v>
      </c>
      <c r="F3446" s="75"/>
    </row>
    <row r="3447" spans="1:6" ht="14.25" customHeight="1" x14ac:dyDescent="0.3">
      <c r="A3447" s="73">
        <v>45622</v>
      </c>
      <c r="B3447" s="74">
        <v>80004.06</v>
      </c>
      <c r="C3447" s="74">
        <v>3315.45</v>
      </c>
      <c r="D3447" s="74">
        <f t="shared" si="107"/>
        <v>-1.321434413713512E-3</v>
      </c>
      <c r="E3447" s="74">
        <f t="shared" si="108"/>
        <v>1.8717834196806131E-3</v>
      </c>
      <c r="F3447" s="75"/>
    </row>
    <row r="3448" spans="1:6" ht="14.25" customHeight="1" x14ac:dyDescent="0.3">
      <c r="A3448" s="73">
        <v>45623</v>
      </c>
      <c r="B3448" s="74">
        <v>80234.080000000002</v>
      </c>
      <c r="C3448" s="74">
        <v>3290.8</v>
      </c>
      <c r="D3448" s="74">
        <f t="shared" si="107"/>
        <v>2.8709788817487527E-3</v>
      </c>
      <c r="E3448" s="74">
        <f t="shared" si="108"/>
        <v>-7.4626647187855527E-3</v>
      </c>
      <c r="F3448" s="75"/>
    </row>
    <row r="3449" spans="1:6" ht="14.25" customHeight="1" x14ac:dyDescent="0.3">
      <c r="A3449" s="73">
        <v>45624</v>
      </c>
      <c r="B3449" s="74">
        <v>79043.740000000005</v>
      </c>
      <c r="C3449" s="74">
        <v>3212.65</v>
      </c>
      <c r="D3449" s="74">
        <f t="shared" si="107"/>
        <v>-1.4946992133967451E-2</v>
      </c>
      <c r="E3449" s="74">
        <f t="shared" si="108"/>
        <v>-2.4034554574362009E-2</v>
      </c>
      <c r="F3449" s="75"/>
    </row>
    <row r="3450" spans="1:6" ht="14.25" customHeight="1" x14ac:dyDescent="0.3">
      <c r="A3450" s="73">
        <v>45625</v>
      </c>
      <c r="B3450" s="74">
        <v>79802.789999999994</v>
      </c>
      <c r="C3450" s="74">
        <v>3249.45</v>
      </c>
      <c r="D3450" s="74">
        <f t="shared" si="107"/>
        <v>9.5570961166821303E-3</v>
      </c>
      <c r="E3450" s="74">
        <f t="shared" si="108"/>
        <v>1.1389609512996638E-2</v>
      </c>
      <c r="F3450" s="75"/>
    </row>
    <row r="3451" spans="1:6" ht="14.25" customHeight="1" x14ac:dyDescent="0.3">
      <c r="A3451" s="73">
        <v>45628</v>
      </c>
      <c r="B3451" s="74">
        <v>80248.08</v>
      </c>
      <c r="C3451" s="74">
        <v>3305.6</v>
      </c>
      <c r="D3451" s="74">
        <f t="shared" si="107"/>
        <v>5.564370239660125E-3</v>
      </c>
      <c r="E3451" s="74">
        <f t="shared" si="108"/>
        <v>1.7132248691909435E-2</v>
      </c>
      <c r="F3451" s="75"/>
    </row>
    <row r="3452" spans="1:6" ht="14.25" customHeight="1" x14ac:dyDescent="0.3">
      <c r="A3452" s="73">
        <v>45629</v>
      </c>
      <c r="B3452" s="74">
        <v>80845.75</v>
      </c>
      <c r="C3452" s="74">
        <v>3334.45</v>
      </c>
      <c r="D3452" s="74">
        <f t="shared" si="107"/>
        <v>7.4201816700446566E-3</v>
      </c>
      <c r="E3452" s="74">
        <f t="shared" si="108"/>
        <v>8.6897482827823589E-3</v>
      </c>
      <c r="F3452" s="75"/>
    </row>
    <row r="3453" spans="1:6" ht="14.25" customHeight="1" x14ac:dyDescent="0.3">
      <c r="A3453" s="73">
        <v>45630</v>
      </c>
      <c r="B3453" s="74">
        <v>80956.33</v>
      </c>
      <c r="C3453" s="74">
        <v>3362.45</v>
      </c>
      <c r="D3453" s="74">
        <f t="shared" si="107"/>
        <v>1.3668553236933273E-3</v>
      </c>
      <c r="E3453" s="74">
        <f t="shared" si="108"/>
        <v>8.3621267029590652E-3</v>
      </c>
      <c r="F3453" s="75"/>
    </row>
    <row r="3454" spans="1:6" ht="14.25" customHeight="1" x14ac:dyDescent="0.3">
      <c r="A3454" s="73">
        <v>45631</v>
      </c>
      <c r="B3454" s="74">
        <v>81765.86</v>
      </c>
      <c r="C3454" s="74">
        <v>3437.5</v>
      </c>
      <c r="D3454" s="74">
        <f t="shared" si="107"/>
        <v>9.949923592812571E-3</v>
      </c>
      <c r="E3454" s="74">
        <f t="shared" si="108"/>
        <v>2.2074588063765929E-2</v>
      </c>
      <c r="F3454" s="75"/>
    </row>
    <row r="3455" spans="1:6" ht="14.25" customHeight="1" x14ac:dyDescent="0.3">
      <c r="A3455" s="73">
        <v>45632</v>
      </c>
      <c r="B3455" s="74">
        <v>81709.119999999995</v>
      </c>
      <c r="C3455" s="74">
        <v>3470.9</v>
      </c>
      <c r="D3455" s="74">
        <f t="shared" si="107"/>
        <v>-6.9417353381512011E-4</v>
      </c>
      <c r="E3455" s="74">
        <f t="shared" si="108"/>
        <v>9.6694633307698608E-3</v>
      </c>
      <c r="F3455" s="75"/>
    </row>
    <row r="3456" spans="1:6" ht="14.25" customHeight="1" x14ac:dyDescent="0.3">
      <c r="A3456" s="73">
        <v>45635</v>
      </c>
      <c r="B3456" s="74">
        <v>81508.460000000006</v>
      </c>
      <c r="C3456" s="74">
        <v>3466.75</v>
      </c>
      <c r="D3456" s="74">
        <f t="shared" si="107"/>
        <v>-2.4588050024332724E-3</v>
      </c>
      <c r="E3456" s="74">
        <f t="shared" si="108"/>
        <v>-1.1963706716228528E-3</v>
      </c>
      <c r="F3456" s="75"/>
    </row>
    <row r="3457" spans="1:6" ht="14.25" customHeight="1" x14ac:dyDescent="0.3">
      <c r="A3457" s="73">
        <v>45636</v>
      </c>
      <c r="B3457" s="74">
        <v>81510.05</v>
      </c>
      <c r="C3457" s="74">
        <v>3476</v>
      </c>
      <c r="D3457" s="74">
        <f t="shared" si="107"/>
        <v>1.9506987274556906E-5</v>
      </c>
      <c r="E3457" s="74">
        <f t="shared" si="108"/>
        <v>2.664651751308947E-3</v>
      </c>
      <c r="F3457" s="75"/>
    </row>
    <row r="3458" spans="1:6" ht="14.25" customHeight="1" x14ac:dyDescent="0.3">
      <c r="A3458" s="73">
        <v>45637</v>
      </c>
      <c r="B3458" s="74">
        <v>81526.14</v>
      </c>
      <c r="C3458" s="74">
        <v>3471.75</v>
      </c>
      <c r="D3458" s="74">
        <f t="shared" si="107"/>
        <v>1.9737949043379931E-4</v>
      </c>
      <c r="E3458" s="74">
        <f t="shared" si="108"/>
        <v>-1.2234178057930097E-3</v>
      </c>
      <c r="F3458" s="75"/>
    </row>
    <row r="3459" spans="1:6" ht="14.25" customHeight="1" x14ac:dyDescent="0.3">
      <c r="A3459" s="73">
        <v>45638</v>
      </c>
      <c r="B3459" s="74">
        <v>81289.960000000006</v>
      </c>
      <c r="C3459" s="74">
        <v>3446.9</v>
      </c>
      <c r="D3459" s="74">
        <f t="shared" si="107"/>
        <v>-2.901189325362557E-3</v>
      </c>
      <c r="E3459" s="74">
        <f t="shared" si="108"/>
        <v>-7.1835132174152567E-3</v>
      </c>
      <c r="F3459" s="75"/>
    </row>
    <row r="3460" spans="1:6" ht="14.25" customHeight="1" x14ac:dyDescent="0.3">
      <c r="A3460" s="73">
        <v>45639</v>
      </c>
      <c r="B3460" s="74">
        <v>82133.119999999995</v>
      </c>
      <c r="C3460" s="74">
        <v>3509.05</v>
      </c>
      <c r="D3460" s="74">
        <f t="shared" ref="D3460:D3523" si="109">LN(B3460/B3459)</f>
        <v>1.0318829892369059E-2</v>
      </c>
      <c r="E3460" s="74">
        <f t="shared" ref="E3460:E3523" si="110">LN(C3460/C3459)</f>
        <v>1.7870069193433896E-2</v>
      </c>
      <c r="F3460" s="75"/>
    </row>
    <row r="3461" spans="1:6" ht="14.25" customHeight="1" x14ac:dyDescent="0.3">
      <c r="A3461" s="73">
        <v>45642</v>
      </c>
      <c r="B3461" s="74">
        <v>81748.570000000007</v>
      </c>
      <c r="C3461" s="74">
        <v>3437.55</v>
      </c>
      <c r="D3461" s="74">
        <f t="shared" si="109"/>
        <v>-4.6930283156545721E-3</v>
      </c>
      <c r="E3461" s="74">
        <f t="shared" si="110"/>
        <v>-2.0586337231920132E-2</v>
      </c>
      <c r="F3461" s="75"/>
    </row>
    <row r="3462" spans="1:6" ht="14.25" customHeight="1" x14ac:dyDescent="0.3">
      <c r="A3462" s="73">
        <v>45643</v>
      </c>
      <c r="B3462" s="74">
        <v>80684.45</v>
      </c>
      <c r="C3462" s="74">
        <v>3405.75</v>
      </c>
      <c r="D3462" s="74">
        <f t="shared" si="109"/>
        <v>-1.310244953213105E-2</v>
      </c>
      <c r="E3462" s="74">
        <f t="shared" si="110"/>
        <v>-9.2938286774179521E-3</v>
      </c>
      <c r="F3462" s="75"/>
    </row>
    <row r="3463" spans="1:6" ht="14.25" customHeight="1" x14ac:dyDescent="0.3">
      <c r="A3463" s="73">
        <v>45644</v>
      </c>
      <c r="B3463" s="74">
        <v>80182.2</v>
      </c>
      <c r="C3463" s="74">
        <v>3401.45</v>
      </c>
      <c r="D3463" s="74">
        <f t="shared" si="109"/>
        <v>-6.2443226356538838E-3</v>
      </c>
      <c r="E3463" s="74">
        <f t="shared" si="110"/>
        <v>-1.2633683664167467E-3</v>
      </c>
      <c r="F3463" s="75"/>
    </row>
    <row r="3464" spans="1:6" ht="14.25" customHeight="1" x14ac:dyDescent="0.3">
      <c r="A3464" s="73">
        <v>45645</v>
      </c>
      <c r="B3464" s="74">
        <v>79218.05</v>
      </c>
      <c r="C3464" s="74">
        <v>3355.2</v>
      </c>
      <c r="D3464" s="74">
        <f t="shared" si="109"/>
        <v>-1.2097368207241293E-2</v>
      </c>
      <c r="E3464" s="74">
        <f t="shared" si="110"/>
        <v>-1.3690430132098018E-2</v>
      </c>
      <c r="F3464" s="75"/>
    </row>
    <row r="3465" spans="1:6" ht="14.25" customHeight="1" x14ac:dyDescent="0.3">
      <c r="A3465" s="73">
        <v>45646</v>
      </c>
      <c r="B3465" s="74">
        <v>78041.59</v>
      </c>
      <c r="C3465" s="74">
        <v>3357.65</v>
      </c>
      <c r="D3465" s="74">
        <f t="shared" si="109"/>
        <v>-1.4962287180149849E-2</v>
      </c>
      <c r="E3465" s="74">
        <f t="shared" si="110"/>
        <v>7.2994335007747183E-4</v>
      </c>
      <c r="F3465" s="75"/>
    </row>
    <row r="3466" spans="1:6" ht="14.25" customHeight="1" x14ac:dyDescent="0.3">
      <c r="A3466" s="73">
        <v>45649</v>
      </c>
      <c r="B3466" s="74">
        <v>78540.17</v>
      </c>
      <c r="C3466" s="74">
        <v>3396.5</v>
      </c>
      <c r="D3466" s="74">
        <f t="shared" si="109"/>
        <v>6.3683239352319088E-3</v>
      </c>
      <c r="E3466" s="74">
        <f t="shared" si="110"/>
        <v>1.1504165133623722E-2</v>
      </c>
      <c r="F3466" s="75"/>
    </row>
    <row r="3467" spans="1:6" ht="14.25" customHeight="1" x14ac:dyDescent="0.3">
      <c r="A3467" s="73">
        <v>45650</v>
      </c>
      <c r="B3467" s="74">
        <v>78472.87</v>
      </c>
      <c r="C3467" s="74">
        <v>3356</v>
      </c>
      <c r="D3467" s="74">
        <f t="shared" si="109"/>
        <v>-8.5725369206885685E-4</v>
      </c>
      <c r="E3467" s="74">
        <f t="shared" si="110"/>
        <v>-1.1995701044259788E-2</v>
      </c>
      <c r="F3467" s="75"/>
    </row>
    <row r="3468" spans="1:6" ht="14.25" customHeight="1" x14ac:dyDescent="0.3">
      <c r="A3468" s="73">
        <v>45652</v>
      </c>
      <c r="B3468" s="74">
        <v>78472.479999999996</v>
      </c>
      <c r="C3468" s="74">
        <v>3320.8</v>
      </c>
      <c r="D3468" s="74">
        <f t="shared" si="109"/>
        <v>-4.9698828286686762E-6</v>
      </c>
      <c r="E3468" s="74">
        <f t="shared" si="110"/>
        <v>-1.0544070848267787E-2</v>
      </c>
      <c r="F3468" s="75"/>
    </row>
    <row r="3469" spans="1:6" ht="14.25" customHeight="1" x14ac:dyDescent="0.3">
      <c r="A3469" s="73">
        <v>45653</v>
      </c>
      <c r="B3469" s="74">
        <v>78699.070000000007</v>
      </c>
      <c r="C3469" s="74">
        <v>3310.35</v>
      </c>
      <c r="D3469" s="74">
        <f t="shared" si="109"/>
        <v>2.8833482520643338E-3</v>
      </c>
      <c r="E3469" s="74">
        <f t="shared" si="110"/>
        <v>-3.1517937765505105E-3</v>
      </c>
      <c r="F3469" s="75"/>
    </row>
    <row r="3470" spans="1:6" ht="14.25" customHeight="1" x14ac:dyDescent="0.3">
      <c r="A3470" s="73">
        <v>45656</v>
      </c>
      <c r="B3470" s="74">
        <v>78248.13</v>
      </c>
      <c r="C3470" s="74">
        <v>3256.65</v>
      </c>
      <c r="D3470" s="74">
        <f t="shared" si="109"/>
        <v>-5.7464069557241612E-3</v>
      </c>
      <c r="E3470" s="74">
        <f t="shared" si="110"/>
        <v>-1.6354864313922385E-2</v>
      </c>
      <c r="F3470" s="75"/>
    </row>
    <row r="3471" spans="1:6" ht="14.25" customHeight="1" x14ac:dyDescent="0.3">
      <c r="A3471" s="73">
        <v>45657</v>
      </c>
      <c r="B3471" s="74">
        <v>78139.009999999995</v>
      </c>
      <c r="C3471" s="74">
        <v>3253.65</v>
      </c>
      <c r="D3471" s="74">
        <f t="shared" si="109"/>
        <v>-1.3955113919064909E-3</v>
      </c>
      <c r="E3471" s="74">
        <f t="shared" si="110"/>
        <v>-9.2161658060129186E-4</v>
      </c>
      <c r="F3471" s="75"/>
    </row>
    <row r="3472" spans="1:6" ht="14.25" customHeight="1" x14ac:dyDescent="0.3">
      <c r="A3472" s="73">
        <v>45658</v>
      </c>
      <c r="B3472" s="74">
        <v>78507.41</v>
      </c>
      <c r="C3472" s="74">
        <v>3254.05</v>
      </c>
      <c r="D3472" s="74">
        <f t="shared" si="109"/>
        <v>4.7035952586809053E-3</v>
      </c>
      <c r="E3472" s="74">
        <f t="shared" si="110"/>
        <v>1.2293129692644055E-4</v>
      </c>
      <c r="F3472" s="75"/>
    </row>
    <row r="3473" spans="1:6" ht="14.25" customHeight="1" x14ac:dyDescent="0.3">
      <c r="A3473" s="73">
        <v>45659</v>
      </c>
      <c r="B3473" s="74">
        <v>79943.710000000006</v>
      </c>
      <c r="C3473" s="74">
        <v>3391.4</v>
      </c>
      <c r="D3473" s="74">
        <f t="shared" si="109"/>
        <v>1.8129746775728438E-2</v>
      </c>
      <c r="E3473" s="74">
        <f t="shared" si="110"/>
        <v>4.134244110834602E-2</v>
      </c>
      <c r="F3473" s="75"/>
    </row>
    <row r="3474" spans="1:6" ht="14.25" customHeight="1" x14ac:dyDescent="0.3">
      <c r="A3474" s="73">
        <v>45660</v>
      </c>
      <c r="B3474" s="74">
        <v>79223.11</v>
      </c>
      <c r="C3474" s="74">
        <v>3449.2</v>
      </c>
      <c r="D3474" s="74">
        <f t="shared" si="109"/>
        <v>-9.0547128272353977E-3</v>
      </c>
      <c r="E3474" s="74">
        <f t="shared" si="110"/>
        <v>1.6899504605142158E-2</v>
      </c>
      <c r="F3474" s="75"/>
    </row>
    <row r="3475" spans="1:6" ht="14.25" customHeight="1" x14ac:dyDescent="0.3">
      <c r="A3475" s="73">
        <v>45663</v>
      </c>
      <c r="B3475" s="74">
        <v>77964.990000000005</v>
      </c>
      <c r="C3475" s="74">
        <v>3469.75</v>
      </c>
      <c r="D3475" s="74">
        <f t="shared" si="109"/>
        <v>-1.6008169412237244E-2</v>
      </c>
      <c r="E3475" s="74">
        <f t="shared" si="110"/>
        <v>5.9402251577799379E-3</v>
      </c>
      <c r="F3475" s="75"/>
    </row>
    <row r="3476" spans="1:6" ht="14.25" customHeight="1" x14ac:dyDescent="0.3">
      <c r="A3476" s="73">
        <v>45664</v>
      </c>
      <c r="B3476" s="74">
        <v>78199.11</v>
      </c>
      <c r="C3476" s="74">
        <v>3508.35</v>
      </c>
      <c r="D3476" s="74">
        <f t="shared" si="109"/>
        <v>2.998386638172965E-3</v>
      </c>
      <c r="E3476" s="74">
        <f t="shared" si="110"/>
        <v>1.1063296229063435E-2</v>
      </c>
      <c r="F3476" s="75"/>
    </row>
    <row r="3477" spans="1:6" ht="14.25" customHeight="1" x14ac:dyDescent="0.3">
      <c r="A3477" s="73">
        <v>45665</v>
      </c>
      <c r="B3477" s="74">
        <v>78148.490000000005</v>
      </c>
      <c r="C3477" s="74">
        <v>3484.9</v>
      </c>
      <c r="D3477" s="74">
        <f t="shared" si="109"/>
        <v>-6.475315485332463E-4</v>
      </c>
      <c r="E3477" s="74">
        <f t="shared" si="110"/>
        <v>-6.7064920866717632E-3</v>
      </c>
      <c r="F3477" s="75"/>
    </row>
    <row r="3478" spans="1:6" ht="14.25" customHeight="1" x14ac:dyDescent="0.3">
      <c r="A3478" s="73">
        <v>45666</v>
      </c>
      <c r="B3478" s="74">
        <v>77620.210000000006</v>
      </c>
      <c r="C3478" s="74">
        <v>3488.05</v>
      </c>
      <c r="D3478" s="74">
        <f t="shared" si="109"/>
        <v>-6.782903438421692E-3</v>
      </c>
      <c r="E3478" s="74">
        <f t="shared" si="110"/>
        <v>9.0349141017155717E-4</v>
      </c>
      <c r="F3478" s="75"/>
    </row>
    <row r="3479" spans="1:6" ht="14.25" customHeight="1" x14ac:dyDescent="0.3">
      <c r="A3479" s="73">
        <v>45667</v>
      </c>
      <c r="B3479" s="74">
        <v>77378.91</v>
      </c>
      <c r="C3479" s="74">
        <v>3439.35</v>
      </c>
      <c r="D3479" s="74">
        <f t="shared" si="109"/>
        <v>-3.1135685794393899E-3</v>
      </c>
      <c r="E3479" s="74">
        <f t="shared" si="110"/>
        <v>-1.4060340763399955E-2</v>
      </c>
      <c r="F3479" s="75"/>
    </row>
    <row r="3480" spans="1:6" ht="14.25" customHeight="1" x14ac:dyDescent="0.3">
      <c r="A3480" s="73">
        <v>45670</v>
      </c>
      <c r="B3480" s="74">
        <v>76330.009999999995</v>
      </c>
      <c r="C3480" s="74">
        <v>3378.3</v>
      </c>
      <c r="D3480" s="74">
        <f t="shared" si="109"/>
        <v>-1.3648086025479258E-2</v>
      </c>
      <c r="E3480" s="74">
        <f t="shared" si="110"/>
        <v>-1.7909875654022776E-2</v>
      </c>
      <c r="F3480" s="75"/>
    </row>
    <row r="3481" spans="1:6" ht="14.25" customHeight="1" x14ac:dyDescent="0.3">
      <c r="A3481" s="73">
        <v>45671</v>
      </c>
      <c r="B3481" s="74">
        <v>76499.63</v>
      </c>
      <c r="C3481" s="74">
        <v>3322.15</v>
      </c>
      <c r="D3481" s="74">
        <f t="shared" si="109"/>
        <v>2.2197273990286056E-3</v>
      </c>
      <c r="E3481" s="74">
        <f t="shared" si="110"/>
        <v>-1.6760460695264306E-2</v>
      </c>
      <c r="F3481" s="75"/>
    </row>
    <row r="3482" spans="1:6" ht="14.25" customHeight="1" x14ac:dyDescent="0.3">
      <c r="A3482" s="73">
        <v>45672</v>
      </c>
      <c r="B3482" s="74">
        <v>76724.08</v>
      </c>
      <c r="C3482" s="74">
        <v>3323.55</v>
      </c>
      <c r="D3482" s="74">
        <f t="shared" si="109"/>
        <v>2.9297053379151758E-3</v>
      </c>
      <c r="E3482" s="74">
        <f t="shared" si="110"/>
        <v>4.2132507356948824E-4</v>
      </c>
      <c r="F3482" s="75"/>
    </row>
    <row r="3483" spans="1:6" ht="14.25" customHeight="1" x14ac:dyDescent="0.3">
      <c r="A3483" s="73">
        <v>45673</v>
      </c>
      <c r="B3483" s="74">
        <v>77042.820000000007</v>
      </c>
      <c r="C3483" s="74">
        <v>3319.2</v>
      </c>
      <c r="D3483" s="74">
        <f t="shared" si="109"/>
        <v>4.1457616239159532E-3</v>
      </c>
      <c r="E3483" s="74">
        <f t="shared" si="110"/>
        <v>-1.3096987307366396E-3</v>
      </c>
      <c r="F3483" s="75"/>
    </row>
    <row r="3484" spans="1:6" ht="14.25" customHeight="1" x14ac:dyDescent="0.3">
      <c r="A3484" s="73">
        <v>45674</v>
      </c>
      <c r="B3484" s="74">
        <v>76619.33</v>
      </c>
      <c r="C3484" s="74">
        <v>3357.85</v>
      </c>
      <c r="D3484" s="74">
        <f t="shared" si="109"/>
        <v>-5.5119764001930758E-3</v>
      </c>
      <c r="E3484" s="74">
        <f t="shared" si="110"/>
        <v>1.1577098175019663E-2</v>
      </c>
      <c r="F3484" s="75"/>
    </row>
    <row r="3485" spans="1:6" ht="14.25" customHeight="1" x14ac:dyDescent="0.3">
      <c r="A3485" s="73">
        <v>45677</v>
      </c>
      <c r="B3485" s="74">
        <v>77073.440000000002</v>
      </c>
      <c r="C3485" s="74">
        <v>3381</v>
      </c>
      <c r="D3485" s="74">
        <f t="shared" si="109"/>
        <v>5.9093387603085515E-3</v>
      </c>
      <c r="E3485" s="74">
        <f t="shared" si="110"/>
        <v>6.870635514208091E-3</v>
      </c>
      <c r="F3485" s="75"/>
    </row>
    <row r="3486" spans="1:6" ht="14.25" customHeight="1" x14ac:dyDescent="0.3">
      <c r="A3486" s="73">
        <v>45678</v>
      </c>
      <c r="B3486" s="74">
        <v>75838.36</v>
      </c>
      <c r="C3486" s="74">
        <v>3352.85</v>
      </c>
      <c r="D3486" s="74">
        <f t="shared" si="109"/>
        <v>-1.6154500301053011E-2</v>
      </c>
      <c r="E3486" s="74">
        <f t="shared" si="110"/>
        <v>-8.3607932996069383E-3</v>
      </c>
      <c r="F3486" s="75"/>
    </row>
    <row r="3487" spans="1:6" ht="14.25" customHeight="1" x14ac:dyDescent="0.3">
      <c r="A3487" s="73">
        <v>45679</v>
      </c>
      <c r="B3487" s="74">
        <v>76404.990000000005</v>
      </c>
      <c r="C3487" s="74">
        <v>3355.1</v>
      </c>
      <c r="D3487" s="74">
        <f t="shared" si="109"/>
        <v>7.4437749353449961E-3</v>
      </c>
      <c r="E3487" s="74">
        <f t="shared" si="110"/>
        <v>6.7084581261967152E-4</v>
      </c>
      <c r="F3487" s="75"/>
    </row>
    <row r="3488" spans="1:6" ht="14.25" customHeight="1" x14ac:dyDescent="0.3">
      <c r="A3488" s="73">
        <v>45680</v>
      </c>
      <c r="B3488" s="74">
        <v>76520.38</v>
      </c>
      <c r="C3488" s="74">
        <v>3400.2</v>
      </c>
      <c r="D3488" s="74">
        <f t="shared" si="109"/>
        <v>1.5091024059513524E-3</v>
      </c>
      <c r="E3488" s="74">
        <f t="shared" si="110"/>
        <v>1.3352677182729542E-2</v>
      </c>
      <c r="F3488" s="75"/>
    </row>
    <row r="3489" spans="1:6" ht="14.25" customHeight="1" x14ac:dyDescent="0.3">
      <c r="A3489" s="73">
        <v>45681</v>
      </c>
      <c r="B3489" s="74">
        <v>76190.460000000006</v>
      </c>
      <c r="C3489" s="74">
        <v>3398.5</v>
      </c>
      <c r="D3489" s="74">
        <f t="shared" si="109"/>
        <v>-4.3208525772494557E-3</v>
      </c>
      <c r="E3489" s="74">
        <f t="shared" si="110"/>
        <v>-5.0009561693556133E-4</v>
      </c>
      <c r="F3489" s="75"/>
    </row>
    <row r="3490" spans="1:6" ht="14.25" customHeight="1" x14ac:dyDescent="0.3">
      <c r="A3490" s="73">
        <v>45684</v>
      </c>
      <c r="B3490" s="74">
        <v>75366.17</v>
      </c>
      <c r="C3490" s="74">
        <v>3318.2</v>
      </c>
      <c r="D3490" s="74">
        <f t="shared" si="109"/>
        <v>-1.0877757414749714E-2</v>
      </c>
      <c r="E3490" s="74">
        <f t="shared" si="110"/>
        <v>-2.3911690577438E-2</v>
      </c>
      <c r="F3490" s="75"/>
    </row>
    <row r="3491" spans="1:6" ht="14.25" customHeight="1" x14ac:dyDescent="0.3">
      <c r="A3491" s="73">
        <v>45685</v>
      </c>
      <c r="B3491" s="74">
        <v>75901.41</v>
      </c>
      <c r="C3491" s="74">
        <v>3324.9</v>
      </c>
      <c r="D3491" s="74">
        <f t="shared" si="109"/>
        <v>7.076760714453862E-3</v>
      </c>
      <c r="E3491" s="74">
        <f t="shared" si="110"/>
        <v>2.0171312404621529E-3</v>
      </c>
      <c r="F3491" s="75"/>
    </row>
    <row r="3492" spans="1:6" ht="14.25" customHeight="1" x14ac:dyDescent="0.3">
      <c r="A3492" s="73">
        <v>45686</v>
      </c>
      <c r="B3492" s="74">
        <v>76532.960000000006</v>
      </c>
      <c r="C3492" s="74">
        <v>3368.5</v>
      </c>
      <c r="D3492" s="74">
        <f t="shared" si="109"/>
        <v>8.2862364124920533E-3</v>
      </c>
      <c r="E3492" s="74">
        <f t="shared" si="110"/>
        <v>1.3027942950997367E-2</v>
      </c>
      <c r="F3492" s="75"/>
    </row>
    <row r="3493" spans="1:6" ht="14.25" customHeight="1" x14ac:dyDescent="0.3">
      <c r="A3493" s="73">
        <v>45687</v>
      </c>
      <c r="B3493" s="74">
        <v>76759.81</v>
      </c>
      <c r="C3493" s="74">
        <v>3368.7</v>
      </c>
      <c r="D3493" s="74">
        <f t="shared" si="109"/>
        <v>2.9596981722874506E-3</v>
      </c>
      <c r="E3493" s="74">
        <f t="shared" si="110"/>
        <v>5.9371845887966746E-5</v>
      </c>
      <c r="F3493" s="75"/>
    </row>
    <row r="3494" spans="1:6" ht="14.25" customHeight="1" x14ac:dyDescent="0.3">
      <c r="A3494" s="73">
        <v>45688</v>
      </c>
      <c r="B3494" s="74">
        <v>77500.570000000007</v>
      </c>
      <c r="C3494" s="74">
        <v>3489.7</v>
      </c>
      <c r="D3494" s="74">
        <f t="shared" si="109"/>
        <v>9.6040952820533633E-3</v>
      </c>
      <c r="E3494" s="74">
        <f t="shared" si="110"/>
        <v>3.528885936972069E-2</v>
      </c>
      <c r="F3494" s="75"/>
    </row>
    <row r="3495" spans="1:6" ht="14.25" customHeight="1" x14ac:dyDescent="0.3">
      <c r="A3495" s="73">
        <v>45689</v>
      </c>
      <c r="B3495" s="74">
        <v>77505.960000000006</v>
      </c>
      <c r="C3495" s="74">
        <v>3552.7</v>
      </c>
      <c r="D3495" s="74">
        <f t="shared" si="109"/>
        <v>6.9545457242069483E-5</v>
      </c>
      <c r="E3495" s="74">
        <f t="shared" si="110"/>
        <v>1.7892105151659426E-2</v>
      </c>
      <c r="F3495" s="75"/>
    </row>
    <row r="3496" spans="1:6" ht="14.25" customHeight="1" x14ac:dyDescent="0.3">
      <c r="A3496" s="73">
        <v>45691</v>
      </c>
      <c r="B3496" s="74">
        <v>77186.740000000005</v>
      </c>
      <c r="C3496" s="74">
        <v>3580.25</v>
      </c>
      <c r="D3496" s="74">
        <f t="shared" si="109"/>
        <v>-4.1271560082297666E-3</v>
      </c>
      <c r="E3496" s="74">
        <f t="shared" si="110"/>
        <v>7.724752590829091E-3</v>
      </c>
      <c r="F3496" s="75"/>
    </row>
    <row r="3497" spans="1:6" ht="14.25" customHeight="1" x14ac:dyDescent="0.3">
      <c r="A3497" s="73">
        <v>45692</v>
      </c>
      <c r="B3497" s="74">
        <v>78583.81</v>
      </c>
      <c r="C3497" s="74">
        <v>3599.15</v>
      </c>
      <c r="D3497" s="74">
        <f t="shared" si="109"/>
        <v>1.7938017954698123E-2</v>
      </c>
      <c r="E3497" s="74">
        <f t="shared" si="110"/>
        <v>5.2650760956615868E-3</v>
      </c>
      <c r="F3497" s="75"/>
    </row>
    <row r="3498" spans="1:6" ht="14.25" customHeight="1" x14ac:dyDescent="0.3">
      <c r="A3498" s="73">
        <v>45693</v>
      </c>
      <c r="B3498" s="74">
        <v>78271.28</v>
      </c>
      <c r="C3498" s="74">
        <v>3490.5</v>
      </c>
      <c r="D3498" s="74">
        <f t="shared" si="109"/>
        <v>-3.9849572440173306E-3</v>
      </c>
      <c r="E3498" s="74">
        <f t="shared" si="110"/>
        <v>-3.0652714044017371E-2</v>
      </c>
      <c r="F3498" s="75"/>
    </row>
    <row r="3499" spans="1:6" ht="14.25" customHeight="1" x14ac:dyDescent="0.3">
      <c r="A3499" s="73">
        <v>45694</v>
      </c>
      <c r="B3499" s="74">
        <v>78058.16</v>
      </c>
      <c r="C3499" s="74">
        <v>3410.75</v>
      </c>
      <c r="D3499" s="74">
        <f t="shared" si="109"/>
        <v>-2.7265514675839531E-3</v>
      </c>
      <c r="E3499" s="74">
        <f t="shared" si="110"/>
        <v>-2.311278396747261E-2</v>
      </c>
      <c r="F3499" s="75"/>
    </row>
    <row r="3500" spans="1:6" ht="14.25" customHeight="1" x14ac:dyDescent="0.3">
      <c r="A3500" s="73">
        <v>45695</v>
      </c>
      <c r="B3500" s="74">
        <v>77860.19</v>
      </c>
      <c r="C3500" s="74">
        <v>3424.15</v>
      </c>
      <c r="D3500" s="74">
        <f t="shared" si="109"/>
        <v>-2.5394074063200796E-3</v>
      </c>
      <c r="E3500" s="74">
        <f t="shared" si="110"/>
        <v>3.9210572703038344E-3</v>
      </c>
      <c r="F3500" s="75"/>
    </row>
    <row r="3501" spans="1:6" ht="14.25" customHeight="1" x14ac:dyDescent="0.3">
      <c r="A3501" s="73">
        <v>45698</v>
      </c>
      <c r="B3501" s="74">
        <v>77311.8</v>
      </c>
      <c r="C3501" s="74">
        <v>3327.25</v>
      </c>
      <c r="D3501" s="74">
        <f t="shared" si="109"/>
        <v>-7.0681865083340404E-3</v>
      </c>
      <c r="E3501" s="74">
        <f t="shared" si="110"/>
        <v>-2.8707128746621773E-2</v>
      </c>
      <c r="F3501" s="75"/>
    </row>
    <row r="3502" spans="1:6" ht="14.25" customHeight="1" x14ac:dyDescent="0.3">
      <c r="A3502" s="73">
        <v>45699</v>
      </c>
      <c r="B3502" s="74">
        <v>76293.600000000006</v>
      </c>
      <c r="C3502" s="74">
        <v>3283.6</v>
      </c>
      <c r="D3502" s="74">
        <f t="shared" si="109"/>
        <v>-1.3257540599412285E-2</v>
      </c>
      <c r="E3502" s="74">
        <f t="shared" si="110"/>
        <v>-1.3205755492554431E-2</v>
      </c>
      <c r="F3502" s="75"/>
    </row>
    <row r="3503" spans="1:6" ht="14.25" customHeight="1" x14ac:dyDescent="0.3">
      <c r="A3503" s="73">
        <v>45700</v>
      </c>
      <c r="B3503" s="74">
        <v>76171.08</v>
      </c>
      <c r="C3503" s="74">
        <v>3254.75</v>
      </c>
      <c r="D3503" s="74">
        <f t="shared" si="109"/>
        <v>-1.6071922542731476E-3</v>
      </c>
      <c r="E3503" s="74">
        <f t="shared" si="110"/>
        <v>-8.824913696604585E-3</v>
      </c>
      <c r="F3503" s="75"/>
    </row>
    <row r="3504" spans="1:6" ht="14.25" customHeight="1" x14ac:dyDescent="0.3">
      <c r="A3504" s="73">
        <v>45701</v>
      </c>
      <c r="B3504" s="74">
        <v>76138.97</v>
      </c>
      <c r="C3504" s="74">
        <v>3233.7</v>
      </c>
      <c r="D3504" s="74">
        <f t="shared" si="109"/>
        <v>-4.2163994399206168E-4</v>
      </c>
      <c r="E3504" s="74">
        <f t="shared" si="110"/>
        <v>-6.4884753218140646E-3</v>
      </c>
      <c r="F3504" s="75"/>
    </row>
    <row r="3505" spans="1:6" ht="14.25" customHeight="1" x14ac:dyDescent="0.3">
      <c r="A3505" s="73">
        <v>45702</v>
      </c>
      <c r="B3505" s="74">
        <v>75939.210000000006</v>
      </c>
      <c r="C3505" s="74">
        <v>3212.1</v>
      </c>
      <c r="D3505" s="74">
        <f t="shared" si="109"/>
        <v>-2.627071350893513E-3</v>
      </c>
      <c r="E3505" s="74">
        <f t="shared" si="110"/>
        <v>-6.7020636233583696E-3</v>
      </c>
      <c r="F3505" s="75"/>
    </row>
    <row r="3506" spans="1:6" ht="14.25" customHeight="1" x14ac:dyDescent="0.3">
      <c r="A3506" s="73">
        <v>45705</v>
      </c>
      <c r="B3506" s="74">
        <v>75996.86</v>
      </c>
      <c r="C3506" s="74">
        <v>3234.6</v>
      </c>
      <c r="D3506" s="74">
        <f t="shared" si="109"/>
        <v>7.5887184348850652E-4</v>
      </c>
      <c r="E3506" s="74">
        <f t="shared" si="110"/>
        <v>6.9803438533439354E-3</v>
      </c>
      <c r="F3506" s="75"/>
    </row>
    <row r="3507" spans="1:6" ht="14.25" customHeight="1" x14ac:dyDescent="0.3">
      <c r="A3507" s="73">
        <v>45706</v>
      </c>
      <c r="B3507" s="74">
        <v>75967.39</v>
      </c>
      <c r="C3507" s="74">
        <v>3221.85</v>
      </c>
      <c r="D3507" s="74">
        <f t="shared" si="109"/>
        <v>-3.8785438508640095E-4</v>
      </c>
      <c r="E3507" s="74">
        <f t="shared" si="110"/>
        <v>-3.9495439672960365E-3</v>
      </c>
      <c r="F3507" s="75"/>
    </row>
    <row r="3508" spans="1:6" ht="14.25" customHeight="1" x14ac:dyDescent="0.3">
      <c r="A3508" s="73">
        <v>45707</v>
      </c>
      <c r="B3508" s="74">
        <v>75939.179999999993</v>
      </c>
      <c r="C3508" s="74">
        <v>3208</v>
      </c>
      <c r="D3508" s="74">
        <f t="shared" si="109"/>
        <v>-3.7141251131271748E-4</v>
      </c>
      <c r="E3508" s="74">
        <f t="shared" si="110"/>
        <v>-4.30803873197683E-3</v>
      </c>
      <c r="F3508" s="75"/>
    </row>
    <row r="3509" spans="1:6" ht="14.25" customHeight="1" x14ac:dyDescent="0.3">
      <c r="A3509" s="73">
        <v>45708</v>
      </c>
      <c r="B3509" s="74">
        <v>75735.960000000006</v>
      </c>
      <c r="C3509" s="74">
        <v>3191.9</v>
      </c>
      <c r="D3509" s="74">
        <f t="shared" si="109"/>
        <v>-2.6796760709041226E-3</v>
      </c>
      <c r="E3509" s="74">
        <f t="shared" si="110"/>
        <v>-5.0313392282498029E-3</v>
      </c>
      <c r="F3509" s="75"/>
    </row>
    <row r="3510" spans="1:6" ht="14.25" customHeight="1" x14ac:dyDescent="0.3">
      <c r="A3510" s="73">
        <v>45709</v>
      </c>
      <c r="B3510" s="74">
        <v>75311.06</v>
      </c>
      <c r="C3510" s="74">
        <v>3179.35</v>
      </c>
      <c r="D3510" s="74">
        <f t="shared" si="109"/>
        <v>-5.6260775058055079E-3</v>
      </c>
      <c r="E3510" s="74">
        <f t="shared" si="110"/>
        <v>-3.9395773926973873E-3</v>
      </c>
      <c r="F3510" s="75"/>
    </row>
    <row r="3511" spans="1:6" ht="14.25" customHeight="1" x14ac:dyDescent="0.3">
      <c r="A3511" s="73">
        <v>45712</v>
      </c>
      <c r="B3511" s="74">
        <v>74454.41</v>
      </c>
      <c r="C3511" s="74">
        <v>3172.55</v>
      </c>
      <c r="D3511" s="74">
        <f t="shared" si="109"/>
        <v>-1.1440011409003262E-2</v>
      </c>
      <c r="E3511" s="74">
        <f t="shared" si="110"/>
        <v>-2.1410924598171737E-3</v>
      </c>
      <c r="F3511" s="75"/>
    </row>
    <row r="3512" spans="1:6" ht="14.25" customHeight="1" x14ac:dyDescent="0.3">
      <c r="A3512" s="73">
        <v>45713</v>
      </c>
      <c r="B3512" s="74">
        <v>74602.12</v>
      </c>
      <c r="C3512" s="74">
        <v>3198.4</v>
      </c>
      <c r="D3512" s="74">
        <f t="shared" si="109"/>
        <v>1.9819332752632232E-3</v>
      </c>
      <c r="E3512" s="74">
        <f t="shared" si="110"/>
        <v>8.1150038404948499E-3</v>
      </c>
      <c r="F3512" s="75"/>
    </row>
    <row r="3513" spans="1:6" ht="14.25" customHeight="1" x14ac:dyDescent="0.3">
      <c r="A3513" s="73">
        <v>45715</v>
      </c>
      <c r="B3513" s="74">
        <v>74612.429999999993</v>
      </c>
      <c r="C3513" s="74">
        <v>3222.1</v>
      </c>
      <c r="D3513" s="74">
        <f t="shared" si="109"/>
        <v>1.3819027724043851E-4</v>
      </c>
      <c r="E3513" s="74">
        <f t="shared" si="110"/>
        <v>7.3826361323733386E-3</v>
      </c>
      <c r="F3513" s="75"/>
    </row>
    <row r="3514" spans="1:6" ht="14.25" customHeight="1" x14ac:dyDescent="0.3">
      <c r="A3514" s="73">
        <v>45716</v>
      </c>
      <c r="B3514" s="74">
        <v>73198.100000000006</v>
      </c>
      <c r="C3514" s="74">
        <v>3074.7</v>
      </c>
      <c r="D3514" s="74">
        <f t="shared" si="109"/>
        <v>-1.9137650967485504E-2</v>
      </c>
      <c r="E3514" s="74">
        <f t="shared" si="110"/>
        <v>-4.6825985372882184E-2</v>
      </c>
      <c r="F3514" s="75"/>
    </row>
    <row r="3515" spans="1:6" ht="14.25" customHeight="1" x14ac:dyDescent="0.3">
      <c r="A3515" s="73">
        <v>45719</v>
      </c>
      <c r="B3515" s="74">
        <v>73085.94</v>
      </c>
      <c r="C3515" s="74">
        <v>3082.55</v>
      </c>
      <c r="D3515" s="74">
        <f t="shared" si="109"/>
        <v>-1.5334553513637391E-3</v>
      </c>
      <c r="E3515" s="74">
        <f t="shared" si="110"/>
        <v>2.5498410014822715E-3</v>
      </c>
      <c r="F3515" s="75"/>
    </row>
    <row r="3516" spans="1:6" ht="14.25" customHeight="1" x14ac:dyDescent="0.3">
      <c r="A3516" s="73">
        <v>45720</v>
      </c>
      <c r="B3516" s="74">
        <v>72989.929999999993</v>
      </c>
      <c r="C3516" s="74">
        <v>3051.25</v>
      </c>
      <c r="D3516" s="74">
        <f t="shared" si="109"/>
        <v>-1.3145225672824225E-3</v>
      </c>
      <c r="E3516" s="74">
        <f t="shared" si="110"/>
        <v>-1.0205833799939303E-2</v>
      </c>
      <c r="F3516" s="75"/>
    </row>
    <row r="3517" spans="1:6" ht="14.25" customHeight="1" x14ac:dyDescent="0.3">
      <c r="A3517" s="73">
        <v>45721</v>
      </c>
      <c r="B3517" s="74">
        <v>73730.23</v>
      </c>
      <c r="C3517" s="74">
        <v>3086.5</v>
      </c>
      <c r="D3517" s="74">
        <f t="shared" si="109"/>
        <v>1.0091405059128082E-2</v>
      </c>
      <c r="E3517" s="74">
        <f t="shared" si="110"/>
        <v>1.1486420126780661E-2</v>
      </c>
      <c r="F3517" s="75"/>
    </row>
    <row r="3518" spans="1:6" ht="14.25" customHeight="1" x14ac:dyDescent="0.3">
      <c r="A3518" s="73">
        <v>45722</v>
      </c>
      <c r="B3518" s="74">
        <v>74340.09</v>
      </c>
      <c r="C3518" s="74">
        <v>3123.15</v>
      </c>
      <c r="D3518" s="74">
        <f t="shared" si="109"/>
        <v>8.2374840354015391E-3</v>
      </c>
      <c r="E3518" s="74">
        <f t="shared" si="110"/>
        <v>1.1804345035362419E-2</v>
      </c>
      <c r="F3518" s="75"/>
    </row>
    <row r="3519" spans="1:6" ht="14.25" customHeight="1" x14ac:dyDescent="0.3">
      <c r="A3519" s="73">
        <v>45723</v>
      </c>
      <c r="B3519" s="74">
        <v>74332.58</v>
      </c>
      <c r="C3519" s="74">
        <v>3083.15</v>
      </c>
      <c r="D3519" s="74">
        <f t="shared" si="109"/>
        <v>-1.0102731061983516E-4</v>
      </c>
      <c r="E3519" s="74">
        <f t="shared" si="110"/>
        <v>-1.289030625819493E-2</v>
      </c>
      <c r="F3519" s="75"/>
    </row>
    <row r="3520" spans="1:6" ht="14.25" customHeight="1" x14ac:dyDescent="0.3">
      <c r="A3520" s="73">
        <v>45726</v>
      </c>
      <c r="B3520" s="74">
        <v>74115.17</v>
      </c>
      <c r="C3520" s="74">
        <v>3026.7</v>
      </c>
      <c r="D3520" s="74">
        <f t="shared" si="109"/>
        <v>-2.9291135156013525E-3</v>
      </c>
      <c r="E3520" s="74">
        <f t="shared" si="110"/>
        <v>-1.8478884528674789E-2</v>
      </c>
      <c r="F3520" s="75"/>
    </row>
    <row r="3521" spans="1:6" ht="14.25" customHeight="1" x14ac:dyDescent="0.3">
      <c r="A3521" s="73">
        <v>45727</v>
      </c>
      <c r="B3521" s="74">
        <v>74102.320000000007</v>
      </c>
      <c r="C3521" s="74">
        <v>3044.55</v>
      </c>
      <c r="D3521" s="74">
        <f t="shared" si="109"/>
        <v>-1.73393842146196E-4</v>
      </c>
      <c r="E3521" s="74">
        <f t="shared" si="110"/>
        <v>5.8801898893020592E-3</v>
      </c>
      <c r="F3521" s="75"/>
    </row>
    <row r="3522" spans="1:6" ht="14.25" customHeight="1" x14ac:dyDescent="0.3">
      <c r="A3522" s="73">
        <v>45728</v>
      </c>
      <c r="B3522" s="74">
        <v>74029.759999999995</v>
      </c>
      <c r="C3522" s="74">
        <v>3018.15</v>
      </c>
      <c r="D3522" s="74">
        <f t="shared" si="109"/>
        <v>-9.7966633295466462E-4</v>
      </c>
      <c r="E3522" s="74">
        <f t="shared" si="110"/>
        <v>-8.7090460897795985E-3</v>
      </c>
      <c r="F3522" s="75"/>
    </row>
    <row r="3523" spans="1:6" ht="14.25" customHeight="1" x14ac:dyDescent="0.3">
      <c r="A3523" s="73">
        <v>45729</v>
      </c>
      <c r="B3523" s="74">
        <v>73828.91</v>
      </c>
      <c r="C3523" s="74">
        <v>3009.25</v>
      </c>
      <c r="D3523" s="74">
        <f t="shared" si="109"/>
        <v>-2.7167852049278219E-3</v>
      </c>
      <c r="E3523" s="74">
        <f t="shared" si="110"/>
        <v>-2.9531826221214749E-3</v>
      </c>
      <c r="F3523" s="75"/>
    </row>
    <row r="3524" spans="1:6" ht="14.25" customHeight="1" x14ac:dyDescent="0.3">
      <c r="A3524" s="73">
        <v>45733</v>
      </c>
      <c r="B3524" s="74">
        <v>74169.95</v>
      </c>
      <c r="C3524" s="74">
        <v>3016.8</v>
      </c>
      <c r="D3524" s="74">
        <f t="shared" ref="D3524:D3587" si="111">LN(B3524/B3523)</f>
        <v>4.6086923053575823E-3</v>
      </c>
      <c r="E3524" s="74">
        <f t="shared" ref="E3524:E3587" si="112">LN(C3524/C3523)</f>
        <v>2.5057886843031377E-3</v>
      </c>
      <c r="F3524" s="75"/>
    </row>
    <row r="3525" spans="1:6" ht="14.25" customHeight="1" x14ac:dyDescent="0.3">
      <c r="A3525" s="73">
        <v>45734</v>
      </c>
      <c r="B3525" s="74">
        <v>75301.259999999995</v>
      </c>
      <c r="C3525" s="74">
        <v>3082.75</v>
      </c>
      <c r="D3525" s="74">
        <f t="shared" si="111"/>
        <v>1.5137786112346788E-2</v>
      </c>
      <c r="E3525" s="74">
        <f t="shared" si="112"/>
        <v>2.1625388806492511E-2</v>
      </c>
      <c r="F3525" s="75"/>
    </row>
    <row r="3526" spans="1:6" ht="14.25" customHeight="1" x14ac:dyDescent="0.3">
      <c r="A3526" s="73">
        <v>45735</v>
      </c>
      <c r="B3526" s="74">
        <v>75449.05</v>
      </c>
      <c r="C3526" s="74">
        <v>3075.35</v>
      </c>
      <c r="D3526" s="74">
        <f t="shared" si="111"/>
        <v>1.9607262810614951E-3</v>
      </c>
      <c r="E3526" s="74">
        <f t="shared" si="112"/>
        <v>-2.4033398489445232E-3</v>
      </c>
      <c r="F3526" s="75"/>
    </row>
    <row r="3527" spans="1:6" ht="14.25" customHeight="1" x14ac:dyDescent="0.3">
      <c r="A3527" s="73">
        <v>45736</v>
      </c>
      <c r="B3527" s="74">
        <v>76348.06</v>
      </c>
      <c r="C3527" s="74">
        <v>3192.8</v>
      </c>
      <c r="D3527" s="74">
        <f t="shared" si="111"/>
        <v>1.1845028027897844E-2</v>
      </c>
      <c r="E3527" s="74">
        <f t="shared" si="112"/>
        <v>3.7479558832828802E-2</v>
      </c>
      <c r="F3527" s="75"/>
    </row>
    <row r="3528" spans="1:6" ht="14.25" customHeight="1" x14ac:dyDescent="0.3">
      <c r="A3528" s="73">
        <v>45737</v>
      </c>
      <c r="B3528" s="74">
        <v>76905.509999999995</v>
      </c>
      <c r="C3528" s="74">
        <v>3163.6</v>
      </c>
      <c r="D3528" s="74">
        <f t="shared" si="111"/>
        <v>7.2749033976609685E-3</v>
      </c>
      <c r="E3528" s="74">
        <f t="shared" si="112"/>
        <v>-9.1876550892620399E-3</v>
      </c>
      <c r="F3528" s="75"/>
    </row>
    <row r="3529" spans="1:6" ht="14.25" customHeight="1" x14ac:dyDescent="0.3">
      <c r="A3529" s="73">
        <v>45740</v>
      </c>
      <c r="B3529" s="74">
        <v>77984.38</v>
      </c>
      <c r="C3529" s="74">
        <v>3078.95</v>
      </c>
      <c r="D3529" s="74">
        <f t="shared" si="111"/>
        <v>1.3931024785141955E-2</v>
      </c>
      <c r="E3529" s="74">
        <f t="shared" si="112"/>
        <v>-2.7121989891265349E-2</v>
      </c>
      <c r="F3529" s="75"/>
    </row>
    <row r="3530" spans="1:6" ht="14.25" customHeight="1" x14ac:dyDescent="0.3">
      <c r="A3530" s="73">
        <v>45741</v>
      </c>
      <c r="B3530" s="74">
        <v>78017.19</v>
      </c>
      <c r="C3530" s="74">
        <v>3055.15</v>
      </c>
      <c r="D3530" s="74">
        <f t="shared" si="111"/>
        <v>4.2063679851137627E-4</v>
      </c>
      <c r="E3530" s="74">
        <f t="shared" si="112"/>
        <v>-7.7599385173246884E-3</v>
      </c>
      <c r="F3530" s="75"/>
    </row>
    <row r="3531" spans="1:6" ht="14.25" customHeight="1" x14ac:dyDescent="0.3">
      <c r="A3531" s="73">
        <v>45742</v>
      </c>
      <c r="B3531" s="74">
        <v>77288.5</v>
      </c>
      <c r="C3531" s="74">
        <v>3057.2</v>
      </c>
      <c r="D3531" s="74">
        <f t="shared" si="111"/>
        <v>-9.384013519976581E-3</v>
      </c>
      <c r="E3531" s="74">
        <f t="shared" si="112"/>
        <v>6.7077313205694898E-4</v>
      </c>
      <c r="F3531" s="75"/>
    </row>
    <row r="3532" spans="1:6" ht="14.25" customHeight="1" x14ac:dyDescent="0.3">
      <c r="A3532" s="73">
        <v>45743</v>
      </c>
      <c r="B3532" s="74">
        <v>77606.429999999993</v>
      </c>
      <c r="C3532" s="74">
        <v>3085.65</v>
      </c>
      <c r="D3532" s="74">
        <f t="shared" si="111"/>
        <v>4.1051110772688734E-3</v>
      </c>
      <c r="E3532" s="74">
        <f t="shared" si="112"/>
        <v>9.2628676978638771E-3</v>
      </c>
      <c r="F3532" s="75"/>
    </row>
    <row r="3533" spans="1:6" ht="14.25" customHeight="1" x14ac:dyDescent="0.3">
      <c r="A3533" s="73">
        <v>45744</v>
      </c>
      <c r="B3533" s="74">
        <v>77414.92</v>
      </c>
      <c r="C3533" s="74">
        <v>3063.8</v>
      </c>
      <c r="D3533" s="74">
        <f t="shared" si="111"/>
        <v>-2.4707577043421142E-3</v>
      </c>
      <c r="E3533" s="74">
        <f t="shared" si="112"/>
        <v>-7.1063564879970571E-3</v>
      </c>
      <c r="F3533" s="75"/>
    </row>
    <row r="3534" spans="1:6" ht="14.25" customHeight="1" x14ac:dyDescent="0.3">
      <c r="A3534" s="73">
        <v>45748</v>
      </c>
      <c r="B3534" s="74">
        <v>76024.509999999995</v>
      </c>
      <c r="C3534" s="74">
        <v>2986.5</v>
      </c>
      <c r="D3534" s="74">
        <f t="shared" si="111"/>
        <v>-1.8123738582420588E-2</v>
      </c>
      <c r="E3534" s="74">
        <f t="shared" si="112"/>
        <v>-2.5553842406235115E-2</v>
      </c>
      <c r="F3534" s="75"/>
    </row>
    <row r="3535" spans="1:6" ht="14.25" customHeight="1" x14ac:dyDescent="0.3">
      <c r="A3535" s="73">
        <v>45749</v>
      </c>
      <c r="B3535" s="74">
        <v>76617.440000000002</v>
      </c>
      <c r="C3535" s="74">
        <v>3099.05</v>
      </c>
      <c r="D3535" s="74">
        <f t="shared" si="111"/>
        <v>7.7689387780687453E-3</v>
      </c>
      <c r="E3535" s="74">
        <f t="shared" si="112"/>
        <v>3.6993479722082889E-2</v>
      </c>
      <c r="F3535" s="75"/>
    </row>
    <row r="3536" spans="1:6" ht="14.25" customHeight="1" x14ac:dyDescent="0.3">
      <c r="A3536" s="73">
        <v>45750</v>
      </c>
      <c r="B3536" s="74">
        <v>76295.360000000001</v>
      </c>
      <c r="C3536" s="74">
        <v>3126.25</v>
      </c>
      <c r="D3536" s="74">
        <f t="shared" si="111"/>
        <v>-4.2126032131148657E-3</v>
      </c>
      <c r="E3536" s="74">
        <f t="shared" si="112"/>
        <v>8.7385902973852389E-3</v>
      </c>
      <c r="F3536" s="75"/>
    </row>
    <row r="3537" spans="1:6" ht="14.25" customHeight="1" x14ac:dyDescent="0.3">
      <c r="A3537" s="73">
        <v>45751</v>
      </c>
      <c r="B3537" s="74">
        <v>75364.69</v>
      </c>
      <c r="C3537" s="74">
        <v>3076.15</v>
      </c>
      <c r="D3537" s="74">
        <f t="shared" si="111"/>
        <v>-1.2273260920504306E-2</v>
      </c>
      <c r="E3537" s="74">
        <f t="shared" si="112"/>
        <v>-1.6155388125861217E-2</v>
      </c>
      <c r="F3537" s="75"/>
    </row>
    <row r="3538" spans="1:6" ht="14.25" customHeight="1" x14ac:dyDescent="0.3">
      <c r="A3538" s="73">
        <v>45754</v>
      </c>
      <c r="B3538" s="74">
        <v>73137.899999999994</v>
      </c>
      <c r="C3538" s="74">
        <v>3023.65</v>
      </c>
      <c r="D3538" s="74">
        <f t="shared" si="111"/>
        <v>-2.999216268886231E-2</v>
      </c>
      <c r="E3538" s="74">
        <f t="shared" si="112"/>
        <v>-1.7214104205761045E-2</v>
      </c>
      <c r="F3538" s="75"/>
    </row>
    <row r="3539" spans="1:6" ht="14.25" customHeight="1" x14ac:dyDescent="0.3">
      <c r="A3539" s="73">
        <v>45755</v>
      </c>
      <c r="B3539" s="74">
        <v>74227.08</v>
      </c>
      <c r="C3539" s="74">
        <v>3123.25</v>
      </c>
      <c r="D3539" s="74">
        <f t="shared" si="111"/>
        <v>1.4782342910552644E-2</v>
      </c>
      <c r="E3539" s="74">
        <f t="shared" si="112"/>
        <v>3.240941545173219E-2</v>
      </c>
      <c r="F3539" s="75"/>
    </row>
    <row r="3540" spans="1:6" ht="14.25" customHeight="1" x14ac:dyDescent="0.3">
      <c r="A3540" s="73">
        <v>45756</v>
      </c>
      <c r="B3540" s="74">
        <v>73847.149999999994</v>
      </c>
      <c r="C3540" s="74">
        <v>3175.2</v>
      </c>
      <c r="D3540" s="74">
        <f t="shared" si="111"/>
        <v>-5.1316266678289148E-3</v>
      </c>
      <c r="E3540" s="74">
        <f t="shared" si="112"/>
        <v>1.6496496156916968E-2</v>
      </c>
      <c r="F3540" s="75"/>
    </row>
    <row r="3541" spans="1:6" ht="14.25" customHeight="1" x14ac:dyDescent="0.3">
      <c r="A3541" s="73">
        <v>45758</v>
      </c>
      <c r="B3541" s="74">
        <v>75157.259999999995</v>
      </c>
      <c r="C3541" s="74">
        <v>3234.9</v>
      </c>
      <c r="D3541" s="74">
        <f t="shared" si="111"/>
        <v>1.7585301826580635E-2</v>
      </c>
      <c r="E3541" s="74">
        <f t="shared" si="112"/>
        <v>1.8627393087280758E-2</v>
      </c>
      <c r="F3541" s="75"/>
    </row>
    <row r="3542" spans="1:6" ht="14.25" customHeight="1" x14ac:dyDescent="0.3">
      <c r="A3542" s="73">
        <v>45762</v>
      </c>
      <c r="B3542" s="74">
        <v>76734.89</v>
      </c>
      <c r="C3542" s="74">
        <v>3273.3</v>
      </c>
      <c r="D3542" s="74">
        <f t="shared" si="111"/>
        <v>2.0773775801835814E-2</v>
      </c>
      <c r="E3542" s="74">
        <f t="shared" si="112"/>
        <v>1.1800634773026359E-2</v>
      </c>
      <c r="F3542" s="75"/>
    </row>
    <row r="3543" spans="1:6" ht="14.25" customHeight="1" x14ac:dyDescent="0.3">
      <c r="A3543" s="73">
        <v>45763</v>
      </c>
      <c r="B3543" s="74">
        <v>77044.289999999994</v>
      </c>
      <c r="C3543" s="74">
        <v>3271.65</v>
      </c>
      <c r="D3543" s="74">
        <f t="shared" si="111"/>
        <v>4.0239571766423074E-3</v>
      </c>
      <c r="E3543" s="74">
        <f t="shared" si="112"/>
        <v>-5.0420554319155356E-4</v>
      </c>
      <c r="F3543" s="75"/>
    </row>
    <row r="3544" spans="1:6" ht="14.25" customHeight="1" x14ac:dyDescent="0.3">
      <c r="A3544" s="73">
        <v>45764</v>
      </c>
      <c r="B3544" s="74">
        <v>78553.2</v>
      </c>
      <c r="C3544" s="74">
        <v>3324.95</v>
      </c>
      <c r="D3544" s="74">
        <f t="shared" si="111"/>
        <v>1.9395650957286629E-2</v>
      </c>
      <c r="E3544" s="74">
        <f t="shared" si="112"/>
        <v>1.6160191596932567E-2</v>
      </c>
      <c r="F3544" s="75"/>
    </row>
    <row r="3545" spans="1:6" ht="14.25" customHeight="1" x14ac:dyDescent="0.3">
      <c r="A3545" s="73">
        <v>45768</v>
      </c>
      <c r="B3545" s="74">
        <v>79408.5</v>
      </c>
      <c r="C3545" s="74">
        <v>3337</v>
      </c>
      <c r="D3545" s="74">
        <f t="shared" si="111"/>
        <v>1.0829313165022846E-2</v>
      </c>
      <c r="E3545" s="74">
        <f t="shared" si="112"/>
        <v>3.6175633684702997E-3</v>
      </c>
      <c r="F3545" s="75"/>
    </row>
    <row r="3546" spans="1:6" ht="14.25" customHeight="1" x14ac:dyDescent="0.3">
      <c r="A3546" s="73">
        <v>45769</v>
      </c>
      <c r="B3546" s="74">
        <v>79595.59</v>
      </c>
      <c r="C3546" s="74">
        <v>3337.25</v>
      </c>
      <c r="D3546" s="74">
        <f t="shared" si="111"/>
        <v>2.3532738854759351E-3</v>
      </c>
      <c r="E3546" s="74">
        <f t="shared" si="112"/>
        <v>7.4914784467718264E-5</v>
      </c>
      <c r="F3546" s="75"/>
    </row>
    <row r="3547" spans="1:6" ht="14.25" customHeight="1" x14ac:dyDescent="0.3">
      <c r="A3547" s="73">
        <v>45770</v>
      </c>
      <c r="B3547" s="74">
        <v>80116.490000000005</v>
      </c>
      <c r="C3547" s="74">
        <v>3356.65</v>
      </c>
      <c r="D3547" s="74">
        <f t="shared" si="111"/>
        <v>6.5230112463528023E-3</v>
      </c>
      <c r="E3547" s="74">
        <f t="shared" si="112"/>
        <v>5.7963382530328124E-3</v>
      </c>
      <c r="F3547" s="75"/>
    </row>
    <row r="3548" spans="1:6" ht="14.25" customHeight="1" x14ac:dyDescent="0.3">
      <c r="A3548" s="73">
        <v>45771</v>
      </c>
      <c r="B3548" s="74">
        <v>79801.429999999993</v>
      </c>
      <c r="C3548" s="74">
        <v>3384.35</v>
      </c>
      <c r="D3548" s="74">
        <f t="shared" si="111"/>
        <v>-3.9402764571878591E-3</v>
      </c>
      <c r="E3548" s="74">
        <f t="shared" si="112"/>
        <v>8.2184114849244028E-3</v>
      </c>
      <c r="F3548" s="75"/>
    </row>
    <row r="3549" spans="1:6" ht="14.25" customHeight="1" x14ac:dyDescent="0.3">
      <c r="A3549" s="73">
        <v>45772</v>
      </c>
      <c r="B3549" s="74">
        <v>79212.53</v>
      </c>
      <c r="C3549" s="74">
        <v>3362.15</v>
      </c>
      <c r="D3549" s="74">
        <f t="shared" si="111"/>
        <v>-7.4069307170356868E-3</v>
      </c>
      <c r="E3549" s="74">
        <f t="shared" si="112"/>
        <v>-6.5812140006939026E-3</v>
      </c>
      <c r="F3549" s="75"/>
    </row>
    <row r="3550" spans="1:6" ht="14.25" customHeight="1" x14ac:dyDescent="0.3">
      <c r="A3550" s="73">
        <v>45775</v>
      </c>
      <c r="B3550" s="74">
        <v>80218.37</v>
      </c>
      <c r="C3550" s="74">
        <v>3369.45</v>
      </c>
      <c r="D3550" s="74">
        <f t="shared" si="111"/>
        <v>1.2618047635388815E-2</v>
      </c>
      <c r="E3550" s="74">
        <f t="shared" si="112"/>
        <v>2.1688760061839281E-3</v>
      </c>
      <c r="F3550" s="75"/>
    </row>
    <row r="3551" spans="1:6" ht="14.25" customHeight="1" x14ac:dyDescent="0.3">
      <c r="A3551" s="73">
        <v>45776</v>
      </c>
      <c r="B3551" s="74">
        <v>80288.38</v>
      </c>
      <c r="C3551" s="74">
        <v>3381.4</v>
      </c>
      <c r="D3551" s="74">
        <f t="shared" si="111"/>
        <v>8.7236212109341709E-4</v>
      </c>
      <c r="E3551" s="74">
        <f t="shared" si="112"/>
        <v>3.5402986235772457E-3</v>
      </c>
      <c r="F3551" s="75"/>
    </row>
    <row r="3552" spans="1:6" ht="14.25" customHeight="1" x14ac:dyDescent="0.3">
      <c r="A3552" s="73">
        <v>45777</v>
      </c>
      <c r="B3552" s="74">
        <v>80242.240000000005</v>
      </c>
      <c r="C3552" s="74">
        <v>3376.15</v>
      </c>
      <c r="D3552" s="74">
        <f t="shared" si="111"/>
        <v>-5.7484361887548234E-4</v>
      </c>
      <c r="E3552" s="74">
        <f t="shared" si="112"/>
        <v>-1.5538178944374901E-3</v>
      </c>
      <c r="F3552" s="75"/>
    </row>
    <row r="3553" spans="1:6" ht="14.25" customHeight="1" x14ac:dyDescent="0.3">
      <c r="A3553" s="73">
        <v>45779</v>
      </c>
      <c r="B3553" s="74">
        <v>80501.990000000005</v>
      </c>
      <c r="C3553" s="74">
        <v>3339.35</v>
      </c>
      <c r="D3553" s="74">
        <f t="shared" si="111"/>
        <v>3.2318451005905664E-3</v>
      </c>
      <c r="E3553" s="74">
        <f t="shared" si="112"/>
        <v>-1.0959829755260332E-2</v>
      </c>
      <c r="F3553" s="75"/>
    </row>
    <row r="3554" spans="1:6" ht="14.25" customHeight="1" x14ac:dyDescent="0.3">
      <c r="A3554" s="73">
        <v>45782</v>
      </c>
      <c r="B3554" s="74">
        <v>80796.84</v>
      </c>
      <c r="C3554" s="74">
        <v>3314.85</v>
      </c>
      <c r="D3554" s="74">
        <f t="shared" si="111"/>
        <v>3.6559512355194565E-3</v>
      </c>
      <c r="E3554" s="74">
        <f t="shared" si="112"/>
        <v>-7.3638035257446088E-3</v>
      </c>
      <c r="F3554" s="75"/>
    </row>
    <row r="3555" spans="1:6" ht="14.25" customHeight="1" x14ac:dyDescent="0.3">
      <c r="A3555" s="73">
        <v>45783</v>
      </c>
      <c r="B3555" s="74">
        <v>80641.070000000007</v>
      </c>
      <c r="C3555" s="74">
        <v>3298.2</v>
      </c>
      <c r="D3555" s="74">
        <f t="shared" si="111"/>
        <v>-1.9297827671506955E-3</v>
      </c>
      <c r="E3555" s="74">
        <f t="shared" si="112"/>
        <v>-5.0355086327539883E-3</v>
      </c>
      <c r="F3555" s="75"/>
    </row>
    <row r="3556" spans="1:6" ht="14.25" customHeight="1" x14ac:dyDescent="0.3">
      <c r="A3556" s="73">
        <v>45784</v>
      </c>
      <c r="B3556" s="74">
        <v>80746.78</v>
      </c>
      <c r="C3556" s="74">
        <v>3340.3</v>
      </c>
      <c r="D3556" s="74">
        <f t="shared" si="111"/>
        <v>1.3100120624653755E-3</v>
      </c>
      <c r="E3556" s="74">
        <f t="shared" si="112"/>
        <v>1.2683758201751102E-2</v>
      </c>
      <c r="F3556" s="75"/>
    </row>
    <row r="3557" spans="1:6" ht="14.25" customHeight="1" x14ac:dyDescent="0.3">
      <c r="A3557" s="73">
        <v>45785</v>
      </c>
      <c r="B3557" s="74">
        <v>80334.81</v>
      </c>
      <c r="C3557" s="74">
        <v>3363.45</v>
      </c>
      <c r="D3557" s="74">
        <f t="shared" si="111"/>
        <v>-5.1150587503582621E-3</v>
      </c>
      <c r="E3557" s="74">
        <f t="shared" si="112"/>
        <v>6.9066095912285646E-3</v>
      </c>
      <c r="F3557" s="75"/>
    </row>
    <row r="3558" spans="1:6" ht="14.25" customHeight="1" x14ac:dyDescent="0.3">
      <c r="A3558" s="73">
        <v>45786</v>
      </c>
      <c r="B3558" s="74">
        <v>79454.47</v>
      </c>
      <c r="C3558" s="74">
        <v>3510.8</v>
      </c>
      <c r="D3558" s="74">
        <f t="shared" si="111"/>
        <v>-1.1018873196378258E-2</v>
      </c>
      <c r="E3558" s="74">
        <f t="shared" si="112"/>
        <v>4.287669883031317E-2</v>
      </c>
      <c r="F3558" s="75"/>
    </row>
    <row r="3559" spans="1:6" ht="14.25" customHeight="1" x14ac:dyDescent="0.3">
      <c r="A3559" s="73">
        <v>45789</v>
      </c>
      <c r="B3559" s="74">
        <v>82429.899999999994</v>
      </c>
      <c r="C3559" s="74">
        <v>3561.45</v>
      </c>
      <c r="D3559" s="74">
        <f t="shared" si="111"/>
        <v>3.6764081973884769E-2</v>
      </c>
      <c r="E3559" s="74">
        <f t="shared" si="112"/>
        <v>1.4323833573398592E-2</v>
      </c>
      <c r="F3559" s="75"/>
    </row>
    <row r="3560" spans="1:6" ht="14.25" customHeight="1" x14ac:dyDescent="0.3">
      <c r="A3560" s="73">
        <v>45790</v>
      </c>
      <c r="B3560" s="74">
        <v>81148.22</v>
      </c>
      <c r="C3560" s="74">
        <v>3563.8</v>
      </c>
      <c r="D3560" s="74">
        <f t="shared" si="111"/>
        <v>-1.5670876142664651E-2</v>
      </c>
      <c r="E3560" s="74">
        <f t="shared" si="112"/>
        <v>6.5962600195324992E-4</v>
      </c>
      <c r="F3560" s="75"/>
    </row>
    <row r="3561" spans="1:6" ht="14.25" customHeight="1" x14ac:dyDescent="0.3">
      <c r="A3561" s="73">
        <v>45791</v>
      </c>
      <c r="B3561" s="74">
        <v>81330.559999999998</v>
      </c>
      <c r="C3561" s="74">
        <v>3589.4</v>
      </c>
      <c r="D3561" s="74">
        <f t="shared" si="111"/>
        <v>2.2444786518905149E-3</v>
      </c>
      <c r="E3561" s="74">
        <f t="shared" si="112"/>
        <v>7.1576663018617899E-3</v>
      </c>
      <c r="F3561" s="75"/>
    </row>
    <row r="3562" spans="1:6" ht="14.25" customHeight="1" x14ac:dyDescent="0.3">
      <c r="A3562" s="73">
        <v>45792</v>
      </c>
      <c r="B3562" s="74">
        <v>82530.740000000005</v>
      </c>
      <c r="C3562" s="74">
        <v>3640.6</v>
      </c>
      <c r="D3562" s="74">
        <f t="shared" si="111"/>
        <v>1.4648992317767996E-2</v>
      </c>
      <c r="E3562" s="74">
        <f t="shared" si="112"/>
        <v>1.4163445616622309E-2</v>
      </c>
      <c r="F3562" s="75"/>
    </row>
    <row r="3563" spans="1:6" ht="14.25" customHeight="1" x14ac:dyDescent="0.3">
      <c r="A3563" s="73">
        <v>45793</v>
      </c>
      <c r="B3563" s="74">
        <v>82330.59</v>
      </c>
      <c r="C3563" s="74">
        <v>3634.9</v>
      </c>
      <c r="D3563" s="74">
        <f t="shared" si="111"/>
        <v>-2.4281024341493689E-3</v>
      </c>
      <c r="E3563" s="74">
        <f t="shared" si="112"/>
        <v>-1.566902938963023E-3</v>
      </c>
      <c r="F3563" s="75"/>
    </row>
    <row r="3564" spans="1:6" ht="14.25" customHeight="1" x14ac:dyDescent="0.3">
      <c r="A3564" s="73">
        <v>45796</v>
      </c>
      <c r="B3564" s="74">
        <v>82059.42</v>
      </c>
      <c r="C3564" s="74">
        <v>3616.4</v>
      </c>
      <c r="D3564" s="74">
        <f t="shared" si="111"/>
        <v>-3.2991085766561697E-3</v>
      </c>
      <c r="E3564" s="74">
        <f t="shared" si="112"/>
        <v>-5.1025444096240583E-3</v>
      </c>
      <c r="F3564" s="75"/>
    </row>
    <row r="3565" spans="1:6" ht="14.25" customHeight="1" x14ac:dyDescent="0.3">
      <c r="A3565" s="73">
        <v>45797</v>
      </c>
      <c r="B3565" s="74">
        <v>81186.44</v>
      </c>
      <c r="C3565" s="74">
        <v>3579.35</v>
      </c>
      <c r="D3565" s="74">
        <f t="shared" si="111"/>
        <v>-1.0695380841525699E-2</v>
      </c>
      <c r="E3565" s="74">
        <f t="shared" si="112"/>
        <v>-1.0297836199058533E-2</v>
      </c>
      <c r="F3565" s="75"/>
    </row>
    <row r="3566" spans="1:6" ht="14.25" customHeight="1" x14ac:dyDescent="0.3">
      <c r="A3566" s="73">
        <v>45798</v>
      </c>
      <c r="B3566" s="74">
        <v>81596.63</v>
      </c>
      <c r="C3566" s="74">
        <v>3579.65</v>
      </c>
      <c r="D3566" s="74">
        <f t="shared" si="111"/>
        <v>5.0397239491148452E-3</v>
      </c>
      <c r="E3566" s="74">
        <f t="shared" si="112"/>
        <v>8.381058811997019E-5</v>
      </c>
      <c r="F3566" s="75"/>
    </row>
    <row r="3567" spans="1:6" ht="14.25" customHeight="1" x14ac:dyDescent="0.3">
      <c r="A3567" s="73">
        <v>45799</v>
      </c>
      <c r="B3567" s="74">
        <v>80951.990000000005</v>
      </c>
      <c r="C3567" s="74">
        <v>3542.25</v>
      </c>
      <c r="D3567" s="74">
        <f t="shared" si="111"/>
        <v>-7.9316992001674073E-3</v>
      </c>
      <c r="E3567" s="74">
        <f t="shared" si="112"/>
        <v>-1.0502911807936719E-2</v>
      </c>
      <c r="F3567" s="75"/>
    </row>
    <row r="3568" spans="1:6" ht="14.25" customHeight="1" x14ac:dyDescent="0.3">
      <c r="A3568" s="73">
        <v>45800</v>
      </c>
      <c r="B3568" s="74">
        <v>81721.08</v>
      </c>
      <c r="C3568" s="74">
        <v>3578.75</v>
      </c>
      <c r="D3568" s="74">
        <f t="shared" si="111"/>
        <v>9.4557228236654099E-3</v>
      </c>
      <c r="E3568" s="74">
        <f t="shared" si="112"/>
        <v>1.0251458967988595E-2</v>
      </c>
      <c r="F3568" s="75"/>
    </row>
    <row r="3569" spans="1:6" ht="14.25" customHeight="1" x14ac:dyDescent="0.3">
      <c r="A3569" s="73">
        <v>45803</v>
      </c>
      <c r="B3569" s="74">
        <v>82176.45</v>
      </c>
      <c r="C3569" s="74">
        <v>3610.2</v>
      </c>
      <c r="D3569" s="74">
        <f t="shared" si="111"/>
        <v>5.5567789427261984E-3</v>
      </c>
      <c r="E3569" s="74">
        <f t="shared" si="112"/>
        <v>8.7495950420361651E-3</v>
      </c>
      <c r="F3569" s="75"/>
    </row>
    <row r="3570" spans="1:6" ht="14.25" customHeight="1" x14ac:dyDescent="0.3">
      <c r="A3570" s="73">
        <v>45804</v>
      </c>
      <c r="B3570" s="74">
        <v>81551.63</v>
      </c>
      <c r="C3570" s="74">
        <v>3591.75</v>
      </c>
      <c r="D3570" s="74">
        <f t="shared" si="111"/>
        <v>-7.6324480589944829E-3</v>
      </c>
      <c r="E3570" s="74">
        <f t="shared" si="112"/>
        <v>-5.1236235635325426E-3</v>
      </c>
      <c r="F3570" s="75"/>
    </row>
    <row r="3571" spans="1:6" ht="14.25" customHeight="1" x14ac:dyDescent="0.3">
      <c r="A3571" s="73">
        <v>45805</v>
      </c>
      <c r="B3571" s="74">
        <v>81312.320000000007</v>
      </c>
      <c r="C3571" s="74">
        <v>3574.15</v>
      </c>
      <c r="D3571" s="74">
        <f t="shared" si="111"/>
        <v>-2.9387740163643677E-3</v>
      </c>
      <c r="E3571" s="74">
        <f t="shared" si="112"/>
        <v>-4.9121632704045232E-3</v>
      </c>
      <c r="F3571" s="75"/>
    </row>
    <row r="3572" spans="1:6" ht="14.25" customHeight="1" x14ac:dyDescent="0.3">
      <c r="A3572" s="73">
        <v>45806</v>
      </c>
      <c r="B3572" s="74">
        <v>81633.02</v>
      </c>
      <c r="C3572" s="74">
        <v>3588.6</v>
      </c>
      <c r="D3572" s="74">
        <f t="shared" si="111"/>
        <v>3.9362943928080039E-3</v>
      </c>
      <c r="E3572" s="74">
        <f t="shared" si="112"/>
        <v>4.0347686581423837E-3</v>
      </c>
      <c r="F3572" s="75"/>
    </row>
    <row r="3573" spans="1:6" ht="14.25" customHeight="1" x14ac:dyDescent="0.3">
      <c r="A3573" s="73">
        <v>45807</v>
      </c>
      <c r="B3573" s="74">
        <v>81451.009999999995</v>
      </c>
      <c r="C3573" s="74">
        <v>3554.2</v>
      </c>
      <c r="D3573" s="74">
        <f t="shared" si="111"/>
        <v>-2.2321017645775187E-3</v>
      </c>
      <c r="E3573" s="74">
        <f t="shared" si="112"/>
        <v>-9.6321515271804523E-3</v>
      </c>
      <c r="F3573" s="75"/>
    </row>
    <row r="3574" spans="1:6" ht="14.25" customHeight="1" x14ac:dyDescent="0.3">
      <c r="A3574" s="73">
        <v>45810</v>
      </c>
      <c r="B3574" s="74">
        <v>81373.75</v>
      </c>
      <c r="C3574" s="74">
        <v>3525.65</v>
      </c>
      <c r="D3574" s="74">
        <f t="shared" si="111"/>
        <v>-9.4899578907183544E-4</v>
      </c>
      <c r="E3574" s="74">
        <f t="shared" si="112"/>
        <v>-8.0651863409634487E-3</v>
      </c>
      <c r="F3574" s="75"/>
    </row>
    <row r="3575" spans="1:6" ht="14.25" customHeight="1" x14ac:dyDescent="0.3">
      <c r="A3575" s="73">
        <v>45811</v>
      </c>
      <c r="B3575" s="74">
        <v>80737.509999999995</v>
      </c>
      <c r="C3575" s="74">
        <v>3520.8</v>
      </c>
      <c r="D3575" s="74">
        <f t="shared" si="111"/>
        <v>-7.8494642108835073E-3</v>
      </c>
      <c r="E3575" s="74">
        <f t="shared" si="112"/>
        <v>-1.376579913540771E-3</v>
      </c>
      <c r="F3575" s="75"/>
    </row>
    <row r="3576" spans="1:6" ht="14.25" customHeight="1" x14ac:dyDescent="0.3">
      <c r="A3576" s="73">
        <v>45812</v>
      </c>
      <c r="B3576" s="74">
        <v>80998.25</v>
      </c>
      <c r="C3576" s="74">
        <v>3499.85</v>
      </c>
      <c r="D3576" s="74">
        <f t="shared" si="111"/>
        <v>3.2242742840114039E-3</v>
      </c>
      <c r="E3576" s="74">
        <f t="shared" si="112"/>
        <v>-5.9681260806274377E-3</v>
      </c>
      <c r="F3576" s="75"/>
    </row>
    <row r="3577" spans="1:6" ht="14.25" customHeight="1" x14ac:dyDescent="0.3">
      <c r="A3577" s="73">
        <v>45813</v>
      </c>
      <c r="B3577" s="74">
        <v>81442.039999999994</v>
      </c>
      <c r="C3577" s="74">
        <v>3503.65</v>
      </c>
      <c r="D3577" s="74">
        <f t="shared" si="111"/>
        <v>5.4640521036252087E-3</v>
      </c>
      <c r="E3577" s="74">
        <f t="shared" si="112"/>
        <v>1.0851718063556791E-3</v>
      </c>
      <c r="F3577" s="75"/>
    </row>
    <row r="3578" spans="1:6" ht="14.25" customHeight="1" x14ac:dyDescent="0.3">
      <c r="A3578" s="73">
        <v>45814</v>
      </c>
      <c r="B3578" s="74">
        <v>82188.990000000005</v>
      </c>
      <c r="C3578" s="74">
        <v>3561.05</v>
      </c>
      <c r="D3578" s="74">
        <f t="shared" si="111"/>
        <v>9.1297498809147174E-3</v>
      </c>
      <c r="E3578" s="74">
        <f t="shared" si="112"/>
        <v>1.6250162956313104E-2</v>
      </c>
      <c r="F3578" s="75"/>
    </row>
    <row r="3579" spans="1:6" ht="14.25" customHeight="1" x14ac:dyDescent="0.3">
      <c r="A3579" s="73">
        <v>45817</v>
      </c>
      <c r="B3579" s="74">
        <v>82445.210000000006</v>
      </c>
      <c r="C3579" s="74">
        <v>3534.8</v>
      </c>
      <c r="D3579" s="74">
        <f t="shared" si="111"/>
        <v>3.1126000170178837E-3</v>
      </c>
      <c r="E3579" s="74">
        <f t="shared" si="112"/>
        <v>-7.3987245350736856E-3</v>
      </c>
      <c r="F3579" s="75"/>
    </row>
    <row r="3580" spans="1:6" ht="14.25" customHeight="1" x14ac:dyDescent="0.3">
      <c r="A3580" s="73">
        <v>45818</v>
      </c>
      <c r="B3580" s="74">
        <v>82391.72</v>
      </c>
      <c r="C3580" s="74">
        <v>3524.85</v>
      </c>
      <c r="D3580" s="74">
        <f t="shared" si="111"/>
        <v>-6.4900507280179847E-4</v>
      </c>
      <c r="E3580" s="74">
        <f t="shared" si="112"/>
        <v>-2.8188384943825056E-3</v>
      </c>
      <c r="F3580" s="75"/>
    </row>
    <row r="3581" spans="1:6" ht="14.25" customHeight="1" x14ac:dyDescent="0.3">
      <c r="A3581" s="73">
        <v>45819</v>
      </c>
      <c r="B3581" s="74">
        <v>82515.14</v>
      </c>
      <c r="C3581" s="74">
        <v>3540.75</v>
      </c>
      <c r="D3581" s="74">
        <f t="shared" si="111"/>
        <v>1.4968452257717914E-3</v>
      </c>
      <c r="E3581" s="74">
        <f t="shared" si="112"/>
        <v>4.5006869450388452E-3</v>
      </c>
      <c r="F3581" s="75"/>
    </row>
    <row r="3582" spans="1:6" ht="14.25" customHeight="1" x14ac:dyDescent="0.3">
      <c r="A3582" s="73">
        <v>45820</v>
      </c>
      <c r="B3582" s="74">
        <v>81691.98</v>
      </c>
      <c r="C3582" s="74">
        <v>3451.55</v>
      </c>
      <c r="D3582" s="74">
        <f t="shared" si="111"/>
        <v>-1.0025958622437882E-2</v>
      </c>
      <c r="E3582" s="74">
        <f t="shared" si="112"/>
        <v>-2.551516360073872E-2</v>
      </c>
      <c r="F3582" s="75"/>
    </row>
    <row r="3583" spans="1:6" ht="14.25" customHeight="1" x14ac:dyDescent="0.3">
      <c r="A3583" s="73">
        <v>45821</v>
      </c>
      <c r="B3583" s="74">
        <v>81118.600000000006</v>
      </c>
      <c r="C3583" s="74">
        <v>3423.55</v>
      </c>
      <c r="D3583" s="74">
        <f t="shared" si="111"/>
        <v>-7.0435517215645229E-3</v>
      </c>
      <c r="E3583" s="74">
        <f t="shared" si="112"/>
        <v>-8.1453811028319133E-3</v>
      </c>
      <c r="F3583" s="75"/>
    </row>
    <row r="3584" spans="1:6" ht="14.25" customHeight="1" x14ac:dyDescent="0.3">
      <c r="A3584" s="73">
        <v>45824</v>
      </c>
      <c r="B3584" s="74">
        <v>81796.149999999994</v>
      </c>
      <c r="C3584" s="74">
        <v>3438.5</v>
      </c>
      <c r="D3584" s="74">
        <f t="shared" si="111"/>
        <v>8.3178951750893151E-3</v>
      </c>
      <c r="E3584" s="74">
        <f t="shared" si="112"/>
        <v>4.3573053689556262E-3</v>
      </c>
      <c r="F3584" s="75"/>
    </row>
    <row r="3585" spans="1:6" ht="14.25" customHeight="1" x14ac:dyDescent="0.3">
      <c r="A3585" s="73">
        <v>45825</v>
      </c>
      <c r="B3585" s="74">
        <v>81583.3</v>
      </c>
      <c r="C3585" s="74">
        <v>3405.35</v>
      </c>
      <c r="D3585" s="74">
        <f t="shared" si="111"/>
        <v>-2.6055923241490118E-3</v>
      </c>
      <c r="E3585" s="74">
        <f t="shared" si="112"/>
        <v>-9.6876054441254189E-3</v>
      </c>
      <c r="F3585" s="75"/>
    </row>
    <row r="3586" spans="1:6" ht="14.25" customHeight="1" x14ac:dyDescent="0.3">
      <c r="A3586" s="73">
        <v>45826</v>
      </c>
      <c r="B3586" s="74">
        <v>81444.66</v>
      </c>
      <c r="C3586" s="74">
        <v>3472.95</v>
      </c>
      <c r="D3586" s="74">
        <f t="shared" si="111"/>
        <v>-1.700812957741382E-3</v>
      </c>
      <c r="E3586" s="74">
        <f t="shared" si="112"/>
        <v>1.9656652549551592E-2</v>
      </c>
      <c r="F3586" s="75"/>
    </row>
    <row r="3587" spans="1:6" ht="14.25" customHeight="1" x14ac:dyDescent="0.3">
      <c r="A3587" s="73">
        <v>45827</v>
      </c>
      <c r="B3587" s="74">
        <v>81361.87</v>
      </c>
      <c r="C3587" s="74">
        <v>3504.2</v>
      </c>
      <c r="D3587" s="74">
        <f t="shared" si="111"/>
        <v>-1.0170354608778341E-3</v>
      </c>
      <c r="E3587" s="74">
        <f t="shared" si="112"/>
        <v>8.9578721876700657E-3</v>
      </c>
      <c r="F3587" s="75"/>
    </row>
    <row r="3588" spans="1:6" ht="14.25" customHeight="1" x14ac:dyDescent="0.3">
      <c r="A3588" s="73">
        <v>45828</v>
      </c>
      <c r="B3588" s="74">
        <v>82408.17</v>
      </c>
      <c r="C3588" s="74">
        <v>3517.35</v>
      </c>
      <c r="D3588" s="74">
        <f t="shared" ref="D3588:D3651" si="113">LN(B3588/B3587)</f>
        <v>1.2777846742154911E-2</v>
      </c>
      <c r="E3588" s="74">
        <f t="shared" ref="E3588:E3651" si="114">LN(C3588/C3587)</f>
        <v>3.7456161030382123E-3</v>
      </c>
      <c r="F3588" s="75"/>
    </row>
    <row r="3589" spans="1:6" ht="14.25" customHeight="1" x14ac:dyDescent="0.3">
      <c r="A3589" s="73">
        <v>45831</v>
      </c>
      <c r="B3589" s="74">
        <v>81896.789999999994</v>
      </c>
      <c r="C3589" s="74">
        <v>3507.2</v>
      </c>
      <c r="D3589" s="74">
        <f t="shared" si="113"/>
        <v>-6.2247865340592512E-3</v>
      </c>
      <c r="E3589" s="74">
        <f t="shared" si="114"/>
        <v>-2.8898668423835111E-3</v>
      </c>
      <c r="F3589" s="75"/>
    </row>
    <row r="3590" spans="1:6" ht="14.25" customHeight="1" x14ac:dyDescent="0.3">
      <c r="A3590" s="73">
        <v>45832</v>
      </c>
      <c r="B3590" s="74">
        <v>82055.11</v>
      </c>
      <c r="C3590" s="74">
        <v>3525.35</v>
      </c>
      <c r="D3590" s="74">
        <f t="shared" si="113"/>
        <v>1.931298743229152E-3</v>
      </c>
      <c r="E3590" s="74">
        <f t="shared" si="114"/>
        <v>5.1617237838660563E-3</v>
      </c>
      <c r="F3590" s="75"/>
    </row>
    <row r="3591" spans="1:6" ht="14.25" customHeight="1" x14ac:dyDescent="0.3">
      <c r="A3591" s="73">
        <v>45833</v>
      </c>
      <c r="B3591" s="74">
        <v>82755.509999999995</v>
      </c>
      <c r="C3591" s="74">
        <v>3652.45</v>
      </c>
      <c r="D3591" s="74">
        <f t="shared" si="113"/>
        <v>8.4995034481868646E-3</v>
      </c>
      <c r="E3591" s="74">
        <f t="shared" si="114"/>
        <v>3.5418453179712484E-2</v>
      </c>
      <c r="F3591" s="75"/>
    </row>
    <row r="3592" spans="1:6" ht="14.25" customHeight="1" x14ac:dyDescent="0.3">
      <c r="A3592" s="73">
        <v>45834</v>
      </c>
      <c r="B3592" s="74">
        <v>83755.87</v>
      </c>
      <c r="C3592" s="74">
        <v>3694.2</v>
      </c>
      <c r="D3592" s="74">
        <f t="shared" si="113"/>
        <v>1.2015659658121529E-2</v>
      </c>
      <c r="E3592" s="74">
        <f t="shared" si="114"/>
        <v>1.1365846867999279E-2</v>
      </c>
      <c r="F3592" s="75"/>
    </row>
    <row r="3593" spans="1:6" ht="14.25" customHeight="1" x14ac:dyDescent="0.3">
      <c r="A3593" s="73">
        <v>45835</v>
      </c>
      <c r="B3593" s="74">
        <v>84058.9</v>
      </c>
      <c r="C3593" s="74">
        <v>3665.1</v>
      </c>
      <c r="D3593" s="74">
        <f t="shared" si="113"/>
        <v>3.6114857990626678E-3</v>
      </c>
      <c r="E3593" s="74">
        <f t="shared" si="114"/>
        <v>-7.9084020670955619E-3</v>
      </c>
      <c r="F3593" s="75"/>
    </row>
    <row r="3594" spans="1:6" ht="14.25" customHeight="1" x14ac:dyDescent="0.3">
      <c r="A3594" s="73">
        <v>45838</v>
      </c>
      <c r="B3594" s="74">
        <v>83606.460000000006</v>
      </c>
      <c r="C3594" s="74">
        <v>3689.2</v>
      </c>
      <c r="D3594" s="74">
        <f t="shared" si="113"/>
        <v>-5.396953767773968E-3</v>
      </c>
      <c r="E3594" s="74">
        <f t="shared" si="114"/>
        <v>6.5540122834399847E-3</v>
      </c>
      <c r="F3594" s="75"/>
    </row>
    <row r="3595" spans="1:6" ht="14.25" customHeight="1" x14ac:dyDescent="0.3">
      <c r="A3595" s="73">
        <v>45839</v>
      </c>
      <c r="B3595" s="74">
        <v>83697.289999999994</v>
      </c>
      <c r="C3595" s="74">
        <v>3700.2</v>
      </c>
      <c r="D3595" s="74">
        <f t="shared" si="113"/>
        <v>1.0858095998911679E-3</v>
      </c>
      <c r="E3595" s="74">
        <f t="shared" si="114"/>
        <v>2.9772398639382565E-3</v>
      </c>
      <c r="F3595" s="75"/>
    </row>
    <row r="3596" spans="1:6" ht="14.25" customHeight="1" x14ac:dyDescent="0.3">
      <c r="A3596" s="73">
        <v>45840</v>
      </c>
      <c r="B3596" s="74">
        <v>83409.69</v>
      </c>
      <c r="C3596" s="74">
        <v>3707.4</v>
      </c>
      <c r="D3596" s="74">
        <f t="shared" si="113"/>
        <v>-3.4421097665683171E-3</v>
      </c>
      <c r="E3596" s="74">
        <f t="shared" si="114"/>
        <v>1.9439500694867855E-3</v>
      </c>
      <c r="F3596" s="75"/>
    </row>
    <row r="3597" spans="1:6" ht="14.25" customHeight="1" x14ac:dyDescent="0.3">
      <c r="A3597" s="73">
        <v>45841</v>
      </c>
      <c r="B3597" s="74">
        <v>83239.47</v>
      </c>
      <c r="C3597" s="74">
        <v>3679.35</v>
      </c>
      <c r="D3597" s="74">
        <f t="shared" si="113"/>
        <v>-2.0428552918917158E-3</v>
      </c>
      <c r="E3597" s="74">
        <f t="shared" si="114"/>
        <v>-7.5947161677872533E-3</v>
      </c>
      <c r="F3597" s="75"/>
    </row>
    <row r="3598" spans="1:6" ht="14.25" customHeight="1" x14ac:dyDescent="0.3">
      <c r="A3598" s="73">
        <v>45842</v>
      </c>
      <c r="B3598" s="74">
        <v>83432.89</v>
      </c>
      <c r="C3598" s="74">
        <v>3686.35</v>
      </c>
      <c r="D3598" s="74">
        <f t="shared" si="113"/>
        <v>2.3209617578732696E-3</v>
      </c>
      <c r="E3598" s="74">
        <f t="shared" si="114"/>
        <v>1.9007024742768467E-3</v>
      </c>
      <c r="F3598" s="75"/>
    </row>
    <row r="3599" spans="1:6" ht="14.25" customHeight="1" x14ac:dyDescent="0.3">
      <c r="A3599" s="73">
        <v>45845</v>
      </c>
      <c r="B3599" s="74">
        <v>83442.5</v>
      </c>
      <c r="C3599" s="74">
        <v>3666.85</v>
      </c>
      <c r="D3599" s="74">
        <f t="shared" si="113"/>
        <v>1.1517576091502651E-4</v>
      </c>
      <c r="E3599" s="74">
        <f t="shared" si="114"/>
        <v>-5.3038257390390069E-3</v>
      </c>
      <c r="F3599" s="75"/>
    </row>
    <row r="3600" spans="1:6" ht="14.25" customHeight="1" x14ac:dyDescent="0.3">
      <c r="A3600" s="73">
        <v>45846</v>
      </c>
      <c r="B3600" s="74">
        <v>83712.509999999995</v>
      </c>
      <c r="C3600" s="74">
        <v>3440.6</v>
      </c>
      <c r="D3600" s="74">
        <f t="shared" si="113"/>
        <v>3.2306567998694096E-3</v>
      </c>
      <c r="E3600" s="74">
        <f t="shared" si="114"/>
        <v>-6.3687108099500692E-2</v>
      </c>
      <c r="F3600" s="75"/>
    </row>
    <row r="3601" spans="1:6" ht="14.25" customHeight="1" x14ac:dyDescent="0.3">
      <c r="A3601" s="73">
        <v>45847</v>
      </c>
      <c r="B3601" s="74">
        <v>83536.08</v>
      </c>
      <c r="C3601" s="74">
        <v>3431.45</v>
      </c>
      <c r="D3601" s="74">
        <f t="shared" si="113"/>
        <v>-2.109794353952186E-3</v>
      </c>
      <c r="E3601" s="74">
        <f t="shared" si="114"/>
        <v>-2.6629624077729981E-3</v>
      </c>
      <c r="F3601" s="75"/>
    </row>
    <row r="3602" spans="1:6" ht="14.25" customHeight="1" x14ac:dyDescent="0.3">
      <c r="A3602" s="73">
        <v>45848</v>
      </c>
      <c r="B3602" s="74">
        <v>83190.28</v>
      </c>
      <c r="C3602" s="74">
        <v>3418.05</v>
      </c>
      <c r="D3602" s="74">
        <f t="shared" si="113"/>
        <v>-4.148120259392798E-3</v>
      </c>
      <c r="E3602" s="74">
        <f t="shared" si="114"/>
        <v>-3.9126993489413137E-3</v>
      </c>
      <c r="F3602" s="75"/>
    </row>
    <row r="3603" spans="1:6" ht="14.25" customHeight="1" x14ac:dyDescent="0.3">
      <c r="A3603" s="73">
        <v>45849</v>
      </c>
      <c r="B3603" s="74">
        <v>82500.47</v>
      </c>
      <c r="C3603" s="74">
        <v>3358.95</v>
      </c>
      <c r="D3603" s="74">
        <f t="shared" si="113"/>
        <v>-8.3265237851848466E-3</v>
      </c>
      <c r="E3603" s="74">
        <f t="shared" si="114"/>
        <v>-1.7441787887274605E-2</v>
      </c>
      <c r="F3603" s="75"/>
    </row>
    <row r="3604" spans="1:6" ht="14.25" customHeight="1" x14ac:dyDescent="0.3">
      <c r="A3604" s="73">
        <v>45852</v>
      </c>
      <c r="B3604" s="74">
        <v>82253.460000000006</v>
      </c>
      <c r="C3604" s="74">
        <v>3405.85</v>
      </c>
      <c r="D3604" s="74">
        <f t="shared" si="113"/>
        <v>-2.9985346641082803E-3</v>
      </c>
      <c r="E3604" s="74">
        <f t="shared" si="114"/>
        <v>1.3866116204361362E-2</v>
      </c>
      <c r="F3604" s="75"/>
    </row>
    <row r="3605" spans="1:6" ht="14.25" customHeight="1" x14ac:dyDescent="0.3">
      <c r="A3605" s="73">
        <v>45853</v>
      </c>
      <c r="B3605" s="74">
        <v>82570.91</v>
      </c>
      <c r="C3605" s="74">
        <v>3414.85</v>
      </c>
      <c r="D3605" s="74">
        <f t="shared" si="113"/>
        <v>3.8519836905301628E-3</v>
      </c>
      <c r="E3605" s="74">
        <f t="shared" si="114"/>
        <v>2.6390268515978418E-3</v>
      </c>
      <c r="F3605" s="75"/>
    </row>
    <row r="3606" spans="1:6" ht="14.25" customHeight="1" x14ac:dyDescent="0.3">
      <c r="A3606" s="73">
        <v>45854</v>
      </c>
      <c r="B3606" s="74">
        <v>82634.48</v>
      </c>
      <c r="C3606" s="74">
        <v>3416.15</v>
      </c>
      <c r="D3606" s="74">
        <f t="shared" si="113"/>
        <v>7.6958751936028597E-4</v>
      </c>
      <c r="E3606" s="74">
        <f t="shared" si="114"/>
        <v>3.8061777651722756E-4</v>
      </c>
      <c r="F3606" s="75"/>
    </row>
    <row r="3607" spans="1:6" ht="14.25" customHeight="1" x14ac:dyDescent="0.3">
      <c r="A3607" s="73">
        <v>45855</v>
      </c>
      <c r="B3607" s="74">
        <v>82259.240000000005</v>
      </c>
      <c r="C3607" s="74">
        <v>3432.2</v>
      </c>
      <c r="D3607" s="74">
        <f t="shared" si="113"/>
        <v>-4.5513030785865978E-3</v>
      </c>
      <c r="E3607" s="74">
        <f t="shared" si="114"/>
        <v>4.6872690167763771E-3</v>
      </c>
      <c r="F3607" s="75"/>
    </row>
    <row r="3608" spans="1:6" ht="14.25" customHeight="1" x14ac:dyDescent="0.3">
      <c r="A3608" s="73">
        <v>45856</v>
      </c>
      <c r="B3608" s="74">
        <v>81757.73</v>
      </c>
      <c r="C3608" s="74">
        <v>3402.05</v>
      </c>
      <c r="D3608" s="74">
        <f t="shared" si="113"/>
        <v>-6.1153618792050887E-3</v>
      </c>
      <c r="E3608" s="74">
        <f t="shared" si="114"/>
        <v>-8.823263883479383E-3</v>
      </c>
      <c r="F3608" s="75"/>
    </row>
    <row r="3609" spans="1:6" ht="14.25" customHeight="1" x14ac:dyDescent="0.3">
      <c r="A3609" s="73">
        <v>45859</v>
      </c>
      <c r="B3609" s="74">
        <v>82200.34</v>
      </c>
      <c r="C3609" s="74">
        <v>3433.3</v>
      </c>
      <c r="D3609" s="74">
        <f t="shared" si="113"/>
        <v>5.3990764245261651E-3</v>
      </c>
      <c r="E3609" s="74">
        <f t="shared" si="114"/>
        <v>9.1437066799001064E-3</v>
      </c>
      <c r="F3609" s="75"/>
    </row>
    <row r="3610" spans="1:6" ht="14.25" customHeight="1" x14ac:dyDescent="0.3">
      <c r="A3610" s="73">
        <v>45860</v>
      </c>
      <c r="B3610" s="74">
        <v>82186.81</v>
      </c>
      <c r="C3610" s="74">
        <v>3470.45</v>
      </c>
      <c r="D3610" s="74">
        <f t="shared" si="113"/>
        <v>-1.6461140704182662E-4</v>
      </c>
      <c r="E3610" s="74">
        <f t="shared" si="114"/>
        <v>1.0762370765286649E-2</v>
      </c>
      <c r="F3610" s="75"/>
    </row>
    <row r="3611" spans="1:6" ht="14.25" customHeight="1" x14ac:dyDescent="0.3">
      <c r="A3611" s="73">
        <v>45861</v>
      </c>
      <c r="B3611" s="74">
        <v>82726.64</v>
      </c>
      <c r="C3611" s="74">
        <v>3471.7</v>
      </c>
      <c r="D3611" s="74">
        <f t="shared" si="113"/>
        <v>6.5468514320486402E-3</v>
      </c>
      <c r="E3611" s="74">
        <f t="shared" si="114"/>
        <v>3.6011898720398803E-4</v>
      </c>
      <c r="F3611" s="75"/>
    </row>
    <row r="3612" spans="1:6" ht="14.25" customHeight="1" x14ac:dyDescent="0.3">
      <c r="A3612" s="73">
        <v>45862</v>
      </c>
      <c r="B3612" s="74">
        <v>82184.17</v>
      </c>
      <c r="C3612" s="74">
        <v>3483.6</v>
      </c>
      <c r="D3612" s="74">
        <f t="shared" si="113"/>
        <v>-6.5789738906508266E-3</v>
      </c>
      <c r="E3612" s="74">
        <f t="shared" si="114"/>
        <v>3.4218543014704981E-3</v>
      </c>
      <c r="F3612" s="75"/>
    </row>
    <row r="3613" spans="1:6" ht="14.25" customHeight="1" x14ac:dyDescent="0.3">
      <c r="A3613" s="73">
        <v>45863</v>
      </c>
      <c r="B3613" s="74">
        <v>81463.09</v>
      </c>
      <c r="C3613" s="74">
        <v>3459.5</v>
      </c>
      <c r="D3613" s="74">
        <f t="shared" si="113"/>
        <v>-8.8126702124193702E-3</v>
      </c>
      <c r="E3613" s="74">
        <f t="shared" si="114"/>
        <v>-6.942171879718695E-3</v>
      </c>
      <c r="F3613" s="75"/>
    </row>
    <row r="3614" spans="1:6" ht="14.25" customHeight="1" x14ac:dyDescent="0.3">
      <c r="A3614" s="73">
        <v>45866</v>
      </c>
      <c r="B3614" s="74">
        <v>80891.02</v>
      </c>
      <c r="C3614" s="74">
        <v>3393.6</v>
      </c>
      <c r="D3614" s="74">
        <f t="shared" si="113"/>
        <v>-7.0472175612989168E-3</v>
      </c>
      <c r="E3614" s="74">
        <f t="shared" si="114"/>
        <v>-1.9232765128447838E-2</v>
      </c>
      <c r="F3614" s="75"/>
    </row>
    <row r="3615" spans="1:6" ht="14.25" customHeight="1" x14ac:dyDescent="0.3">
      <c r="A3615" s="73">
        <v>45867</v>
      </c>
      <c r="B3615" s="74">
        <v>81337.95</v>
      </c>
      <c r="C3615" s="74">
        <v>3379.85</v>
      </c>
      <c r="D3615" s="74">
        <f t="shared" si="113"/>
        <v>5.509880641996953E-3</v>
      </c>
      <c r="E3615" s="74">
        <f t="shared" si="114"/>
        <v>-4.0599750163419716E-3</v>
      </c>
      <c r="F3615" s="75"/>
    </row>
    <row r="3616" spans="1:6" ht="14.25" customHeight="1" x14ac:dyDescent="0.3">
      <c r="A3616" s="73">
        <v>45868</v>
      </c>
      <c r="B3616" s="74">
        <v>81481.86</v>
      </c>
      <c r="C3616" s="74">
        <v>3376.4</v>
      </c>
      <c r="D3616" s="74">
        <f t="shared" si="113"/>
        <v>1.7677214765775379E-3</v>
      </c>
      <c r="E3616" s="74">
        <f t="shared" si="114"/>
        <v>-1.0212766845111377E-3</v>
      </c>
      <c r="F3616" s="75"/>
    </row>
    <row r="3617" spans="1:6" ht="14.25" customHeight="1" x14ac:dyDescent="0.3">
      <c r="A3617" s="73">
        <v>45869</v>
      </c>
      <c r="B3617" s="74">
        <v>81185.58</v>
      </c>
      <c r="C3617" s="74">
        <v>3346.25</v>
      </c>
      <c r="D3617" s="74">
        <f t="shared" si="113"/>
        <v>-3.6427735953952745E-3</v>
      </c>
      <c r="E3617" s="74">
        <f t="shared" si="114"/>
        <v>-8.9697372750026302E-3</v>
      </c>
      <c r="F3617" s="75"/>
    </row>
    <row r="3618" spans="1:6" ht="14.25" customHeight="1" x14ac:dyDescent="0.3">
      <c r="A3618" s="73">
        <v>45870</v>
      </c>
      <c r="B3618" s="74">
        <v>80599.91</v>
      </c>
      <c r="C3618" s="74">
        <v>3315</v>
      </c>
      <c r="D3618" s="74">
        <f t="shared" si="113"/>
        <v>-7.2401123037891526E-3</v>
      </c>
      <c r="E3618" s="74">
        <f t="shared" si="114"/>
        <v>-9.3826922145993988E-3</v>
      </c>
      <c r="F3618" s="75"/>
    </row>
    <row r="3619" spans="1:6" ht="14.25" customHeight="1" x14ac:dyDescent="0.3">
      <c r="A3619" s="73">
        <v>45873</v>
      </c>
      <c r="B3619" s="74">
        <v>81018.720000000001</v>
      </c>
      <c r="C3619" s="74">
        <v>3353.9</v>
      </c>
      <c r="D3619" s="74">
        <f t="shared" si="113"/>
        <v>5.1827061948420319E-3</v>
      </c>
      <c r="E3619" s="74">
        <f t="shared" si="114"/>
        <v>1.1666224172616762E-2</v>
      </c>
      <c r="F3619" s="75"/>
    </row>
    <row r="3620" spans="1:6" ht="14.25" customHeight="1" x14ac:dyDescent="0.3">
      <c r="A3620" s="73">
        <v>45874</v>
      </c>
      <c r="B3620" s="74">
        <v>80710.25</v>
      </c>
      <c r="C3620" s="74">
        <v>3419</v>
      </c>
      <c r="D3620" s="74">
        <f t="shared" si="113"/>
        <v>-3.8146582404051362E-3</v>
      </c>
      <c r="E3620" s="74">
        <f t="shared" si="114"/>
        <v>1.922426284672156E-2</v>
      </c>
      <c r="F3620" s="75"/>
    </row>
    <row r="3621" spans="1:6" ht="14.25" customHeight="1" x14ac:dyDescent="0.3">
      <c r="A3621" s="73">
        <v>45875</v>
      </c>
      <c r="B3621" s="74">
        <v>80543.990000000005</v>
      </c>
      <c r="C3621" s="74">
        <v>3416.75</v>
      </c>
      <c r="D3621" s="74">
        <f t="shared" si="113"/>
        <v>-2.0620860439292286E-3</v>
      </c>
      <c r="E3621" s="74">
        <f t="shared" si="114"/>
        <v>-6.5830379439143843E-4</v>
      </c>
      <c r="F3621" s="75"/>
    </row>
    <row r="3622" spans="1:6" ht="14.25" customHeight="1" x14ac:dyDescent="0.3">
      <c r="A3622" s="73">
        <v>45876</v>
      </c>
      <c r="B3622" s="74">
        <v>80623.259999999995</v>
      </c>
      <c r="C3622" s="74">
        <v>3414.95</v>
      </c>
      <c r="D3622" s="74">
        <f t="shared" si="113"/>
        <v>9.8369869054918172E-4</v>
      </c>
      <c r="E3622" s="74">
        <f t="shared" si="114"/>
        <v>-5.2695523563753353E-4</v>
      </c>
      <c r="F3622" s="75"/>
    </row>
    <row r="3623" spans="1:6" ht="14.25" customHeight="1" x14ac:dyDescent="0.3">
      <c r="A3623" s="73">
        <v>45877</v>
      </c>
      <c r="B3623" s="74">
        <v>79857.789999999994</v>
      </c>
      <c r="C3623" s="74">
        <v>3460.4</v>
      </c>
      <c r="D3623" s="74">
        <f t="shared" si="113"/>
        <v>-9.5397656640470712E-3</v>
      </c>
      <c r="E3623" s="74">
        <f t="shared" si="114"/>
        <v>1.3221337696946965E-2</v>
      </c>
      <c r="F3623" s="75"/>
    </row>
    <row r="3624" spans="1:6" ht="14.25" customHeight="1" x14ac:dyDescent="0.3">
      <c r="A3624" s="73">
        <v>45880</v>
      </c>
      <c r="B3624" s="74">
        <v>80604.08</v>
      </c>
      <c r="C3624" s="74">
        <v>3467.65</v>
      </c>
      <c r="D3624" s="74">
        <f t="shared" si="113"/>
        <v>9.3018407551517628E-3</v>
      </c>
      <c r="E3624" s="74">
        <f t="shared" si="114"/>
        <v>2.0929417791426277E-3</v>
      </c>
      <c r="F3624" s="75"/>
    </row>
    <row r="3625" spans="1:6" ht="14.25" customHeight="1" x14ac:dyDescent="0.3">
      <c r="A3625" s="73">
        <v>45881</v>
      </c>
      <c r="B3625" s="74">
        <v>80235.59</v>
      </c>
      <c r="C3625" s="74">
        <v>3485.8</v>
      </c>
      <c r="D3625" s="74">
        <f t="shared" si="113"/>
        <v>-4.5820865551343968E-3</v>
      </c>
      <c r="E3625" s="74">
        <f t="shared" si="114"/>
        <v>5.2204420022193519E-3</v>
      </c>
      <c r="F3625" s="75"/>
    </row>
    <row r="3626" spans="1:6" ht="14.25" customHeight="1" x14ac:dyDescent="0.3">
      <c r="A3626" s="73">
        <v>45882</v>
      </c>
      <c r="B3626" s="74">
        <v>80539.91</v>
      </c>
      <c r="C3626" s="74">
        <v>3466.7</v>
      </c>
      <c r="D3626" s="74">
        <f t="shared" si="113"/>
        <v>3.7856559418433687E-3</v>
      </c>
      <c r="E3626" s="74">
        <f t="shared" si="114"/>
        <v>-5.4944402878391464E-3</v>
      </c>
      <c r="F3626" s="75"/>
    </row>
    <row r="3627" spans="1:6" ht="14.25" customHeight="1" x14ac:dyDescent="0.3">
      <c r="A3627" s="73">
        <v>45883</v>
      </c>
      <c r="B3627" s="74">
        <v>80597.66</v>
      </c>
      <c r="C3627" s="74">
        <v>3489.1</v>
      </c>
      <c r="D3627" s="74">
        <f t="shared" si="113"/>
        <v>7.1677886755436987E-4</v>
      </c>
      <c r="E3627" s="74">
        <f t="shared" si="114"/>
        <v>6.4406904838940687E-3</v>
      </c>
      <c r="F3627" s="75"/>
    </row>
    <row r="3628" spans="1:6" ht="14.25" customHeight="1" x14ac:dyDescent="0.3">
      <c r="A3628" s="73">
        <v>45887</v>
      </c>
      <c r="B3628" s="74">
        <v>81273.75</v>
      </c>
      <c r="C3628" s="74">
        <v>3554.15</v>
      </c>
      <c r="D3628" s="74">
        <f t="shared" si="113"/>
        <v>8.3534693555106579E-3</v>
      </c>
      <c r="E3628" s="74">
        <f t="shared" si="114"/>
        <v>1.8472111505423581E-2</v>
      </c>
      <c r="F3628" s="75"/>
    </row>
    <row r="3629" spans="1:6" ht="14.25" customHeight="1" x14ac:dyDescent="0.3">
      <c r="A3629" s="73">
        <v>45888</v>
      </c>
      <c r="B3629" s="74">
        <v>81644.39</v>
      </c>
      <c r="C3629" s="74">
        <v>3568.55</v>
      </c>
      <c r="D3629" s="74">
        <f t="shared" si="113"/>
        <v>4.5500229678224272E-3</v>
      </c>
      <c r="E3629" s="74">
        <f t="shared" si="114"/>
        <v>4.0434160133237329E-3</v>
      </c>
      <c r="F3629" s="75"/>
    </row>
    <row r="3630" spans="1:6" ht="14.25" customHeight="1" x14ac:dyDescent="0.3">
      <c r="A3630" s="73">
        <v>45889</v>
      </c>
      <c r="B3630" s="74">
        <v>81857.84</v>
      </c>
      <c r="C3630" s="74">
        <v>3593.45</v>
      </c>
      <c r="D3630" s="74">
        <f t="shared" si="113"/>
        <v>2.6109750461601536E-3</v>
      </c>
      <c r="E3630" s="74">
        <f t="shared" si="114"/>
        <v>6.9533929979034856E-3</v>
      </c>
      <c r="F3630" s="75"/>
    </row>
    <row r="3631" spans="1:6" ht="14.25" customHeight="1" x14ac:dyDescent="0.3">
      <c r="A3631" s="73">
        <v>45890</v>
      </c>
      <c r="B3631" s="74">
        <v>82000.710000000006</v>
      </c>
      <c r="C3631" s="74">
        <v>3615.4</v>
      </c>
      <c r="D3631" s="74">
        <f t="shared" si="113"/>
        <v>1.7438215607865771E-3</v>
      </c>
      <c r="E3631" s="74">
        <f t="shared" si="114"/>
        <v>6.0897557404670597E-3</v>
      </c>
      <c r="F3631" s="75"/>
    </row>
    <row r="3632" spans="1:6" ht="14.25" customHeight="1" x14ac:dyDescent="0.3">
      <c r="A3632" s="73">
        <v>45891</v>
      </c>
      <c r="B3632" s="74">
        <v>81306.850000000006</v>
      </c>
      <c r="C3632" s="74">
        <v>3620.05</v>
      </c>
      <c r="D3632" s="74">
        <f t="shared" si="113"/>
        <v>-8.4976369163543997E-3</v>
      </c>
      <c r="E3632" s="74">
        <f t="shared" si="114"/>
        <v>1.2853383383718635E-3</v>
      </c>
      <c r="F3632" s="75"/>
    </row>
    <row r="3633" spans="1:6" ht="14.25" customHeight="1" x14ac:dyDescent="0.3">
      <c r="A3633" s="73">
        <v>45894</v>
      </c>
      <c r="B3633" s="74">
        <v>81635.91</v>
      </c>
      <c r="C3633" s="74">
        <v>3652.1</v>
      </c>
      <c r="D3633" s="74">
        <f t="shared" si="113"/>
        <v>4.0389698485176831E-3</v>
      </c>
      <c r="E3633" s="74">
        <f t="shared" si="114"/>
        <v>8.8145067171438839E-3</v>
      </c>
      <c r="F3633" s="75"/>
    </row>
    <row r="3634" spans="1:6" ht="14.25" customHeight="1" x14ac:dyDescent="0.3">
      <c r="A3634" s="73">
        <v>45895</v>
      </c>
      <c r="B3634" s="74">
        <v>80786.539999999994</v>
      </c>
      <c r="C3634" s="74">
        <v>3592.9</v>
      </c>
      <c r="D3634" s="74">
        <f t="shared" si="113"/>
        <v>-1.0458871203565267E-2</v>
      </c>
      <c r="E3634" s="74">
        <f t="shared" si="114"/>
        <v>-1.6342668765417546E-2</v>
      </c>
      <c r="F3634" s="75"/>
    </row>
    <row r="3635" spans="1:6" ht="14.25" customHeight="1" x14ac:dyDescent="0.3">
      <c r="A3635" s="73">
        <v>45897</v>
      </c>
      <c r="B3635" s="74">
        <v>80080.570000000007</v>
      </c>
      <c r="C3635" s="74">
        <v>3636.8</v>
      </c>
      <c r="D3635" s="74">
        <f t="shared" si="113"/>
        <v>-8.7771146282006121E-3</v>
      </c>
      <c r="E3635" s="74">
        <f t="shared" si="114"/>
        <v>1.2144498267426506E-2</v>
      </c>
      <c r="F3635" s="75"/>
    </row>
    <row r="3636" spans="1:6" ht="14.25" customHeight="1" x14ac:dyDescent="0.3">
      <c r="A3636" s="73">
        <v>45898</v>
      </c>
      <c r="B3636" s="74">
        <v>79809.649999999994</v>
      </c>
      <c r="C3636" s="74">
        <v>3628.55</v>
      </c>
      <c r="D3636" s="74">
        <f t="shared" si="113"/>
        <v>-3.3888284008110831E-3</v>
      </c>
      <c r="E3636" s="74">
        <f t="shared" si="114"/>
        <v>-2.2710546762126946E-3</v>
      </c>
      <c r="F3636" s="75"/>
    </row>
    <row r="3637" spans="1:6" ht="14.25" customHeight="1" x14ac:dyDescent="0.3">
      <c r="A3637" s="73">
        <v>45901</v>
      </c>
      <c r="B3637" s="74">
        <v>80364.490000000005</v>
      </c>
      <c r="C3637" s="74">
        <v>3618.5</v>
      </c>
      <c r="D3637" s="74">
        <f t="shared" si="113"/>
        <v>6.9279874918637407E-3</v>
      </c>
      <c r="E3637" s="74">
        <f t="shared" si="114"/>
        <v>-2.773544115883654E-3</v>
      </c>
      <c r="F3637" s="75"/>
    </row>
    <row r="3638" spans="1:6" ht="14.25" customHeight="1" x14ac:dyDescent="0.3">
      <c r="A3638" s="73">
        <v>45902</v>
      </c>
      <c r="B3638" s="74">
        <v>80157.88</v>
      </c>
      <c r="C3638" s="74">
        <v>3617.95</v>
      </c>
      <c r="D3638" s="74">
        <f t="shared" si="113"/>
        <v>-2.5742220737683744E-3</v>
      </c>
      <c r="E3638" s="74">
        <f t="shared" si="114"/>
        <v>-1.5200823637538812E-4</v>
      </c>
      <c r="F3638" s="75"/>
    </row>
    <row r="3639" spans="1:6" ht="14.25" customHeight="1" x14ac:dyDescent="0.3">
      <c r="A3639" s="73">
        <v>45903</v>
      </c>
      <c r="B3639" s="74">
        <v>80567.710000000006</v>
      </c>
      <c r="C3639" s="74">
        <v>3691.4</v>
      </c>
      <c r="D3639" s="74">
        <f t="shared" si="113"/>
        <v>5.0997590143822026E-3</v>
      </c>
      <c r="E3639" s="74">
        <f t="shared" si="114"/>
        <v>2.0098222803383841E-2</v>
      </c>
      <c r="F3639" s="75"/>
    </row>
    <row r="3640" spans="1:6" ht="14.25" customHeight="1" x14ac:dyDescent="0.3">
      <c r="A3640" s="73">
        <v>45904</v>
      </c>
      <c r="B3640" s="74">
        <v>80718.009999999995</v>
      </c>
      <c r="C3640" s="74">
        <v>3686.35</v>
      </c>
      <c r="D3640" s="74">
        <f t="shared" si="113"/>
        <v>1.8637737241397265E-3</v>
      </c>
      <c r="E3640" s="74">
        <f t="shared" si="114"/>
        <v>-1.3689812717123334E-3</v>
      </c>
      <c r="F3640" s="75"/>
    </row>
    <row r="3641" spans="1:6" ht="14.25" customHeight="1" x14ac:dyDescent="0.3">
      <c r="A3641" s="73">
        <v>45905</v>
      </c>
      <c r="B3641" s="74">
        <v>80710.759999999995</v>
      </c>
      <c r="C3641" s="74">
        <v>3665.25</v>
      </c>
      <c r="D3641" s="74">
        <f t="shared" si="113"/>
        <v>-8.9822898419889517E-5</v>
      </c>
      <c r="E3641" s="74">
        <f t="shared" si="114"/>
        <v>-5.7402627831046058E-3</v>
      </c>
      <c r="F3641" s="75"/>
    </row>
    <row r="3642" spans="1:6" ht="14.25" customHeight="1" x14ac:dyDescent="0.3">
      <c r="A3642" s="73">
        <v>45908</v>
      </c>
      <c r="B3642" s="74">
        <v>80787.3</v>
      </c>
      <c r="C3642" s="74">
        <v>3658.05</v>
      </c>
      <c r="D3642" s="74">
        <f t="shared" si="113"/>
        <v>9.4787523429988769E-4</v>
      </c>
      <c r="E3642" s="74">
        <f t="shared" si="114"/>
        <v>-1.9663272895731588E-3</v>
      </c>
      <c r="F3642" s="75"/>
    </row>
    <row r="3643" spans="1:6" ht="14.25" customHeight="1" x14ac:dyDescent="0.3">
      <c r="A3643" s="73">
        <v>45909</v>
      </c>
      <c r="B3643" s="74">
        <v>81101.320000000007</v>
      </c>
      <c r="C3643" s="74">
        <v>3629.45</v>
      </c>
      <c r="D3643" s="74">
        <f t="shared" si="113"/>
        <v>3.879462235693484E-3</v>
      </c>
      <c r="E3643" s="74">
        <f t="shared" si="114"/>
        <v>-7.8490969009996515E-3</v>
      </c>
      <c r="F3643" s="75"/>
    </row>
    <row r="3644" spans="1:6" ht="14.25" customHeight="1" x14ac:dyDescent="0.3">
      <c r="A3644" s="73">
        <v>45910</v>
      </c>
      <c r="B3644" s="74">
        <v>81425.149999999994</v>
      </c>
      <c r="C3644" s="74">
        <v>3619.3</v>
      </c>
      <c r="D3644" s="74">
        <f t="shared" si="113"/>
        <v>3.9849561555301656E-3</v>
      </c>
      <c r="E3644" s="74">
        <f t="shared" si="114"/>
        <v>-2.8004846721512429E-3</v>
      </c>
      <c r="F3644" s="75"/>
    </row>
    <row r="3645" spans="1:6" ht="14.25" customHeight="1" x14ac:dyDescent="0.3">
      <c r="A3645" s="73">
        <v>45911</v>
      </c>
      <c r="B3645" s="74">
        <v>81548.73</v>
      </c>
      <c r="C3645" s="74">
        <v>3585.05</v>
      </c>
      <c r="D3645" s="74">
        <f t="shared" si="113"/>
        <v>1.5165623311634705E-3</v>
      </c>
      <c r="E3645" s="74">
        <f t="shared" si="114"/>
        <v>-9.5082160177929163E-3</v>
      </c>
      <c r="F3645" s="75"/>
    </row>
    <row r="3646" spans="1:6" ht="14.25" customHeight="1" x14ac:dyDescent="0.3">
      <c r="A3646" s="73">
        <v>45912</v>
      </c>
      <c r="B3646" s="74">
        <v>81904.7</v>
      </c>
      <c r="C3646" s="74">
        <v>3571</v>
      </c>
      <c r="D3646" s="74">
        <f t="shared" si="113"/>
        <v>4.3556205920120611E-3</v>
      </c>
      <c r="E3646" s="74">
        <f t="shared" si="114"/>
        <v>-3.9267523434085103E-3</v>
      </c>
      <c r="F3646" s="75"/>
    </row>
    <row r="3647" spans="1:6" ht="14.25" customHeight="1" x14ac:dyDescent="0.3">
      <c r="A3647" s="73">
        <v>45915</v>
      </c>
      <c r="B3647" s="74">
        <v>81785.740000000005</v>
      </c>
      <c r="C3647" s="74">
        <v>3534.25</v>
      </c>
      <c r="D3647" s="74">
        <f t="shared" si="113"/>
        <v>-1.4534754863242108E-3</v>
      </c>
      <c r="E3647" s="74">
        <f t="shared" si="114"/>
        <v>-1.0344555847306453E-2</v>
      </c>
      <c r="F3647" s="75"/>
    </row>
    <row r="3648" spans="1:6" ht="14.25" customHeight="1" x14ac:dyDescent="0.3">
      <c r="A3648" s="73">
        <v>45916</v>
      </c>
      <c r="B3648" s="74">
        <v>82380.69</v>
      </c>
      <c r="C3648" s="74">
        <v>3557.8</v>
      </c>
      <c r="D3648" s="74">
        <f t="shared" si="113"/>
        <v>7.2481640087189237E-3</v>
      </c>
      <c r="E3648" s="74">
        <f t="shared" si="114"/>
        <v>6.6412635440274218E-3</v>
      </c>
      <c r="F3648" s="75"/>
    </row>
    <row r="3649" spans="1:6" ht="14.25" customHeight="1" x14ac:dyDescent="0.3">
      <c r="A3649" s="73">
        <v>45917</v>
      </c>
      <c r="B3649" s="74">
        <v>82693.710000000006</v>
      </c>
      <c r="C3649" s="74">
        <v>3522.8</v>
      </c>
      <c r="D3649" s="74">
        <f t="shared" si="113"/>
        <v>3.7924763037424682E-3</v>
      </c>
      <c r="E3649" s="74">
        <f t="shared" si="114"/>
        <v>-9.886248359864987E-3</v>
      </c>
      <c r="F3649" s="75"/>
    </row>
    <row r="3650" spans="1:6" ht="14.25" customHeight="1" x14ac:dyDescent="0.3">
      <c r="A3650" s="73">
        <v>45918</v>
      </c>
      <c r="B3650" s="74">
        <v>83013.960000000006</v>
      </c>
      <c r="C3650" s="74">
        <v>3510.9</v>
      </c>
      <c r="D3650" s="74">
        <f t="shared" si="113"/>
        <v>3.8652453288902824E-3</v>
      </c>
      <c r="E3650" s="74">
        <f t="shared" si="114"/>
        <v>-3.3837130824742423E-3</v>
      </c>
      <c r="F3650" s="75"/>
    </row>
    <row r="3651" spans="1:6" ht="14.25" customHeight="1" x14ac:dyDescent="0.3">
      <c r="A3651" s="73">
        <v>45919</v>
      </c>
      <c r="B3651" s="74">
        <v>82626.23</v>
      </c>
      <c r="C3651" s="74">
        <v>3466.65</v>
      </c>
      <c r="D3651" s="74">
        <f t="shared" si="113"/>
        <v>-4.681601828264853E-3</v>
      </c>
      <c r="E3651" s="74">
        <f t="shared" si="114"/>
        <v>-1.2683705091340586E-2</v>
      </c>
      <c r="F3651" s="75"/>
    </row>
    <row r="3652" spans="1:6" ht="14.25" customHeight="1" x14ac:dyDescent="0.3">
      <c r="A3652" s="73">
        <v>45922</v>
      </c>
      <c r="B3652" s="74">
        <v>82159.97</v>
      </c>
      <c r="C3652" s="74">
        <v>3457.7</v>
      </c>
      <c r="D3652" s="74">
        <f t="shared" ref="D3652:D3720" si="115">LN(B3652/B3651)</f>
        <v>-5.6589841175509392E-3</v>
      </c>
      <c r="E3652" s="74">
        <f t="shared" ref="E3652:E3720" si="116">LN(C3652/C3651)</f>
        <v>-2.58508162763018E-3</v>
      </c>
      <c r="F3652" s="75"/>
    </row>
    <row r="3653" spans="1:6" ht="14.25" customHeight="1" x14ac:dyDescent="0.3">
      <c r="A3653" s="73">
        <v>45923</v>
      </c>
      <c r="B3653" s="74">
        <v>82102.100000000006</v>
      </c>
      <c r="C3653" s="74">
        <v>3439.95</v>
      </c>
      <c r="D3653" s="74">
        <f t="shared" si="115"/>
        <v>-7.0460578506305132E-4</v>
      </c>
      <c r="E3653" s="74">
        <f t="shared" si="116"/>
        <v>-5.1466917517689172E-3</v>
      </c>
      <c r="F3653" s="75"/>
    </row>
    <row r="3654" spans="1:6" ht="14.25" customHeight="1" x14ac:dyDescent="0.3">
      <c r="A3654" s="73">
        <v>45924</v>
      </c>
      <c r="B3654" s="74">
        <v>81715.63</v>
      </c>
      <c r="C3654" s="74">
        <v>3416.8</v>
      </c>
      <c r="D3654" s="74">
        <f t="shared" si="115"/>
        <v>-4.7183014558664325E-3</v>
      </c>
      <c r="E3654" s="74">
        <f t="shared" si="116"/>
        <v>-6.7524958508337739E-3</v>
      </c>
      <c r="F3654" s="75"/>
    </row>
    <row r="3655" spans="1:6" ht="14.25" customHeight="1" x14ac:dyDescent="0.3">
      <c r="A3655" s="73">
        <v>45925</v>
      </c>
      <c r="B3655" s="74">
        <v>81159.679999999993</v>
      </c>
      <c r="C3655" s="74">
        <v>3378.15</v>
      </c>
      <c r="D3655" s="74">
        <f t="shared" si="115"/>
        <v>-6.8267211172575379E-3</v>
      </c>
      <c r="E3655" s="74">
        <f t="shared" si="116"/>
        <v>-1.1376218172026036E-2</v>
      </c>
      <c r="F3655" s="75"/>
    </row>
    <row r="3656" spans="1:6" ht="14.25" customHeight="1" x14ac:dyDescent="0.3">
      <c r="A3656" s="73">
        <v>45926</v>
      </c>
      <c r="B3656" s="74">
        <v>80426.460000000006</v>
      </c>
      <c r="C3656" s="74">
        <v>3327.35</v>
      </c>
      <c r="D3656" s="74">
        <f t="shared" si="115"/>
        <v>-9.0753456013282496E-3</v>
      </c>
      <c r="E3656" s="74">
        <f t="shared" si="116"/>
        <v>-1.5152030990101791E-2</v>
      </c>
      <c r="F3656" s="75"/>
    </row>
    <row r="3657" spans="1:6" ht="14.25" customHeight="1" x14ac:dyDescent="0.3">
      <c r="A3657" s="73">
        <v>45929</v>
      </c>
      <c r="B3657" s="74">
        <v>80364.94</v>
      </c>
      <c r="C3657" s="74">
        <v>3403.85</v>
      </c>
      <c r="D3657" s="74">
        <f t="shared" si="115"/>
        <v>-7.6521509237366294E-4</v>
      </c>
      <c r="E3657" s="74">
        <f t="shared" si="116"/>
        <v>2.2730952552274367E-2</v>
      </c>
      <c r="F3657" s="75"/>
    </row>
    <row r="3658" spans="1:6" ht="14.25" customHeight="1" x14ac:dyDescent="0.3">
      <c r="A3658" s="73">
        <v>45930</v>
      </c>
      <c r="B3658" s="74">
        <v>80267.62</v>
      </c>
      <c r="C3658" s="74">
        <v>3367.4</v>
      </c>
      <c r="D3658" s="74">
        <f t="shared" si="115"/>
        <v>-1.2117096547230334E-3</v>
      </c>
      <c r="E3658" s="74">
        <f t="shared" si="116"/>
        <v>-1.0766210693703876E-2</v>
      </c>
      <c r="F3658" s="75"/>
    </row>
    <row r="3659" spans="1:6" ht="14.25" customHeight="1" x14ac:dyDescent="0.3">
      <c r="A3659" s="73">
        <v>45931</v>
      </c>
      <c r="B3659" s="74">
        <v>80983.31</v>
      </c>
      <c r="C3659" s="74">
        <v>3405.65</v>
      </c>
      <c r="D3659" s="74">
        <f t="shared" si="115"/>
        <v>8.8767822861958393E-3</v>
      </c>
      <c r="E3659" s="74">
        <f t="shared" si="116"/>
        <v>1.1294883883196351E-2</v>
      </c>
      <c r="F3659" s="75"/>
    </row>
    <row r="3660" spans="1:6" ht="14.25" customHeight="1" x14ac:dyDescent="0.3">
      <c r="A3660" s="73">
        <v>45933</v>
      </c>
      <c r="B3660" s="74">
        <v>81207.17</v>
      </c>
      <c r="C3660" s="74">
        <v>3452.35</v>
      </c>
      <c r="D3660" s="74">
        <f t="shared" si="115"/>
        <v>2.7604597033519807E-3</v>
      </c>
      <c r="E3660" s="74">
        <f t="shared" si="116"/>
        <v>1.3619341455015503E-2</v>
      </c>
      <c r="F3660" s="75"/>
    </row>
    <row r="3661" spans="1:6" ht="14.25" customHeight="1" x14ac:dyDescent="0.3">
      <c r="A3661" s="73">
        <v>45936</v>
      </c>
      <c r="B3661" s="74">
        <v>81790.12</v>
      </c>
      <c r="C3661" s="74">
        <v>3423.55</v>
      </c>
      <c r="D3661" s="74">
        <f t="shared" si="115"/>
        <v>7.1529101558482841E-3</v>
      </c>
      <c r="E3661" s="74">
        <f t="shared" si="116"/>
        <v>-8.3771341709760801E-3</v>
      </c>
      <c r="F3661" s="75"/>
    </row>
    <row r="3662" spans="1:6" ht="14.25" customHeight="1" x14ac:dyDescent="0.3">
      <c r="A3662" s="73">
        <v>45937</v>
      </c>
      <c r="B3662" s="74">
        <v>81926.75</v>
      </c>
      <c r="C3662" s="74">
        <v>3416.55</v>
      </c>
      <c r="D3662" s="74">
        <f t="shared" si="115"/>
        <v>1.6691014398185714E-3</v>
      </c>
      <c r="E3662" s="74">
        <f t="shared" si="116"/>
        <v>-2.046754416953565E-3</v>
      </c>
      <c r="F3662" s="75"/>
    </row>
    <row r="3663" spans="1:6" ht="14.25" customHeight="1" x14ac:dyDescent="0.3">
      <c r="A3663" s="73">
        <v>45938</v>
      </c>
      <c r="B3663" s="74">
        <v>81773.66</v>
      </c>
      <c r="C3663" s="74">
        <v>3566.15</v>
      </c>
      <c r="D3663" s="74">
        <f t="shared" si="115"/>
        <v>-1.8703684936314496E-3</v>
      </c>
      <c r="E3663" s="74">
        <f t="shared" si="116"/>
        <v>4.2855312501625997E-2</v>
      </c>
      <c r="F3663" s="75"/>
    </row>
    <row r="3664" spans="1:6" ht="14.25" customHeight="1" x14ac:dyDescent="0.3">
      <c r="A3664" s="73">
        <v>45939</v>
      </c>
      <c r="B3664" s="74">
        <v>82172.100000000006</v>
      </c>
      <c r="C3664" s="74">
        <v>3550.3</v>
      </c>
      <c r="D3664" s="74">
        <f t="shared" si="115"/>
        <v>4.8606415250531665E-3</v>
      </c>
      <c r="E3664" s="74">
        <f t="shared" si="116"/>
        <v>-4.4544755344115405E-3</v>
      </c>
      <c r="F3664" s="75"/>
    </row>
    <row r="3665" spans="1:6" ht="14.25" customHeight="1" x14ac:dyDescent="0.3">
      <c r="A3665" s="73">
        <v>45940</v>
      </c>
      <c r="B3665" s="74">
        <v>82500.820000000007</v>
      </c>
      <c r="C3665" s="74">
        <v>3531.3</v>
      </c>
      <c r="D3665" s="74">
        <f t="shared" si="115"/>
        <v>3.9924042961068202E-3</v>
      </c>
      <c r="E3665" s="74">
        <f t="shared" si="116"/>
        <v>-5.3660318546513656E-3</v>
      </c>
      <c r="F3665" s="75"/>
    </row>
    <row r="3666" spans="1:6" ht="14.25" customHeight="1" x14ac:dyDescent="0.3">
      <c r="A3666" s="73">
        <v>45943</v>
      </c>
      <c r="B3666" s="74">
        <v>82327.05</v>
      </c>
      <c r="C3666" s="74">
        <v>3533.8</v>
      </c>
      <c r="D3666" s="74">
        <f t="shared" si="115"/>
        <v>-2.1085034269835499E-3</v>
      </c>
      <c r="E3666" s="74">
        <f t="shared" si="116"/>
        <v>7.0770409600505989E-4</v>
      </c>
      <c r="F3666" s="75"/>
    </row>
    <row r="3667" spans="1:6" ht="14.25" customHeight="1" x14ac:dyDescent="0.3">
      <c r="A3667" s="73">
        <v>45944</v>
      </c>
      <c r="B3667" s="74">
        <v>82029.98</v>
      </c>
      <c r="C3667" s="74">
        <v>3533</v>
      </c>
      <c r="D3667" s="74">
        <f t="shared" si="115"/>
        <v>-3.6149390568061346E-3</v>
      </c>
      <c r="E3667" s="74">
        <f t="shared" si="116"/>
        <v>-2.2641082340453189E-4</v>
      </c>
      <c r="F3667" s="75"/>
    </row>
    <row r="3668" spans="1:6" ht="14.25" customHeight="1" x14ac:dyDescent="0.3">
      <c r="A3668" s="73">
        <v>45945</v>
      </c>
      <c r="B3668" s="74">
        <v>82605.429999999993</v>
      </c>
      <c r="C3668" s="74">
        <v>3548.95</v>
      </c>
      <c r="D3668" s="74">
        <f t="shared" si="115"/>
        <v>6.9906266636516109E-3</v>
      </c>
      <c r="E3668" s="74">
        <f t="shared" si="116"/>
        <v>4.5044167124808597E-3</v>
      </c>
      <c r="F3668" s="75"/>
    </row>
    <row r="3669" spans="1:6" ht="14.25" customHeight="1" x14ac:dyDescent="0.3">
      <c r="A3669" s="73">
        <v>45946</v>
      </c>
      <c r="B3669" s="74">
        <v>83467.66</v>
      </c>
      <c r="C3669" s="74">
        <v>3642.45</v>
      </c>
      <c r="D3669" s="74">
        <f t="shared" si="115"/>
        <v>1.0383834580443209E-2</v>
      </c>
      <c r="E3669" s="74">
        <f t="shared" si="116"/>
        <v>2.6004747067555796E-2</v>
      </c>
      <c r="F3669" s="75"/>
    </row>
    <row r="3670" spans="1:6" ht="14.25" customHeight="1" x14ac:dyDescent="0.3">
      <c r="A3670" s="73">
        <v>45947</v>
      </c>
      <c r="B3670" s="74">
        <v>83952.19</v>
      </c>
      <c r="C3670" s="74">
        <v>3675.3</v>
      </c>
      <c r="D3670" s="74">
        <f t="shared" si="115"/>
        <v>5.7882186943284744E-3</v>
      </c>
      <c r="E3670" s="74">
        <f t="shared" si="116"/>
        <v>8.9782298290530561E-3</v>
      </c>
      <c r="F3670" s="75"/>
    </row>
    <row r="3671" spans="1:6" ht="14.25" customHeight="1" x14ac:dyDescent="0.3">
      <c r="A3671" s="73">
        <v>45950</v>
      </c>
      <c r="B3671" s="74">
        <v>84363.37</v>
      </c>
      <c r="C3671" s="74">
        <v>3737.4</v>
      </c>
      <c r="D3671" s="74">
        <f t="shared" si="115"/>
        <v>4.8858325154465254E-3</v>
      </c>
      <c r="E3671" s="74">
        <f t="shared" si="116"/>
        <v>1.6755420519920326E-2</v>
      </c>
      <c r="F3671" s="75"/>
    </row>
    <row r="3672" spans="1:6" ht="14.25" customHeight="1" x14ac:dyDescent="0.3">
      <c r="A3672" s="73">
        <v>45951</v>
      </c>
      <c r="B3672" s="74">
        <v>84426.34</v>
      </c>
      <c r="C3672" s="74">
        <v>3728.95</v>
      </c>
      <c r="D3672" s="74">
        <f t="shared" si="115"/>
        <v>7.4613556621878842E-4</v>
      </c>
      <c r="E3672" s="74">
        <f t="shared" si="116"/>
        <v>-2.2634898197158495E-3</v>
      </c>
      <c r="F3672" s="75"/>
    </row>
    <row r="3673" spans="1:6" ht="14.25" customHeight="1" x14ac:dyDescent="0.3">
      <c r="A3673" s="73">
        <v>45953</v>
      </c>
      <c r="B3673" s="74">
        <v>84556.4</v>
      </c>
      <c r="C3673" s="74">
        <v>3771.85</v>
      </c>
      <c r="D3673" s="74">
        <f t="shared" si="115"/>
        <v>1.5393291135152578E-3</v>
      </c>
      <c r="E3673" s="74">
        <f t="shared" si="116"/>
        <v>1.143890459217793E-2</v>
      </c>
      <c r="F3673" s="75"/>
    </row>
    <row r="3674" spans="1:6" ht="14.25" customHeight="1" x14ac:dyDescent="0.3">
      <c r="A3674" s="73">
        <v>45954</v>
      </c>
      <c r="B3674" s="74">
        <v>84211.88</v>
      </c>
      <c r="C3674" s="74">
        <v>3715</v>
      </c>
      <c r="D3674" s="74">
        <f t="shared" si="115"/>
        <v>-4.0827634027628332E-3</v>
      </c>
      <c r="E3674" s="74">
        <f t="shared" si="116"/>
        <v>-1.5186919108757475E-2</v>
      </c>
      <c r="F3674" s="75"/>
    </row>
    <row r="3675" spans="1:6" ht="14.25" customHeight="1" x14ac:dyDescent="0.3">
      <c r="A3675" s="73">
        <v>45957</v>
      </c>
      <c r="B3675" s="74">
        <v>84778.84</v>
      </c>
      <c r="C3675" s="74">
        <v>3738.6</v>
      </c>
      <c r="D3675" s="74">
        <f t="shared" si="115"/>
        <v>6.709979426373169E-3</v>
      </c>
      <c r="E3675" s="74">
        <f t="shared" si="116"/>
        <v>6.3325316263718005E-3</v>
      </c>
      <c r="F3675" s="75"/>
    </row>
    <row r="3676" spans="1:6" ht="14.25" customHeight="1" x14ac:dyDescent="0.3">
      <c r="A3676" s="73">
        <v>45958</v>
      </c>
      <c r="B3676" s="74">
        <v>84628.160000000003</v>
      </c>
      <c r="C3676" s="74">
        <v>3715.85</v>
      </c>
      <c r="D3676" s="74">
        <f t="shared" si="115"/>
        <v>-1.7789116121045042E-3</v>
      </c>
      <c r="E3676" s="74">
        <f t="shared" si="116"/>
        <v>-6.1037556441605354E-3</v>
      </c>
      <c r="F3676" s="75"/>
    </row>
    <row r="3677" spans="1:6" ht="14.25" customHeight="1" x14ac:dyDescent="0.3">
      <c r="A3677" s="73">
        <v>45959</v>
      </c>
      <c r="B3677" s="74">
        <v>84997.13</v>
      </c>
      <c r="C3677" s="74">
        <v>3747.65</v>
      </c>
      <c r="D3677" s="74">
        <f t="shared" si="115"/>
        <v>4.3504194678941725E-3</v>
      </c>
      <c r="E3677" s="74">
        <f t="shared" si="116"/>
        <v>8.5215227260919471E-3</v>
      </c>
      <c r="F3677" s="75"/>
    </row>
    <row r="3678" spans="1:6" ht="14.25" customHeight="1" x14ac:dyDescent="0.3">
      <c r="A3678" s="73">
        <v>45960</v>
      </c>
      <c r="B3678" s="74">
        <v>84404.46</v>
      </c>
      <c r="C3678" s="74">
        <v>3751.25</v>
      </c>
      <c r="D3678" s="74">
        <f t="shared" si="115"/>
        <v>-6.9972474067602954E-3</v>
      </c>
      <c r="E3678" s="74">
        <f t="shared" si="116"/>
        <v>9.601408944141035E-4</v>
      </c>
      <c r="F3678" s="75"/>
    </row>
    <row r="3679" spans="1:6" ht="14.25" customHeight="1" x14ac:dyDescent="0.3">
      <c r="A3679" s="73">
        <v>45961</v>
      </c>
      <c r="B3679" s="74">
        <v>83938.71</v>
      </c>
      <c r="C3679" s="74">
        <v>3745.2</v>
      </c>
      <c r="D3679" s="74">
        <f t="shared" si="115"/>
        <v>-5.5333541403649166E-3</v>
      </c>
      <c r="E3679" s="74">
        <f t="shared" si="116"/>
        <v>-1.6140976898428787E-3</v>
      </c>
      <c r="F3679" s="75"/>
    </row>
    <row r="3680" spans="1:6" ht="14.25" customHeight="1" x14ac:dyDescent="0.3">
      <c r="A3680" s="73">
        <v>45964</v>
      </c>
      <c r="B3680" s="74">
        <v>83978.49</v>
      </c>
      <c r="C3680" s="74">
        <v>3727.8</v>
      </c>
      <c r="D3680" s="74">
        <f t="shared" si="115"/>
        <v>4.7380495558743983E-4</v>
      </c>
      <c r="E3680" s="74">
        <f t="shared" si="116"/>
        <v>-4.6567727670308407E-3</v>
      </c>
      <c r="F3680" s="75"/>
    </row>
    <row r="3681" spans="1:6" ht="14.25" customHeight="1" x14ac:dyDescent="0.3">
      <c r="A3681" s="73">
        <v>45965</v>
      </c>
      <c r="B3681" s="74">
        <v>83459.149999999994</v>
      </c>
      <c r="C3681" s="74">
        <v>3812.85</v>
      </c>
      <c r="D3681" s="74">
        <f t="shared" si="115"/>
        <v>-6.2034040308422394E-3</v>
      </c>
      <c r="E3681" s="74">
        <f t="shared" si="116"/>
        <v>2.2558693682989267E-2</v>
      </c>
      <c r="F3681" s="75"/>
    </row>
    <row r="3682" spans="1:6" ht="14.25" customHeight="1" x14ac:dyDescent="0.3">
      <c r="A3682" s="73">
        <v>45967</v>
      </c>
      <c r="B3682" s="74">
        <v>83311.009999999995</v>
      </c>
      <c r="C3682" s="74">
        <v>3776.95</v>
      </c>
      <c r="D3682" s="74">
        <f t="shared" si="115"/>
        <v>-1.7765772841330171E-3</v>
      </c>
      <c r="E3682" s="74">
        <f t="shared" si="116"/>
        <v>-9.4601353754513087E-3</v>
      </c>
      <c r="F3682" s="75"/>
    </row>
    <row r="3683" spans="1:6" ht="14.25" customHeight="1" x14ac:dyDescent="0.3">
      <c r="A3683" s="73">
        <v>45968</v>
      </c>
      <c r="B3683" s="74">
        <v>83216.28</v>
      </c>
      <c r="C3683" s="74">
        <v>3768.8</v>
      </c>
      <c r="D3683" s="74">
        <f t="shared" si="115"/>
        <v>-1.1377115452741084E-3</v>
      </c>
      <c r="E3683" s="74">
        <f t="shared" si="116"/>
        <v>-2.1601572194098221E-3</v>
      </c>
      <c r="F3683" s="75"/>
    </row>
    <row r="3684" spans="1:6" ht="14.25" customHeight="1" x14ac:dyDescent="0.3">
      <c r="A3684" s="73">
        <v>45971</v>
      </c>
      <c r="B3684" s="74">
        <v>83535.350000000006</v>
      </c>
      <c r="C3684" s="74">
        <v>3801.5</v>
      </c>
      <c r="D3684" s="74">
        <f t="shared" si="115"/>
        <v>3.8268937988953956E-3</v>
      </c>
      <c r="E3684" s="74">
        <f t="shared" si="116"/>
        <v>8.6390772826599512E-3</v>
      </c>
      <c r="F3684" s="75"/>
    </row>
    <row r="3685" spans="1:6" ht="14.25" customHeight="1" x14ac:dyDescent="0.3">
      <c r="A3685" s="73">
        <v>45972</v>
      </c>
      <c r="B3685" s="74">
        <v>83871.320000000007</v>
      </c>
      <c r="C3685" s="74">
        <v>3812.15</v>
      </c>
      <c r="D3685" s="74">
        <f t="shared" si="115"/>
        <v>4.0138239541054836E-3</v>
      </c>
      <c r="E3685" s="74">
        <f t="shared" si="116"/>
        <v>2.7976087543082565E-3</v>
      </c>
      <c r="F3685" s="75"/>
    </row>
    <row r="3686" spans="1:6" ht="14.25" customHeight="1" x14ac:dyDescent="0.3">
      <c r="A3686" s="73">
        <v>45973</v>
      </c>
      <c r="B3686" s="74">
        <v>84466.51</v>
      </c>
      <c r="C3686" s="74">
        <v>3851.2</v>
      </c>
      <c r="D3686" s="74">
        <f t="shared" si="115"/>
        <v>7.0714049265424477E-3</v>
      </c>
      <c r="E3686" s="74">
        <f t="shared" si="116"/>
        <v>1.019145360600787E-2</v>
      </c>
      <c r="F3686" s="75"/>
    </row>
    <row r="3687" spans="1:6" ht="14.25" customHeight="1" x14ac:dyDescent="0.3">
      <c r="A3687" s="73">
        <v>45974</v>
      </c>
      <c r="B3687" s="74">
        <v>84478.67</v>
      </c>
      <c r="C3687" s="74">
        <v>3837.3</v>
      </c>
      <c r="D3687" s="74">
        <f t="shared" si="115"/>
        <v>1.4395202066147319E-4</v>
      </c>
      <c r="E3687" s="74">
        <f t="shared" si="116"/>
        <v>-3.6157937553502502E-3</v>
      </c>
      <c r="F3687" s="75"/>
    </row>
    <row r="3688" spans="1:6" ht="14.25" customHeight="1" x14ac:dyDescent="0.3">
      <c r="A3688" s="73">
        <v>45975</v>
      </c>
      <c r="B3688" s="74">
        <v>84562.78</v>
      </c>
      <c r="C3688" s="74">
        <v>3824.4</v>
      </c>
      <c r="D3688" s="74">
        <f t="shared" si="115"/>
        <v>9.9514062309826704E-4</v>
      </c>
      <c r="E3688" s="74">
        <f t="shared" si="116"/>
        <v>-3.367402062166147E-3</v>
      </c>
      <c r="F3688" s="75"/>
    </row>
    <row r="3689" spans="1:6" ht="14.25" customHeight="1" x14ac:dyDescent="0.3">
      <c r="A3689" s="73">
        <v>45978</v>
      </c>
      <c r="B3689" s="74">
        <v>84950.95</v>
      </c>
      <c r="C3689" s="74">
        <v>3869.15</v>
      </c>
      <c r="D3689" s="74">
        <f t="shared" si="115"/>
        <v>4.5798140183542606E-3</v>
      </c>
      <c r="E3689" s="74">
        <f t="shared" si="116"/>
        <v>1.1633252445631119E-2</v>
      </c>
      <c r="F3689" s="75"/>
    </row>
    <row r="3690" spans="1:6" ht="14.25" customHeight="1" x14ac:dyDescent="0.3">
      <c r="A3690" s="73">
        <v>45979</v>
      </c>
      <c r="B3690" s="74">
        <v>84673.02</v>
      </c>
      <c r="C3690" s="74">
        <v>3883.3</v>
      </c>
      <c r="D3690" s="74">
        <f t="shared" si="115"/>
        <v>-3.2770161990704075E-3</v>
      </c>
      <c r="E3690" s="74">
        <f t="shared" si="116"/>
        <v>3.6504629409876053E-3</v>
      </c>
      <c r="F3690" s="75"/>
    </row>
    <row r="3691" spans="1:6" ht="14.25" customHeight="1" x14ac:dyDescent="0.3">
      <c r="A3691" s="73">
        <v>45980</v>
      </c>
      <c r="B3691" s="74">
        <v>85186.47</v>
      </c>
      <c r="C3691" s="74">
        <v>3932.75</v>
      </c>
      <c r="D3691" s="74">
        <f t="shared" si="115"/>
        <v>6.0456035026732564E-3</v>
      </c>
      <c r="E3691" s="74">
        <f t="shared" si="116"/>
        <v>1.2653619104704382E-2</v>
      </c>
      <c r="F3691" s="75"/>
    </row>
    <row r="3692" spans="1:6" ht="14.25" customHeight="1" x14ac:dyDescent="0.3">
      <c r="A3692" s="73">
        <v>45981</v>
      </c>
      <c r="B3692" s="74">
        <v>85632.68</v>
      </c>
      <c r="C3692" s="74">
        <v>3901.2</v>
      </c>
      <c r="D3692" s="74">
        <f t="shared" si="115"/>
        <v>5.2243675829646459E-3</v>
      </c>
      <c r="E3692" s="74">
        <f t="shared" si="116"/>
        <v>-8.054728604754301E-3</v>
      </c>
      <c r="F3692" s="75"/>
    </row>
    <row r="3693" spans="1:6" ht="14.25" customHeight="1" x14ac:dyDescent="0.3">
      <c r="A3693" s="73">
        <v>45982</v>
      </c>
      <c r="B3693" s="74">
        <v>85231.92</v>
      </c>
      <c r="C3693" s="74">
        <v>3904.85</v>
      </c>
      <c r="D3693" s="74">
        <f t="shared" si="115"/>
        <v>-4.6909744312330325E-3</v>
      </c>
      <c r="E3693" s="74">
        <f t="shared" si="116"/>
        <v>9.3517214622193491E-4</v>
      </c>
      <c r="F3693" s="75"/>
    </row>
    <row r="3694" spans="1:6" ht="14.25" customHeight="1" x14ac:dyDescent="0.3">
      <c r="A3694" s="73">
        <v>45985</v>
      </c>
      <c r="B3694" s="74">
        <v>84900.71</v>
      </c>
      <c r="C3694" s="74">
        <v>3873.8</v>
      </c>
      <c r="D3694" s="74">
        <f t="shared" si="115"/>
        <v>-3.8935554975232821E-3</v>
      </c>
      <c r="E3694" s="74">
        <f t="shared" si="116"/>
        <v>-7.9834328359430305E-3</v>
      </c>
      <c r="F3694" s="75"/>
    </row>
    <row r="3695" spans="1:6" ht="14.25" customHeight="1" x14ac:dyDescent="0.3">
      <c r="A3695" s="73">
        <v>45986</v>
      </c>
      <c r="B3695" s="74">
        <v>84587.01</v>
      </c>
      <c r="C3695" s="74">
        <v>3852.45</v>
      </c>
      <c r="D3695" s="74">
        <f t="shared" si="115"/>
        <v>-3.7017473385971399E-3</v>
      </c>
      <c r="E3695" s="74">
        <f t="shared" si="116"/>
        <v>-5.526627883424875E-3</v>
      </c>
      <c r="F3695" s="75"/>
    </row>
    <row r="3696" spans="1:6" ht="14.25" customHeight="1" x14ac:dyDescent="0.3">
      <c r="A3696" s="73">
        <v>45987</v>
      </c>
      <c r="B3696" s="74">
        <v>85609.51</v>
      </c>
      <c r="C3696" s="74">
        <v>3896.75</v>
      </c>
      <c r="D3696" s="74">
        <f t="shared" si="115"/>
        <v>1.2015666384119659E-2</v>
      </c>
      <c r="E3696" s="74">
        <f t="shared" si="116"/>
        <v>1.1433562844446302E-2</v>
      </c>
      <c r="F3696" s="75"/>
    </row>
    <row r="3697" spans="1:6" ht="14.25" customHeight="1" x14ac:dyDescent="0.3">
      <c r="A3697" s="73">
        <v>45988</v>
      </c>
      <c r="B3697" s="74">
        <v>85720.38</v>
      </c>
      <c r="C3697" s="74">
        <v>3903.75</v>
      </c>
      <c r="D3697" s="74">
        <f t="shared" si="115"/>
        <v>1.2942285257507183E-3</v>
      </c>
      <c r="E3697" s="74">
        <f t="shared" si="116"/>
        <v>1.7947572281279492E-3</v>
      </c>
      <c r="F3697" s="75"/>
    </row>
    <row r="3698" spans="1:6" ht="14.25" customHeight="1" x14ac:dyDescent="0.3">
      <c r="A3698" s="73">
        <v>45989</v>
      </c>
      <c r="B3698" s="74">
        <v>85706.67</v>
      </c>
      <c r="C3698" s="74">
        <v>3908.95</v>
      </c>
      <c r="D3698" s="74">
        <f t="shared" si="115"/>
        <v>-1.5995141990995734E-4</v>
      </c>
      <c r="E3698" s="74">
        <f t="shared" si="116"/>
        <v>1.3311661187215547E-3</v>
      </c>
      <c r="F3698" s="75"/>
    </row>
    <row r="3699" spans="1:6" ht="14.25" customHeight="1" x14ac:dyDescent="0.3">
      <c r="A3699" s="73">
        <v>45992</v>
      </c>
      <c r="B3699" s="74">
        <v>85641.9</v>
      </c>
      <c r="C3699" s="74">
        <v>3892.8</v>
      </c>
      <c r="D3699" s="74">
        <f t="shared" si="115"/>
        <v>-7.5600284361744313E-4</v>
      </c>
      <c r="E3699" s="74">
        <f t="shared" si="116"/>
        <v>-4.1401026867516275E-3</v>
      </c>
      <c r="F3699" s="75"/>
    </row>
    <row r="3700" spans="1:6" ht="14.25" customHeight="1" x14ac:dyDescent="0.3">
      <c r="A3700" s="73">
        <v>45993</v>
      </c>
      <c r="B3700" s="74">
        <v>85138.27</v>
      </c>
      <c r="C3700" s="74">
        <v>3886.95</v>
      </c>
      <c r="D3700" s="74">
        <f t="shared" si="115"/>
        <v>-5.8980086500652808E-3</v>
      </c>
      <c r="E3700" s="74">
        <f t="shared" si="116"/>
        <v>-1.5039046505590033E-3</v>
      </c>
      <c r="F3700" s="75"/>
    </row>
    <row r="3701" spans="1:6" ht="14.25" customHeight="1" x14ac:dyDescent="0.3">
      <c r="A3701" s="73">
        <v>45994</v>
      </c>
      <c r="B3701" s="74">
        <v>85106.81</v>
      </c>
      <c r="C3701" s="74">
        <v>3814.55</v>
      </c>
      <c r="D3701" s="74">
        <f t="shared" si="115"/>
        <v>-3.6958484037377014E-4</v>
      </c>
      <c r="E3701" s="74">
        <f t="shared" si="116"/>
        <v>-1.8802086056487966E-2</v>
      </c>
      <c r="F3701" s="75"/>
    </row>
    <row r="3702" spans="1:6" ht="14.25" customHeight="1" x14ac:dyDescent="0.3">
      <c r="A3702" s="73">
        <v>45995</v>
      </c>
      <c r="B3702" s="74">
        <v>85265.32</v>
      </c>
      <c r="C3702" s="74">
        <v>3800.2</v>
      </c>
      <c r="D3702" s="74">
        <f t="shared" si="115"/>
        <v>1.8607508837900758E-3</v>
      </c>
      <c r="E3702" s="74">
        <f t="shared" si="116"/>
        <v>-3.7690054137796709E-3</v>
      </c>
      <c r="F3702" s="75"/>
    </row>
    <row r="3703" spans="1:6" ht="14.25" customHeight="1" x14ac:dyDescent="0.3">
      <c r="A3703" s="73">
        <v>45996</v>
      </c>
      <c r="B3703" s="74">
        <v>85712.37</v>
      </c>
      <c r="C3703" s="74">
        <v>3814.3</v>
      </c>
      <c r="D3703" s="74">
        <f t="shared" si="115"/>
        <v>5.2293491478964671E-3</v>
      </c>
      <c r="E3703" s="74">
        <f t="shared" si="116"/>
        <v>3.703464735934422E-3</v>
      </c>
      <c r="F3703" s="75"/>
    </row>
    <row r="3704" spans="1:6" ht="14.25" customHeight="1" x14ac:dyDescent="0.3">
      <c r="A3704" s="73">
        <v>45999</v>
      </c>
      <c r="B3704" s="74">
        <v>85102.69</v>
      </c>
      <c r="C3704" s="74">
        <v>3765</v>
      </c>
      <c r="D3704" s="74">
        <f t="shared" si="115"/>
        <v>-7.1385109605806556E-3</v>
      </c>
      <c r="E3704" s="74">
        <f t="shared" si="116"/>
        <v>-1.3009300410372028E-2</v>
      </c>
      <c r="F3704" s="75"/>
    </row>
    <row r="3705" spans="1:6" ht="14.25" customHeight="1" x14ac:dyDescent="0.3">
      <c r="A3705" s="73">
        <v>46000</v>
      </c>
      <c r="B3705" s="74">
        <v>84666.28</v>
      </c>
      <c r="C3705" s="74">
        <v>3845.3</v>
      </c>
      <c r="D3705" s="74">
        <f t="shared" si="115"/>
        <v>-5.1412335396227929E-3</v>
      </c>
      <c r="E3705" s="74">
        <f t="shared" si="116"/>
        <v>2.1103762069104814E-2</v>
      </c>
      <c r="F3705" s="75"/>
    </row>
    <row r="3706" spans="1:6" ht="14.25" customHeight="1" x14ac:dyDescent="0.3">
      <c r="A3706" s="73">
        <v>46001</v>
      </c>
      <c r="B3706" s="74">
        <v>84391.27</v>
      </c>
      <c r="C3706" s="74">
        <v>3845.25</v>
      </c>
      <c r="D3706" s="74">
        <f t="shared" si="115"/>
        <v>-3.2534511777843568E-3</v>
      </c>
      <c r="E3706" s="74">
        <f t="shared" si="116"/>
        <v>-1.3002971179119352E-5</v>
      </c>
      <c r="F3706" s="75"/>
    </row>
    <row r="3707" spans="1:6" ht="14.25" customHeight="1" x14ac:dyDescent="0.3">
      <c r="A3707" s="73">
        <v>46002</v>
      </c>
      <c r="B3707" s="74">
        <v>84818.13</v>
      </c>
      <c r="C3707" s="74">
        <v>3843.8</v>
      </c>
      <c r="D3707" s="74">
        <f t="shared" si="115"/>
        <v>5.0453568832305885E-3</v>
      </c>
      <c r="E3707" s="74">
        <f t="shared" si="116"/>
        <v>-3.7715973161526312E-4</v>
      </c>
      <c r="F3707" s="75"/>
    </row>
    <row r="3708" spans="1:6" ht="14.25" customHeight="1" x14ac:dyDescent="0.3">
      <c r="A3708" s="73">
        <v>46003</v>
      </c>
      <c r="B3708" s="74">
        <v>85267.66</v>
      </c>
      <c r="C3708" s="74">
        <v>3880.4</v>
      </c>
      <c r="D3708" s="74">
        <f t="shared" si="115"/>
        <v>5.285933018813074E-3</v>
      </c>
      <c r="E3708" s="74">
        <f t="shared" si="116"/>
        <v>9.4767804868241389E-3</v>
      </c>
      <c r="F3708" s="75"/>
    </row>
    <row r="3709" spans="1:6" ht="14.25" customHeight="1" x14ac:dyDescent="0.3">
      <c r="A3709" s="73">
        <v>46006</v>
      </c>
      <c r="B3709" s="74">
        <v>85213.36</v>
      </c>
      <c r="C3709" s="74">
        <v>3865.8</v>
      </c>
      <c r="D3709" s="74">
        <f t="shared" si="115"/>
        <v>-6.3702108112948983E-4</v>
      </c>
      <c r="E3709" s="74">
        <f t="shared" si="116"/>
        <v>-3.769594714476735E-3</v>
      </c>
      <c r="F3709" s="75"/>
    </row>
    <row r="3710" spans="1:6" ht="14.25" customHeight="1" x14ac:dyDescent="0.3">
      <c r="A3710" s="73">
        <v>46007</v>
      </c>
      <c r="B3710" s="74">
        <v>84679.86</v>
      </c>
      <c r="C3710" s="74">
        <v>3927.6</v>
      </c>
      <c r="D3710" s="74">
        <f t="shared" si="115"/>
        <v>-6.2804360716442317E-3</v>
      </c>
      <c r="E3710" s="74">
        <f t="shared" si="116"/>
        <v>1.5859905922483233E-2</v>
      </c>
      <c r="F3710" s="75"/>
    </row>
    <row r="3711" spans="1:6" ht="14.25" customHeight="1" x14ac:dyDescent="0.3">
      <c r="A3711" s="73">
        <v>46008</v>
      </c>
      <c r="B3711" s="74">
        <v>84559.65</v>
      </c>
      <c r="C3711" s="74">
        <v>3906.65</v>
      </c>
      <c r="D3711" s="74">
        <f t="shared" si="115"/>
        <v>-1.4205905017817002E-3</v>
      </c>
      <c r="E3711" s="74">
        <f t="shared" si="116"/>
        <v>-5.3483230529455554E-3</v>
      </c>
      <c r="F3711" s="75"/>
    </row>
    <row r="3712" spans="1:6" ht="14.25" customHeight="1" x14ac:dyDescent="0.3">
      <c r="A3712" s="73">
        <v>46009</v>
      </c>
      <c r="B3712" s="74">
        <v>84481.81</v>
      </c>
      <c r="C3712" s="74">
        <v>3918.2</v>
      </c>
      <c r="D3712" s="74">
        <f t="shared" si="115"/>
        <v>-9.2095756273930169E-4</v>
      </c>
      <c r="E3712" s="74">
        <f t="shared" si="116"/>
        <v>2.9521354117421307E-3</v>
      </c>
      <c r="F3712" s="75"/>
    </row>
    <row r="3713" spans="1:6" ht="14.25" customHeight="1" x14ac:dyDescent="0.3">
      <c r="A3713" s="73">
        <v>46010</v>
      </c>
      <c r="B3713" s="74">
        <v>84929.36</v>
      </c>
      <c r="C3713" s="74">
        <v>3930.3</v>
      </c>
      <c r="D3713" s="74">
        <f t="shared" si="115"/>
        <v>5.2836072281283999E-3</v>
      </c>
      <c r="E3713" s="74">
        <f t="shared" si="116"/>
        <v>3.0833941738030229E-3</v>
      </c>
      <c r="F3713" s="75"/>
    </row>
    <row r="3714" spans="1:6" ht="14.25" customHeight="1" x14ac:dyDescent="0.3">
      <c r="A3714" s="73">
        <v>46013</v>
      </c>
      <c r="B3714" s="74">
        <v>85567.48</v>
      </c>
      <c r="C3714" s="74">
        <v>3932.45</v>
      </c>
      <c r="D3714" s="74">
        <f t="shared" si="115"/>
        <v>7.4854522769099109E-3</v>
      </c>
      <c r="E3714" s="74">
        <f t="shared" si="116"/>
        <v>5.4688246569828435E-4</v>
      </c>
      <c r="F3714" s="75"/>
    </row>
    <row r="3715" spans="1:6" ht="14.25" customHeight="1" x14ac:dyDescent="0.3">
      <c r="A3715" s="73">
        <v>46014</v>
      </c>
      <c r="B3715" s="74">
        <v>85524.84</v>
      </c>
      <c r="C3715" s="74">
        <v>3922.55</v>
      </c>
      <c r="D3715" s="74">
        <f t="shared" si="115"/>
        <v>-4.9844435896145498E-4</v>
      </c>
      <c r="E3715" s="74">
        <f t="shared" si="116"/>
        <v>-2.5206887948933409E-3</v>
      </c>
      <c r="F3715" s="75"/>
    </row>
    <row r="3716" spans="1:6" ht="14.25" customHeight="1" x14ac:dyDescent="0.3">
      <c r="A3716" s="73">
        <v>46015</v>
      </c>
      <c r="B3716" s="74">
        <v>85408.7</v>
      </c>
      <c r="C3716" s="74">
        <v>3908.5</v>
      </c>
      <c r="D3716" s="74">
        <f t="shared" si="115"/>
        <v>-1.358890921838481E-3</v>
      </c>
      <c r="E3716" s="74">
        <f t="shared" si="116"/>
        <v>-3.588283838154677E-3</v>
      </c>
      <c r="F3716" s="75"/>
    </row>
    <row r="3717" spans="1:6" ht="14.25" customHeight="1" x14ac:dyDescent="0.3">
      <c r="A3717" s="73">
        <v>46017</v>
      </c>
      <c r="B3717" s="74">
        <v>85041.45</v>
      </c>
      <c r="C3717" s="74">
        <v>3991.65</v>
      </c>
      <c r="D3717" s="74">
        <f t="shared" si="115"/>
        <v>-4.309184454114651E-3</v>
      </c>
      <c r="E3717" s="74">
        <f t="shared" si="116"/>
        <v>2.105101057655983E-2</v>
      </c>
      <c r="F3717" s="75"/>
    </row>
    <row r="3718" spans="1:6" ht="14.25" customHeight="1" x14ac:dyDescent="0.3">
      <c r="A3718" s="73">
        <v>46020</v>
      </c>
      <c r="B3718" s="74">
        <v>84695.54</v>
      </c>
      <c r="C3718" s="74">
        <v>3981.85</v>
      </c>
      <c r="D3718" s="74">
        <f t="shared" si="115"/>
        <v>-4.075840850817582E-3</v>
      </c>
      <c r="E3718" s="74">
        <f t="shared" si="116"/>
        <v>-2.458143835124927E-3</v>
      </c>
      <c r="F3718" s="75"/>
    </row>
    <row r="3719" spans="1:6" ht="14.25" customHeight="1" x14ac:dyDescent="0.3">
      <c r="A3719" s="73">
        <v>46021</v>
      </c>
      <c r="B3719" s="74">
        <v>84675.08</v>
      </c>
      <c r="C3719" s="74">
        <v>3974.05</v>
      </c>
      <c r="D3719" s="74">
        <f t="shared" si="115"/>
        <v>-2.4160034484748994E-4</v>
      </c>
      <c r="E3719" s="74">
        <f t="shared" si="116"/>
        <v>-1.9608095876274992E-3</v>
      </c>
      <c r="F3719" s="75"/>
    </row>
    <row r="3720" spans="1:6" ht="15" customHeight="1" x14ac:dyDescent="0.3">
      <c r="A3720" s="83">
        <v>46022</v>
      </c>
      <c r="B3720" s="84">
        <v>85220.6</v>
      </c>
      <c r="C3720" s="84">
        <v>4050.65</v>
      </c>
      <c r="D3720" s="84">
        <f t="shared" si="115"/>
        <v>6.4218451554912351E-3</v>
      </c>
      <c r="E3720" s="84">
        <f t="shared" si="116"/>
        <v>1.9091636235796482E-2</v>
      </c>
      <c r="F3720" s="85"/>
    </row>
  </sheetData>
  <mergeCells count="2">
    <mergeCell ref="A1:F1"/>
    <mergeCell ref="H1:N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zoomScaleNormal="100" workbookViewId="0">
      <selection activeCell="F6" sqref="F6"/>
    </sheetView>
  </sheetViews>
  <sheetFormatPr defaultColWidth="8.5546875" defaultRowHeight="14.4" x14ac:dyDescent="0.3"/>
  <cols>
    <col min="1" max="1" width="23.44140625" customWidth="1"/>
    <col min="2" max="2" width="3.5546875" customWidth="1"/>
    <col min="3" max="3" width="12" customWidth="1"/>
    <col min="4" max="4" width="19.77734375" customWidth="1"/>
    <col min="5" max="5" width="21.77734375" customWidth="1"/>
    <col min="6" max="6" width="9" customWidth="1"/>
  </cols>
  <sheetData>
    <row r="1" spans="1:6" ht="14.25" customHeight="1" x14ac:dyDescent="0.3">
      <c r="A1" s="383" t="s">
        <v>44</v>
      </c>
      <c r="B1" s="383"/>
      <c r="C1" s="383"/>
    </row>
    <row r="2" spans="1:6" ht="14.25" customHeight="1" x14ac:dyDescent="0.3">
      <c r="A2" s="86" t="s">
        <v>190</v>
      </c>
      <c r="B2" s="87"/>
      <c r="C2" s="88" t="s">
        <v>191</v>
      </c>
    </row>
    <row r="3" spans="1:6" ht="14.25" customHeight="1" x14ac:dyDescent="0.3">
      <c r="A3" s="89" t="s">
        <v>201</v>
      </c>
      <c r="B3" s="90" t="s">
        <v>202</v>
      </c>
      <c r="C3" s="91">
        <v>6.6799999999999998E-2</v>
      </c>
    </row>
    <row r="4" spans="1:6" ht="15" customHeight="1" x14ac:dyDescent="0.3">
      <c r="A4" s="89" t="s">
        <v>203</v>
      </c>
      <c r="B4" s="90" t="s">
        <v>204</v>
      </c>
      <c r="C4" s="91">
        <f>BETA!F4</f>
        <v>0.80743401233733969</v>
      </c>
    </row>
    <row r="5" spans="1:6" ht="15" customHeight="1" x14ac:dyDescent="0.3">
      <c r="A5" s="89" t="s">
        <v>205</v>
      </c>
      <c r="B5" s="90" t="s">
        <v>206</v>
      </c>
      <c r="C5" s="91">
        <f>((1+F5)^365)-1</f>
        <v>0.14980786468733842</v>
      </c>
      <c r="D5" s="92"/>
      <c r="E5" s="93" t="s">
        <v>207</v>
      </c>
      <c r="F5" s="94">
        <f>AVERAGE(BETA!D4:D3720)</f>
        <v>3.8252479938819645E-4</v>
      </c>
    </row>
    <row r="6" spans="1:6" ht="14.25" customHeight="1" x14ac:dyDescent="0.3">
      <c r="A6" s="89" t="s">
        <v>208</v>
      </c>
      <c r="B6" s="90" t="s">
        <v>209</v>
      </c>
      <c r="C6" s="91">
        <f>C3+C4*(C5-C3)</f>
        <v>0.13382337324005264</v>
      </c>
    </row>
    <row r="7" spans="1:6" ht="14.25" customHeight="1" x14ac:dyDescent="0.3">
      <c r="A7" s="89" t="s">
        <v>210</v>
      </c>
      <c r="B7" s="90"/>
      <c r="C7" s="91">
        <v>953</v>
      </c>
    </row>
    <row r="8" spans="1:6" ht="14.25" customHeight="1" x14ac:dyDescent="0.3">
      <c r="A8" s="89" t="s">
        <v>211</v>
      </c>
      <c r="B8" s="90"/>
      <c r="C8" s="91">
        <v>10286</v>
      </c>
    </row>
    <row r="9" spans="1:6" ht="14.25" customHeight="1" x14ac:dyDescent="0.3">
      <c r="A9" s="89" t="s">
        <v>212</v>
      </c>
      <c r="B9" s="90" t="s">
        <v>213</v>
      </c>
      <c r="C9" s="91">
        <f>C7/C8</f>
        <v>9.2650204160995522E-2</v>
      </c>
    </row>
    <row r="10" spans="1:6" ht="14.25" customHeight="1" x14ac:dyDescent="0.3">
      <c r="A10" s="89" t="s">
        <v>214</v>
      </c>
      <c r="B10" s="90" t="s">
        <v>215</v>
      </c>
      <c r="C10" s="91">
        <v>0.25169999999999998</v>
      </c>
    </row>
    <row r="11" spans="1:6" ht="14.25" customHeight="1" x14ac:dyDescent="0.3">
      <c r="A11" s="89" t="s">
        <v>216</v>
      </c>
      <c r="B11" s="90"/>
      <c r="C11" s="91">
        <v>12803</v>
      </c>
    </row>
    <row r="12" spans="1:6" ht="14.25" customHeight="1" x14ac:dyDescent="0.3">
      <c r="A12" s="89" t="s">
        <v>217</v>
      </c>
      <c r="B12" s="90"/>
      <c r="C12" s="91">
        <f>C11/(C11+C8)</f>
        <v>0.55450647494477889</v>
      </c>
    </row>
    <row r="13" spans="1:6" ht="14.25" customHeight="1" x14ac:dyDescent="0.3">
      <c r="A13" s="89" t="s">
        <v>218</v>
      </c>
      <c r="B13" s="90"/>
      <c r="C13" s="91">
        <f>C8/(C8+C11)</f>
        <v>0.44549352505522111</v>
      </c>
    </row>
    <row r="14" spans="1:6" ht="15" customHeight="1" x14ac:dyDescent="0.3">
      <c r="A14" s="95" t="s">
        <v>44</v>
      </c>
      <c r="B14" s="96"/>
      <c r="C14" s="97">
        <f>C12*C6+C13*C9*(1-C10)</f>
        <v>0.10509205888485398</v>
      </c>
    </row>
    <row r="15" spans="1:6" ht="15" customHeight="1" x14ac:dyDescent="0.3">
      <c r="A15" s="98"/>
      <c r="B15" s="99"/>
      <c r="C15" s="98"/>
    </row>
    <row r="16" spans="1:6" ht="15" customHeight="1" x14ac:dyDescent="0.3">
      <c r="A16" s="384" t="s">
        <v>219</v>
      </c>
      <c r="B16" s="384"/>
      <c r="C16" s="384"/>
    </row>
    <row r="17" spans="1:3" ht="14.25" customHeight="1" x14ac:dyDescent="0.3">
      <c r="A17" s="86" t="s">
        <v>190</v>
      </c>
      <c r="B17" s="87"/>
      <c r="C17" s="88" t="s">
        <v>191</v>
      </c>
    </row>
    <row r="18" spans="1:3" ht="14.25" customHeight="1" x14ac:dyDescent="0.3">
      <c r="A18" s="89" t="s">
        <v>44</v>
      </c>
      <c r="B18" s="50"/>
      <c r="C18" s="77">
        <f>C14</f>
        <v>0.10509205888485398</v>
      </c>
    </row>
    <row r="19" spans="1:3" ht="14.25" customHeight="1" x14ac:dyDescent="0.3">
      <c r="A19" s="89" t="s">
        <v>220</v>
      </c>
      <c r="B19" s="50"/>
      <c r="C19" s="77">
        <f>C8+C11</f>
        <v>23089</v>
      </c>
    </row>
    <row r="20" spans="1:3" ht="14.25" customHeight="1" x14ac:dyDescent="0.3">
      <c r="A20" s="89" t="s">
        <v>221</v>
      </c>
      <c r="B20" s="50"/>
      <c r="C20" s="77">
        <v>5415</v>
      </c>
    </row>
    <row r="21" spans="1:3" ht="14.25" customHeight="1" x14ac:dyDescent="0.3">
      <c r="A21" s="89" t="s">
        <v>222</v>
      </c>
      <c r="B21" s="50"/>
      <c r="C21" s="77">
        <f>C10</f>
        <v>0.25169999999999998</v>
      </c>
    </row>
    <row r="22" spans="1:3" ht="14.25" customHeight="1" x14ac:dyDescent="0.3">
      <c r="A22" s="89" t="s">
        <v>223</v>
      </c>
      <c r="B22" s="50"/>
      <c r="C22" s="77">
        <f>C20*(1-C21)</f>
        <v>4052.0445</v>
      </c>
    </row>
    <row r="23" spans="1:3" ht="15" customHeight="1" x14ac:dyDescent="0.3">
      <c r="A23" s="95" t="s">
        <v>219</v>
      </c>
      <c r="B23" s="100"/>
      <c r="C23" s="101">
        <f>C22-(C18*C19)</f>
        <v>1625.5739524076062</v>
      </c>
    </row>
  </sheetData>
  <mergeCells count="2">
    <mergeCell ref="A1:C1"/>
    <mergeCell ref="A16:C16"/>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
  <sheetViews>
    <sheetView zoomScaleNormal="100" workbookViewId="0">
      <selection activeCell="B6" sqref="B6"/>
    </sheetView>
  </sheetViews>
  <sheetFormatPr defaultColWidth="8.5546875" defaultRowHeight="14.4" x14ac:dyDescent="0.3"/>
  <cols>
    <col min="1" max="1" width="17.21875" customWidth="1"/>
    <col min="2" max="2" width="12" customWidth="1"/>
    <col min="3" max="3" width="12.6640625" customWidth="1"/>
    <col min="4" max="6" width="12" customWidth="1"/>
    <col min="7" max="7" width="10.21875" customWidth="1"/>
    <col min="8" max="8" width="11" customWidth="1"/>
    <col min="9" max="9" width="14.44140625" customWidth="1"/>
    <col min="10" max="10" width="12" customWidth="1"/>
    <col min="11" max="11" width="9.88671875" customWidth="1"/>
    <col min="12" max="12" width="15.109375" customWidth="1"/>
  </cols>
  <sheetData>
    <row r="1" spans="1:12" ht="14.25" customHeight="1" x14ac:dyDescent="0.3">
      <c r="A1" s="102" t="s">
        <v>224</v>
      </c>
      <c r="B1" s="71">
        <v>2015</v>
      </c>
      <c r="C1" s="71">
        <v>2016</v>
      </c>
      <c r="D1" s="71">
        <v>2017</v>
      </c>
      <c r="E1" s="71">
        <v>2018</v>
      </c>
      <c r="F1" s="71">
        <v>2019</v>
      </c>
      <c r="G1" s="71">
        <v>2020</v>
      </c>
      <c r="H1" s="71">
        <v>2021</v>
      </c>
      <c r="I1" s="71">
        <v>2022</v>
      </c>
      <c r="J1" s="71">
        <v>2023</v>
      </c>
      <c r="K1" s="71">
        <v>2024</v>
      </c>
      <c r="L1" s="72">
        <v>2025</v>
      </c>
    </row>
    <row r="2" spans="1:12" ht="14.25" customHeight="1" x14ac:dyDescent="0.3">
      <c r="A2" s="103" t="s">
        <v>225</v>
      </c>
      <c r="B2" s="50">
        <v>2.2999999999999998</v>
      </c>
      <c r="C2" s="50">
        <v>2.2000000000000002</v>
      </c>
      <c r="D2" s="50">
        <v>2.6</v>
      </c>
      <c r="E2" s="50">
        <v>3.75</v>
      </c>
      <c r="F2" s="50">
        <v>5</v>
      </c>
      <c r="G2" s="50">
        <v>4</v>
      </c>
      <c r="H2" s="50">
        <v>4</v>
      </c>
      <c r="I2" s="50">
        <v>7.5</v>
      </c>
      <c r="J2" s="50">
        <v>10</v>
      </c>
      <c r="K2" s="50">
        <v>11</v>
      </c>
      <c r="L2" s="77">
        <v>11</v>
      </c>
    </row>
    <row r="3" spans="1:12" ht="14.25" customHeight="1" x14ac:dyDescent="0.3">
      <c r="A3" s="103" t="s">
        <v>226</v>
      </c>
      <c r="B3" s="50"/>
      <c r="C3" s="104">
        <f t="shared" ref="C3:L3" si="0">(C2/B2)-1</f>
        <v>-4.3478260869565077E-2</v>
      </c>
      <c r="D3" s="104">
        <f t="shared" si="0"/>
        <v>0.18181818181818166</v>
      </c>
      <c r="E3" s="104">
        <f t="shared" si="0"/>
        <v>0.44230769230769229</v>
      </c>
      <c r="F3" s="104">
        <f t="shared" si="0"/>
        <v>0.33333333333333326</v>
      </c>
      <c r="G3" s="50">
        <f t="shared" si="0"/>
        <v>-0.19999999999999996</v>
      </c>
      <c r="H3" s="50">
        <f t="shared" si="0"/>
        <v>0</v>
      </c>
      <c r="I3" s="104">
        <f t="shared" si="0"/>
        <v>0.875</v>
      </c>
      <c r="J3" s="104">
        <f t="shared" si="0"/>
        <v>0.33333333333333326</v>
      </c>
      <c r="K3" s="50">
        <f t="shared" si="0"/>
        <v>0.10000000000000009</v>
      </c>
      <c r="L3" s="77">
        <f t="shared" si="0"/>
        <v>0</v>
      </c>
    </row>
    <row r="4" spans="1:12" ht="14.25" customHeight="1" x14ac:dyDescent="0.3">
      <c r="A4" s="103" t="s">
        <v>227</v>
      </c>
      <c r="B4" s="104">
        <f>AVERAGE(C3:L3)</f>
        <v>0.20223142799229751</v>
      </c>
      <c r="C4" s="50">
        <v>0.09</v>
      </c>
      <c r="D4" s="50"/>
      <c r="E4" s="50"/>
      <c r="F4" s="50"/>
      <c r="G4" s="50"/>
      <c r="H4" s="50"/>
      <c r="I4" s="50"/>
      <c r="J4" s="50"/>
      <c r="K4" s="50"/>
      <c r="L4" s="77"/>
    </row>
    <row r="5" spans="1:12" ht="14.25" customHeight="1" x14ac:dyDescent="0.3">
      <c r="A5" s="103" t="s">
        <v>209</v>
      </c>
      <c r="B5" s="104">
        <f>'WACC &amp; EVA'!C6</f>
        <v>0.13382337324005264</v>
      </c>
      <c r="C5" s="50"/>
      <c r="D5" s="50"/>
      <c r="E5" s="50"/>
      <c r="F5" s="50"/>
      <c r="G5" s="50"/>
      <c r="H5" s="50"/>
      <c r="I5" s="50"/>
      <c r="J5" s="50"/>
      <c r="K5" s="50"/>
      <c r="L5" s="77"/>
    </row>
    <row r="6" spans="1:12" ht="14.25" customHeight="1" x14ac:dyDescent="0.3">
      <c r="A6" s="103" t="s">
        <v>228</v>
      </c>
      <c r="B6" s="50">
        <f>L2*(1+$C$4)</f>
        <v>11.99</v>
      </c>
      <c r="C6" s="50"/>
      <c r="D6" s="50"/>
      <c r="E6" s="50"/>
      <c r="F6" s="50"/>
      <c r="G6" s="50"/>
      <c r="H6" s="50"/>
      <c r="I6" s="50"/>
      <c r="J6" s="50"/>
      <c r="K6" s="50"/>
      <c r="L6" s="77"/>
    </row>
    <row r="7" spans="1:12" ht="15" customHeight="1" x14ac:dyDescent="0.3">
      <c r="A7" s="105" t="s">
        <v>229</v>
      </c>
      <c r="B7" s="106">
        <f>B6/(B5-C4)</f>
        <v>273.59829044473611</v>
      </c>
      <c r="C7" s="54"/>
      <c r="D7" s="54"/>
      <c r="E7" s="54"/>
      <c r="F7" s="54"/>
      <c r="G7" s="54"/>
      <c r="H7" s="54"/>
      <c r="I7" s="54"/>
      <c r="J7" s="54"/>
      <c r="K7" s="54"/>
      <c r="L7" s="81"/>
    </row>
    <row r="8" spans="1:12" ht="15" customHeight="1" x14ac:dyDescent="0.3"/>
    <row r="9" spans="1:12" ht="14.25" customHeight="1" x14ac:dyDescent="0.3">
      <c r="A9" s="378" t="s">
        <v>230</v>
      </c>
      <c r="B9" s="378"/>
      <c r="C9" s="378"/>
      <c r="D9" s="378"/>
      <c r="E9" s="378"/>
      <c r="F9" s="378"/>
      <c r="G9" s="378"/>
      <c r="H9" s="378"/>
      <c r="I9" s="378"/>
    </row>
    <row r="10" spans="1:12" ht="14.25" customHeight="1" x14ac:dyDescent="0.3">
      <c r="A10" s="378"/>
      <c r="B10" s="378"/>
      <c r="C10" s="378"/>
      <c r="D10" s="378"/>
      <c r="E10" s="378"/>
      <c r="F10" s="378"/>
      <c r="G10" s="378"/>
      <c r="H10" s="378"/>
      <c r="I10" s="378"/>
    </row>
    <row r="11" spans="1:12" ht="14.25" customHeight="1" x14ac:dyDescent="0.3">
      <c r="A11" s="378"/>
      <c r="B11" s="378"/>
      <c r="C11" s="378"/>
      <c r="D11" s="378"/>
      <c r="E11" s="378"/>
      <c r="F11" s="378"/>
      <c r="G11" s="378"/>
      <c r="H11" s="378"/>
      <c r="I11" s="378"/>
    </row>
    <row r="12" spans="1:12" ht="14.25" customHeight="1" x14ac:dyDescent="0.3">
      <c r="A12" s="378"/>
      <c r="B12" s="378"/>
      <c r="C12" s="378"/>
      <c r="D12" s="378"/>
      <c r="E12" s="378"/>
      <c r="F12" s="378"/>
      <c r="G12" s="378"/>
      <c r="H12" s="378"/>
      <c r="I12" s="378"/>
    </row>
    <row r="13" spans="1:12" ht="15" customHeight="1" x14ac:dyDescent="0.3">
      <c r="A13" s="378"/>
      <c r="B13" s="378"/>
      <c r="C13" s="378"/>
      <c r="D13" s="378"/>
      <c r="E13" s="378"/>
      <c r="F13" s="378"/>
      <c r="G13" s="378"/>
      <c r="H13" s="378"/>
      <c r="I13" s="378"/>
    </row>
  </sheetData>
  <mergeCells count="1">
    <mergeCell ref="A9:I13"/>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0"/>
  <sheetViews>
    <sheetView zoomScaleNormal="100" workbookViewId="0">
      <selection activeCell="B3" sqref="B3"/>
    </sheetView>
  </sheetViews>
  <sheetFormatPr defaultColWidth="8.5546875" defaultRowHeight="14.4" x14ac:dyDescent="0.3"/>
  <cols>
    <col min="1" max="1" width="36" customWidth="1"/>
    <col min="2" max="9" width="13" customWidth="1"/>
    <col min="10" max="10" width="14.44140625" customWidth="1"/>
    <col min="11" max="11" width="13" customWidth="1"/>
    <col min="12" max="12" width="16" customWidth="1"/>
    <col min="13" max="13" width="14.88671875" customWidth="1"/>
  </cols>
  <sheetData>
    <row r="1" spans="1:13" ht="18" customHeight="1" x14ac:dyDescent="0.3">
      <c r="A1" s="385" t="s">
        <v>231</v>
      </c>
      <c r="B1" s="385"/>
      <c r="C1" s="385"/>
      <c r="D1" s="385"/>
      <c r="E1" s="385"/>
      <c r="F1" s="385"/>
      <c r="G1" s="385"/>
      <c r="H1" s="385"/>
      <c r="I1" s="385"/>
      <c r="J1" s="385"/>
      <c r="K1" s="385"/>
    </row>
    <row r="2" spans="1:13" ht="14.25" customHeight="1" x14ac:dyDescent="0.3">
      <c r="I2" s="107" t="s">
        <v>232</v>
      </c>
      <c r="J2" s="108"/>
      <c r="K2" s="109" t="s">
        <v>233</v>
      </c>
    </row>
    <row r="3" spans="1:13" ht="14.25" customHeight="1" x14ac:dyDescent="0.3">
      <c r="A3" s="110" t="s">
        <v>234</v>
      </c>
      <c r="B3" s="111" t="s">
        <v>239</v>
      </c>
      <c r="I3" s="112" t="s">
        <v>236</v>
      </c>
      <c r="J3" s="113" t="s">
        <v>237</v>
      </c>
      <c r="K3" s="114">
        <f>K4+0.02</f>
        <v>0.1087</v>
      </c>
    </row>
    <row r="4" spans="1:13" ht="14.25" customHeight="1" x14ac:dyDescent="0.3">
      <c r="I4" s="112" t="s">
        <v>235</v>
      </c>
      <c r="J4" s="115" t="s">
        <v>238</v>
      </c>
      <c r="K4" s="116">
        <v>8.8700000000000001E-2</v>
      </c>
    </row>
    <row r="5" spans="1:13" ht="15" customHeight="1" x14ac:dyDescent="0.3">
      <c r="I5" s="117" t="s">
        <v>239</v>
      </c>
      <c r="J5" s="118" t="s">
        <v>240</v>
      </c>
      <c r="K5" s="119">
        <f>K4-0.02</f>
        <v>6.8699999999999997E-2</v>
      </c>
    </row>
    <row r="6" spans="1:13" ht="14.25" customHeight="1" x14ac:dyDescent="0.3">
      <c r="A6" s="386" t="s">
        <v>241</v>
      </c>
      <c r="B6" s="386"/>
      <c r="C6" s="386"/>
      <c r="D6" s="386"/>
      <c r="E6" s="386"/>
      <c r="F6" s="386"/>
      <c r="G6" s="386"/>
      <c r="H6" s="386"/>
      <c r="I6" s="386"/>
      <c r="J6" s="386"/>
      <c r="K6" s="386"/>
    </row>
    <row r="7" spans="1:13" ht="26.25" customHeight="1" x14ac:dyDescent="0.3">
      <c r="A7" s="120" t="s">
        <v>242</v>
      </c>
      <c r="B7" s="120" t="s">
        <v>243</v>
      </c>
      <c r="C7" s="120" t="s">
        <v>244</v>
      </c>
      <c r="D7" s="120" t="s">
        <v>245</v>
      </c>
      <c r="E7" s="120" t="s">
        <v>246</v>
      </c>
      <c r="F7" s="120" t="s">
        <v>247</v>
      </c>
      <c r="G7" s="120" t="s">
        <v>248</v>
      </c>
      <c r="H7" s="120" t="s">
        <v>249</v>
      </c>
      <c r="I7" s="120" t="s">
        <v>250</v>
      </c>
      <c r="J7" s="120" t="s">
        <v>251</v>
      </c>
      <c r="K7" s="120" t="s">
        <v>252</v>
      </c>
      <c r="L7" s="120" t="s">
        <v>253</v>
      </c>
      <c r="M7" s="120" t="s">
        <v>254</v>
      </c>
    </row>
    <row r="8" spans="1:13" ht="14.25" customHeight="1" x14ac:dyDescent="0.3">
      <c r="A8" s="121" t="s">
        <v>255</v>
      </c>
      <c r="B8" s="122">
        <f>FS!B6</f>
        <v>19069.97</v>
      </c>
      <c r="C8" s="122">
        <f>FS!C6</f>
        <v>20010</v>
      </c>
      <c r="D8" s="122">
        <f>FS!D6</f>
        <v>20602</v>
      </c>
      <c r="E8" s="122">
        <f>FS!E6</f>
        <v>27210</v>
      </c>
      <c r="F8" s="122">
        <f>FS!F6</f>
        <v>38270</v>
      </c>
      <c r="G8" s="122">
        <f>FS!G6</f>
        <v>47114</v>
      </c>
      <c r="H8" s="122">
        <f>FS!H6</f>
        <v>54842</v>
      </c>
      <c r="I8" s="123">
        <f>H8*(1+I9)</f>
        <v>58609.645400000001</v>
      </c>
      <c r="J8" s="123">
        <f>I8*(1+J9)</f>
        <v>62636.128038980001</v>
      </c>
      <c r="K8" s="123">
        <f>J8*(1+K9)</f>
        <v>66939.230035257933</v>
      </c>
      <c r="L8" s="123">
        <f>K8*(1+L9)</f>
        <v>71537.955138680147</v>
      </c>
      <c r="M8" s="123">
        <f>L8*(1+M9)</f>
        <v>76452.612656707468</v>
      </c>
    </row>
    <row r="9" spans="1:13" ht="14.25" customHeight="1" x14ac:dyDescent="0.3">
      <c r="A9" s="124" t="s">
        <v>256</v>
      </c>
      <c r="B9" s="125"/>
      <c r="C9" s="126">
        <f t="shared" ref="C9:H9" si="0">(C8-B8)/B8</f>
        <v>4.9293732501938851E-2</v>
      </c>
      <c r="D9" s="126">
        <f t="shared" si="0"/>
        <v>2.9585207396301848E-2</v>
      </c>
      <c r="E9" s="126">
        <f t="shared" si="0"/>
        <v>0.32074555868362292</v>
      </c>
      <c r="F9" s="126">
        <f t="shared" si="0"/>
        <v>0.40646821021683205</v>
      </c>
      <c r="G9" s="126">
        <f t="shared" si="0"/>
        <v>0.23109485236477659</v>
      </c>
      <c r="H9" s="126">
        <f t="shared" si="0"/>
        <v>0.16402767754807487</v>
      </c>
      <c r="I9" s="126">
        <f>VLOOKUP($B$3,$I$3:$K$5,3,FALSE())</f>
        <v>6.8699999999999997E-2</v>
      </c>
      <c r="J9" s="126">
        <f>VLOOKUP($B$3,$I$3:$K$5,3,FALSE())</f>
        <v>6.8699999999999997E-2</v>
      </c>
      <c r="K9" s="126">
        <f>VLOOKUP($B$3,$I$3:$K$5,3,FALSE())</f>
        <v>6.8699999999999997E-2</v>
      </c>
      <c r="L9" s="126">
        <f>VLOOKUP($B$3,$I$3:$K$5,3,FALSE())</f>
        <v>6.8699999999999997E-2</v>
      </c>
      <c r="M9" s="126">
        <f>VLOOKUP($B$3,$I$3:$K$5,3,FALSE())</f>
        <v>6.8699999999999997E-2</v>
      </c>
    </row>
    <row r="11" spans="1:13" ht="14.25" customHeight="1" x14ac:dyDescent="0.3">
      <c r="A11" s="124" t="s">
        <v>257</v>
      </c>
      <c r="B11" s="127">
        <f>FS!B7</f>
        <v>178.5</v>
      </c>
      <c r="C11" s="127">
        <f>FS!C7</f>
        <v>146</v>
      </c>
      <c r="D11" s="127">
        <f>FS!D7</f>
        <v>181</v>
      </c>
      <c r="E11" s="127">
        <f>FS!E7</f>
        <v>246</v>
      </c>
      <c r="F11" s="127">
        <f>FS!F7</f>
        <v>299</v>
      </c>
      <c r="G11" s="127">
        <f>FS!G7</f>
        <v>510</v>
      </c>
      <c r="H11" s="127">
        <f>FS!H7</f>
        <v>493</v>
      </c>
      <c r="I11" s="128">
        <f>I8*I12</f>
        <v>520.03621406776074</v>
      </c>
      <c r="J11" s="128">
        <f>J8*J12</f>
        <v>570.5004813592268</v>
      </c>
      <c r="K11" s="128">
        <f>K8*K12</f>
        <v>610.59588179302273</v>
      </c>
      <c r="L11" s="128">
        <f>L8*L12</f>
        <v>671.26868619268339</v>
      </c>
      <c r="M11" s="128">
        <f>M8*M12</f>
        <v>695.34484463402021</v>
      </c>
    </row>
    <row r="12" spans="1:13" ht="14.25" customHeight="1" x14ac:dyDescent="0.3">
      <c r="A12" s="121" t="s">
        <v>258</v>
      </c>
      <c r="B12" s="129">
        <f t="shared" ref="B12:H12" si="1">B11/B8</f>
        <v>9.3602664293651223E-3</v>
      </c>
      <c r="C12" s="129">
        <f t="shared" si="1"/>
        <v>7.2963518240879563E-3</v>
      </c>
      <c r="D12" s="129">
        <f t="shared" si="1"/>
        <v>8.7855548005048058E-3</v>
      </c>
      <c r="E12" s="129">
        <f t="shared" si="1"/>
        <v>9.0407938257993387E-3</v>
      </c>
      <c r="F12" s="129">
        <f t="shared" si="1"/>
        <v>7.8129082832505883E-3</v>
      </c>
      <c r="G12" s="129">
        <f t="shared" si="1"/>
        <v>1.0824807912722332E-2</v>
      </c>
      <c r="H12" s="129">
        <f t="shared" si="1"/>
        <v>8.989460632362058E-3</v>
      </c>
      <c r="I12" s="129">
        <f>AVERAGE(B12:H12)</f>
        <v>8.8728776725846004E-3</v>
      </c>
      <c r="J12" s="129">
        <f>AVERAGE(I12,H12,G12,F12,E12)</f>
        <v>9.1081696653437828E-3</v>
      </c>
      <c r="K12" s="129">
        <f>AVERAGE(J12,I12,H12,G12,F12)</f>
        <v>9.1216448332526734E-3</v>
      </c>
      <c r="L12" s="129">
        <f>AVERAGE(K12,J12,I12,H12,G12)</f>
        <v>9.3833921432530908E-3</v>
      </c>
      <c r="M12" s="129">
        <f>AVERAGE(L12,K12,J12,I12,H12)</f>
        <v>9.0951089893592414E-3</v>
      </c>
    </row>
    <row r="13" spans="1:13" ht="14.25" customHeight="1" x14ac:dyDescent="0.3">
      <c r="A13" s="130"/>
      <c r="B13" s="130"/>
      <c r="C13" s="130"/>
      <c r="D13" s="130"/>
      <c r="E13" s="130"/>
      <c r="F13" s="130"/>
      <c r="G13" s="130"/>
      <c r="H13" s="130"/>
      <c r="I13" s="130"/>
      <c r="J13" s="130"/>
      <c r="K13" s="130"/>
      <c r="L13" s="130"/>
      <c r="M13" s="130"/>
    </row>
    <row r="14" spans="1:13" ht="14.25" customHeight="1" x14ac:dyDescent="0.3">
      <c r="A14" s="121" t="s">
        <v>259</v>
      </c>
      <c r="B14" s="122">
        <f>FS!B12+FS!B13+FS!B14</f>
        <v>13987.18</v>
      </c>
      <c r="C14" s="122">
        <f>FS!C12+FS!C13+FS!C14</f>
        <v>14512</v>
      </c>
      <c r="D14" s="122">
        <f>FS!D12+FS!D13+FS!D14</f>
        <v>15769</v>
      </c>
      <c r="E14" s="122">
        <f>FS!E12+FS!E13+FS!E14</f>
        <v>20658</v>
      </c>
      <c r="F14" s="122">
        <f>FS!F12+FS!F13+FS!F14</f>
        <v>29046</v>
      </c>
      <c r="G14" s="122">
        <f>FS!G12+FS!G13+FS!G14</f>
        <v>36942</v>
      </c>
      <c r="H14" s="122">
        <f>FS!H12+FS!H13+FS!H14</f>
        <v>43740</v>
      </c>
      <c r="I14" s="123">
        <f>I8*I15</f>
        <v>45308.24562040509</v>
      </c>
      <c r="J14" s="123">
        <f>J8*J15</f>
        <v>48516.628666168202</v>
      </c>
      <c r="K14" s="123">
        <f>K8*K15</f>
        <v>52055.529918839515</v>
      </c>
      <c r="L14" s="123">
        <f>L8*L15</f>
        <v>55898.97988810738</v>
      </c>
      <c r="M14" s="123">
        <f>M8*M15</f>
        <v>59697.81741594449</v>
      </c>
    </row>
    <row r="15" spans="1:13" ht="14.25" customHeight="1" x14ac:dyDescent="0.3">
      <c r="A15" s="124" t="s">
        <v>258</v>
      </c>
      <c r="B15" s="126">
        <f t="shared" ref="B15:H15" si="2">B14/B8</f>
        <v>0.73346628232765965</v>
      </c>
      <c r="C15" s="126">
        <f t="shared" si="2"/>
        <v>0.72523738130934534</v>
      </c>
      <c r="D15" s="126">
        <f t="shared" si="2"/>
        <v>0.7654111251334822</v>
      </c>
      <c r="E15" s="126">
        <f t="shared" si="2"/>
        <v>0.7592061742006615</v>
      </c>
      <c r="F15" s="126">
        <f t="shared" si="2"/>
        <v>0.75897569898092498</v>
      </c>
      <c r="G15" s="126">
        <f t="shared" si="2"/>
        <v>0.78409814492507535</v>
      </c>
      <c r="H15" s="126">
        <f t="shared" si="2"/>
        <v>0.79756391087123013</v>
      </c>
      <c r="I15" s="126">
        <f>AVERAGE(H15,G15,F15,E15,D15)</f>
        <v>0.77305101082227479</v>
      </c>
      <c r="J15" s="126">
        <f>AVERAGE(I15,H15,G15,F15,E15)</f>
        <v>0.77457898796003344</v>
      </c>
      <c r="K15" s="126">
        <f>AVERAGE(J15,I15,H15,G15,F15)</f>
        <v>0.77765355071190778</v>
      </c>
      <c r="L15" s="126">
        <f>AVERAGE(K15,J15,I15,H15,G15)</f>
        <v>0.78138912105810432</v>
      </c>
      <c r="M15" s="126">
        <f>AVERAGE(L15,K15,J15,I15,H15)</f>
        <v>0.78084731628471016</v>
      </c>
    </row>
    <row r="17" spans="1:13" ht="14.25" customHeight="1" x14ac:dyDescent="0.3">
      <c r="A17" s="124" t="s">
        <v>260</v>
      </c>
      <c r="B17" s="127">
        <f>FS!B15</f>
        <v>878.79</v>
      </c>
      <c r="C17" s="127">
        <f>FS!C15</f>
        <v>1040</v>
      </c>
      <c r="D17" s="127">
        <f>FS!D15</f>
        <v>911</v>
      </c>
      <c r="E17" s="127">
        <f>FS!E15</f>
        <v>1143</v>
      </c>
      <c r="F17" s="127">
        <f>FS!F15</f>
        <v>1362</v>
      </c>
      <c r="G17" s="127">
        <f>FS!G15</f>
        <v>1503</v>
      </c>
      <c r="H17" s="127">
        <f>FS!H15</f>
        <v>1717</v>
      </c>
      <c r="I17" s="128">
        <f>I8*I18</f>
        <v>2168.8420116276561</v>
      </c>
      <c r="J17" s="128">
        <f>J8*J18</f>
        <v>2227.4682617351282</v>
      </c>
      <c r="K17" s="128">
        <f>K8*K18</f>
        <v>2294.2163018037818</v>
      </c>
      <c r="L17" s="128">
        <f>L8*L18</f>
        <v>2432.9985434822502</v>
      </c>
      <c r="M17" s="128">
        <f>M8*M18</f>
        <v>2632.3864073224995</v>
      </c>
    </row>
    <row r="18" spans="1:13" ht="14.25" customHeight="1" x14ac:dyDescent="0.3">
      <c r="A18" s="121" t="s">
        <v>258</v>
      </c>
      <c r="B18" s="129">
        <f t="shared" ref="B18:H18" si="3">B17/B8</f>
        <v>4.6082400758889495E-2</v>
      </c>
      <c r="C18" s="129">
        <f t="shared" si="3"/>
        <v>5.1974012993503245E-2</v>
      </c>
      <c r="D18" s="129">
        <f t="shared" si="3"/>
        <v>4.4219007863314244E-2</v>
      </c>
      <c r="E18" s="129">
        <f t="shared" si="3"/>
        <v>4.2006615214994485E-2</v>
      </c>
      <c r="F18" s="129">
        <f t="shared" si="3"/>
        <v>3.5589234387248495E-2</v>
      </c>
      <c r="G18" s="129">
        <f t="shared" si="3"/>
        <v>3.1901345672199349E-2</v>
      </c>
      <c r="H18" s="129">
        <f t="shared" si="3"/>
        <v>3.1308121512709237E-2</v>
      </c>
      <c r="I18" s="129">
        <f>AVERAGE(H18,G18,F18,E18,D18)</f>
        <v>3.7004864930093161E-2</v>
      </c>
      <c r="J18" s="129">
        <f>AVERAGE(I18,H18,G18,F18,E18)</f>
        <v>3.5562036343448941E-2</v>
      </c>
      <c r="K18" s="129">
        <f>AVERAGE(J18,I18,H18,G18,F18)</f>
        <v>3.4273120569139837E-2</v>
      </c>
      <c r="L18" s="129">
        <f>AVERAGE(K18,J18,I18,H18,G18)</f>
        <v>3.4009897805518101E-2</v>
      </c>
      <c r="M18" s="129">
        <f>AVERAGE(L18,K18,J18,I18,H18)</f>
        <v>3.4431608232181853E-2</v>
      </c>
    </row>
    <row r="19" spans="1:13" ht="14.25" customHeight="1" x14ac:dyDescent="0.3">
      <c r="A19" s="130"/>
      <c r="B19" s="130"/>
      <c r="C19" s="130"/>
      <c r="D19" s="130"/>
      <c r="E19" s="130"/>
      <c r="F19" s="130"/>
      <c r="G19" s="130"/>
      <c r="H19" s="130"/>
      <c r="I19" s="130"/>
      <c r="J19" s="130"/>
      <c r="K19" s="130"/>
      <c r="L19" s="130"/>
      <c r="M19" s="130"/>
    </row>
    <row r="20" spans="1:13" ht="14.25" customHeight="1" x14ac:dyDescent="0.3">
      <c r="A20" s="121" t="s">
        <v>261</v>
      </c>
      <c r="B20" s="122">
        <f>FS!B16</f>
        <v>44.45</v>
      </c>
      <c r="C20" s="122">
        <f>FS!C16</f>
        <v>149</v>
      </c>
      <c r="D20" s="122">
        <f>FS!D16</f>
        <v>181</v>
      </c>
      <c r="E20" s="122">
        <f>FS!E16</f>
        <v>195</v>
      </c>
      <c r="F20" s="122">
        <f>FS!F16</f>
        <v>240</v>
      </c>
      <c r="G20" s="122">
        <f>FS!G16</f>
        <v>480</v>
      </c>
      <c r="H20" s="122">
        <f>FS!H16</f>
        <v>767</v>
      </c>
      <c r="I20" s="123">
        <f>I8*I21</f>
        <v>543.8618089657582</v>
      </c>
      <c r="J20" s="123">
        <f>J8*J21</f>
        <v>587.41151121446808</v>
      </c>
      <c r="K20" s="123">
        <f>K8*K21</f>
        <v>657.3762488213365</v>
      </c>
      <c r="L20" s="123">
        <f>L8*L21</f>
        <v>753.31939202689432</v>
      </c>
      <c r="M20" s="123">
        <f>M8*M21</f>
        <v>810.30624413504142</v>
      </c>
    </row>
    <row r="21" spans="1:13" ht="14.25" customHeight="1" x14ac:dyDescent="0.3">
      <c r="A21" s="124" t="s">
        <v>258</v>
      </c>
      <c r="B21" s="126">
        <f t="shared" ref="B21:H21" si="4">B20/B8</f>
        <v>2.3308898755477854E-3</v>
      </c>
      <c r="C21" s="126">
        <f t="shared" si="4"/>
        <v>7.4462768615692152E-3</v>
      </c>
      <c r="D21" s="126">
        <f t="shared" si="4"/>
        <v>8.7855548005048058E-3</v>
      </c>
      <c r="E21" s="126">
        <f t="shared" si="4"/>
        <v>7.1664829106945979E-3</v>
      </c>
      <c r="F21" s="126">
        <f t="shared" si="4"/>
        <v>6.2712307290305721E-3</v>
      </c>
      <c r="G21" s="126">
        <f t="shared" si="4"/>
        <v>1.0188054506091608E-2</v>
      </c>
      <c r="H21" s="126">
        <f t="shared" si="4"/>
        <v>1.3985631450348273E-2</v>
      </c>
      <c r="I21" s="126">
        <f>AVERAGE(H21,G21,F21,E21,D21)</f>
        <v>9.2793908793339704E-3</v>
      </c>
      <c r="J21" s="126">
        <f>AVERAGE(I21,H21,G21,F21,E21)</f>
        <v>9.3781580950998041E-3</v>
      </c>
      <c r="K21" s="126">
        <f>AVERAGE(J21,I21,H21,G21,F21)</f>
        <v>9.820493131980846E-3</v>
      </c>
      <c r="L21" s="126">
        <f>AVERAGE(K21,J21,I21,H21,G21)</f>
        <v>1.05303456125709E-2</v>
      </c>
      <c r="M21" s="126">
        <f>AVERAGE(L21,K21,J21,I21,H21)</f>
        <v>1.0598803833866759E-2</v>
      </c>
    </row>
    <row r="23" spans="1:13" ht="14.25" customHeight="1" x14ac:dyDescent="0.3">
      <c r="A23" s="124" t="s">
        <v>262</v>
      </c>
      <c r="B23" s="127">
        <f>FS!B18</f>
        <v>2201.79</v>
      </c>
      <c r="C23" s="127">
        <f>FS!C18</f>
        <v>2040</v>
      </c>
      <c r="D23" s="127">
        <f>FS!D18</f>
        <v>2221</v>
      </c>
      <c r="E23" s="127">
        <f>FS!E18</f>
        <v>2130</v>
      </c>
      <c r="F23" s="127">
        <f>FS!F18</f>
        <v>3092</v>
      </c>
      <c r="G23" s="127">
        <f>FS!G18</f>
        <v>3645</v>
      </c>
      <c r="H23" s="127">
        <f>FS!H18</f>
        <v>4093</v>
      </c>
      <c r="I23" s="128">
        <f>I8*I24</f>
        <v>4910.0533707967379</v>
      </c>
      <c r="J23" s="128">
        <f>J8*J24</f>
        <v>4946.3504429945087</v>
      </c>
      <c r="K23" s="128">
        <f>K8*K24</f>
        <v>5295.3964862586836</v>
      </c>
      <c r="L23" s="128">
        <f>L8*L24</f>
        <v>5635.0556683805735</v>
      </c>
      <c r="M23" s="128">
        <f>M8*M24</f>
        <v>6043.6612755720225</v>
      </c>
    </row>
    <row r="24" spans="1:13" ht="14.25" customHeight="1" x14ac:dyDescent="0.3">
      <c r="A24" s="121" t="s">
        <v>258</v>
      </c>
      <c r="B24" s="129">
        <f t="shared" ref="B24:H24" si="5">B23/B8</f>
        <v>0.11545849311771333</v>
      </c>
      <c r="C24" s="129">
        <f t="shared" si="5"/>
        <v>0.10194902548725637</v>
      </c>
      <c r="D24" s="129">
        <f t="shared" si="5"/>
        <v>0.10780506746917776</v>
      </c>
      <c r="E24" s="129">
        <f t="shared" si="5"/>
        <v>7.8280044101433299E-2</v>
      </c>
      <c r="F24" s="129">
        <f t="shared" si="5"/>
        <v>8.0794355892343878E-2</v>
      </c>
      <c r="G24" s="129">
        <f t="shared" si="5"/>
        <v>7.7365538905633149E-2</v>
      </c>
      <c r="H24" s="129">
        <f t="shared" si="5"/>
        <v>7.4632580868677287E-2</v>
      </c>
      <c r="I24" s="129">
        <f>AVERAGE(H24,G24,F24,E24,D24)</f>
        <v>8.3775517447453068E-2</v>
      </c>
      <c r="J24" s="129">
        <f>AVERAGE(I24,H24,G24,F24,E24)</f>
        <v>7.8969607443108131E-2</v>
      </c>
      <c r="K24" s="129">
        <f>AVERAGE(J24,I24,H24,G24,F24)</f>
        <v>7.9107520111443105E-2</v>
      </c>
      <c r="L24" s="129">
        <f>AVERAGE(K24,J24,I24,H24,G24)</f>
        <v>7.8770152955262934E-2</v>
      </c>
      <c r="M24" s="129">
        <f>AVERAGE(L24,K24,J24,I24,H24)</f>
        <v>7.9051075765188911E-2</v>
      </c>
    </row>
    <row r="25" spans="1:13" ht="14.25" customHeight="1" x14ac:dyDescent="0.3">
      <c r="A25" s="130"/>
      <c r="B25" s="130"/>
      <c r="C25" s="130"/>
      <c r="D25" s="130"/>
      <c r="E25" s="130"/>
      <c r="F25" s="130"/>
      <c r="G25" s="130"/>
      <c r="H25" s="130"/>
      <c r="I25" s="130"/>
      <c r="J25" s="130"/>
      <c r="K25" s="130"/>
      <c r="L25" s="130"/>
      <c r="M25" s="130"/>
    </row>
    <row r="26" spans="1:13" ht="14.25" customHeight="1" x14ac:dyDescent="0.3">
      <c r="A26" s="121" t="s">
        <v>263</v>
      </c>
      <c r="B26" s="122">
        <f>FS!B26</f>
        <v>602.01</v>
      </c>
      <c r="C26" s="122">
        <f>FS!C26</f>
        <v>552</v>
      </c>
      <c r="D26" s="122">
        <f>FS!D26</f>
        <v>351</v>
      </c>
      <c r="E26" s="122">
        <f>FS!E26</f>
        <v>779</v>
      </c>
      <c r="F26" s="122">
        <f>FS!F26</f>
        <v>1140</v>
      </c>
      <c r="G26" s="122">
        <f>FS!G26</f>
        <v>1072</v>
      </c>
      <c r="H26" s="122">
        <f>FS!H26</f>
        <v>1117</v>
      </c>
      <c r="I26" s="123">
        <f>I27*(I8+I11-I14-I17-I20-I23-I57)</f>
        <v>1423.2566558266678</v>
      </c>
      <c r="J26" s="123">
        <f>J27*(J8+J11-J14-J17-J20-J23-J57)</f>
        <v>1581.6823398562756</v>
      </c>
      <c r="K26" s="123">
        <f>K27*(K8+K11-K14-K17-K20-K23-K57)</f>
        <v>1644.2315324229842</v>
      </c>
      <c r="L26" s="123">
        <f>L27*(L8+L11-L14-L17-L20-L23-L57)</f>
        <v>1685.2941529314753</v>
      </c>
      <c r="M26" s="123">
        <f>M27*(M8+M11-M14-M17-M20-M23-M57)</f>
        <v>1788.2664690091731</v>
      </c>
    </row>
    <row r="27" spans="1:13" ht="14.25" customHeight="1" x14ac:dyDescent="0.3">
      <c r="A27" s="124" t="s">
        <v>264</v>
      </c>
      <c r="B27" s="126">
        <f>B26/FS!B24</f>
        <v>0.31234791451563548</v>
      </c>
      <c r="C27" s="126">
        <f>C26/FS!C24</f>
        <v>0.26223277909738718</v>
      </c>
      <c r="D27" s="126">
        <f>D26/FS!D24</f>
        <v>0.28467153284671531</v>
      </c>
      <c r="E27" s="126">
        <f>E26/FS!E24</f>
        <v>0.26568894952251021</v>
      </c>
      <c r="F27" s="126">
        <f>F26/FS!F24</f>
        <v>0.25531914893617019</v>
      </c>
      <c r="G27" s="126">
        <f>G26/FS!G24</f>
        <v>0.23268938571738659</v>
      </c>
      <c r="H27" s="126">
        <f>H26/FS!H24</f>
        <v>0.24927471546529792</v>
      </c>
      <c r="I27" s="131">
        <v>0.25168000000000001</v>
      </c>
      <c r="J27" s="131">
        <v>0.25168000000000001</v>
      </c>
      <c r="K27" s="131">
        <v>0.25168000000000001</v>
      </c>
      <c r="L27" s="131">
        <v>0.25168000000000001</v>
      </c>
      <c r="M27" s="131">
        <v>0.25168000000000001</v>
      </c>
    </row>
    <row r="29" spans="1:13" ht="14.25" customHeight="1" x14ac:dyDescent="0.3">
      <c r="A29" s="124" t="s">
        <v>265</v>
      </c>
      <c r="B29" s="125"/>
      <c r="C29" s="128">
        <f>FS!C29-(FS!C40-FS!B40)</f>
        <v>873.9399999999996</v>
      </c>
      <c r="D29" s="128">
        <f>FS!D29-(FS!D40-FS!C40)</f>
        <v>149</v>
      </c>
      <c r="E29" s="128">
        <f>FS!E29-(FS!E40-FS!D40)</f>
        <v>360</v>
      </c>
      <c r="F29" s="128">
        <f>FS!F29-(FS!F40-FS!E40)</f>
        <v>712</v>
      </c>
      <c r="G29" s="128">
        <f>FS!G29-(FS!G40-FS!F40)</f>
        <v>1081</v>
      </c>
      <c r="H29" s="128">
        <f>FS!H29-(FS!H40-FS!G40)</f>
        <v>981</v>
      </c>
      <c r="I29" s="128">
        <f>I30*((I8+I11-I14-I17-I20-I23-I57)-I26)</f>
        <v>971.47166542246714</v>
      </c>
      <c r="J29" s="128">
        <f>J30*((J8+J11-J14-J17-J20-J23-J57)-J26)</f>
        <v>1135.7306636479011</v>
      </c>
      <c r="K29" s="128">
        <f>K30*((K8+K11-K14-K17-K20-K23-K57)-K26)</f>
        <v>1255.3083951188871</v>
      </c>
      <c r="L29" s="128">
        <f>L30*((L8+L11-L14-L17-L20-L23-L57)-L26)</f>
        <v>1329.9033984942635</v>
      </c>
      <c r="M29" s="128">
        <f>M30*((M8+M11-M14-M17-M20-M23-M57)-M26)</f>
        <v>1369.0292373974105</v>
      </c>
    </row>
    <row r="30" spans="1:13" ht="14.25" customHeight="1" x14ac:dyDescent="0.3">
      <c r="A30" s="121" t="s">
        <v>266</v>
      </c>
      <c r="B30" s="132"/>
      <c r="C30" s="129">
        <f>C29/FS!C29</f>
        <v>0.57609756097560949</v>
      </c>
      <c r="D30" s="129">
        <f>D29/FS!D29</f>
        <v>0.16989737742303307</v>
      </c>
      <c r="E30" s="129">
        <f>E29/FS!E29</f>
        <v>0.16513761467889909</v>
      </c>
      <c r="F30" s="129">
        <f>F29/FS!F29</f>
        <v>0.21362136213621363</v>
      </c>
      <c r="G30" s="129">
        <f>G29/FS!G29</f>
        <v>0.30502257336343114</v>
      </c>
      <c r="H30" s="129">
        <f>H29/FS!H29</f>
        <v>0.29415292353823086</v>
      </c>
      <c r="I30" s="129">
        <f>AVERAGE(H30,G30,F30,E30,D30)</f>
        <v>0.22956637022796156</v>
      </c>
      <c r="J30" s="129">
        <f>AVERAGE(I30,H30,G30,F30,E30)</f>
        <v>0.24150016878894726</v>
      </c>
      <c r="K30" s="129">
        <f>AVERAGE(J30,I30,H30,G30,F30)</f>
        <v>0.2567726796109569</v>
      </c>
      <c r="L30" s="129">
        <f>AVERAGE(K30,J30,I30,H30,G30)</f>
        <v>0.26540294310590556</v>
      </c>
      <c r="M30" s="129">
        <f>AVERAGE(L30,K30,J30,I30,H30)</f>
        <v>0.25747901705440041</v>
      </c>
    </row>
    <row r="32" spans="1:13" ht="14.25" customHeight="1" x14ac:dyDescent="0.3">
      <c r="A32" s="386" t="s">
        <v>267</v>
      </c>
      <c r="B32" s="386"/>
      <c r="C32" s="386"/>
      <c r="D32" s="386"/>
      <c r="E32" s="386"/>
      <c r="F32" s="386"/>
      <c r="G32" s="386"/>
      <c r="H32" s="386"/>
      <c r="I32" s="386"/>
      <c r="J32" s="386"/>
      <c r="K32" s="386"/>
    </row>
    <row r="33" spans="1:13" ht="26.25" customHeight="1" x14ac:dyDescent="0.3">
      <c r="A33" s="120" t="s">
        <v>242</v>
      </c>
      <c r="B33" s="120" t="s">
        <v>243</v>
      </c>
      <c r="C33" s="120" t="s">
        <v>244</v>
      </c>
      <c r="D33" s="120" t="s">
        <v>245</v>
      </c>
      <c r="E33" s="120" t="s">
        <v>246</v>
      </c>
      <c r="F33" s="120" t="s">
        <v>247</v>
      </c>
      <c r="G33" s="120" t="s">
        <v>248</v>
      </c>
      <c r="H33" s="120" t="s">
        <v>268</v>
      </c>
      <c r="I33" s="120" t="s">
        <v>250</v>
      </c>
      <c r="J33" s="120" t="s">
        <v>251</v>
      </c>
      <c r="K33" s="120" t="s">
        <v>252</v>
      </c>
      <c r="L33" s="120" t="s">
        <v>253</v>
      </c>
      <c r="M33" s="120" t="s">
        <v>254</v>
      </c>
    </row>
    <row r="34" spans="1:13" ht="14.25" customHeight="1" x14ac:dyDescent="0.3">
      <c r="A34" s="124" t="s">
        <v>269</v>
      </c>
      <c r="B34" s="127">
        <f>FS!B71</f>
        <v>358.23</v>
      </c>
      <c r="C34" s="127">
        <f>FS!C71</f>
        <v>214</v>
      </c>
      <c r="D34" s="127">
        <f>FS!D71</f>
        <v>291</v>
      </c>
      <c r="E34" s="127">
        <f>FS!E71</f>
        <v>495</v>
      </c>
      <c r="F34" s="127">
        <f>FS!F71</f>
        <v>908</v>
      </c>
      <c r="G34" s="127">
        <f>FS!G71</f>
        <v>937</v>
      </c>
      <c r="H34" s="127">
        <f>FS!H71</f>
        <v>984</v>
      </c>
      <c r="I34" s="128">
        <f>(I35/365)*I8</f>
        <v>1100.3752743134708</v>
      </c>
      <c r="J34" s="128">
        <f>(J35/365)*J8</f>
        <v>1234.2201812712663</v>
      </c>
      <c r="K34" s="128">
        <f>(K35/365)*K8</f>
        <v>1339.263760232752</v>
      </c>
      <c r="L34" s="128">
        <f>(L35/365)*L8</f>
        <v>1378.0612762708961</v>
      </c>
      <c r="M34" s="128">
        <f>(M35/365)*M8</f>
        <v>1463.1840399607536</v>
      </c>
    </row>
    <row r="35" spans="1:13" ht="14.25" customHeight="1" x14ac:dyDescent="0.3">
      <c r="A35" s="121" t="s">
        <v>270</v>
      </c>
      <c r="B35" s="123">
        <f t="shared" ref="B35:H35" si="6">B34*365/B8</f>
        <v>6.8565367433719091</v>
      </c>
      <c r="C35" s="123">
        <f t="shared" si="6"/>
        <v>3.9035482258870564</v>
      </c>
      <c r="D35" s="123">
        <f t="shared" si="6"/>
        <v>5.1555674206387732</v>
      </c>
      <c r="E35" s="123">
        <f t="shared" si="6"/>
        <v>6.6400220507166479</v>
      </c>
      <c r="F35" s="123">
        <f t="shared" si="6"/>
        <v>8.6600470342304678</v>
      </c>
      <c r="G35" s="123">
        <f t="shared" si="6"/>
        <v>7.2590949611580422</v>
      </c>
      <c r="H35" s="123">
        <f t="shared" si="6"/>
        <v>6.5489952955763835</v>
      </c>
      <c r="I35" s="123">
        <f>AVERAGE(H35,G35,F35,E35,D35)</f>
        <v>6.8527453524640638</v>
      </c>
      <c r="J35" s="123">
        <f>AVERAGE(I35,H35,G35,F35,E35)</f>
        <v>7.1921809388291207</v>
      </c>
      <c r="K35" s="123">
        <f>AVERAGE(J35,I35,H35,G35,F35)</f>
        <v>7.3026127164516152</v>
      </c>
      <c r="L35" s="123">
        <f>AVERAGE(K35,J35,I35,H35,G35)</f>
        <v>7.0311258528958449</v>
      </c>
      <c r="M35" s="123">
        <f>AVERAGE(L35,K35,J35,I35,H35)</f>
        <v>6.9855320312434062</v>
      </c>
    </row>
    <row r="36" spans="1:13" ht="14.25" customHeight="1" x14ac:dyDescent="0.3">
      <c r="A36" s="130"/>
      <c r="B36" s="130"/>
      <c r="C36" s="130"/>
      <c r="D36" s="130"/>
      <c r="E36" s="130"/>
      <c r="F36" s="130"/>
      <c r="G36" s="130"/>
      <c r="H36" s="130"/>
      <c r="I36" s="130"/>
      <c r="J36" s="130"/>
      <c r="K36" s="130"/>
      <c r="L36" s="130"/>
      <c r="M36" s="130"/>
    </row>
    <row r="37" spans="1:13" ht="14.25" customHeight="1" x14ac:dyDescent="0.3">
      <c r="A37" s="121" t="s">
        <v>271</v>
      </c>
      <c r="B37" s="122">
        <f>FS!B70</f>
        <v>6719.18</v>
      </c>
      <c r="C37" s="122">
        <f>FS!C70</f>
        <v>7741</v>
      </c>
      <c r="D37" s="122">
        <f>FS!D70</f>
        <v>7984</v>
      </c>
      <c r="E37" s="122">
        <f>FS!E70</f>
        <v>12787</v>
      </c>
      <c r="F37" s="122">
        <f>FS!F70</f>
        <v>14952</v>
      </c>
      <c r="G37" s="122">
        <f>FS!G70</f>
        <v>16874</v>
      </c>
      <c r="H37" s="122">
        <f>FS!H70</f>
        <v>24517</v>
      </c>
      <c r="I37" s="123">
        <f>(I38/365)*I14</f>
        <v>24079.988402235515</v>
      </c>
      <c r="J37" s="123">
        <f>(J38/365)*J14</f>
        <v>26029.289189474293</v>
      </c>
      <c r="K37" s="123">
        <f>(K38/365)*K14</f>
        <v>27069.179570916658</v>
      </c>
      <c r="L37" s="123">
        <f>(L38/365)*L14</f>
        <v>29126.335251957193</v>
      </c>
      <c r="M37" s="123">
        <f>(M38/365)*M14</f>
        <v>31873.242191976908</v>
      </c>
    </row>
    <row r="38" spans="1:13" ht="14.25" customHeight="1" x14ac:dyDescent="0.3">
      <c r="A38" s="124" t="s">
        <v>272</v>
      </c>
      <c r="B38" s="128">
        <f t="shared" ref="B38:H38" si="7">B37*365/B14</f>
        <v>175.33918202239479</v>
      </c>
      <c r="C38" s="128">
        <f t="shared" si="7"/>
        <v>194.69852535832413</v>
      </c>
      <c r="D38" s="128">
        <f t="shared" si="7"/>
        <v>184.80309467943434</v>
      </c>
      <c r="E38" s="128">
        <f t="shared" si="7"/>
        <v>225.92966405266725</v>
      </c>
      <c r="F38" s="128">
        <f t="shared" si="7"/>
        <v>187.89093162569716</v>
      </c>
      <c r="G38" s="128">
        <f t="shared" si="7"/>
        <v>166.72107628173893</v>
      </c>
      <c r="H38" s="128">
        <f t="shared" si="7"/>
        <v>204.58859167809786</v>
      </c>
      <c r="I38" s="128">
        <f>AVERAGE(H38,G38,F38,E38,D38)</f>
        <v>193.98667166352712</v>
      </c>
      <c r="J38" s="128">
        <f>AVERAGE(I38,H38,G38,F38,E38)</f>
        <v>195.82338706034565</v>
      </c>
      <c r="K38" s="128">
        <f>AVERAGE(J38,I38,H38,G38,F38)</f>
        <v>189.80213166188133</v>
      </c>
      <c r="L38" s="128">
        <f>AVERAGE(K38,J38,I38,H38,G38)</f>
        <v>190.18437166911818</v>
      </c>
      <c r="M38" s="128">
        <f>AVERAGE(L38,K38,J38,I38,H38)</f>
        <v>194.87703074659402</v>
      </c>
    </row>
    <row r="40" spans="1:13" ht="14.25" customHeight="1" x14ac:dyDescent="0.3">
      <c r="A40" s="124" t="s">
        <v>273</v>
      </c>
      <c r="B40" s="127">
        <f>FS!B50</f>
        <v>772.34</v>
      </c>
      <c r="C40" s="127">
        <f>FS!C50</f>
        <v>510</v>
      </c>
      <c r="D40" s="127">
        <f>FS!D50</f>
        <v>695</v>
      </c>
      <c r="E40" s="127">
        <f>FS!E50</f>
        <v>1055</v>
      </c>
      <c r="F40" s="127">
        <f>FS!F50</f>
        <v>965</v>
      </c>
      <c r="G40" s="127">
        <f>FS!G50</f>
        <v>943</v>
      </c>
      <c r="H40" s="127">
        <f>FS!H50</f>
        <v>1472</v>
      </c>
      <c r="I40" s="128">
        <f>(I41/365)*I14</f>
        <v>1699.4822985566475</v>
      </c>
      <c r="J40" s="128">
        <f>(J41/365)*J14</f>
        <v>1756.1293569497625</v>
      </c>
      <c r="K40" s="128">
        <f>(K41/365)*K14</f>
        <v>1729.3768544816489</v>
      </c>
      <c r="L40" s="128">
        <f>(L41/365)*L14</f>
        <v>1857.0474925707126</v>
      </c>
      <c r="M40" s="128">
        <f>(M41/365)*M14</f>
        <v>2075.1253708421855</v>
      </c>
    </row>
    <row r="41" spans="1:13" ht="14.25" customHeight="1" x14ac:dyDescent="0.3">
      <c r="A41" s="121" t="s">
        <v>274</v>
      </c>
      <c r="B41" s="123">
        <f t="shared" ref="B41:H41" si="8">B40*365/B14</f>
        <v>20.154462872430326</v>
      </c>
      <c r="C41" s="123">
        <f t="shared" si="8"/>
        <v>12.827315325248071</v>
      </c>
      <c r="D41" s="123">
        <f t="shared" si="8"/>
        <v>16.086942735747353</v>
      </c>
      <c r="E41" s="123">
        <f t="shared" si="8"/>
        <v>18.640478265078904</v>
      </c>
      <c r="F41" s="123">
        <f t="shared" si="8"/>
        <v>12.126454589272189</v>
      </c>
      <c r="G41" s="123">
        <f t="shared" si="8"/>
        <v>9.3171728655730597</v>
      </c>
      <c r="H41" s="123">
        <f t="shared" si="8"/>
        <v>12.283493369913122</v>
      </c>
      <c r="I41" s="123">
        <f>AVERAGE(H41,G41,F41,E41,D41)</f>
        <v>13.690908365116925</v>
      </c>
      <c r="J41" s="123">
        <f>AVERAGE(I41,H41,G41,F41,E41)</f>
        <v>13.211701490990839</v>
      </c>
      <c r="K41" s="123">
        <f>AVERAGE(J41,I41,H41,G41,F41)</f>
        <v>12.125946136173226</v>
      </c>
      <c r="L41" s="123">
        <f>AVERAGE(K41,J41,I41,H41,G41)</f>
        <v>12.125844445553435</v>
      </c>
      <c r="M41" s="123">
        <f>AVERAGE(L41,K41,J41,I41,H41)</f>
        <v>12.68757876154951</v>
      </c>
    </row>
    <row r="42" spans="1:13" ht="14.25" customHeight="1" x14ac:dyDescent="0.3">
      <c r="A42" s="130"/>
      <c r="B42" s="130"/>
      <c r="C42" s="130"/>
      <c r="D42" s="130"/>
      <c r="E42" s="130"/>
      <c r="F42" s="130"/>
      <c r="G42" s="130"/>
      <c r="H42" s="130"/>
      <c r="I42" s="130"/>
      <c r="J42" s="130"/>
      <c r="K42" s="130"/>
      <c r="L42" s="130"/>
      <c r="M42" s="130"/>
    </row>
    <row r="43" spans="1:13" ht="14.25" customHeight="1" x14ac:dyDescent="0.3">
      <c r="A43" s="121" t="s">
        <v>275</v>
      </c>
      <c r="B43" s="122">
        <f>FS!B51</f>
        <v>2042.43</v>
      </c>
      <c r="C43" s="122">
        <f>FS!C51</f>
        <v>2314</v>
      </c>
      <c r="D43" s="122">
        <f>FS!D51</f>
        <v>2123</v>
      </c>
      <c r="E43" s="122">
        <f>FS!E51</f>
        <v>2815</v>
      </c>
      <c r="F43" s="122">
        <f>FS!F51</f>
        <v>3862</v>
      </c>
      <c r="G43" s="122">
        <f>FS!G51</f>
        <v>4425</v>
      </c>
      <c r="H43" s="122">
        <f>FS!H51</f>
        <v>5203</v>
      </c>
      <c r="I43" s="123">
        <f>I8*I44</f>
        <v>5816.5511461271717</v>
      </c>
      <c r="J43" s="123">
        <f>J8*J44</f>
        <v>6168.4692038754956</v>
      </c>
      <c r="K43" s="123">
        <f>K8*K44</f>
        <v>6525.6572279625152</v>
      </c>
      <c r="L43" s="123">
        <f>L8*L44</f>
        <v>6924.9196811633783</v>
      </c>
      <c r="M43" s="123">
        <f>M8*M44</f>
        <v>7444.6908800393176</v>
      </c>
    </row>
    <row r="44" spans="1:13" ht="14.25" customHeight="1" x14ac:dyDescent="0.3">
      <c r="A44" s="124" t="s">
        <v>258</v>
      </c>
      <c r="B44" s="126">
        <f t="shared" ref="B44:H44" si="9">B43/B8</f>
        <v>0.10710189895421963</v>
      </c>
      <c r="C44" s="126">
        <f t="shared" si="9"/>
        <v>0.11564217891054472</v>
      </c>
      <c r="D44" s="126">
        <f t="shared" si="9"/>
        <v>0.10304824774293758</v>
      </c>
      <c r="E44" s="126">
        <f t="shared" si="9"/>
        <v>0.10345461227489894</v>
      </c>
      <c r="F44" s="126">
        <f t="shared" si="9"/>
        <v>0.10091455448131696</v>
      </c>
      <c r="G44" s="126">
        <f t="shared" si="9"/>
        <v>9.392112747803201E-2</v>
      </c>
      <c r="H44" s="126">
        <f t="shared" si="9"/>
        <v>9.4872542941541155E-2</v>
      </c>
      <c r="I44" s="126">
        <f>AVERAGE(H44,G44,F44,E44,D44)</f>
        <v>9.9242216983745329E-2</v>
      </c>
      <c r="J44" s="126">
        <f>AVERAGE(I44,H44,G44,F44,E44)</f>
        <v>9.8481010831906884E-2</v>
      </c>
      <c r="K44" s="126">
        <f>AVERAGE(J44,I44,H44,G44,F44)</f>
        <v>9.7486290543308457E-2</v>
      </c>
      <c r="L44" s="126">
        <f>AVERAGE(K44,J44,I44,H44,G44)</f>
        <v>9.680063775570677E-2</v>
      </c>
      <c r="M44" s="126">
        <f>AVERAGE(L44,K44,J44,I44,H44)</f>
        <v>9.7376539811241725E-2</v>
      </c>
    </row>
    <row r="46" spans="1:13" ht="14.25" customHeight="1" x14ac:dyDescent="0.3">
      <c r="A46" s="124" t="s">
        <v>276</v>
      </c>
      <c r="B46" s="127">
        <f>FS!B74</f>
        <v>222.6</v>
      </c>
      <c r="C46" s="127">
        <f>FS!C74</f>
        <v>263</v>
      </c>
      <c r="D46" s="127">
        <f>FS!D74</f>
        <v>275</v>
      </c>
      <c r="E46" s="127">
        <f>FS!E74</f>
        <v>267</v>
      </c>
      <c r="F46" s="127">
        <f>FS!F74</f>
        <v>296</v>
      </c>
      <c r="G46" s="127">
        <f>FS!G74</f>
        <v>412</v>
      </c>
      <c r="H46" s="127">
        <f>FS!H74</f>
        <v>430</v>
      </c>
      <c r="I46" s="128">
        <f>I8*I47</f>
        <v>556.56608075156794</v>
      </c>
      <c r="J46" s="128">
        <f>J8*J47</f>
        <v>546.54645848973587</v>
      </c>
      <c r="K46" s="128">
        <f>K8*K47</f>
        <v>569.54387874513691</v>
      </c>
      <c r="L46" s="128">
        <f>L8*L47</f>
        <v>619.74353296034678</v>
      </c>
      <c r="M46" s="128">
        <f>M8*M47</f>
        <v>661.07214867199491</v>
      </c>
    </row>
    <row r="47" spans="1:13" ht="14.25" customHeight="1" x14ac:dyDescent="0.3">
      <c r="A47" s="121" t="s">
        <v>258</v>
      </c>
      <c r="B47" s="129">
        <f t="shared" ref="B47:H47" si="10">B46/B8</f>
        <v>1.1672802841325916E-2</v>
      </c>
      <c r="C47" s="129">
        <f t="shared" si="10"/>
        <v>1.3143428285857071E-2</v>
      </c>
      <c r="D47" s="129">
        <f t="shared" si="10"/>
        <v>1.3348218619551501E-2</v>
      </c>
      <c r="E47" s="129">
        <f t="shared" si="10"/>
        <v>9.8125689084895256E-3</v>
      </c>
      <c r="F47" s="129">
        <f t="shared" si="10"/>
        <v>7.7345178991377059E-3</v>
      </c>
      <c r="G47" s="129">
        <f t="shared" si="10"/>
        <v>8.7447467843952964E-3</v>
      </c>
      <c r="H47" s="129">
        <f t="shared" si="10"/>
        <v>7.840706028226542E-3</v>
      </c>
      <c r="I47" s="129">
        <f>AVERAGE(H47,G47,F47,E47,D47)</f>
        <v>9.4961516479601139E-3</v>
      </c>
      <c r="J47" s="129">
        <f>AVERAGE(I47,H47,G47,F47,E47)</f>
        <v>8.7257382536418369E-3</v>
      </c>
      <c r="K47" s="129">
        <f>AVERAGE(J47,I47,H47,G47,F47)</f>
        <v>8.5083721226722996E-3</v>
      </c>
      <c r="L47" s="129">
        <f>AVERAGE(K47,J47,I47,H47,G47)</f>
        <v>8.6631429673792171E-3</v>
      </c>
      <c r="M47" s="129">
        <f>AVERAGE(L47,K47,J47,I47,H47)</f>
        <v>8.6468222039760029E-3</v>
      </c>
    </row>
    <row r="48" spans="1:13" ht="14.25" customHeight="1" x14ac:dyDescent="0.3">
      <c r="A48" s="130"/>
      <c r="B48" s="130"/>
      <c r="C48" s="130"/>
      <c r="D48" s="130"/>
      <c r="E48" s="130"/>
      <c r="F48" s="130"/>
      <c r="G48" s="130"/>
      <c r="H48" s="130"/>
      <c r="I48" s="130"/>
      <c r="J48" s="130"/>
      <c r="K48" s="130"/>
      <c r="L48" s="130"/>
      <c r="M48" s="130"/>
    </row>
    <row r="49" spans="1:13" ht="14.25" customHeight="1" x14ac:dyDescent="0.3">
      <c r="A49" s="121" t="s">
        <v>277</v>
      </c>
      <c r="B49" s="122">
        <f>FS!B73</f>
        <v>715.03</v>
      </c>
      <c r="C49" s="122">
        <f>FS!C73</f>
        <v>886</v>
      </c>
      <c r="D49" s="122">
        <f>FS!D73</f>
        <v>720</v>
      </c>
      <c r="E49" s="122">
        <f>FS!E73</f>
        <v>1766</v>
      </c>
      <c r="F49" s="122">
        <f>FS!F73</f>
        <v>1595</v>
      </c>
      <c r="G49" s="122">
        <f>FS!G73</f>
        <v>2030</v>
      </c>
      <c r="H49" s="122">
        <f>FS!H73</f>
        <v>2044</v>
      </c>
      <c r="I49" s="123">
        <f>I8*I50</f>
        <v>2600.930927821913</v>
      </c>
      <c r="J49" s="123">
        <f>J8*J50</f>
        <v>2897.7355856261179</v>
      </c>
      <c r="K49" s="123">
        <f>K8*K50</f>
        <v>2847.2658852001823</v>
      </c>
      <c r="L49" s="123">
        <f>L8*L50</f>
        <v>3055.1422609998431</v>
      </c>
      <c r="M49" s="123">
        <f>M8*M50</f>
        <v>3259.2141948192725</v>
      </c>
    </row>
    <row r="50" spans="1:13" ht="14.25" customHeight="1" x14ac:dyDescent="0.3">
      <c r="A50" s="124" t="s">
        <v>258</v>
      </c>
      <c r="B50" s="126">
        <f t="shared" ref="B50:H50" si="11">B49/B8</f>
        <v>3.7495077338873625E-2</v>
      </c>
      <c r="C50" s="126">
        <f t="shared" si="11"/>
        <v>4.4277861069465269E-2</v>
      </c>
      <c r="D50" s="126">
        <f t="shared" si="11"/>
        <v>3.4948063294825742E-2</v>
      </c>
      <c r="E50" s="126">
        <f t="shared" si="11"/>
        <v>6.4902609334803379E-2</v>
      </c>
      <c r="F50" s="126">
        <f t="shared" si="11"/>
        <v>4.1677554220015678E-2</v>
      </c>
      <c r="G50" s="126">
        <f t="shared" si="11"/>
        <v>4.3086980515345756E-2</v>
      </c>
      <c r="H50" s="126">
        <f t="shared" si="11"/>
        <v>3.7270704934174538E-2</v>
      </c>
      <c r="I50" s="126">
        <f>AVERAGE(H50,G50,F50,E50,D50)</f>
        <v>4.437718245983302E-2</v>
      </c>
      <c r="J50" s="126">
        <f>AVERAGE(I50,H50,G50,F50,E50)</f>
        <v>4.6263006292834474E-2</v>
      </c>
      <c r="K50" s="126">
        <f>AVERAGE(J50,I50,H50,G50,F50)</f>
        <v>4.2535085684440692E-2</v>
      </c>
      <c r="L50" s="126">
        <f>AVERAGE(K50,J50,I50,H50,G50)</f>
        <v>4.2706591977325695E-2</v>
      </c>
      <c r="M50" s="126">
        <f>AVERAGE(L50,K50,J50,I50,H50)</f>
        <v>4.2630514269721684E-2</v>
      </c>
    </row>
    <row r="52" spans="1:13" ht="14.25" customHeight="1" x14ac:dyDescent="0.3">
      <c r="A52" s="386" t="s">
        <v>278</v>
      </c>
      <c r="B52" s="386"/>
      <c r="C52" s="386"/>
      <c r="D52" s="386"/>
      <c r="E52" s="386"/>
      <c r="F52" s="386"/>
      <c r="G52" s="386"/>
      <c r="H52" s="386"/>
      <c r="I52" s="386"/>
      <c r="J52" s="386"/>
      <c r="K52" s="386"/>
    </row>
    <row r="53" spans="1:13" ht="26.25" customHeight="1" x14ac:dyDescent="0.3">
      <c r="A53" s="120" t="s">
        <v>242</v>
      </c>
      <c r="B53" s="120" t="s">
        <v>243</v>
      </c>
      <c r="C53" s="120" t="s">
        <v>244</v>
      </c>
      <c r="D53" s="120" t="s">
        <v>245</v>
      </c>
      <c r="E53" s="120" t="s">
        <v>246</v>
      </c>
      <c r="F53" s="120" t="s">
        <v>247</v>
      </c>
      <c r="G53" s="120" t="s">
        <v>248</v>
      </c>
      <c r="H53" s="120" t="s">
        <v>268</v>
      </c>
      <c r="I53" s="120" t="s">
        <v>250</v>
      </c>
      <c r="J53" s="120" t="s">
        <v>251</v>
      </c>
      <c r="K53" s="120" t="s">
        <v>252</v>
      </c>
      <c r="L53" s="120" t="s">
        <v>253</v>
      </c>
      <c r="M53" s="120" t="s">
        <v>254</v>
      </c>
    </row>
    <row r="54" spans="1:13" ht="14.25" customHeight="1" x14ac:dyDescent="0.3">
      <c r="A54" s="124" t="s">
        <v>279</v>
      </c>
      <c r="B54" s="125"/>
      <c r="C54" s="128">
        <f>FS!C58-FS!B58+FS!C17</f>
        <v>397.96000000000004</v>
      </c>
      <c r="D54" s="128">
        <f>FS!D58-FS!C58+FS!D17</f>
        <v>262</v>
      </c>
      <c r="E54" s="128">
        <f>FS!E58-FS!D58+FS!E17</f>
        <v>333</v>
      </c>
      <c r="F54" s="128">
        <f>FS!F58-FS!E58+FS!F17</f>
        <v>420</v>
      </c>
      <c r="G54" s="128">
        <f>FS!G58-FS!F58+FS!G17</f>
        <v>759</v>
      </c>
      <c r="H54" s="128">
        <f>FS!H58-FS!G58+FS!H17</f>
        <v>631</v>
      </c>
      <c r="I54" s="133">
        <f>I8*I55</f>
        <v>762.50964960111514</v>
      </c>
      <c r="J54" s="133">
        <f>J8*J55</f>
        <v>834.26906787896735</v>
      </c>
      <c r="K54" s="133">
        <f>K8*K55</f>
        <v>904.49962730834898</v>
      </c>
      <c r="L54" s="133">
        <f>L8*L55</f>
        <v>1008.571461631067</v>
      </c>
      <c r="M54" s="133">
        <f>M8*M55</f>
        <v>1028.2117851965183</v>
      </c>
    </row>
    <row r="55" spans="1:13" ht="14.25" customHeight="1" x14ac:dyDescent="0.3">
      <c r="A55" s="121" t="s">
        <v>280</v>
      </c>
      <c r="B55" s="132"/>
      <c r="C55" s="129">
        <f>C54/C8</f>
        <v>1.9888055972013995E-2</v>
      </c>
      <c r="D55" s="129">
        <f>D54/D8</f>
        <v>1.2717211921172701E-2</v>
      </c>
      <c r="E55" s="129">
        <f>E54/E8</f>
        <v>1.2238147739801544E-2</v>
      </c>
      <c r="F55" s="129">
        <f>F54/F8</f>
        <v>1.0974653775803502E-2</v>
      </c>
      <c r="G55" s="129">
        <f>G54/G8</f>
        <v>1.6109861187757354E-2</v>
      </c>
      <c r="H55" s="129">
        <f t="shared" ref="H55:M55" si="12">AVERAGE(F55,E55,D55,C55)</f>
        <v>1.3954517352197937E-2</v>
      </c>
      <c r="I55" s="129">
        <f t="shared" si="12"/>
        <v>1.3009968656133776E-2</v>
      </c>
      <c r="J55" s="129">
        <f t="shared" si="12"/>
        <v>1.3319295013890085E-2</v>
      </c>
      <c r="K55" s="129">
        <f t="shared" si="12"/>
        <v>1.3512250242973142E-2</v>
      </c>
      <c r="L55" s="129">
        <f t="shared" si="12"/>
        <v>1.4098410552494788E-2</v>
      </c>
      <c r="M55" s="129">
        <f t="shared" si="12"/>
        <v>1.3449007816298736E-2</v>
      </c>
    </row>
    <row r="56" spans="1:13" ht="14.25" customHeight="1" x14ac:dyDescent="0.3">
      <c r="A56" s="130"/>
      <c r="B56" s="130"/>
      <c r="C56" s="130"/>
      <c r="D56" s="130"/>
      <c r="E56" s="130"/>
      <c r="F56" s="130"/>
      <c r="G56" s="130"/>
      <c r="H56" s="130"/>
      <c r="I56" s="130"/>
      <c r="J56" s="130"/>
      <c r="K56" s="130"/>
      <c r="L56" s="130"/>
      <c r="M56" s="130"/>
    </row>
    <row r="57" spans="1:13" ht="14.25" customHeight="1" x14ac:dyDescent="0.3">
      <c r="A57" s="121" t="s">
        <v>281</v>
      </c>
      <c r="B57" s="122">
        <f>FS!B17</f>
        <v>138.88999999999999</v>
      </c>
      <c r="C57" s="122">
        <f>FS!C17</f>
        <v>310</v>
      </c>
      <c r="D57" s="122">
        <f>FS!D17</f>
        <v>331</v>
      </c>
      <c r="E57" s="122">
        <f>FS!E17</f>
        <v>347</v>
      </c>
      <c r="F57" s="122">
        <f>FS!F17</f>
        <v>364</v>
      </c>
      <c r="G57" s="122">
        <f>FS!G17</f>
        <v>447</v>
      </c>
      <c r="H57" s="122">
        <f>FS!H17</f>
        <v>537</v>
      </c>
      <c r="I57" s="134">
        <f>I59*I58</f>
        <v>543.65394600000002</v>
      </c>
      <c r="J57" s="134">
        <f>J59*J58</f>
        <v>644.27210224362329</v>
      </c>
      <c r="K57" s="134">
        <f>K59*K58</f>
        <v>714.28275430688154</v>
      </c>
      <c r="L57" s="134">
        <f>L59*L58</f>
        <v>792.69203928276943</v>
      </c>
      <c r="M57" s="134">
        <f>M59*M58</f>
        <v>858.46802021909878</v>
      </c>
    </row>
    <row r="58" spans="1:13" ht="14.25" customHeight="1" x14ac:dyDescent="0.3">
      <c r="A58" s="124" t="s">
        <v>282</v>
      </c>
      <c r="B58" s="125"/>
      <c r="C58" s="126">
        <f>FS!C17/(B60+C54*0.5)</f>
        <v>0.25704383011890353</v>
      </c>
      <c r="D58" s="126">
        <f>FS!D17/(C60+D54*0.5)</f>
        <v>0.26998368678629692</v>
      </c>
      <c r="E58" s="126">
        <f>FS!E17/(D60+E54*0.5)</f>
        <v>0.29098532494758911</v>
      </c>
      <c r="F58" s="126">
        <f>FS!F17/(E60+F54*0.5)</f>
        <v>0.2978723404255319</v>
      </c>
      <c r="G58" s="126">
        <f>FS!G17/(F60+G54*0.5)</f>
        <v>0.30880829015544042</v>
      </c>
      <c r="H58" s="126">
        <f>FS!H17/(G60+H54*0.5)</f>
        <v>0.31672073134768503</v>
      </c>
      <c r="I58" s="135">
        <v>0.36882900000000002</v>
      </c>
      <c r="J58" s="135">
        <v>0.380583</v>
      </c>
      <c r="K58" s="135">
        <v>0.37936199999999998</v>
      </c>
      <c r="L58" s="135">
        <v>0.38237599999999999</v>
      </c>
      <c r="M58" s="135">
        <v>0.37504900000000002</v>
      </c>
    </row>
    <row r="59" spans="1:13" ht="14.25" customHeight="1" x14ac:dyDescent="0.3">
      <c r="A59" s="121" t="s">
        <v>283</v>
      </c>
      <c r="B59" s="122"/>
      <c r="C59" s="136">
        <f t="shared" ref="C59:M59" si="13">B60</f>
        <v>1007.04</v>
      </c>
      <c r="D59" s="136">
        <f t="shared" si="13"/>
        <v>1095</v>
      </c>
      <c r="E59" s="136">
        <f t="shared" si="13"/>
        <v>1026</v>
      </c>
      <c r="F59" s="136">
        <f t="shared" si="13"/>
        <v>1012</v>
      </c>
      <c r="G59" s="136">
        <f t="shared" si="13"/>
        <v>1068</v>
      </c>
      <c r="H59" s="136">
        <f t="shared" si="13"/>
        <v>1380</v>
      </c>
      <c r="I59" s="134">
        <f t="shared" si="13"/>
        <v>1474</v>
      </c>
      <c r="J59" s="134">
        <f t="shared" si="13"/>
        <v>1692.8557036011152</v>
      </c>
      <c r="K59" s="134">
        <f t="shared" si="13"/>
        <v>1882.8526692364592</v>
      </c>
      <c r="L59" s="134">
        <f t="shared" si="13"/>
        <v>2073.0695422379267</v>
      </c>
      <c r="M59" s="134">
        <f t="shared" si="13"/>
        <v>2288.9489645862241</v>
      </c>
    </row>
    <row r="60" spans="1:13" ht="14.25" customHeight="1" x14ac:dyDescent="0.3">
      <c r="A60" s="124" t="s">
        <v>284</v>
      </c>
      <c r="B60" s="127">
        <f>FS!B58</f>
        <v>1007.04</v>
      </c>
      <c r="C60" s="127">
        <f>FS!C58</f>
        <v>1095</v>
      </c>
      <c r="D60" s="127">
        <f>FS!D58</f>
        <v>1026</v>
      </c>
      <c r="E60" s="127">
        <f>FS!E58</f>
        <v>1012</v>
      </c>
      <c r="F60" s="127">
        <f>FS!F58</f>
        <v>1068</v>
      </c>
      <c r="G60" s="127">
        <f>FS!G58</f>
        <v>1380</v>
      </c>
      <c r="H60" s="127">
        <f>FS!H58</f>
        <v>1474</v>
      </c>
      <c r="I60" s="133">
        <f>I59+I54-I57</f>
        <v>1692.8557036011152</v>
      </c>
      <c r="J60" s="133">
        <f>J59+J54-J57</f>
        <v>1882.8526692364592</v>
      </c>
      <c r="K60" s="133">
        <f>K59+K54-K57</f>
        <v>2073.0695422379267</v>
      </c>
      <c r="L60" s="133">
        <f>L59+L54-L57</f>
        <v>2288.9489645862241</v>
      </c>
      <c r="M60" s="133">
        <f>M59+M54-M57</f>
        <v>2458.6927295636438</v>
      </c>
    </row>
  </sheetData>
  <mergeCells count="4">
    <mergeCell ref="A1:K1"/>
    <mergeCell ref="A6:K6"/>
    <mergeCell ref="A32:K32"/>
    <mergeCell ref="A52:K52"/>
  </mergeCells>
  <dataValidations count="1">
    <dataValidation type="list" allowBlank="1" showInputMessage="1" showErrorMessage="1" sqref="B3" xr:uid="{00000000-0002-0000-0800-000000000000}">
      <formula1>$I$3:$I$5</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8"/>
  <sheetViews>
    <sheetView zoomScaleNormal="100" workbookViewId="0">
      <selection activeCell="O9" sqref="O9"/>
    </sheetView>
  </sheetViews>
  <sheetFormatPr defaultColWidth="8.5546875" defaultRowHeight="13.8" x14ac:dyDescent="0.25"/>
  <cols>
    <col min="1" max="1" width="37.5546875" style="137" customWidth="1"/>
    <col min="2" max="9" width="9.109375" style="138" customWidth="1"/>
    <col min="10" max="13" width="12" style="138" customWidth="1"/>
    <col min="14" max="16384" width="8.5546875" style="138"/>
  </cols>
  <sheetData>
    <row r="1" spans="1:13" ht="14.25" customHeight="1" x14ac:dyDescent="0.25">
      <c r="A1" s="387" t="s">
        <v>285</v>
      </c>
      <c r="B1" s="387"/>
      <c r="C1" s="387"/>
      <c r="D1" s="387"/>
      <c r="E1" s="387"/>
      <c r="F1" s="387"/>
      <c r="G1" s="387"/>
      <c r="H1" s="387"/>
      <c r="I1" s="388" t="s">
        <v>286</v>
      </c>
      <c r="J1" s="388"/>
      <c r="K1" s="388"/>
      <c r="L1" s="388"/>
      <c r="M1" s="388"/>
    </row>
    <row r="2" spans="1:13" ht="14.25" customHeight="1" x14ac:dyDescent="0.25">
      <c r="A2" s="139" t="s">
        <v>154</v>
      </c>
      <c r="B2" s="140">
        <v>2019</v>
      </c>
      <c r="C2" s="140">
        <v>2020</v>
      </c>
      <c r="D2" s="140">
        <v>2021</v>
      </c>
      <c r="E2" s="140">
        <v>2022</v>
      </c>
      <c r="F2" s="140">
        <v>2023</v>
      </c>
      <c r="G2" s="140">
        <v>2024</v>
      </c>
      <c r="H2" s="141">
        <v>2025</v>
      </c>
      <c r="I2" s="142">
        <v>2026</v>
      </c>
      <c r="J2" s="143">
        <v>2027</v>
      </c>
      <c r="K2" s="143">
        <v>2028</v>
      </c>
      <c r="L2" s="143">
        <v>2029</v>
      </c>
      <c r="M2" s="144">
        <v>2030</v>
      </c>
    </row>
    <row r="3" spans="1:13" ht="14.25" customHeight="1" x14ac:dyDescent="0.25">
      <c r="A3" s="145" t="s">
        <v>287</v>
      </c>
      <c r="B3" s="146"/>
      <c r="C3" s="146"/>
      <c r="D3" s="146"/>
      <c r="E3" s="146"/>
      <c r="F3" s="146"/>
      <c r="G3" s="146"/>
      <c r="H3" s="147"/>
      <c r="I3" s="148"/>
      <c r="J3" s="149"/>
      <c r="K3" s="149"/>
      <c r="L3" s="150"/>
      <c r="M3" s="151"/>
    </row>
    <row r="4" spans="1:13" ht="14.25" customHeight="1" x14ac:dyDescent="0.25">
      <c r="A4" s="152" t="s">
        <v>288</v>
      </c>
      <c r="B4" s="153">
        <v>19069.97</v>
      </c>
      <c r="C4" s="153">
        <v>20010</v>
      </c>
      <c r="D4" s="153">
        <v>20602</v>
      </c>
      <c r="E4" s="153">
        <v>27210</v>
      </c>
      <c r="F4" s="153">
        <v>38270</v>
      </c>
      <c r="G4" s="153">
        <v>47114</v>
      </c>
      <c r="H4" s="154">
        <v>54842</v>
      </c>
      <c r="I4" s="155">
        <f>Assumptions!I8</f>
        <v>58609.645400000001</v>
      </c>
      <c r="J4" s="156">
        <f>Assumptions!J8</f>
        <v>62636.128038980001</v>
      </c>
      <c r="K4" s="156">
        <f>Assumptions!K8</f>
        <v>66939.230035257933</v>
      </c>
      <c r="L4" s="156">
        <f>Assumptions!L8</f>
        <v>71537.955138680147</v>
      </c>
      <c r="M4" s="157">
        <f>Assumptions!M8</f>
        <v>76452.612656707468</v>
      </c>
    </row>
    <row r="5" spans="1:13" ht="14.25" customHeight="1" x14ac:dyDescent="0.25">
      <c r="A5" s="152" t="s">
        <v>289</v>
      </c>
      <c r="B5" s="158">
        <v>0</v>
      </c>
      <c r="C5" s="158">
        <v>0</v>
      </c>
      <c r="D5" s="158">
        <v>0</v>
      </c>
      <c r="E5" s="158">
        <v>0</v>
      </c>
      <c r="F5" s="158">
        <v>0</v>
      </c>
      <c r="G5" s="158">
        <v>0</v>
      </c>
      <c r="H5" s="159">
        <v>0</v>
      </c>
      <c r="I5" s="155">
        <v>0</v>
      </c>
      <c r="J5" s="156">
        <v>0</v>
      </c>
      <c r="K5" s="156">
        <v>0</v>
      </c>
      <c r="L5" s="156">
        <v>0</v>
      </c>
      <c r="M5" s="157">
        <v>0</v>
      </c>
    </row>
    <row r="6" spans="1:13" ht="14.25" customHeight="1" x14ac:dyDescent="0.25">
      <c r="A6" s="152" t="s">
        <v>290</v>
      </c>
      <c r="B6" s="153">
        <v>19069.97</v>
      </c>
      <c r="C6" s="153">
        <v>20010</v>
      </c>
      <c r="D6" s="153">
        <v>20602</v>
      </c>
      <c r="E6" s="153">
        <v>27210</v>
      </c>
      <c r="F6" s="153">
        <v>38270</v>
      </c>
      <c r="G6" s="153">
        <v>47114</v>
      </c>
      <c r="H6" s="154">
        <v>54842</v>
      </c>
      <c r="I6" s="155">
        <f>Assumptions!I8</f>
        <v>58609.645400000001</v>
      </c>
      <c r="J6" s="156">
        <f>Assumptions!J8</f>
        <v>62636.128038980001</v>
      </c>
      <c r="K6" s="156">
        <f>Assumptions!K8</f>
        <v>66939.230035257933</v>
      </c>
      <c r="L6" s="156">
        <f>Assumptions!L8</f>
        <v>71537.955138680147</v>
      </c>
      <c r="M6" s="157">
        <f>Assumptions!M8</f>
        <v>76452.612656707468</v>
      </c>
    </row>
    <row r="7" spans="1:13" ht="14.25" customHeight="1" x14ac:dyDescent="0.25">
      <c r="A7" s="152" t="s">
        <v>291</v>
      </c>
      <c r="B7" s="158">
        <v>178.5</v>
      </c>
      <c r="C7" s="158">
        <v>146</v>
      </c>
      <c r="D7" s="158">
        <v>181</v>
      </c>
      <c r="E7" s="158">
        <v>246</v>
      </c>
      <c r="F7" s="158">
        <v>299</v>
      </c>
      <c r="G7" s="158">
        <v>510</v>
      </c>
      <c r="H7" s="159">
        <v>493</v>
      </c>
      <c r="I7" s="155">
        <f>Assumptions!I11</f>
        <v>520.03621406776074</v>
      </c>
      <c r="J7" s="156">
        <f>Assumptions!J11</f>
        <v>570.5004813592268</v>
      </c>
      <c r="K7" s="156">
        <f>Assumptions!K11</f>
        <v>610.59588179302273</v>
      </c>
      <c r="L7" s="156">
        <f>Assumptions!L11</f>
        <v>671.26868619268339</v>
      </c>
      <c r="M7" s="157">
        <f>Assumptions!M11</f>
        <v>695.34484463402021</v>
      </c>
    </row>
    <row r="8" spans="1:13" ht="14.25" customHeight="1" x14ac:dyDescent="0.25">
      <c r="A8" s="152" t="s">
        <v>292</v>
      </c>
      <c r="B8" s="153">
        <v>19248.47</v>
      </c>
      <c r="C8" s="153">
        <v>20156</v>
      </c>
      <c r="D8" s="153">
        <v>20783</v>
      </c>
      <c r="E8" s="153">
        <v>27456</v>
      </c>
      <c r="F8" s="153">
        <v>38569</v>
      </c>
      <c r="G8" s="153">
        <v>47624</v>
      </c>
      <c r="H8" s="154">
        <v>55335</v>
      </c>
      <c r="I8" s="155">
        <f>I6+I7</f>
        <v>59129.681614067762</v>
      </c>
      <c r="J8" s="156">
        <f>J6+J7</f>
        <v>63206.628520339225</v>
      </c>
      <c r="K8" s="156">
        <f>K6+K7</f>
        <v>67549.825917050955</v>
      </c>
      <c r="L8" s="156">
        <f>L6+L7</f>
        <v>72209.223824872824</v>
      </c>
      <c r="M8" s="157">
        <f>M6+M7</f>
        <v>77147.957501341487</v>
      </c>
    </row>
    <row r="9" spans="1:13" ht="14.25" customHeight="1" x14ac:dyDescent="0.25">
      <c r="A9" s="152" t="s">
        <v>293</v>
      </c>
      <c r="B9" s="160">
        <f>Assumptions!B14</f>
        <v>13987.18</v>
      </c>
      <c r="C9" s="160">
        <f>Assumptions!C14</f>
        <v>14512</v>
      </c>
      <c r="D9" s="160">
        <f>Assumptions!D14</f>
        <v>15769</v>
      </c>
      <c r="E9" s="160">
        <f>Assumptions!E14</f>
        <v>20658</v>
      </c>
      <c r="F9" s="160">
        <f>Assumptions!F14</f>
        <v>29046</v>
      </c>
      <c r="G9" s="160">
        <f>Assumptions!G14</f>
        <v>36942</v>
      </c>
      <c r="H9" s="161">
        <f>Assumptions!H14</f>
        <v>43740</v>
      </c>
      <c r="I9" s="155">
        <f>Assumptions!I14</f>
        <v>45308.24562040509</v>
      </c>
      <c r="J9" s="156">
        <f>Assumptions!J14</f>
        <v>48516.628666168202</v>
      </c>
      <c r="K9" s="156">
        <f>Assumptions!K14</f>
        <v>52055.529918839515</v>
      </c>
      <c r="L9" s="156">
        <f>Assumptions!L14</f>
        <v>55898.97988810738</v>
      </c>
      <c r="M9" s="157">
        <f>Assumptions!M14</f>
        <v>59697.81741594449</v>
      </c>
    </row>
    <row r="10" spans="1:13" ht="14.25" customHeight="1" x14ac:dyDescent="0.25">
      <c r="A10" s="152" t="s">
        <v>294</v>
      </c>
      <c r="B10" s="162">
        <f t="shared" ref="B10:M10" si="0">B8-B9</f>
        <v>5261.2900000000009</v>
      </c>
      <c r="C10" s="162">
        <f t="shared" si="0"/>
        <v>5644</v>
      </c>
      <c r="D10" s="162">
        <f t="shared" si="0"/>
        <v>5014</v>
      </c>
      <c r="E10" s="162">
        <f t="shared" si="0"/>
        <v>6798</v>
      </c>
      <c r="F10" s="162">
        <f t="shared" si="0"/>
        <v>9523</v>
      </c>
      <c r="G10" s="162">
        <f t="shared" si="0"/>
        <v>10682</v>
      </c>
      <c r="H10" s="163">
        <f t="shared" si="0"/>
        <v>11595</v>
      </c>
      <c r="I10" s="164">
        <f t="shared" si="0"/>
        <v>13821.435993662672</v>
      </c>
      <c r="J10" s="162">
        <f t="shared" si="0"/>
        <v>14689.999854171023</v>
      </c>
      <c r="K10" s="162">
        <f t="shared" si="0"/>
        <v>15494.295998211441</v>
      </c>
      <c r="L10" s="162">
        <f t="shared" si="0"/>
        <v>16310.243936765444</v>
      </c>
      <c r="M10" s="165">
        <f t="shared" si="0"/>
        <v>17450.140085396997</v>
      </c>
    </row>
    <row r="11" spans="1:13" ht="14.25" customHeight="1" x14ac:dyDescent="0.25">
      <c r="A11" s="152" t="s">
        <v>295</v>
      </c>
      <c r="B11" s="158"/>
      <c r="C11" s="158"/>
      <c r="D11" s="158"/>
      <c r="E11" s="158"/>
      <c r="F11" s="158"/>
      <c r="G11" s="158"/>
      <c r="H11" s="159"/>
      <c r="I11" s="166"/>
      <c r="J11" s="167"/>
      <c r="K11" s="167"/>
      <c r="L11" s="167"/>
      <c r="M11" s="168"/>
    </row>
    <row r="12" spans="1:13" ht="14.25" customHeight="1" x14ac:dyDescent="0.25">
      <c r="A12" s="152" t="s">
        <v>296</v>
      </c>
      <c r="B12" s="153">
        <v>11822.04</v>
      </c>
      <c r="C12" s="153">
        <v>12489</v>
      </c>
      <c r="D12" s="153">
        <v>13143</v>
      </c>
      <c r="E12" s="153">
        <v>20939</v>
      </c>
      <c r="F12" s="153">
        <v>25085</v>
      </c>
      <c r="G12" s="153">
        <v>33556</v>
      </c>
      <c r="H12" s="154">
        <v>43905</v>
      </c>
      <c r="I12" s="169"/>
      <c r="J12" s="170"/>
      <c r="K12" s="170"/>
      <c r="L12" s="170"/>
      <c r="M12" s="171"/>
    </row>
    <row r="13" spans="1:13" ht="14.25" customHeight="1" x14ac:dyDescent="0.25">
      <c r="A13" s="152" t="s">
        <v>297</v>
      </c>
      <c r="B13" s="153">
        <v>2828.92</v>
      </c>
      <c r="C13" s="153">
        <v>2859</v>
      </c>
      <c r="D13" s="153">
        <v>2462</v>
      </c>
      <c r="E13" s="153">
        <v>4187</v>
      </c>
      <c r="F13" s="153">
        <v>5438</v>
      </c>
      <c r="G13" s="153">
        <v>5535</v>
      </c>
      <c r="H13" s="154">
        <v>6372</v>
      </c>
      <c r="I13" s="169"/>
      <c r="J13" s="170"/>
      <c r="K13" s="170"/>
      <c r="L13" s="170"/>
      <c r="M13" s="171"/>
    </row>
    <row r="14" spans="1:13" ht="27" customHeight="1" x14ac:dyDescent="0.25">
      <c r="A14" s="152" t="s">
        <v>298</v>
      </c>
      <c r="B14" s="158">
        <v>-663.78</v>
      </c>
      <c r="C14" s="158">
        <v>-836</v>
      </c>
      <c r="D14" s="158">
        <v>164</v>
      </c>
      <c r="E14" s="153">
        <v>-4468</v>
      </c>
      <c r="F14" s="153">
        <v>-1477</v>
      </c>
      <c r="G14" s="153">
        <v>-2149</v>
      </c>
      <c r="H14" s="154">
        <v>-6537</v>
      </c>
      <c r="I14" s="169"/>
      <c r="J14" s="170"/>
      <c r="K14" s="170"/>
      <c r="L14" s="170"/>
      <c r="M14" s="171"/>
    </row>
    <row r="15" spans="1:13" ht="14.25" customHeight="1" x14ac:dyDescent="0.25">
      <c r="A15" s="152" t="s">
        <v>299</v>
      </c>
      <c r="B15" s="158">
        <v>878.79</v>
      </c>
      <c r="C15" s="153">
        <v>1040</v>
      </c>
      <c r="D15" s="158">
        <v>911</v>
      </c>
      <c r="E15" s="153">
        <v>1143</v>
      </c>
      <c r="F15" s="153">
        <v>1362</v>
      </c>
      <c r="G15" s="153">
        <v>1503</v>
      </c>
      <c r="H15" s="154">
        <v>1717</v>
      </c>
      <c r="I15" s="155">
        <f>Assumptions!I17</f>
        <v>2168.8420116276561</v>
      </c>
      <c r="J15" s="156">
        <f>Assumptions!J17</f>
        <v>2227.4682617351282</v>
      </c>
      <c r="K15" s="156">
        <f>Assumptions!K17</f>
        <v>2294.2163018037818</v>
      </c>
      <c r="L15" s="156">
        <f>Assumptions!L17</f>
        <v>2432.9985434822502</v>
      </c>
      <c r="M15" s="157">
        <f>Assumptions!M17</f>
        <v>2632.3864073224995</v>
      </c>
    </row>
    <row r="16" spans="1:13" ht="14.25" customHeight="1" x14ac:dyDescent="0.25">
      <c r="A16" s="152" t="s">
        <v>300</v>
      </c>
      <c r="B16" s="158">
        <v>44.45</v>
      </c>
      <c r="C16" s="158">
        <v>149</v>
      </c>
      <c r="D16" s="158">
        <v>181</v>
      </c>
      <c r="E16" s="158">
        <v>195</v>
      </c>
      <c r="F16" s="158">
        <v>240</v>
      </c>
      <c r="G16" s="158">
        <v>480</v>
      </c>
      <c r="H16" s="159">
        <v>767</v>
      </c>
      <c r="I16" s="155">
        <f>Assumptions!I20</f>
        <v>543.8618089657582</v>
      </c>
      <c r="J16" s="156">
        <f>Assumptions!J20</f>
        <v>587.41151121446808</v>
      </c>
      <c r="K16" s="156">
        <f>Assumptions!K20</f>
        <v>657.3762488213365</v>
      </c>
      <c r="L16" s="156">
        <f>Assumptions!L20</f>
        <v>753.31939202689432</v>
      </c>
      <c r="M16" s="157">
        <f>Assumptions!M20</f>
        <v>810.30624413504142</v>
      </c>
    </row>
    <row r="17" spans="1:13" ht="14.25" customHeight="1" x14ac:dyDescent="0.25">
      <c r="A17" s="152" t="s">
        <v>301</v>
      </c>
      <c r="B17" s="158">
        <v>138.88999999999999</v>
      </c>
      <c r="C17" s="158">
        <v>310</v>
      </c>
      <c r="D17" s="158">
        <v>331</v>
      </c>
      <c r="E17" s="158">
        <v>347</v>
      </c>
      <c r="F17" s="158">
        <v>364</v>
      </c>
      <c r="G17" s="158">
        <v>447</v>
      </c>
      <c r="H17" s="159">
        <v>537</v>
      </c>
      <c r="I17" s="155">
        <f>Assumptions!I57</f>
        <v>543.65394600000002</v>
      </c>
      <c r="J17" s="156">
        <f>Assumptions!J57</f>
        <v>644.27210224362329</v>
      </c>
      <c r="K17" s="156">
        <f>Assumptions!K57</f>
        <v>714.28275430688154</v>
      </c>
      <c r="L17" s="156">
        <f>Assumptions!L57</f>
        <v>792.69203928276943</v>
      </c>
      <c r="M17" s="157">
        <f>Assumptions!M57</f>
        <v>858.46802021909878</v>
      </c>
    </row>
    <row r="18" spans="1:13" ht="14.25" customHeight="1" x14ac:dyDescent="0.25">
      <c r="A18" s="152" t="s">
        <v>302</v>
      </c>
      <c r="B18" s="153">
        <v>2201.79</v>
      </c>
      <c r="C18" s="153">
        <v>2040</v>
      </c>
      <c r="D18" s="153">
        <v>2221</v>
      </c>
      <c r="E18" s="153">
        <v>2130</v>
      </c>
      <c r="F18" s="153">
        <v>3092</v>
      </c>
      <c r="G18" s="153">
        <v>3645</v>
      </c>
      <c r="H18" s="154">
        <v>4093</v>
      </c>
      <c r="I18" s="155">
        <f>Assumptions!I23</f>
        <v>4910.0533707967379</v>
      </c>
      <c r="J18" s="156">
        <f>Assumptions!J23</f>
        <v>4946.3504429945087</v>
      </c>
      <c r="K18" s="156">
        <f>Assumptions!K23</f>
        <v>5295.3964862586836</v>
      </c>
      <c r="L18" s="156">
        <f>Assumptions!L23</f>
        <v>5635.0556683805735</v>
      </c>
      <c r="M18" s="157">
        <f>Assumptions!M23</f>
        <v>6043.6612755720225</v>
      </c>
    </row>
    <row r="19" spans="1:13" ht="14.25" customHeight="1" x14ac:dyDescent="0.25">
      <c r="A19" s="152" t="s">
        <v>303</v>
      </c>
      <c r="B19" s="172">
        <f t="shared" ref="B19:M19" si="1">B9+B15+B16+B17+B18</f>
        <v>17251.100000000002</v>
      </c>
      <c r="C19" s="172">
        <f t="shared" si="1"/>
        <v>18051</v>
      </c>
      <c r="D19" s="172">
        <f t="shared" si="1"/>
        <v>19413</v>
      </c>
      <c r="E19" s="172">
        <f t="shared" si="1"/>
        <v>24473</v>
      </c>
      <c r="F19" s="172">
        <f t="shared" si="1"/>
        <v>34104</v>
      </c>
      <c r="G19" s="172">
        <f t="shared" si="1"/>
        <v>43017</v>
      </c>
      <c r="H19" s="173">
        <f t="shared" si="1"/>
        <v>50854</v>
      </c>
      <c r="I19" s="155">
        <f t="shared" si="1"/>
        <v>53474.656757795245</v>
      </c>
      <c r="J19" s="156">
        <f t="shared" si="1"/>
        <v>56922.130984355928</v>
      </c>
      <c r="K19" s="156">
        <f t="shared" si="1"/>
        <v>61016.80171003021</v>
      </c>
      <c r="L19" s="156">
        <f t="shared" si="1"/>
        <v>65513.045531279873</v>
      </c>
      <c r="M19" s="157">
        <f t="shared" si="1"/>
        <v>70042.639363193157</v>
      </c>
    </row>
    <row r="20" spans="1:13" ht="27" customHeight="1" x14ac:dyDescent="0.25">
      <c r="A20" s="152" t="s">
        <v>304</v>
      </c>
      <c r="B20" s="172">
        <f t="shared" ref="B20:M20" si="2">B8-B19</f>
        <v>1997.369999999999</v>
      </c>
      <c r="C20" s="172">
        <f t="shared" si="2"/>
        <v>2105</v>
      </c>
      <c r="D20" s="172">
        <f t="shared" si="2"/>
        <v>1370</v>
      </c>
      <c r="E20" s="172">
        <f t="shared" si="2"/>
        <v>2983</v>
      </c>
      <c r="F20" s="172">
        <f t="shared" si="2"/>
        <v>4465</v>
      </c>
      <c r="G20" s="172">
        <f t="shared" si="2"/>
        <v>4607</v>
      </c>
      <c r="H20" s="173">
        <f t="shared" si="2"/>
        <v>4481</v>
      </c>
      <c r="I20" s="155">
        <f t="shared" si="2"/>
        <v>5655.0248562725174</v>
      </c>
      <c r="J20" s="156">
        <f t="shared" si="2"/>
        <v>6284.497535983297</v>
      </c>
      <c r="K20" s="156">
        <f t="shared" si="2"/>
        <v>6533.024207020746</v>
      </c>
      <c r="L20" s="156">
        <f t="shared" si="2"/>
        <v>6696.1782935929514</v>
      </c>
      <c r="M20" s="157">
        <f t="shared" si="2"/>
        <v>7105.31813814833</v>
      </c>
    </row>
    <row r="21" spans="1:13" ht="14.25" customHeight="1" x14ac:dyDescent="0.25">
      <c r="A21" s="152" t="s">
        <v>305</v>
      </c>
      <c r="B21" s="158">
        <v>-70</v>
      </c>
      <c r="C21" s="158">
        <v>0</v>
      </c>
      <c r="D21" s="158">
        <v>-137</v>
      </c>
      <c r="E21" s="158">
        <v>-51</v>
      </c>
      <c r="F21" s="158">
        <v>0</v>
      </c>
      <c r="G21" s="158">
        <v>0</v>
      </c>
      <c r="H21" s="159">
        <v>0</v>
      </c>
      <c r="I21" s="155">
        <v>0</v>
      </c>
      <c r="J21" s="156">
        <v>0</v>
      </c>
      <c r="K21" s="156">
        <v>0</v>
      </c>
      <c r="L21" s="156">
        <v>0</v>
      </c>
      <c r="M21" s="157">
        <v>0</v>
      </c>
    </row>
    <row r="22" spans="1:13" ht="14.25" customHeight="1" x14ac:dyDescent="0.25">
      <c r="A22" s="152" t="s">
        <v>306</v>
      </c>
      <c r="B22" s="172">
        <f t="shared" ref="B22:M22" si="3">B20+B21</f>
        <v>1927.369999999999</v>
      </c>
      <c r="C22" s="172">
        <f t="shared" si="3"/>
        <v>2105</v>
      </c>
      <c r="D22" s="172">
        <f t="shared" si="3"/>
        <v>1233</v>
      </c>
      <c r="E22" s="172">
        <f t="shared" si="3"/>
        <v>2932</v>
      </c>
      <c r="F22" s="172">
        <f t="shared" si="3"/>
        <v>4465</v>
      </c>
      <c r="G22" s="172">
        <f t="shared" si="3"/>
        <v>4607</v>
      </c>
      <c r="H22" s="173">
        <f t="shared" si="3"/>
        <v>4481</v>
      </c>
      <c r="I22" s="155">
        <f t="shared" si="3"/>
        <v>5655.0248562725174</v>
      </c>
      <c r="J22" s="156">
        <f t="shared" si="3"/>
        <v>6284.497535983297</v>
      </c>
      <c r="K22" s="156">
        <f t="shared" si="3"/>
        <v>6533.024207020746</v>
      </c>
      <c r="L22" s="156">
        <f t="shared" si="3"/>
        <v>6696.1782935929514</v>
      </c>
      <c r="M22" s="157">
        <f t="shared" si="3"/>
        <v>7105.31813814833</v>
      </c>
    </row>
    <row r="23" spans="1:13" ht="14.25" customHeight="1" x14ac:dyDescent="0.25">
      <c r="A23" s="152" t="s">
        <v>307</v>
      </c>
      <c r="B23" s="158">
        <v>0</v>
      </c>
      <c r="C23" s="158">
        <v>0</v>
      </c>
      <c r="D23" s="158">
        <v>0</v>
      </c>
      <c r="E23" s="158">
        <v>0</v>
      </c>
      <c r="F23" s="158">
        <v>0</v>
      </c>
      <c r="G23" s="158">
        <v>0</v>
      </c>
      <c r="H23" s="159">
        <v>0</v>
      </c>
      <c r="I23" s="155">
        <v>0</v>
      </c>
      <c r="J23" s="156">
        <v>0</v>
      </c>
      <c r="K23" s="156">
        <v>0</v>
      </c>
      <c r="L23" s="156">
        <v>0</v>
      </c>
      <c r="M23" s="157">
        <v>0</v>
      </c>
    </row>
    <row r="24" spans="1:13" ht="14.25" customHeight="1" x14ac:dyDescent="0.25">
      <c r="A24" s="152" t="s">
        <v>308</v>
      </c>
      <c r="B24" s="172">
        <f t="shared" ref="B24:M24" si="4">B22+B23</f>
        <v>1927.369999999999</v>
      </c>
      <c r="C24" s="172">
        <f t="shared" si="4"/>
        <v>2105</v>
      </c>
      <c r="D24" s="172">
        <f t="shared" si="4"/>
        <v>1233</v>
      </c>
      <c r="E24" s="172">
        <f t="shared" si="4"/>
        <v>2932</v>
      </c>
      <c r="F24" s="172">
        <f t="shared" si="4"/>
        <v>4465</v>
      </c>
      <c r="G24" s="172">
        <f t="shared" si="4"/>
        <v>4607</v>
      </c>
      <c r="H24" s="173">
        <f t="shared" si="4"/>
        <v>4481</v>
      </c>
      <c r="I24" s="155">
        <f t="shared" si="4"/>
        <v>5655.0248562725174</v>
      </c>
      <c r="J24" s="156">
        <f t="shared" si="4"/>
        <v>6284.497535983297</v>
      </c>
      <c r="K24" s="156">
        <f t="shared" si="4"/>
        <v>6533.024207020746</v>
      </c>
      <c r="L24" s="156">
        <f t="shared" si="4"/>
        <v>6696.1782935929514</v>
      </c>
      <c r="M24" s="157">
        <f t="shared" si="4"/>
        <v>7105.31813814833</v>
      </c>
    </row>
    <row r="25" spans="1:13" ht="14.25" customHeight="1" x14ac:dyDescent="0.25">
      <c r="A25" s="152" t="s">
        <v>309</v>
      </c>
      <c r="B25" s="172">
        <f t="shared" ref="B25:M25" si="5">B26+B27</f>
        <v>553.01</v>
      </c>
      <c r="C25" s="172">
        <f t="shared" si="5"/>
        <v>588</v>
      </c>
      <c r="D25" s="172">
        <f t="shared" si="5"/>
        <v>356</v>
      </c>
      <c r="E25" s="172">
        <f t="shared" si="5"/>
        <v>752</v>
      </c>
      <c r="F25" s="172">
        <f t="shared" si="5"/>
        <v>1132</v>
      </c>
      <c r="G25" s="172">
        <f t="shared" si="5"/>
        <v>1063</v>
      </c>
      <c r="H25" s="173">
        <f t="shared" si="5"/>
        <v>1146</v>
      </c>
      <c r="I25" s="155">
        <f t="shared" si="5"/>
        <v>1423.2566558266678</v>
      </c>
      <c r="J25" s="156">
        <f t="shared" si="5"/>
        <v>1581.6823398562756</v>
      </c>
      <c r="K25" s="156">
        <f t="shared" si="5"/>
        <v>1644.2315324229842</v>
      </c>
      <c r="L25" s="156">
        <f t="shared" si="5"/>
        <v>1685.2941529314753</v>
      </c>
      <c r="M25" s="157">
        <f t="shared" si="5"/>
        <v>1788.2664690091731</v>
      </c>
    </row>
    <row r="26" spans="1:13" ht="14.25" customHeight="1" x14ac:dyDescent="0.25">
      <c r="A26" s="152" t="s">
        <v>263</v>
      </c>
      <c r="B26" s="158">
        <v>602.01</v>
      </c>
      <c r="C26" s="158">
        <v>552</v>
      </c>
      <c r="D26" s="158">
        <v>351</v>
      </c>
      <c r="E26" s="158">
        <v>779</v>
      </c>
      <c r="F26" s="153">
        <v>1140</v>
      </c>
      <c r="G26" s="153">
        <v>1072</v>
      </c>
      <c r="H26" s="154">
        <v>1117</v>
      </c>
      <c r="I26" s="155">
        <f>Assumptions!I26</f>
        <v>1423.2566558266678</v>
      </c>
      <c r="J26" s="156">
        <f>Assumptions!J26</f>
        <v>1581.6823398562756</v>
      </c>
      <c r="K26" s="156">
        <f>Assumptions!K26</f>
        <v>1644.2315324229842</v>
      </c>
      <c r="L26" s="156">
        <f>Assumptions!L26</f>
        <v>1685.2941529314753</v>
      </c>
      <c r="M26" s="157">
        <f>Assumptions!M26</f>
        <v>1788.2664690091731</v>
      </c>
    </row>
    <row r="27" spans="1:13" ht="14.25" customHeight="1" x14ac:dyDescent="0.25">
      <c r="A27" s="152" t="s">
        <v>310</v>
      </c>
      <c r="B27" s="158">
        <v>-49</v>
      </c>
      <c r="C27" s="158">
        <v>36</v>
      </c>
      <c r="D27" s="158">
        <v>5</v>
      </c>
      <c r="E27" s="158">
        <v>-27</v>
      </c>
      <c r="F27" s="158">
        <v>-8</v>
      </c>
      <c r="G27" s="158">
        <v>-9</v>
      </c>
      <c r="H27" s="159">
        <v>29</v>
      </c>
      <c r="I27" s="155">
        <v>0</v>
      </c>
      <c r="J27" s="156">
        <v>0</v>
      </c>
      <c r="K27" s="156">
        <v>0</v>
      </c>
      <c r="L27" s="156">
        <v>0</v>
      </c>
      <c r="M27" s="157">
        <v>0</v>
      </c>
    </row>
    <row r="28" spans="1:13" ht="27" customHeight="1" x14ac:dyDescent="0.25">
      <c r="A28" s="152" t="s">
        <v>311</v>
      </c>
      <c r="B28" s="172">
        <f t="shared" ref="B28:M28" si="6">B24-B25</f>
        <v>1374.359999999999</v>
      </c>
      <c r="C28" s="172">
        <f t="shared" si="6"/>
        <v>1517</v>
      </c>
      <c r="D28" s="172">
        <f t="shared" si="6"/>
        <v>877</v>
      </c>
      <c r="E28" s="172">
        <f t="shared" si="6"/>
        <v>2180</v>
      </c>
      <c r="F28" s="172">
        <f t="shared" si="6"/>
        <v>3333</v>
      </c>
      <c r="G28" s="172">
        <f t="shared" si="6"/>
        <v>3544</v>
      </c>
      <c r="H28" s="173">
        <f t="shared" si="6"/>
        <v>3335</v>
      </c>
      <c r="I28" s="155">
        <f t="shared" si="6"/>
        <v>4231.7682004458493</v>
      </c>
      <c r="J28" s="156">
        <f t="shared" si="6"/>
        <v>4702.8151961270214</v>
      </c>
      <c r="K28" s="156">
        <f t="shared" si="6"/>
        <v>4888.792674597762</v>
      </c>
      <c r="L28" s="156">
        <f t="shared" si="6"/>
        <v>5010.8841406614756</v>
      </c>
      <c r="M28" s="157">
        <f t="shared" si="6"/>
        <v>5317.0516691391567</v>
      </c>
    </row>
    <row r="29" spans="1:13" ht="14.25" customHeight="1" x14ac:dyDescent="0.25">
      <c r="A29" s="152" t="s">
        <v>312</v>
      </c>
      <c r="B29" s="172">
        <f t="shared" ref="B29:M29" si="7">B28</f>
        <v>1374.359999999999</v>
      </c>
      <c r="C29" s="172">
        <f t="shared" si="7"/>
        <v>1517</v>
      </c>
      <c r="D29" s="172">
        <f t="shared" si="7"/>
        <v>877</v>
      </c>
      <c r="E29" s="172">
        <f t="shared" si="7"/>
        <v>2180</v>
      </c>
      <c r="F29" s="172">
        <f t="shared" si="7"/>
        <v>3333</v>
      </c>
      <c r="G29" s="172">
        <f t="shared" si="7"/>
        <v>3544</v>
      </c>
      <c r="H29" s="173">
        <f t="shared" si="7"/>
        <v>3335</v>
      </c>
      <c r="I29" s="155">
        <f t="shared" si="7"/>
        <v>4231.7682004458493</v>
      </c>
      <c r="J29" s="156">
        <f t="shared" si="7"/>
        <v>4702.8151961270214</v>
      </c>
      <c r="K29" s="156">
        <f t="shared" si="7"/>
        <v>4888.792674597762</v>
      </c>
      <c r="L29" s="156">
        <f t="shared" si="7"/>
        <v>5010.8841406614756</v>
      </c>
      <c r="M29" s="157">
        <f t="shared" si="7"/>
        <v>5317.0516691391567</v>
      </c>
    </row>
    <row r="30" spans="1:13" ht="14.25" customHeight="1" x14ac:dyDescent="0.25">
      <c r="A30" s="152" t="s">
        <v>313</v>
      </c>
      <c r="B30" s="158">
        <v>15.48</v>
      </c>
      <c r="C30" s="158">
        <v>17.09</v>
      </c>
      <c r="D30" s="158">
        <v>9.8800000000000008</v>
      </c>
      <c r="E30" s="158">
        <v>24.56</v>
      </c>
      <c r="F30" s="158">
        <v>37.54</v>
      </c>
      <c r="G30" s="158">
        <v>39.94</v>
      </c>
      <c r="H30" s="159">
        <v>37.6</v>
      </c>
      <c r="I30" s="155">
        <f>I29/(H29/H30)</f>
        <v>47.710490056001184</v>
      </c>
      <c r="J30" s="156">
        <f>J29/(H29/H30)</f>
        <v>53.021244789917844</v>
      </c>
      <c r="K30" s="156">
        <f>K29/(H29/H30)</f>
        <v>55.118022358283618</v>
      </c>
      <c r="L30" s="156">
        <f>L29/(H29/H30)</f>
        <v>56.494525843739581</v>
      </c>
      <c r="M30" s="157">
        <f>M29/(H29/H30)</f>
        <v>59.946369643068159</v>
      </c>
    </row>
    <row r="31" spans="1:13" ht="14.25" customHeight="1" x14ac:dyDescent="0.25">
      <c r="A31" s="152" t="s">
        <v>314</v>
      </c>
      <c r="B31" s="158">
        <v>15.48</v>
      </c>
      <c r="C31" s="158">
        <v>17.09</v>
      </c>
      <c r="D31" s="158">
        <v>9.8800000000000008</v>
      </c>
      <c r="E31" s="158">
        <v>24.56</v>
      </c>
      <c r="F31" s="158">
        <v>37.54</v>
      </c>
      <c r="G31" s="158">
        <v>39.92</v>
      </c>
      <c r="H31" s="159">
        <v>37.58</v>
      </c>
      <c r="I31" s="155">
        <f>I30</f>
        <v>47.710490056001184</v>
      </c>
      <c r="J31" s="156">
        <f>J30</f>
        <v>53.021244789917844</v>
      </c>
      <c r="K31" s="156">
        <f>K30</f>
        <v>55.118022358283618</v>
      </c>
      <c r="L31" s="156">
        <f>L30</f>
        <v>56.494525843739581</v>
      </c>
      <c r="M31" s="157">
        <f>M30</f>
        <v>59.946369643068159</v>
      </c>
    </row>
    <row r="32" spans="1:13" ht="14.25" customHeight="1" x14ac:dyDescent="0.25">
      <c r="A32" s="152" t="s">
        <v>315</v>
      </c>
      <c r="B32" s="158">
        <v>69.63</v>
      </c>
      <c r="C32" s="158">
        <v>76.87</v>
      </c>
      <c r="D32" s="158">
        <v>85.07</v>
      </c>
      <c r="E32" s="158">
        <v>105.57</v>
      </c>
      <c r="F32" s="158">
        <v>134.76</v>
      </c>
      <c r="G32" s="158">
        <v>162.44</v>
      </c>
      <c r="H32" s="159">
        <v>188.89</v>
      </c>
      <c r="I32" s="155">
        <f>I41/(H29/H30)</f>
        <v>226.29107937537603</v>
      </c>
      <c r="J32" s="156">
        <f>J41/(H29/H30)</f>
        <v>266.50768459912865</v>
      </c>
      <c r="K32" s="156">
        <f>K41/(H29/H30)</f>
        <v>307.47290466161911</v>
      </c>
      <c r="L32" s="156">
        <f>L41/(H29/H30)</f>
        <v>348.97361707705755</v>
      </c>
      <c r="M32" s="157">
        <f>M41/(H29/H30)</f>
        <v>393.48505438844876</v>
      </c>
    </row>
    <row r="33" spans="1:15" ht="15" customHeight="1" x14ac:dyDescent="0.25">
      <c r="A33" s="174" t="s">
        <v>316</v>
      </c>
      <c r="B33" s="175">
        <v>491.7</v>
      </c>
      <c r="C33" s="175">
        <v>88</v>
      </c>
      <c r="D33" s="175">
        <v>474</v>
      </c>
      <c r="E33" s="176">
        <v>2224</v>
      </c>
      <c r="F33" s="176">
        <v>2846</v>
      </c>
      <c r="G33" s="176">
        <v>2172</v>
      </c>
      <c r="H33" s="177">
        <v>702</v>
      </c>
      <c r="I33" s="178"/>
      <c r="J33" s="179"/>
      <c r="K33" s="179"/>
      <c r="L33" s="179"/>
      <c r="M33" s="180"/>
    </row>
    <row r="34" spans="1:15" ht="14.25" customHeight="1" x14ac:dyDescent="0.25">
      <c r="A34" s="181"/>
      <c r="B34" s="182"/>
      <c r="C34" s="182"/>
      <c r="D34" s="182"/>
      <c r="E34" s="182"/>
      <c r="F34" s="182"/>
      <c r="G34" s="182"/>
      <c r="H34" s="182"/>
    </row>
    <row r="35" spans="1:15" ht="15" customHeight="1" x14ac:dyDescent="0.25">
      <c r="A35" s="389" t="s">
        <v>317</v>
      </c>
      <c r="B35" s="389"/>
      <c r="C35" s="389"/>
      <c r="D35" s="389"/>
      <c r="E35" s="389"/>
      <c r="F35" s="389"/>
      <c r="G35" s="389"/>
      <c r="H35" s="389"/>
      <c r="I35" s="390" t="s">
        <v>286</v>
      </c>
      <c r="J35" s="390"/>
      <c r="K35" s="390"/>
      <c r="L35" s="390"/>
      <c r="M35" s="390"/>
    </row>
    <row r="36" spans="1:15" ht="14.25" customHeight="1" x14ac:dyDescent="0.25">
      <c r="A36" s="139" t="s">
        <v>242</v>
      </c>
      <c r="B36" s="140">
        <v>2019</v>
      </c>
      <c r="C36" s="140">
        <v>2020</v>
      </c>
      <c r="D36" s="140">
        <v>2021</v>
      </c>
      <c r="E36" s="140">
        <v>2022</v>
      </c>
      <c r="F36" s="140">
        <v>2023</v>
      </c>
      <c r="G36" s="140">
        <v>2024</v>
      </c>
      <c r="H36" s="141">
        <v>2025</v>
      </c>
      <c r="I36" s="183">
        <v>2026</v>
      </c>
      <c r="J36" s="140">
        <v>2027</v>
      </c>
      <c r="K36" s="140">
        <v>2028</v>
      </c>
      <c r="L36" s="140">
        <v>2029</v>
      </c>
      <c r="M36" s="184">
        <v>2030</v>
      </c>
    </row>
    <row r="37" spans="1:15" ht="14.25" customHeight="1" x14ac:dyDescent="0.25">
      <c r="A37" s="145" t="s">
        <v>318</v>
      </c>
      <c r="B37" s="146"/>
      <c r="C37" s="146"/>
      <c r="D37" s="146"/>
      <c r="E37" s="146"/>
      <c r="F37" s="146"/>
      <c r="G37" s="146"/>
      <c r="H37" s="147"/>
      <c r="I37" s="185"/>
      <c r="J37" s="150"/>
      <c r="K37" s="150"/>
      <c r="L37" s="150"/>
      <c r="M37" s="151"/>
    </row>
    <row r="38" spans="1:15" ht="14.25" customHeight="1" x14ac:dyDescent="0.25">
      <c r="A38" s="152" t="s">
        <v>319</v>
      </c>
      <c r="B38" s="158">
        <v>88.78</v>
      </c>
      <c r="C38" s="158">
        <v>89</v>
      </c>
      <c r="D38" s="158">
        <v>89</v>
      </c>
      <c r="E38" s="158">
        <v>89</v>
      </c>
      <c r="F38" s="158">
        <v>89</v>
      </c>
      <c r="G38" s="158">
        <v>89</v>
      </c>
      <c r="H38" s="159">
        <v>89</v>
      </c>
      <c r="I38" s="155">
        <f>H38</f>
        <v>89</v>
      </c>
      <c r="J38" s="156">
        <f>H38</f>
        <v>89</v>
      </c>
      <c r="K38" s="156">
        <f>H38</f>
        <v>89</v>
      </c>
      <c r="L38" s="156">
        <f>H38</f>
        <v>89</v>
      </c>
      <c r="M38" s="157">
        <f>H38</f>
        <v>89</v>
      </c>
    </row>
    <row r="39" spans="1:15" ht="14.25" customHeight="1" x14ac:dyDescent="0.25">
      <c r="A39" s="152" t="s">
        <v>320</v>
      </c>
      <c r="B39" s="158">
        <v>88.78</v>
      </c>
      <c r="C39" s="158">
        <v>88.78</v>
      </c>
      <c r="D39" s="158">
        <v>88.78</v>
      </c>
      <c r="E39" s="158">
        <v>88.78</v>
      </c>
      <c r="F39" s="158">
        <v>89</v>
      </c>
      <c r="G39" s="158">
        <v>89</v>
      </c>
      <c r="H39" s="159">
        <v>89</v>
      </c>
      <c r="I39" s="155">
        <f>H39</f>
        <v>89</v>
      </c>
      <c r="J39" s="156">
        <f>H39</f>
        <v>89</v>
      </c>
      <c r="K39" s="156">
        <f>H39</f>
        <v>89</v>
      </c>
      <c r="L39" s="156">
        <f>H39</f>
        <v>89</v>
      </c>
      <c r="M39" s="157">
        <f>H39</f>
        <v>89</v>
      </c>
    </row>
    <row r="40" spans="1:15" ht="14.25" customHeight="1" x14ac:dyDescent="0.25">
      <c r="A40" s="152" t="s">
        <v>321</v>
      </c>
      <c r="B40" s="153">
        <v>6092.94</v>
      </c>
      <c r="C40" s="153">
        <v>6736</v>
      </c>
      <c r="D40" s="153">
        <v>7464</v>
      </c>
      <c r="E40" s="153">
        <v>9284</v>
      </c>
      <c r="F40" s="153">
        <v>11905</v>
      </c>
      <c r="G40" s="153">
        <v>14368</v>
      </c>
      <c r="H40" s="154">
        <v>16722</v>
      </c>
      <c r="I40" s="155">
        <f>H40+I29-Assumptions!I29</f>
        <v>19982.296535023379</v>
      </c>
      <c r="J40" s="156">
        <f>I40+J29-Assumptions!J29</f>
        <v>23549.381067502498</v>
      </c>
      <c r="K40" s="156">
        <f>J40+K29-Assumptions!K29</f>
        <v>27182.865346981376</v>
      </c>
      <c r="L40" s="156">
        <f>K40+L29-Assumptions!L29</f>
        <v>30863.846089148588</v>
      </c>
      <c r="M40" s="157">
        <f>L40+M29-Assumptions!M29</f>
        <v>34811.868520890333</v>
      </c>
    </row>
    <row r="41" spans="1:15" ht="14.25" customHeight="1" x14ac:dyDescent="0.25">
      <c r="A41" s="152" t="s">
        <v>322</v>
      </c>
      <c r="B41" s="153">
        <v>6181.72</v>
      </c>
      <c r="C41" s="153">
        <v>6825</v>
      </c>
      <c r="D41" s="153">
        <v>7553</v>
      </c>
      <c r="E41" s="153">
        <v>9373</v>
      </c>
      <c r="F41" s="153">
        <v>11994</v>
      </c>
      <c r="G41" s="153">
        <v>14457</v>
      </c>
      <c r="H41" s="154">
        <v>16811</v>
      </c>
      <c r="I41" s="155">
        <f>I38+I40</f>
        <v>20071.296535023379</v>
      </c>
      <c r="J41" s="156">
        <f>J38+J40</f>
        <v>23638.381067502498</v>
      </c>
      <c r="K41" s="156">
        <f>K38+K40</f>
        <v>27271.865346981376</v>
      </c>
      <c r="L41" s="156">
        <f>L38+L40</f>
        <v>30952.846089148588</v>
      </c>
      <c r="M41" s="157">
        <f>M38+M40</f>
        <v>34900.868520890333</v>
      </c>
    </row>
    <row r="42" spans="1:15" ht="14.25" customHeight="1" x14ac:dyDescent="0.25">
      <c r="A42" s="152" t="s">
        <v>323</v>
      </c>
      <c r="B42" s="158"/>
      <c r="C42" s="158"/>
      <c r="D42" s="158"/>
      <c r="E42" s="158"/>
      <c r="F42" s="158"/>
      <c r="G42" s="158"/>
      <c r="H42" s="159"/>
      <c r="I42" s="169"/>
      <c r="J42" s="170"/>
      <c r="K42" s="170"/>
      <c r="L42" s="170"/>
      <c r="M42" s="171"/>
    </row>
    <row r="43" spans="1:15" ht="14.25" customHeight="1" x14ac:dyDescent="0.25">
      <c r="A43" s="152" t="s">
        <v>324</v>
      </c>
      <c r="B43" s="158">
        <v>0</v>
      </c>
      <c r="C43" s="158">
        <v>0</v>
      </c>
      <c r="D43" s="158">
        <v>0</v>
      </c>
      <c r="E43" s="158">
        <v>0</v>
      </c>
      <c r="F43" s="158">
        <v>0</v>
      </c>
      <c r="G43" s="153">
        <v>3139</v>
      </c>
      <c r="H43" s="159">
        <v>420</v>
      </c>
      <c r="I43" s="155">
        <f>H43</f>
        <v>420</v>
      </c>
      <c r="J43" s="156">
        <f>H43</f>
        <v>420</v>
      </c>
      <c r="K43" s="156">
        <f>H43</f>
        <v>420</v>
      </c>
      <c r="L43" s="156">
        <f>H43</f>
        <v>420</v>
      </c>
      <c r="M43" s="157">
        <f>H43</f>
        <v>420</v>
      </c>
    </row>
    <row r="44" spans="1:15" ht="14.25" customHeight="1" x14ac:dyDescent="0.25">
      <c r="A44" s="152" t="s">
        <v>325</v>
      </c>
      <c r="B44" s="158" t="s">
        <v>56</v>
      </c>
      <c r="C44" s="158">
        <v>967</v>
      </c>
      <c r="D44" s="158">
        <v>971</v>
      </c>
      <c r="E44" s="153">
        <v>1026</v>
      </c>
      <c r="F44" s="153">
        <v>1359</v>
      </c>
      <c r="G44" s="153">
        <v>1666</v>
      </c>
      <c r="H44" s="154">
        <v>1943</v>
      </c>
      <c r="I44" s="155">
        <f>H44</f>
        <v>1943</v>
      </c>
      <c r="J44" s="156">
        <f>H44</f>
        <v>1943</v>
      </c>
      <c r="K44" s="156">
        <f>H44</f>
        <v>1943</v>
      </c>
      <c r="L44" s="156">
        <f>H44</f>
        <v>1943</v>
      </c>
      <c r="M44" s="157">
        <f>H44</f>
        <v>1943</v>
      </c>
    </row>
    <row r="45" spans="1:15" ht="14.25" customHeight="1" x14ac:dyDescent="0.25">
      <c r="A45" s="152" t="s">
        <v>326</v>
      </c>
      <c r="B45" s="158">
        <v>118.85</v>
      </c>
      <c r="C45" s="158">
        <v>152</v>
      </c>
      <c r="D45" s="158">
        <v>143</v>
      </c>
      <c r="E45" s="158">
        <v>179</v>
      </c>
      <c r="F45" s="158">
        <v>214</v>
      </c>
      <c r="G45" s="158">
        <v>238</v>
      </c>
      <c r="H45" s="159">
        <v>256</v>
      </c>
      <c r="I45" s="155">
        <f>H45</f>
        <v>256</v>
      </c>
      <c r="J45" s="156">
        <f>H45</f>
        <v>256</v>
      </c>
      <c r="K45" s="156">
        <f>H45</f>
        <v>256</v>
      </c>
      <c r="L45" s="156">
        <f>H45</f>
        <v>256</v>
      </c>
      <c r="M45" s="157">
        <f>H45</f>
        <v>256</v>
      </c>
    </row>
    <row r="46" spans="1:15" ht="14.25" customHeight="1" x14ac:dyDescent="0.25">
      <c r="A46" s="152" t="s">
        <v>327</v>
      </c>
      <c r="B46" s="158">
        <v>118.85</v>
      </c>
      <c r="C46" s="153">
        <v>1119</v>
      </c>
      <c r="D46" s="153">
        <v>1114</v>
      </c>
      <c r="E46" s="153">
        <v>1205</v>
      </c>
      <c r="F46" s="153">
        <v>1573</v>
      </c>
      <c r="G46" s="153">
        <v>5043</v>
      </c>
      <c r="H46" s="154">
        <v>2619</v>
      </c>
      <c r="I46" s="155">
        <f>I43+I44+I45</f>
        <v>2619</v>
      </c>
      <c r="J46" s="156">
        <f>J43+J44+J45</f>
        <v>2619</v>
      </c>
      <c r="K46" s="156">
        <f>K43+K44+K45</f>
        <v>2619</v>
      </c>
      <c r="L46" s="156">
        <f>L43+L44+L45</f>
        <v>2619</v>
      </c>
      <c r="M46" s="157">
        <f>M43+M44+M45</f>
        <v>2619</v>
      </c>
    </row>
    <row r="47" spans="1:15" ht="14.25" customHeight="1" x14ac:dyDescent="0.25">
      <c r="A47" s="152" t="s">
        <v>328</v>
      </c>
      <c r="B47" s="158"/>
      <c r="C47" s="158"/>
      <c r="D47" s="158"/>
      <c r="E47" s="158"/>
      <c r="F47" s="158"/>
      <c r="G47" s="158"/>
      <c r="H47" s="159"/>
      <c r="I47" s="186"/>
      <c r="J47" s="187"/>
      <c r="K47" s="187"/>
      <c r="L47" s="187"/>
      <c r="M47" s="188"/>
      <c r="N47" s="189"/>
      <c r="O47" s="189"/>
    </row>
    <row r="48" spans="1:15" ht="14.25" customHeight="1" x14ac:dyDescent="0.25">
      <c r="A48" s="152" t="s">
        <v>329</v>
      </c>
      <c r="B48" s="153">
        <v>2287.63</v>
      </c>
      <c r="C48" s="153">
        <v>2133</v>
      </c>
      <c r="D48" s="153">
        <v>4094</v>
      </c>
      <c r="E48" s="153">
        <v>5386</v>
      </c>
      <c r="F48" s="153">
        <v>6280</v>
      </c>
      <c r="G48" s="153">
        <v>7608</v>
      </c>
      <c r="H48" s="154">
        <v>14526</v>
      </c>
      <c r="I48" s="155">
        <f>H48</f>
        <v>14526</v>
      </c>
      <c r="J48" s="156">
        <f>H48</f>
        <v>14526</v>
      </c>
      <c r="K48" s="156">
        <f>H48</f>
        <v>14526</v>
      </c>
      <c r="L48" s="156">
        <f>H48</f>
        <v>14526</v>
      </c>
      <c r="M48" s="157">
        <f>H48</f>
        <v>14526</v>
      </c>
    </row>
    <row r="49" spans="1:13" ht="14.25" customHeight="1" x14ac:dyDescent="0.25">
      <c r="A49" s="152" t="s">
        <v>325</v>
      </c>
      <c r="B49" s="158" t="s">
        <v>56</v>
      </c>
      <c r="C49" s="158">
        <v>967</v>
      </c>
      <c r="D49" s="158">
        <v>971</v>
      </c>
      <c r="E49" s="153">
        <v>1026</v>
      </c>
      <c r="F49" s="153">
        <v>1359</v>
      </c>
      <c r="G49" s="153">
        <v>1666</v>
      </c>
      <c r="H49" s="154">
        <v>1943</v>
      </c>
      <c r="I49" s="155">
        <f>H49</f>
        <v>1943</v>
      </c>
      <c r="J49" s="156">
        <f>H49</f>
        <v>1943</v>
      </c>
      <c r="K49" s="156">
        <f>H49</f>
        <v>1943</v>
      </c>
      <c r="L49" s="156">
        <f>H49</f>
        <v>1943</v>
      </c>
      <c r="M49" s="157">
        <f>H49</f>
        <v>1943</v>
      </c>
    </row>
    <row r="50" spans="1:13" ht="14.25" customHeight="1" x14ac:dyDescent="0.25">
      <c r="A50" s="152" t="s">
        <v>330</v>
      </c>
      <c r="B50" s="158">
        <v>772.34</v>
      </c>
      <c r="C50" s="158">
        <v>510</v>
      </c>
      <c r="D50" s="158">
        <v>695</v>
      </c>
      <c r="E50" s="153">
        <v>1055</v>
      </c>
      <c r="F50" s="158">
        <v>965</v>
      </c>
      <c r="G50" s="158">
        <v>943</v>
      </c>
      <c r="H50" s="154">
        <v>1472</v>
      </c>
      <c r="I50" s="155">
        <f>Assumptions!I40</f>
        <v>1699.4822985566475</v>
      </c>
      <c r="J50" s="156">
        <f>Assumptions!J40</f>
        <v>1756.1293569497625</v>
      </c>
      <c r="K50" s="156">
        <f>Assumptions!K40</f>
        <v>1729.3768544816489</v>
      </c>
      <c r="L50" s="156">
        <f>Assumptions!L40</f>
        <v>1857.0474925707126</v>
      </c>
      <c r="M50" s="157">
        <f>Assumptions!M40</f>
        <v>2075.1253708421855</v>
      </c>
    </row>
    <row r="51" spans="1:13" ht="14.25" customHeight="1" x14ac:dyDescent="0.25">
      <c r="A51" s="152" t="s">
        <v>331</v>
      </c>
      <c r="B51" s="153">
        <v>2042.43</v>
      </c>
      <c r="C51" s="153">
        <v>2314</v>
      </c>
      <c r="D51" s="153">
        <v>2123</v>
      </c>
      <c r="E51" s="153">
        <v>2815</v>
      </c>
      <c r="F51" s="153">
        <v>3862</v>
      </c>
      <c r="G51" s="153">
        <v>4425</v>
      </c>
      <c r="H51" s="154">
        <v>5203</v>
      </c>
      <c r="I51" s="155">
        <f>Assumptions!I43</f>
        <v>5816.5511461271717</v>
      </c>
      <c r="J51" s="156">
        <f>Assumptions!J43</f>
        <v>6168.4692038754956</v>
      </c>
      <c r="K51" s="156">
        <f>Assumptions!K43</f>
        <v>6525.6572279625152</v>
      </c>
      <c r="L51" s="156">
        <f>Assumptions!L43</f>
        <v>6924.9196811633783</v>
      </c>
      <c r="M51" s="157">
        <f>Assumptions!M43</f>
        <v>7444.6908800393176</v>
      </c>
    </row>
    <row r="52" spans="1:13" ht="14.25" customHeight="1" x14ac:dyDescent="0.25">
      <c r="A52" s="152" t="s">
        <v>332</v>
      </c>
      <c r="B52" s="158">
        <v>66.849999999999994</v>
      </c>
      <c r="C52" s="158">
        <v>118</v>
      </c>
      <c r="D52" s="158">
        <v>103</v>
      </c>
      <c r="E52" s="158">
        <v>110</v>
      </c>
      <c r="F52" s="158">
        <v>191</v>
      </c>
      <c r="G52" s="158">
        <v>138</v>
      </c>
      <c r="H52" s="159">
        <v>162</v>
      </c>
      <c r="I52" s="155">
        <f>H52</f>
        <v>162</v>
      </c>
      <c r="J52" s="156">
        <f>H52</f>
        <v>162</v>
      </c>
      <c r="K52" s="156">
        <f>H52</f>
        <v>162</v>
      </c>
      <c r="L52" s="156">
        <f>H52</f>
        <v>162</v>
      </c>
      <c r="M52" s="157">
        <f>H52</f>
        <v>162</v>
      </c>
    </row>
    <row r="53" spans="1:13" ht="14.25" customHeight="1" x14ac:dyDescent="0.25">
      <c r="A53" s="152" t="s">
        <v>333</v>
      </c>
      <c r="B53" s="153">
        <v>5169.25</v>
      </c>
      <c r="C53" s="153">
        <v>5244</v>
      </c>
      <c r="D53" s="153">
        <v>7193</v>
      </c>
      <c r="E53" s="153">
        <v>9559</v>
      </c>
      <c r="F53" s="153">
        <v>11521</v>
      </c>
      <c r="G53" s="153">
        <v>13362</v>
      </c>
      <c r="H53" s="154">
        <v>21645</v>
      </c>
      <c r="I53" s="155">
        <f>I48+I50+I51+I52+(H53-H48-H50-H51-H52)</f>
        <v>22486.033444683821</v>
      </c>
      <c r="J53" s="156">
        <f>J48+J50+J51+J52+(H53-H48-H50-H51-H52)</f>
        <v>22894.598560825259</v>
      </c>
      <c r="K53" s="156">
        <f>K48+K50+K51+K52+(H53-H48-H50-H51-H52)</f>
        <v>23225.034082444163</v>
      </c>
      <c r="L53" s="156">
        <f>L48+L50+L51+L52+(H53-H48-H50-H51-H52)</f>
        <v>23751.96717373409</v>
      </c>
      <c r="M53" s="157">
        <f>M48+M50+M51+M52+(H53-H48-H50-H51-H52)</f>
        <v>24489.816250881504</v>
      </c>
    </row>
    <row r="54" spans="1:13" ht="14.25" customHeight="1" x14ac:dyDescent="0.25">
      <c r="A54" s="190" t="s">
        <v>334</v>
      </c>
      <c r="B54" s="191">
        <v>11469.82</v>
      </c>
      <c r="C54" s="191">
        <v>13188</v>
      </c>
      <c r="D54" s="191">
        <v>15860</v>
      </c>
      <c r="E54" s="191">
        <v>20137</v>
      </c>
      <c r="F54" s="191">
        <v>25088</v>
      </c>
      <c r="G54" s="191">
        <v>32862</v>
      </c>
      <c r="H54" s="192">
        <v>41075</v>
      </c>
      <c r="I54" s="193">
        <f>I41+I46+I53</f>
        <v>45176.329979707196</v>
      </c>
      <c r="J54" s="194">
        <f>J41+J46+J53</f>
        <v>49151.979628327754</v>
      </c>
      <c r="K54" s="194">
        <f>K41+K46+K53</f>
        <v>53115.899429425539</v>
      </c>
      <c r="L54" s="194">
        <f>L41+L46+L53</f>
        <v>57323.813262882679</v>
      </c>
      <c r="M54" s="195">
        <f>M41+M46+M53</f>
        <v>62009.684771771834</v>
      </c>
    </row>
    <row r="55" spans="1:13" ht="14.25" customHeight="1" x14ac:dyDescent="0.25">
      <c r="A55" s="152" t="s">
        <v>335</v>
      </c>
      <c r="B55" s="158"/>
      <c r="C55" s="158"/>
      <c r="D55" s="158"/>
      <c r="E55" s="158"/>
      <c r="F55" s="158"/>
      <c r="G55" s="158"/>
      <c r="H55" s="159"/>
      <c r="I55" s="169"/>
      <c r="J55" s="170"/>
      <c r="K55" s="170"/>
      <c r="L55" s="170"/>
      <c r="M55" s="171"/>
    </row>
    <row r="56" spans="1:13" ht="14.25" customHeight="1" x14ac:dyDescent="0.25">
      <c r="A56" s="152" t="s">
        <v>336</v>
      </c>
      <c r="B56" s="158"/>
      <c r="C56" s="158"/>
      <c r="D56" s="158"/>
      <c r="E56" s="158"/>
      <c r="F56" s="158"/>
      <c r="G56" s="158"/>
      <c r="H56" s="159"/>
      <c r="I56" s="169"/>
      <c r="J56" s="170"/>
      <c r="K56" s="170"/>
      <c r="L56" s="170"/>
      <c r="M56" s="171"/>
    </row>
    <row r="57" spans="1:13" ht="14.25" customHeight="1" x14ac:dyDescent="0.25">
      <c r="A57" s="152" t="s">
        <v>337</v>
      </c>
      <c r="B57" s="153">
        <v>1070.96</v>
      </c>
      <c r="C57" s="153">
        <v>2043</v>
      </c>
      <c r="D57" s="153">
        <v>1960</v>
      </c>
      <c r="E57" s="153">
        <v>1995</v>
      </c>
      <c r="F57" s="153">
        <v>2287</v>
      </c>
      <c r="G57" s="153">
        <v>2777</v>
      </c>
      <c r="H57" s="154">
        <v>3112</v>
      </c>
      <c r="I57" s="155">
        <f>I58+I59+I60+I61+I62</f>
        <v>3330.8557036011152</v>
      </c>
      <c r="J57" s="156">
        <f>J58+J59+J60+J61+J62</f>
        <v>3520.8526692364594</v>
      </c>
      <c r="K57" s="156">
        <f>K58+K59+K60+K61+K62</f>
        <v>3711.0695422379267</v>
      </c>
      <c r="L57" s="156">
        <f>L58+L59+L60+L61+L62</f>
        <v>3926.9489645862241</v>
      </c>
      <c r="M57" s="157">
        <f>M58+M59+M60+M61+M62</f>
        <v>4096.6927295636433</v>
      </c>
    </row>
    <row r="58" spans="1:13" ht="14.25" customHeight="1" x14ac:dyDescent="0.25">
      <c r="A58" s="152" t="s">
        <v>338</v>
      </c>
      <c r="B58" s="153">
        <v>1007.04</v>
      </c>
      <c r="C58" s="153">
        <v>1095</v>
      </c>
      <c r="D58" s="153">
        <v>1026</v>
      </c>
      <c r="E58" s="153">
        <v>1012</v>
      </c>
      <c r="F58" s="153">
        <v>1068</v>
      </c>
      <c r="G58" s="153">
        <v>1380</v>
      </c>
      <c r="H58" s="154">
        <v>1474</v>
      </c>
      <c r="I58" s="155">
        <f>Assumptions!I60</f>
        <v>1692.8557036011152</v>
      </c>
      <c r="J58" s="156">
        <f>Assumptions!J60</f>
        <v>1882.8526692364592</v>
      </c>
      <c r="K58" s="156">
        <f>Assumptions!K60</f>
        <v>2073.0695422379267</v>
      </c>
      <c r="L58" s="156">
        <f>Assumptions!L60</f>
        <v>2288.9489645862241</v>
      </c>
      <c r="M58" s="157">
        <f>Assumptions!M60</f>
        <v>2458.6927295636438</v>
      </c>
    </row>
    <row r="59" spans="1:13" ht="14.25" customHeight="1" x14ac:dyDescent="0.25">
      <c r="A59" s="152" t="s">
        <v>339</v>
      </c>
      <c r="B59" s="158">
        <v>38.29</v>
      </c>
      <c r="C59" s="158">
        <v>64</v>
      </c>
      <c r="D59" s="158">
        <v>55</v>
      </c>
      <c r="E59" s="158">
        <v>35</v>
      </c>
      <c r="F59" s="158">
        <v>34</v>
      </c>
      <c r="G59" s="158">
        <v>85</v>
      </c>
      <c r="H59" s="159">
        <v>95</v>
      </c>
      <c r="I59" s="155">
        <f t="shared" ref="I59:I66" si="8">H59</f>
        <v>95</v>
      </c>
      <c r="J59" s="156">
        <f t="shared" ref="J59:J66" si="9">H59</f>
        <v>95</v>
      </c>
      <c r="K59" s="156">
        <f t="shared" ref="K59:K66" si="10">H59</f>
        <v>95</v>
      </c>
      <c r="L59" s="156">
        <f t="shared" ref="L59:L66" si="11">H59</f>
        <v>95</v>
      </c>
      <c r="M59" s="157">
        <f t="shared" ref="M59:M66" si="12">H59</f>
        <v>95</v>
      </c>
    </row>
    <row r="60" spans="1:13" ht="14.25" customHeight="1" x14ac:dyDescent="0.25">
      <c r="A60" s="152" t="s">
        <v>340</v>
      </c>
      <c r="B60" s="158">
        <v>25.11</v>
      </c>
      <c r="C60" s="158">
        <v>11</v>
      </c>
      <c r="D60" s="158">
        <v>17</v>
      </c>
      <c r="E60" s="158">
        <v>60</v>
      </c>
      <c r="F60" s="158">
        <v>117</v>
      </c>
      <c r="G60" s="158">
        <v>81</v>
      </c>
      <c r="H60" s="159">
        <v>86</v>
      </c>
      <c r="I60" s="155">
        <f t="shared" si="8"/>
        <v>86</v>
      </c>
      <c r="J60" s="156">
        <f t="shared" si="9"/>
        <v>86</v>
      </c>
      <c r="K60" s="156">
        <f t="shared" si="10"/>
        <v>86</v>
      </c>
      <c r="L60" s="156">
        <f t="shared" si="11"/>
        <v>86</v>
      </c>
      <c r="M60" s="157">
        <f t="shared" si="12"/>
        <v>86</v>
      </c>
    </row>
    <row r="61" spans="1:13" ht="14.25" customHeight="1" x14ac:dyDescent="0.25">
      <c r="A61" s="152" t="s">
        <v>341</v>
      </c>
      <c r="B61" s="158">
        <v>0.52</v>
      </c>
      <c r="C61" s="158">
        <v>3</v>
      </c>
      <c r="D61" s="158">
        <v>8</v>
      </c>
      <c r="E61" s="158">
        <v>11</v>
      </c>
      <c r="F61" s="158">
        <v>10</v>
      </c>
      <c r="G61" s="158">
        <v>6</v>
      </c>
      <c r="H61" s="159">
        <v>8</v>
      </c>
      <c r="I61" s="155">
        <f t="shared" si="8"/>
        <v>8</v>
      </c>
      <c r="J61" s="156">
        <f t="shared" si="9"/>
        <v>8</v>
      </c>
      <c r="K61" s="156">
        <f t="shared" si="10"/>
        <v>8</v>
      </c>
      <c r="L61" s="156">
        <f t="shared" si="11"/>
        <v>8</v>
      </c>
      <c r="M61" s="157">
        <f t="shared" si="12"/>
        <v>8</v>
      </c>
    </row>
    <row r="62" spans="1:13" ht="14.25" customHeight="1" x14ac:dyDescent="0.25">
      <c r="A62" s="152" t="s">
        <v>342</v>
      </c>
      <c r="B62" s="158" t="s">
        <v>56</v>
      </c>
      <c r="C62" s="158">
        <v>870</v>
      </c>
      <c r="D62" s="158">
        <v>854</v>
      </c>
      <c r="E62" s="158">
        <v>877</v>
      </c>
      <c r="F62" s="153">
        <v>1058</v>
      </c>
      <c r="G62" s="153">
        <v>1225</v>
      </c>
      <c r="H62" s="154">
        <v>1449</v>
      </c>
      <c r="I62" s="155">
        <f t="shared" si="8"/>
        <v>1449</v>
      </c>
      <c r="J62" s="156">
        <f t="shared" si="9"/>
        <v>1449</v>
      </c>
      <c r="K62" s="156">
        <f t="shared" si="10"/>
        <v>1449</v>
      </c>
      <c r="L62" s="156">
        <f t="shared" si="11"/>
        <v>1449</v>
      </c>
      <c r="M62" s="157">
        <f t="shared" si="12"/>
        <v>1449</v>
      </c>
    </row>
    <row r="63" spans="1:13" ht="14.25" customHeight="1" x14ac:dyDescent="0.25">
      <c r="A63" s="152" t="s">
        <v>343</v>
      </c>
      <c r="B63" s="158">
        <v>830.72</v>
      </c>
      <c r="C63" s="158">
        <v>933</v>
      </c>
      <c r="D63" s="158">
        <v>783</v>
      </c>
      <c r="E63" s="158">
        <v>870</v>
      </c>
      <c r="F63" s="153">
        <v>1117</v>
      </c>
      <c r="G63" s="153">
        <v>6179</v>
      </c>
      <c r="H63" s="154">
        <v>6387</v>
      </c>
      <c r="I63" s="155">
        <f t="shared" si="8"/>
        <v>6387</v>
      </c>
      <c r="J63" s="156">
        <f t="shared" si="9"/>
        <v>6387</v>
      </c>
      <c r="K63" s="156">
        <f t="shared" si="10"/>
        <v>6387</v>
      </c>
      <c r="L63" s="156">
        <f t="shared" si="11"/>
        <v>6387</v>
      </c>
      <c r="M63" s="157">
        <f t="shared" si="12"/>
        <v>6387</v>
      </c>
    </row>
    <row r="64" spans="1:13" ht="14.25" customHeight="1" x14ac:dyDescent="0.25">
      <c r="A64" s="152" t="s">
        <v>344</v>
      </c>
      <c r="B64" s="158">
        <v>84.76</v>
      </c>
      <c r="C64" s="158">
        <v>172</v>
      </c>
      <c r="D64" s="158">
        <v>105</v>
      </c>
      <c r="E64" s="158">
        <v>136</v>
      </c>
      <c r="F64" s="158">
        <v>144</v>
      </c>
      <c r="G64" s="158">
        <v>153</v>
      </c>
      <c r="H64" s="159">
        <v>125</v>
      </c>
      <c r="I64" s="155">
        <f t="shared" si="8"/>
        <v>125</v>
      </c>
      <c r="J64" s="156">
        <f t="shared" si="9"/>
        <v>125</v>
      </c>
      <c r="K64" s="156">
        <f t="shared" si="10"/>
        <v>125</v>
      </c>
      <c r="L64" s="156">
        <f t="shared" si="11"/>
        <v>125</v>
      </c>
      <c r="M64" s="157">
        <f t="shared" si="12"/>
        <v>125</v>
      </c>
    </row>
    <row r="65" spans="1:13" ht="14.25" customHeight="1" x14ac:dyDescent="0.25">
      <c r="A65" s="152" t="s">
        <v>345</v>
      </c>
      <c r="B65" s="158">
        <v>298.91000000000003</v>
      </c>
      <c r="C65" s="158">
        <v>351</v>
      </c>
      <c r="D65" s="158">
        <v>339</v>
      </c>
      <c r="E65" s="158">
        <v>538</v>
      </c>
      <c r="F65" s="158">
        <v>461</v>
      </c>
      <c r="G65" s="158">
        <v>525</v>
      </c>
      <c r="H65" s="159">
        <v>425</v>
      </c>
      <c r="I65" s="155">
        <f t="shared" si="8"/>
        <v>425</v>
      </c>
      <c r="J65" s="156">
        <f t="shared" si="9"/>
        <v>425</v>
      </c>
      <c r="K65" s="156">
        <f t="shared" si="10"/>
        <v>425</v>
      </c>
      <c r="L65" s="156">
        <f t="shared" si="11"/>
        <v>425</v>
      </c>
      <c r="M65" s="157">
        <f t="shared" si="12"/>
        <v>425</v>
      </c>
    </row>
    <row r="66" spans="1:13" ht="14.25" customHeight="1" x14ac:dyDescent="0.25">
      <c r="A66" s="152" t="s">
        <v>346</v>
      </c>
      <c r="B66" s="158">
        <v>99.21</v>
      </c>
      <c r="C66" s="158">
        <v>155</v>
      </c>
      <c r="D66" s="158">
        <v>172</v>
      </c>
      <c r="E66" s="158">
        <v>219</v>
      </c>
      <c r="F66" s="158">
        <v>393</v>
      </c>
      <c r="G66" s="158">
        <v>535</v>
      </c>
      <c r="H66" s="159">
        <v>582</v>
      </c>
      <c r="I66" s="155">
        <f t="shared" si="8"/>
        <v>582</v>
      </c>
      <c r="J66" s="156">
        <f t="shared" si="9"/>
        <v>582</v>
      </c>
      <c r="K66" s="156">
        <f t="shared" si="10"/>
        <v>582</v>
      </c>
      <c r="L66" s="156">
        <f t="shared" si="11"/>
        <v>582</v>
      </c>
      <c r="M66" s="157">
        <f t="shared" si="12"/>
        <v>582</v>
      </c>
    </row>
    <row r="67" spans="1:13" ht="14.25" customHeight="1" x14ac:dyDescent="0.25">
      <c r="A67" s="152" t="s">
        <v>347</v>
      </c>
      <c r="B67" s="153">
        <v>2384.56</v>
      </c>
      <c r="C67" s="153">
        <v>3654</v>
      </c>
      <c r="D67" s="153">
        <v>3359</v>
      </c>
      <c r="E67" s="153">
        <v>3758</v>
      </c>
      <c r="F67" s="153">
        <v>4402</v>
      </c>
      <c r="G67" s="153">
        <v>10169</v>
      </c>
      <c r="H67" s="154">
        <v>10631</v>
      </c>
      <c r="I67" s="155">
        <f>I57+I63+I64+I65+I66</f>
        <v>10849.855703601115</v>
      </c>
      <c r="J67" s="156">
        <f>J57+J63+J64+J65+J66</f>
        <v>11039.852669236459</v>
      </c>
      <c r="K67" s="156">
        <f>K57+K63+K64+K65+K66</f>
        <v>11230.069542237927</v>
      </c>
      <c r="L67" s="156">
        <f>L57+L63+L64+L65+L66</f>
        <v>11445.948964586223</v>
      </c>
      <c r="M67" s="157">
        <f>M57+M63+M64+M65+M66</f>
        <v>11615.692729563643</v>
      </c>
    </row>
    <row r="68" spans="1:13" ht="14.25" customHeight="1" x14ac:dyDescent="0.25">
      <c r="A68" s="152" t="s">
        <v>348</v>
      </c>
      <c r="B68" s="158"/>
      <c r="C68" s="158"/>
      <c r="D68" s="158"/>
      <c r="E68" s="158"/>
      <c r="F68" s="158"/>
      <c r="G68" s="158"/>
      <c r="H68" s="159"/>
      <c r="I68" s="169"/>
      <c r="J68" s="170"/>
      <c r="K68" s="170"/>
      <c r="L68" s="170"/>
      <c r="M68" s="171"/>
    </row>
    <row r="69" spans="1:13" ht="14.25" customHeight="1" x14ac:dyDescent="0.25">
      <c r="A69" s="152" t="s">
        <v>349</v>
      </c>
      <c r="B69" s="158">
        <v>69.22</v>
      </c>
      <c r="C69" s="158">
        <v>74</v>
      </c>
      <c r="D69" s="153">
        <v>2753</v>
      </c>
      <c r="E69" s="158">
        <v>15</v>
      </c>
      <c r="F69" s="153">
        <v>2143</v>
      </c>
      <c r="G69" s="153">
        <v>1635</v>
      </c>
      <c r="H69" s="154">
        <v>1337</v>
      </c>
      <c r="I69" s="155">
        <f>H69</f>
        <v>1337</v>
      </c>
      <c r="J69" s="156">
        <f>H69</f>
        <v>1337</v>
      </c>
      <c r="K69" s="156">
        <f>H69</f>
        <v>1337</v>
      </c>
      <c r="L69" s="156">
        <f>H69</f>
        <v>1337</v>
      </c>
      <c r="M69" s="157">
        <f>H69</f>
        <v>1337</v>
      </c>
    </row>
    <row r="70" spans="1:13" ht="14.25" customHeight="1" x14ac:dyDescent="0.25">
      <c r="A70" s="152" t="s">
        <v>350</v>
      </c>
      <c r="B70" s="153">
        <v>6719.18</v>
      </c>
      <c r="C70" s="153">
        <v>7741</v>
      </c>
      <c r="D70" s="153">
        <v>7984</v>
      </c>
      <c r="E70" s="153">
        <v>12787</v>
      </c>
      <c r="F70" s="153">
        <v>14952</v>
      </c>
      <c r="G70" s="153">
        <v>16874</v>
      </c>
      <c r="H70" s="154">
        <v>24517</v>
      </c>
      <c r="I70" s="155">
        <f>Assumptions!I37</f>
        <v>24079.988402235515</v>
      </c>
      <c r="J70" s="156">
        <f>Assumptions!J37</f>
        <v>26029.289189474293</v>
      </c>
      <c r="K70" s="156">
        <f>Assumptions!K37</f>
        <v>27069.179570916658</v>
      </c>
      <c r="L70" s="156">
        <f>Assumptions!L37</f>
        <v>29126.335251957193</v>
      </c>
      <c r="M70" s="157">
        <f>Assumptions!M37</f>
        <v>31873.242191976908</v>
      </c>
    </row>
    <row r="71" spans="1:13" ht="14.25" customHeight="1" x14ac:dyDescent="0.25">
      <c r="A71" s="152" t="s">
        <v>351</v>
      </c>
      <c r="B71" s="158">
        <v>358.23</v>
      </c>
      <c r="C71" s="158">
        <v>214</v>
      </c>
      <c r="D71" s="158">
        <v>291</v>
      </c>
      <c r="E71" s="158">
        <v>495</v>
      </c>
      <c r="F71" s="158">
        <v>908</v>
      </c>
      <c r="G71" s="158">
        <v>937</v>
      </c>
      <c r="H71" s="159">
        <v>984</v>
      </c>
      <c r="I71" s="155">
        <f>Assumptions!I34</f>
        <v>1100.3752743134708</v>
      </c>
      <c r="J71" s="156">
        <f>Assumptions!J34</f>
        <v>1234.2201812712663</v>
      </c>
      <c r="K71" s="156">
        <f>Assumptions!K34</f>
        <v>1339.263760232752</v>
      </c>
      <c r="L71" s="156">
        <f>Assumptions!L34</f>
        <v>1378.0612762708961</v>
      </c>
      <c r="M71" s="157">
        <f>Assumptions!M34</f>
        <v>1463.1840399607536</v>
      </c>
    </row>
    <row r="72" spans="1:13" ht="14.25" customHeight="1" x14ac:dyDescent="0.25">
      <c r="A72" s="152" t="s">
        <v>352</v>
      </c>
      <c r="B72" s="153">
        <v>1001</v>
      </c>
      <c r="C72" s="158">
        <v>356</v>
      </c>
      <c r="D72" s="158">
        <v>512</v>
      </c>
      <c r="E72" s="153">
        <v>1049</v>
      </c>
      <c r="F72" s="158">
        <v>792</v>
      </c>
      <c r="G72" s="158">
        <v>805</v>
      </c>
      <c r="H72" s="154">
        <v>1132</v>
      </c>
      <c r="I72" s="155">
        <f>I54-I67-I69-I70-I71-I73-I74</f>
        <v>4651.6135909836112</v>
      </c>
      <c r="J72" s="156">
        <f>J54-J67-J69-J70-J71-J73-J74</f>
        <v>6067.335544229878</v>
      </c>
      <c r="K72" s="156">
        <f>K54-K67-K69-K70-K71-K73-K74</f>
        <v>8723.5767920928811</v>
      </c>
      <c r="L72" s="156">
        <f>L54-L67-L69-L70-L71-L73-L74</f>
        <v>10361.581976108175</v>
      </c>
      <c r="M72" s="157">
        <f>M54-M67-M69-M70-M71-M73-M74</f>
        <v>11800.279466779262</v>
      </c>
    </row>
    <row r="73" spans="1:13" ht="14.25" customHeight="1" x14ac:dyDescent="0.25">
      <c r="A73" s="152" t="s">
        <v>353</v>
      </c>
      <c r="B73" s="158">
        <v>715.03</v>
      </c>
      <c r="C73" s="158">
        <v>886</v>
      </c>
      <c r="D73" s="158">
        <v>720</v>
      </c>
      <c r="E73" s="153">
        <v>1766</v>
      </c>
      <c r="F73" s="153">
        <v>1595</v>
      </c>
      <c r="G73" s="153">
        <v>2030</v>
      </c>
      <c r="H73" s="154">
        <v>2044</v>
      </c>
      <c r="I73" s="155">
        <f>Assumptions!I49</f>
        <v>2600.930927821913</v>
      </c>
      <c r="J73" s="156">
        <f>Assumptions!J49</f>
        <v>2897.7355856261179</v>
      </c>
      <c r="K73" s="156">
        <f>Assumptions!K49</f>
        <v>2847.2658852001823</v>
      </c>
      <c r="L73" s="156">
        <f>Assumptions!L49</f>
        <v>3055.1422609998431</v>
      </c>
      <c r="M73" s="157">
        <f>Assumptions!M49</f>
        <v>3259.2141948192725</v>
      </c>
    </row>
    <row r="74" spans="1:13" ht="14.25" customHeight="1" x14ac:dyDescent="0.25">
      <c r="A74" s="152" t="s">
        <v>354</v>
      </c>
      <c r="B74" s="158">
        <v>222.6</v>
      </c>
      <c r="C74" s="158">
        <v>263</v>
      </c>
      <c r="D74" s="158">
        <v>275</v>
      </c>
      <c r="E74" s="158">
        <v>267</v>
      </c>
      <c r="F74" s="158">
        <v>296</v>
      </c>
      <c r="G74" s="158">
        <v>412</v>
      </c>
      <c r="H74" s="159">
        <v>430</v>
      </c>
      <c r="I74" s="155">
        <f>Assumptions!I46</f>
        <v>556.56608075156794</v>
      </c>
      <c r="J74" s="156">
        <f>Assumptions!J46</f>
        <v>546.54645848973587</v>
      </c>
      <c r="K74" s="156">
        <f>Assumptions!K46</f>
        <v>569.54387874513691</v>
      </c>
      <c r="L74" s="156">
        <f>Assumptions!L46</f>
        <v>619.74353296034678</v>
      </c>
      <c r="M74" s="157">
        <f>Assumptions!M46</f>
        <v>661.07214867199491</v>
      </c>
    </row>
    <row r="75" spans="1:13" ht="14.25" customHeight="1" x14ac:dyDescent="0.25">
      <c r="A75" s="152" t="s">
        <v>355</v>
      </c>
      <c r="B75" s="153">
        <v>9085.26</v>
      </c>
      <c r="C75" s="153">
        <v>9534</v>
      </c>
      <c r="D75" s="153">
        <v>12501</v>
      </c>
      <c r="E75" s="153">
        <v>16379</v>
      </c>
      <c r="F75" s="153">
        <v>20686</v>
      </c>
      <c r="G75" s="153">
        <v>22693</v>
      </c>
      <c r="H75" s="154">
        <v>30444</v>
      </c>
      <c r="I75" s="155">
        <f>I69+I70+I71+I72+I73+I74</f>
        <v>34326.474276106077</v>
      </c>
      <c r="J75" s="156">
        <f>J69+J70+J71+J72+J73+J74</f>
        <v>38112.126959091293</v>
      </c>
      <c r="K75" s="156">
        <f>K69+K70+K71+K72+K73+K74</f>
        <v>41885.82988718761</v>
      </c>
      <c r="L75" s="156">
        <f>L69+L70+L71+L72+L73+L74</f>
        <v>45877.864298296452</v>
      </c>
      <c r="M75" s="157">
        <f>M69+M70+M71+M72+M73+M74</f>
        <v>50393.992042208192</v>
      </c>
    </row>
    <row r="76" spans="1:13" ht="15" customHeight="1" x14ac:dyDescent="0.25">
      <c r="A76" s="190" t="s">
        <v>356</v>
      </c>
      <c r="B76" s="191">
        <v>11469.82</v>
      </c>
      <c r="C76" s="191">
        <v>13188</v>
      </c>
      <c r="D76" s="191">
        <v>15860</v>
      </c>
      <c r="E76" s="191">
        <v>20137</v>
      </c>
      <c r="F76" s="191">
        <v>25088</v>
      </c>
      <c r="G76" s="191">
        <v>32862</v>
      </c>
      <c r="H76" s="192">
        <v>41075</v>
      </c>
      <c r="I76" s="193">
        <f>I67+I75</f>
        <v>45176.329979707196</v>
      </c>
      <c r="J76" s="194">
        <f>J67+J75</f>
        <v>49151.979628327754</v>
      </c>
      <c r="K76" s="194">
        <f>K67+K75</f>
        <v>53115.899429425539</v>
      </c>
      <c r="L76" s="194">
        <f>L67+L75</f>
        <v>57323.813262882672</v>
      </c>
      <c r="M76" s="195">
        <f>M67+M75</f>
        <v>62009.684771771834</v>
      </c>
    </row>
    <row r="77" spans="1:13" ht="14.25" customHeight="1" x14ac:dyDescent="0.25">
      <c r="A77" s="196" t="s">
        <v>357</v>
      </c>
      <c r="B77" s="197">
        <f t="shared" ref="B77:M77" si="13">B75-B53</f>
        <v>3916.01</v>
      </c>
      <c r="C77" s="197">
        <f t="shared" si="13"/>
        <v>4290</v>
      </c>
      <c r="D77" s="197">
        <f t="shared" si="13"/>
        <v>5308</v>
      </c>
      <c r="E77" s="197">
        <f t="shared" si="13"/>
        <v>6820</v>
      </c>
      <c r="F77" s="197">
        <f t="shared" si="13"/>
        <v>9165</v>
      </c>
      <c r="G77" s="197">
        <f t="shared" si="13"/>
        <v>9331</v>
      </c>
      <c r="H77" s="198">
        <f t="shared" si="13"/>
        <v>8799</v>
      </c>
      <c r="I77" s="199">
        <f t="shared" si="13"/>
        <v>11840.440831422256</v>
      </c>
      <c r="J77" s="200">
        <f t="shared" si="13"/>
        <v>15217.528398266033</v>
      </c>
      <c r="K77" s="200">
        <f t="shared" si="13"/>
        <v>18660.795804743448</v>
      </c>
      <c r="L77" s="200">
        <f t="shared" si="13"/>
        <v>22125.897124562362</v>
      </c>
      <c r="M77" s="201">
        <f t="shared" si="13"/>
        <v>25904.175791326688</v>
      </c>
    </row>
    <row r="78" spans="1:13" ht="14.25" customHeight="1" x14ac:dyDescent="0.25">
      <c r="A78" s="202" t="s">
        <v>358</v>
      </c>
      <c r="B78" s="203">
        <f t="shared" ref="B78:M78" si="14">B76-B54</f>
        <v>0</v>
      </c>
      <c r="C78" s="203">
        <f t="shared" si="14"/>
        <v>0</v>
      </c>
      <c r="D78" s="203">
        <f t="shared" si="14"/>
        <v>0</v>
      </c>
      <c r="E78" s="203">
        <f t="shared" si="14"/>
        <v>0</v>
      </c>
      <c r="F78" s="203">
        <f t="shared" si="14"/>
        <v>0</v>
      </c>
      <c r="G78" s="203">
        <f t="shared" si="14"/>
        <v>0</v>
      </c>
      <c r="H78" s="204">
        <f t="shared" si="14"/>
        <v>0</v>
      </c>
      <c r="I78" s="205">
        <f t="shared" si="14"/>
        <v>0</v>
      </c>
      <c r="J78" s="206">
        <f t="shared" si="14"/>
        <v>0</v>
      </c>
      <c r="K78" s="206">
        <f t="shared" si="14"/>
        <v>0</v>
      </c>
      <c r="L78" s="206">
        <f t="shared" si="14"/>
        <v>0</v>
      </c>
      <c r="M78" s="207">
        <f t="shared" si="14"/>
        <v>0</v>
      </c>
    </row>
  </sheetData>
  <mergeCells count="4">
    <mergeCell ref="A1:H1"/>
    <mergeCell ref="I1:M1"/>
    <mergeCell ref="A35:H35"/>
    <mergeCell ref="I35:M35"/>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2"/>
  <sheetViews>
    <sheetView topLeftCell="A8" zoomScaleNormal="100" workbookViewId="0">
      <selection activeCell="I13" sqref="I13"/>
    </sheetView>
  </sheetViews>
  <sheetFormatPr defaultColWidth="8.5546875" defaultRowHeight="14.4" x14ac:dyDescent="0.3"/>
  <cols>
    <col min="1" max="1" width="48" customWidth="1"/>
    <col min="2" max="13" width="14" customWidth="1"/>
  </cols>
  <sheetData>
    <row r="1" spans="1:13" ht="15.75" customHeight="1" x14ac:dyDescent="0.3">
      <c r="A1" s="391" t="s">
        <v>359</v>
      </c>
      <c r="B1" s="391"/>
      <c r="C1" s="391"/>
      <c r="D1" s="391"/>
      <c r="E1" s="391"/>
      <c r="F1" s="391"/>
      <c r="G1" s="391"/>
      <c r="H1" s="391"/>
      <c r="I1" s="392" t="s">
        <v>286</v>
      </c>
      <c r="J1" s="392"/>
      <c r="K1" s="392"/>
      <c r="L1" s="392"/>
      <c r="M1" s="392"/>
    </row>
    <row r="2" spans="1:13" ht="15" customHeight="1" x14ac:dyDescent="0.3">
      <c r="A2" s="208" t="s">
        <v>242</v>
      </c>
      <c r="B2" s="209">
        <v>2019</v>
      </c>
      <c r="C2" s="209">
        <v>2020</v>
      </c>
      <c r="D2" s="209">
        <v>2021</v>
      </c>
      <c r="E2" s="209">
        <v>2022</v>
      </c>
      <c r="F2" s="209">
        <v>2023</v>
      </c>
      <c r="G2" s="209">
        <v>2024</v>
      </c>
      <c r="H2" s="210">
        <v>2025</v>
      </c>
      <c r="I2" s="211">
        <v>2026</v>
      </c>
      <c r="J2" s="209">
        <v>2027</v>
      </c>
      <c r="K2" s="209">
        <v>2028</v>
      </c>
      <c r="L2" s="209">
        <v>2029</v>
      </c>
      <c r="M2" s="210">
        <v>2030</v>
      </c>
    </row>
    <row r="3" spans="1:13" ht="14.25" customHeight="1" x14ac:dyDescent="0.3">
      <c r="A3" s="212" t="s">
        <v>360</v>
      </c>
      <c r="B3" s="213"/>
      <c r="C3" s="213"/>
      <c r="D3" s="213"/>
      <c r="E3" s="213"/>
      <c r="F3" s="213"/>
      <c r="G3" s="213"/>
      <c r="H3" s="214"/>
      <c r="I3" s="215"/>
      <c r="J3" s="213"/>
      <c r="K3" s="213"/>
      <c r="L3" s="213"/>
      <c r="M3" s="214"/>
    </row>
    <row r="4" spans="1:13" ht="14.25" customHeight="1" x14ac:dyDescent="0.3">
      <c r="A4" s="216" t="s">
        <v>361</v>
      </c>
      <c r="B4" s="50"/>
      <c r="C4" s="50"/>
      <c r="D4" s="50"/>
      <c r="E4" s="50"/>
      <c r="F4" s="50"/>
      <c r="G4" s="50"/>
      <c r="H4" s="77"/>
      <c r="I4" s="217"/>
      <c r="J4" s="50"/>
      <c r="K4" s="50"/>
      <c r="L4" s="50"/>
      <c r="M4" s="77"/>
    </row>
    <row r="5" spans="1:13" ht="14.25" customHeight="1" x14ac:dyDescent="0.3">
      <c r="A5" s="218" t="s">
        <v>308</v>
      </c>
      <c r="B5" s="219">
        <v>1927.37</v>
      </c>
      <c r="C5" s="219">
        <v>2105</v>
      </c>
      <c r="D5" s="219">
        <v>1233</v>
      </c>
      <c r="E5" s="219">
        <v>2932</v>
      </c>
      <c r="F5" s="219">
        <v>4465</v>
      </c>
      <c r="G5" s="219">
        <v>4607</v>
      </c>
      <c r="H5" s="220">
        <v>4481</v>
      </c>
      <c r="I5" s="221">
        <f>FS!I24</f>
        <v>5655.0248562725174</v>
      </c>
      <c r="J5" s="219">
        <f>FS!J24</f>
        <v>6284.497535983297</v>
      </c>
      <c r="K5" s="219">
        <f>FS!K24</f>
        <v>6533.024207020746</v>
      </c>
      <c r="L5" s="219">
        <f>FS!L24</f>
        <v>6696.1782935929514</v>
      </c>
      <c r="M5" s="220">
        <f>FS!M24</f>
        <v>7105.31813814833</v>
      </c>
    </row>
    <row r="6" spans="1:13" ht="14.25" customHeight="1" x14ac:dyDescent="0.3">
      <c r="A6" s="218" t="s">
        <v>362</v>
      </c>
      <c r="B6" s="219">
        <v>138.88999999999999</v>
      </c>
      <c r="C6" s="219">
        <v>310</v>
      </c>
      <c r="D6" s="219">
        <v>331</v>
      </c>
      <c r="E6" s="219">
        <v>347</v>
      </c>
      <c r="F6" s="219">
        <v>364</v>
      </c>
      <c r="G6" s="219">
        <v>447</v>
      </c>
      <c r="H6" s="220">
        <v>537</v>
      </c>
      <c r="I6" s="221">
        <f>FS!I17</f>
        <v>543.65394600000002</v>
      </c>
      <c r="J6" s="219">
        <f>FS!J17</f>
        <v>644.27210224362329</v>
      </c>
      <c r="K6" s="219">
        <f>FS!K17</f>
        <v>714.28275430688154</v>
      </c>
      <c r="L6" s="219">
        <f>FS!L17</f>
        <v>792.69203928276943</v>
      </c>
      <c r="M6" s="220">
        <f>FS!M17</f>
        <v>858.46802021909878</v>
      </c>
    </row>
    <row r="7" spans="1:13" ht="14.25" customHeight="1" x14ac:dyDescent="0.3">
      <c r="A7" s="218" t="s">
        <v>363</v>
      </c>
      <c r="B7" s="219">
        <v>44.45</v>
      </c>
      <c r="C7" s="219">
        <v>149</v>
      </c>
      <c r="D7" s="219">
        <v>181</v>
      </c>
      <c r="E7" s="219">
        <v>195</v>
      </c>
      <c r="F7" s="219">
        <v>240</v>
      </c>
      <c r="G7" s="219">
        <v>480</v>
      </c>
      <c r="H7" s="220">
        <v>767</v>
      </c>
      <c r="I7" s="221">
        <f>FS!I16</f>
        <v>543.8618089657582</v>
      </c>
      <c r="J7" s="219">
        <f>FS!J16</f>
        <v>587.41151121446808</v>
      </c>
      <c r="K7" s="219">
        <f>FS!K16</f>
        <v>657.3762488213365</v>
      </c>
      <c r="L7" s="219">
        <f>FS!L16</f>
        <v>753.31939202689432</v>
      </c>
      <c r="M7" s="220">
        <f>FS!M16</f>
        <v>810.30624413504142</v>
      </c>
    </row>
    <row r="8" spans="1:13" ht="14.25" customHeight="1" x14ac:dyDescent="0.3">
      <c r="A8" s="216" t="s">
        <v>364</v>
      </c>
      <c r="B8" s="222">
        <f t="shared" ref="B8:M8" si="0">B5+B6+B7</f>
        <v>2110.7099999999996</v>
      </c>
      <c r="C8" s="222">
        <f t="shared" si="0"/>
        <v>2564</v>
      </c>
      <c r="D8" s="222">
        <f t="shared" si="0"/>
        <v>1745</v>
      </c>
      <c r="E8" s="222">
        <f t="shared" si="0"/>
        <v>3474</v>
      </c>
      <c r="F8" s="222">
        <f t="shared" si="0"/>
        <v>5069</v>
      </c>
      <c r="G8" s="222">
        <f t="shared" si="0"/>
        <v>5534</v>
      </c>
      <c r="H8" s="223">
        <f t="shared" si="0"/>
        <v>5785</v>
      </c>
      <c r="I8" s="224">
        <f t="shared" si="0"/>
        <v>6742.5406112382761</v>
      </c>
      <c r="J8" s="222">
        <f t="shared" si="0"/>
        <v>7516.1811494413887</v>
      </c>
      <c r="K8" s="222">
        <f t="shared" si="0"/>
        <v>7904.6832101489636</v>
      </c>
      <c r="L8" s="222">
        <f t="shared" si="0"/>
        <v>8242.1897249026151</v>
      </c>
      <c r="M8" s="223">
        <f t="shared" si="0"/>
        <v>8774.0924025024706</v>
      </c>
    </row>
    <row r="9" spans="1:13" ht="14.25" customHeight="1" x14ac:dyDescent="0.3">
      <c r="A9" s="218" t="s">
        <v>365</v>
      </c>
      <c r="B9" s="50"/>
      <c r="C9" s="50"/>
      <c r="D9" s="50"/>
      <c r="E9" s="50"/>
      <c r="F9" s="50"/>
      <c r="G9" s="50"/>
      <c r="H9" s="77"/>
      <c r="I9" s="217"/>
      <c r="J9" s="50"/>
      <c r="K9" s="50"/>
      <c r="L9" s="50"/>
      <c r="M9" s="77"/>
    </row>
    <row r="10" spans="1:13" ht="14.25" customHeight="1" x14ac:dyDescent="0.3">
      <c r="A10" s="225" t="s">
        <v>366</v>
      </c>
      <c r="B10" s="219"/>
      <c r="C10" s="219">
        <v>-1021.82</v>
      </c>
      <c r="D10" s="219">
        <v>-243</v>
      </c>
      <c r="E10" s="219">
        <v>-4803</v>
      </c>
      <c r="F10" s="219">
        <v>-2165</v>
      </c>
      <c r="G10" s="219">
        <v>-1922</v>
      </c>
      <c r="H10" s="220">
        <v>-7643</v>
      </c>
      <c r="I10" s="221">
        <f>-(Assumptions!I37-FS!H70)</f>
        <v>437.01159776448549</v>
      </c>
      <c r="J10" s="219">
        <f>-(Assumptions!J37-FS!I70)</f>
        <v>-1949.3007872387789</v>
      </c>
      <c r="K10" s="219">
        <f>-(Assumptions!K37-FS!J70)</f>
        <v>-1039.8903814423647</v>
      </c>
      <c r="L10" s="219">
        <f>-(Assumptions!L37-FS!K70)</f>
        <v>-2057.1556810405345</v>
      </c>
      <c r="M10" s="220">
        <f>-(Assumptions!M37-FS!L70)</f>
        <v>-2746.906940019715</v>
      </c>
    </row>
    <row r="11" spans="1:13" ht="14.25" customHeight="1" x14ac:dyDescent="0.3">
      <c r="A11" s="225" t="s">
        <v>367</v>
      </c>
      <c r="B11" s="219"/>
      <c r="C11" s="219">
        <v>144.22999999999999</v>
      </c>
      <c r="D11" s="219">
        <v>-77</v>
      </c>
      <c r="E11" s="219">
        <v>-204</v>
      </c>
      <c r="F11" s="219">
        <v>-413</v>
      </c>
      <c r="G11" s="219">
        <v>-29</v>
      </c>
      <c r="H11" s="220">
        <v>-47</v>
      </c>
      <c r="I11" s="221">
        <f>-(Assumptions!I34-FS!H71)</f>
        <v>-116.37527431347075</v>
      </c>
      <c r="J11" s="219">
        <f>-(Assumptions!J34-FS!I71)</f>
        <v>-133.8449069577955</v>
      </c>
      <c r="K11" s="219">
        <f>-(Assumptions!K34-FS!J71)</f>
        <v>-105.04357896148576</v>
      </c>
      <c r="L11" s="219">
        <f>-(Assumptions!L34-FS!K71)</f>
        <v>-38.797516038144067</v>
      </c>
      <c r="M11" s="220">
        <f>-(Assumptions!M34-FS!L71)</f>
        <v>-85.122763689857493</v>
      </c>
    </row>
    <row r="12" spans="1:13" ht="14.25" customHeight="1" x14ac:dyDescent="0.3">
      <c r="A12" s="225" t="s">
        <v>368</v>
      </c>
      <c r="B12" s="219"/>
      <c r="C12" s="219">
        <v>-40.4</v>
      </c>
      <c r="D12" s="219">
        <v>-12</v>
      </c>
      <c r="E12" s="219">
        <v>8</v>
      </c>
      <c r="F12" s="219">
        <v>-29</v>
      </c>
      <c r="G12" s="219">
        <v>-116</v>
      </c>
      <c r="H12" s="220">
        <v>-18</v>
      </c>
      <c r="I12" s="221">
        <f>-(Assumptions!I46-FS!H74)</f>
        <v>-126.56608075156794</v>
      </c>
      <c r="J12" s="219">
        <f>-(Assumptions!J46-FS!I74)</f>
        <v>10.019622261832069</v>
      </c>
      <c r="K12" s="219">
        <f>-(Assumptions!K46-FS!J74)</f>
        <v>-22.997420255401039</v>
      </c>
      <c r="L12" s="219">
        <f>-(Assumptions!L46-FS!K74)</f>
        <v>-50.199654215209875</v>
      </c>
      <c r="M12" s="220">
        <f>-(Assumptions!M46-FS!L74)</f>
        <v>-41.328615711648126</v>
      </c>
    </row>
    <row r="13" spans="1:13" ht="14.25" customHeight="1" x14ac:dyDescent="0.3">
      <c r="A13" s="225" t="s">
        <v>369</v>
      </c>
      <c r="B13" s="219"/>
      <c r="C13" s="219">
        <v>-170.97</v>
      </c>
      <c r="D13" s="219">
        <v>166</v>
      </c>
      <c r="E13" s="219">
        <v>-1046</v>
      </c>
      <c r="F13" s="219">
        <v>171</v>
      </c>
      <c r="G13" s="219">
        <v>-435</v>
      </c>
      <c r="H13" s="220">
        <v>-14</v>
      </c>
      <c r="I13" s="221">
        <f>-(Assumptions!I49-FS!H73)</f>
        <v>-556.93092782191297</v>
      </c>
      <c r="J13" s="219">
        <f>-(Assumptions!J49-FS!I73)</f>
        <v>-296.80465780420491</v>
      </c>
      <c r="K13" s="219">
        <f>-(Assumptions!K49-FS!J73)</f>
        <v>50.469700425935571</v>
      </c>
      <c r="L13" s="219">
        <f>-(Assumptions!L49-FS!K73)</f>
        <v>-207.87637579966076</v>
      </c>
      <c r="M13" s="220">
        <f>-(Assumptions!M49-FS!L73)</f>
        <v>-204.07193381942943</v>
      </c>
    </row>
    <row r="14" spans="1:13" ht="14.25" customHeight="1" x14ac:dyDescent="0.3">
      <c r="A14" s="225" t="s">
        <v>370</v>
      </c>
      <c r="B14" s="219"/>
      <c r="C14" s="219">
        <v>-262.33999999999997</v>
      </c>
      <c r="D14" s="219">
        <v>185</v>
      </c>
      <c r="E14" s="219">
        <v>360</v>
      </c>
      <c r="F14" s="219">
        <v>-90</v>
      </c>
      <c r="G14" s="219">
        <v>-22</v>
      </c>
      <c r="H14" s="220">
        <v>529</v>
      </c>
      <c r="I14" s="221">
        <f>Assumptions!I40-FS!H50</f>
        <v>227.48229855664749</v>
      </c>
      <c r="J14" s="219">
        <f>Assumptions!J40-FS!I50</f>
        <v>56.647058393115003</v>
      </c>
      <c r="K14" s="219">
        <f>Assumptions!K40-FS!J50</f>
        <v>-26.752502468113562</v>
      </c>
      <c r="L14" s="219">
        <f>Assumptions!L40-FS!K50</f>
        <v>127.67063808906369</v>
      </c>
      <c r="M14" s="220">
        <f>Assumptions!M40-FS!L50</f>
        <v>218.07787827147285</v>
      </c>
    </row>
    <row r="15" spans="1:13" ht="14.25" customHeight="1" x14ac:dyDescent="0.3">
      <c r="A15" s="225" t="s">
        <v>371</v>
      </c>
      <c r="B15" s="219"/>
      <c r="C15" s="219">
        <v>271.57</v>
      </c>
      <c r="D15" s="219">
        <v>-191</v>
      </c>
      <c r="E15" s="219">
        <v>692</v>
      </c>
      <c r="F15" s="219">
        <v>1047</v>
      </c>
      <c r="G15" s="219">
        <v>563</v>
      </c>
      <c r="H15" s="220">
        <v>778</v>
      </c>
      <c r="I15" s="221">
        <f>Assumptions!I43-FS!H51</f>
        <v>613.55114612717171</v>
      </c>
      <c r="J15" s="219">
        <f>Assumptions!J43-FS!I51</f>
        <v>351.91805774832392</v>
      </c>
      <c r="K15" s="219">
        <f>Assumptions!K43-FS!J51</f>
        <v>357.18802408701958</v>
      </c>
      <c r="L15" s="219">
        <f>Assumptions!L43-FS!K51</f>
        <v>399.26245320086309</v>
      </c>
      <c r="M15" s="220">
        <f>Assumptions!M43-FS!L51</f>
        <v>519.77119887593926</v>
      </c>
    </row>
    <row r="16" spans="1:13" ht="14.25" customHeight="1" x14ac:dyDescent="0.3">
      <c r="A16" s="216" t="s">
        <v>372</v>
      </c>
      <c r="B16" s="222">
        <f t="shared" ref="B16:M16" si="1">SUM(B10:B15)</f>
        <v>0</v>
      </c>
      <c r="C16" s="222">
        <f t="shared" si="1"/>
        <v>-1079.73</v>
      </c>
      <c r="D16" s="222">
        <f t="shared" si="1"/>
        <v>-172</v>
      </c>
      <c r="E16" s="222">
        <f t="shared" si="1"/>
        <v>-4993</v>
      </c>
      <c r="F16" s="222">
        <f t="shared" si="1"/>
        <v>-1479</v>
      </c>
      <c r="G16" s="222">
        <f t="shared" si="1"/>
        <v>-1961</v>
      </c>
      <c r="H16" s="223">
        <f t="shared" si="1"/>
        <v>-6415</v>
      </c>
      <c r="I16" s="224">
        <f t="shared" si="1"/>
        <v>478.17275956135302</v>
      </c>
      <c r="J16" s="222">
        <f t="shared" si="1"/>
        <v>-1961.3656135975084</v>
      </c>
      <c r="K16" s="222">
        <f t="shared" si="1"/>
        <v>-787.02615861440995</v>
      </c>
      <c r="L16" s="222">
        <f t="shared" si="1"/>
        <v>-1827.0961358036225</v>
      </c>
      <c r="M16" s="223">
        <f t="shared" si="1"/>
        <v>-2339.5811760932379</v>
      </c>
    </row>
    <row r="17" spans="1:13" ht="14.25" customHeight="1" x14ac:dyDescent="0.3">
      <c r="A17" s="218" t="s">
        <v>373</v>
      </c>
      <c r="B17" s="219">
        <v>602.01</v>
      </c>
      <c r="C17" s="219">
        <v>552</v>
      </c>
      <c r="D17" s="219">
        <v>351</v>
      </c>
      <c r="E17" s="219">
        <v>779</v>
      </c>
      <c r="F17" s="219">
        <v>1140</v>
      </c>
      <c r="G17" s="219">
        <v>1072</v>
      </c>
      <c r="H17" s="220">
        <v>1117</v>
      </c>
      <c r="I17" s="221">
        <f>FS!I26</f>
        <v>1423.2566558266678</v>
      </c>
      <c r="J17" s="219">
        <f>FS!J26</f>
        <v>1581.6823398562756</v>
      </c>
      <c r="K17" s="219">
        <f>FS!K26</f>
        <v>1644.2315324229842</v>
      </c>
      <c r="L17" s="219">
        <f>FS!L26</f>
        <v>1685.2941529314753</v>
      </c>
      <c r="M17" s="220">
        <f>FS!M26</f>
        <v>1788.2664690091731</v>
      </c>
    </row>
    <row r="18" spans="1:13" ht="14.25" customHeight="1" x14ac:dyDescent="0.3">
      <c r="A18" s="216" t="s">
        <v>374</v>
      </c>
      <c r="B18" s="222">
        <f t="shared" ref="B18:M18" si="2">B8+B16-B17</f>
        <v>1508.6999999999996</v>
      </c>
      <c r="C18" s="222">
        <f t="shared" si="2"/>
        <v>932.27</v>
      </c>
      <c r="D18" s="222">
        <f t="shared" si="2"/>
        <v>1222</v>
      </c>
      <c r="E18" s="222">
        <f t="shared" si="2"/>
        <v>-2298</v>
      </c>
      <c r="F18" s="222">
        <f t="shared" si="2"/>
        <v>2450</v>
      </c>
      <c r="G18" s="222">
        <f t="shared" si="2"/>
        <v>2501</v>
      </c>
      <c r="H18" s="223">
        <f t="shared" si="2"/>
        <v>-1747</v>
      </c>
      <c r="I18" s="224">
        <f t="shared" si="2"/>
        <v>5797.456714972961</v>
      </c>
      <c r="J18" s="222">
        <f t="shared" si="2"/>
        <v>3973.1331959876043</v>
      </c>
      <c r="K18" s="222">
        <f t="shared" si="2"/>
        <v>5473.4255191115699</v>
      </c>
      <c r="L18" s="222">
        <f t="shared" si="2"/>
        <v>4729.7994361675173</v>
      </c>
      <c r="M18" s="223">
        <f t="shared" si="2"/>
        <v>4646.2447574000598</v>
      </c>
    </row>
    <row r="19" spans="1:13" ht="14.25" customHeight="1" x14ac:dyDescent="0.3">
      <c r="A19" s="76"/>
      <c r="B19" s="50"/>
      <c r="C19" s="50"/>
      <c r="D19" s="50"/>
      <c r="E19" s="50"/>
      <c r="F19" s="50"/>
      <c r="G19" s="50"/>
      <c r="H19" s="77"/>
      <c r="I19" s="217"/>
      <c r="J19" s="50"/>
      <c r="K19" s="50"/>
      <c r="L19" s="50"/>
      <c r="M19" s="77"/>
    </row>
    <row r="20" spans="1:13" ht="14.25" customHeight="1" x14ac:dyDescent="0.3">
      <c r="A20" s="216" t="s">
        <v>375</v>
      </c>
      <c r="B20" s="50"/>
      <c r="C20" s="50"/>
      <c r="D20" s="50"/>
      <c r="E20" s="50"/>
      <c r="F20" s="50"/>
      <c r="G20" s="50"/>
      <c r="H20" s="77"/>
      <c r="I20" s="217"/>
      <c r="J20" s="50"/>
      <c r="K20" s="50"/>
      <c r="L20" s="50"/>
      <c r="M20" s="77"/>
    </row>
    <row r="21" spans="1:13" ht="14.25" customHeight="1" x14ac:dyDescent="0.3">
      <c r="A21" s="218" t="s">
        <v>376</v>
      </c>
      <c r="B21" s="50"/>
      <c r="C21" s="219">
        <f>-Assumptions!C54</f>
        <v>-397.96000000000004</v>
      </c>
      <c r="D21" s="219">
        <f>-Assumptions!D54</f>
        <v>-262</v>
      </c>
      <c r="E21" s="219">
        <f>-Assumptions!E54</f>
        <v>-333</v>
      </c>
      <c r="F21" s="219">
        <f>-Assumptions!F54</f>
        <v>-420</v>
      </c>
      <c r="G21" s="219">
        <f>-Assumptions!G54</f>
        <v>-759</v>
      </c>
      <c r="H21" s="220">
        <f>-Assumptions!H54</f>
        <v>-631</v>
      </c>
      <c r="I21" s="221">
        <f>-Assumptions!I54</f>
        <v>-762.50964960111514</v>
      </c>
      <c r="J21" s="219">
        <f>-Assumptions!J54</f>
        <v>-834.26906787896735</v>
      </c>
      <c r="K21" s="219">
        <f>-Assumptions!K54</f>
        <v>-904.49962730834898</v>
      </c>
      <c r="L21" s="219">
        <f>-Assumptions!L54</f>
        <v>-1008.571461631067</v>
      </c>
      <c r="M21" s="220">
        <f>-Assumptions!M54</f>
        <v>-1028.2117851965183</v>
      </c>
    </row>
    <row r="22" spans="1:13" ht="14.25" customHeight="1" x14ac:dyDescent="0.3">
      <c r="A22" s="216" t="s">
        <v>377</v>
      </c>
      <c r="B22" s="222">
        <f t="shared" ref="B22:M22" si="3">B21</f>
        <v>0</v>
      </c>
      <c r="C22" s="222">
        <f t="shared" si="3"/>
        <v>-397.96000000000004</v>
      </c>
      <c r="D22" s="222">
        <f t="shared" si="3"/>
        <v>-262</v>
      </c>
      <c r="E22" s="222">
        <f t="shared" si="3"/>
        <v>-333</v>
      </c>
      <c r="F22" s="222">
        <f t="shared" si="3"/>
        <v>-420</v>
      </c>
      <c r="G22" s="222">
        <f t="shared" si="3"/>
        <v>-759</v>
      </c>
      <c r="H22" s="223">
        <f t="shared" si="3"/>
        <v>-631</v>
      </c>
      <c r="I22" s="224">
        <f t="shared" si="3"/>
        <v>-762.50964960111514</v>
      </c>
      <c r="J22" s="222">
        <f t="shared" si="3"/>
        <v>-834.26906787896735</v>
      </c>
      <c r="K22" s="222">
        <f t="shared" si="3"/>
        <v>-904.49962730834898</v>
      </c>
      <c r="L22" s="222">
        <f t="shared" si="3"/>
        <v>-1008.571461631067</v>
      </c>
      <c r="M22" s="223">
        <f t="shared" si="3"/>
        <v>-1028.2117851965183</v>
      </c>
    </row>
    <row r="23" spans="1:13" ht="14.25" customHeight="1" x14ac:dyDescent="0.3">
      <c r="A23" s="76"/>
      <c r="B23" s="50"/>
      <c r="C23" s="50"/>
      <c r="D23" s="50"/>
      <c r="E23" s="50"/>
      <c r="F23" s="50"/>
      <c r="G23" s="50"/>
      <c r="H23" s="77"/>
      <c r="I23" s="217"/>
      <c r="J23" s="50"/>
      <c r="K23" s="50"/>
      <c r="L23" s="50"/>
      <c r="M23" s="77"/>
    </row>
    <row r="24" spans="1:13" ht="14.25" customHeight="1" x14ac:dyDescent="0.3">
      <c r="A24" s="216" t="s">
        <v>378</v>
      </c>
      <c r="B24" s="50"/>
      <c r="C24" s="50"/>
      <c r="D24" s="50"/>
      <c r="E24" s="50"/>
      <c r="F24" s="50"/>
      <c r="G24" s="50"/>
      <c r="H24" s="77"/>
      <c r="I24" s="217"/>
      <c r="J24" s="50"/>
      <c r="K24" s="50"/>
      <c r="L24" s="50"/>
      <c r="M24" s="77"/>
    </row>
    <row r="25" spans="1:13" ht="14.25" customHeight="1" x14ac:dyDescent="0.3">
      <c r="A25" s="218" t="s">
        <v>379</v>
      </c>
      <c r="B25" s="219">
        <v>-44.45</v>
      </c>
      <c r="C25" s="219">
        <v>-149</v>
      </c>
      <c r="D25" s="219">
        <v>-181</v>
      </c>
      <c r="E25" s="219">
        <v>-195</v>
      </c>
      <c r="F25" s="219">
        <v>-240</v>
      </c>
      <c r="G25" s="219">
        <v>-480</v>
      </c>
      <c r="H25" s="220">
        <v>-767</v>
      </c>
      <c r="I25" s="221">
        <f>-FS!I16</f>
        <v>-543.8618089657582</v>
      </c>
      <c r="J25" s="219">
        <f>-FS!J16</f>
        <v>-587.41151121446808</v>
      </c>
      <c r="K25" s="219">
        <f>-FS!K16</f>
        <v>-657.3762488213365</v>
      </c>
      <c r="L25" s="219">
        <f>-FS!L16</f>
        <v>-753.31939202689432</v>
      </c>
      <c r="M25" s="220">
        <f>-FS!M16</f>
        <v>-810.30624413504142</v>
      </c>
    </row>
    <row r="26" spans="1:13" ht="14.25" customHeight="1" x14ac:dyDescent="0.3">
      <c r="A26" s="218" t="s">
        <v>380</v>
      </c>
      <c r="B26" s="50"/>
      <c r="C26" s="219">
        <v>-873.94</v>
      </c>
      <c r="D26" s="219">
        <v>-149</v>
      </c>
      <c r="E26" s="219">
        <v>-360</v>
      </c>
      <c r="F26" s="219">
        <v>-712</v>
      </c>
      <c r="G26" s="219">
        <v>-1081</v>
      </c>
      <c r="H26" s="220">
        <v>-981</v>
      </c>
      <c r="I26" s="221">
        <f>-Assumptions!I29</f>
        <v>-971.47166542246714</v>
      </c>
      <c r="J26" s="219">
        <f>-Assumptions!J29</f>
        <v>-1135.7306636479011</v>
      </c>
      <c r="K26" s="219">
        <f>-Assumptions!K29</f>
        <v>-1255.3083951188871</v>
      </c>
      <c r="L26" s="219">
        <f>-Assumptions!L29</f>
        <v>-1329.9033984942635</v>
      </c>
      <c r="M26" s="220">
        <f>-Assumptions!M29</f>
        <v>-1369.0292373974105</v>
      </c>
    </row>
    <row r="27" spans="1:13" ht="14.25" customHeight="1" x14ac:dyDescent="0.3">
      <c r="A27" s="216" t="s">
        <v>381</v>
      </c>
      <c r="B27" s="222">
        <f t="shared" ref="B27:M27" si="4">B25+B26</f>
        <v>-44.45</v>
      </c>
      <c r="C27" s="222">
        <f t="shared" si="4"/>
        <v>-1022.94</v>
      </c>
      <c r="D27" s="222">
        <f t="shared" si="4"/>
        <v>-330</v>
      </c>
      <c r="E27" s="222">
        <f t="shared" si="4"/>
        <v>-555</v>
      </c>
      <c r="F27" s="222">
        <f t="shared" si="4"/>
        <v>-952</v>
      </c>
      <c r="G27" s="222">
        <f t="shared" si="4"/>
        <v>-1561</v>
      </c>
      <c r="H27" s="223">
        <f t="shared" si="4"/>
        <v>-1748</v>
      </c>
      <c r="I27" s="224">
        <f t="shared" si="4"/>
        <v>-1515.3334743882253</v>
      </c>
      <c r="J27" s="222">
        <f t="shared" si="4"/>
        <v>-1723.1421748623693</v>
      </c>
      <c r="K27" s="222">
        <f t="shared" si="4"/>
        <v>-1912.6846439402236</v>
      </c>
      <c r="L27" s="222">
        <f t="shared" si="4"/>
        <v>-2083.2227905211575</v>
      </c>
      <c r="M27" s="223">
        <f t="shared" si="4"/>
        <v>-2179.3354815324519</v>
      </c>
    </row>
    <row r="28" spans="1:13" ht="14.25" customHeight="1" x14ac:dyDescent="0.3">
      <c r="A28" s="76"/>
      <c r="B28" s="50"/>
      <c r="C28" s="50"/>
      <c r="D28" s="50"/>
      <c r="E28" s="50"/>
      <c r="F28" s="50"/>
      <c r="G28" s="50"/>
      <c r="H28" s="77"/>
      <c r="I28" s="217"/>
      <c r="J28" s="50"/>
      <c r="K28" s="50"/>
      <c r="L28" s="50"/>
      <c r="M28" s="77"/>
    </row>
    <row r="29" spans="1:13" ht="14.25" customHeight="1" x14ac:dyDescent="0.3">
      <c r="A29" s="216" t="s">
        <v>382</v>
      </c>
      <c r="B29" s="222">
        <f t="shared" ref="B29:M29" si="5">B18+B22+B27</f>
        <v>1464.2499999999995</v>
      </c>
      <c r="C29" s="222">
        <f t="shared" si="5"/>
        <v>-488.63000000000011</v>
      </c>
      <c r="D29" s="222">
        <f t="shared" si="5"/>
        <v>630</v>
      </c>
      <c r="E29" s="222">
        <f t="shared" si="5"/>
        <v>-3186</v>
      </c>
      <c r="F29" s="222">
        <f t="shared" si="5"/>
        <v>1078</v>
      </c>
      <c r="G29" s="222">
        <f t="shared" si="5"/>
        <v>181</v>
      </c>
      <c r="H29" s="223">
        <f t="shared" si="5"/>
        <v>-4126</v>
      </c>
      <c r="I29" s="224">
        <f t="shared" si="5"/>
        <v>3519.6135909836203</v>
      </c>
      <c r="J29" s="222">
        <f t="shared" si="5"/>
        <v>1415.7219532462677</v>
      </c>
      <c r="K29" s="222">
        <f t="shared" si="5"/>
        <v>2656.2412478629976</v>
      </c>
      <c r="L29" s="222">
        <f t="shared" si="5"/>
        <v>1638.0051840152928</v>
      </c>
      <c r="M29" s="223">
        <f t="shared" si="5"/>
        <v>1438.6974906710893</v>
      </c>
    </row>
    <row r="30" spans="1:13" ht="14.25" customHeight="1" x14ac:dyDescent="0.3">
      <c r="A30" s="218" t="s">
        <v>383</v>
      </c>
      <c r="B30" s="50"/>
      <c r="C30" s="219">
        <v>1001</v>
      </c>
      <c r="D30" s="219">
        <v>356</v>
      </c>
      <c r="E30" s="219">
        <v>512</v>
      </c>
      <c r="F30" s="219">
        <v>1049</v>
      </c>
      <c r="G30" s="219">
        <v>792</v>
      </c>
      <c r="H30" s="220">
        <v>805</v>
      </c>
      <c r="I30" s="221">
        <f>FS!H72</f>
        <v>1132</v>
      </c>
      <c r="J30" s="219">
        <f>FS!I72</f>
        <v>4651.6135909836112</v>
      </c>
      <c r="K30" s="219">
        <f>FS!J72</f>
        <v>6067.335544229878</v>
      </c>
      <c r="L30" s="219">
        <f>FS!K72</f>
        <v>8723.5767920928811</v>
      </c>
      <c r="M30" s="220">
        <f>FS!L72</f>
        <v>10361.581976108175</v>
      </c>
    </row>
    <row r="31" spans="1:13" ht="14.25" customHeight="1" x14ac:dyDescent="0.3">
      <c r="A31" s="216" t="s">
        <v>384</v>
      </c>
      <c r="B31" s="50"/>
      <c r="C31" s="222">
        <f t="shared" ref="C31:M31" si="6">C30+C29</f>
        <v>512.36999999999989</v>
      </c>
      <c r="D31" s="222">
        <f t="shared" si="6"/>
        <v>986</v>
      </c>
      <c r="E31" s="222">
        <f t="shared" si="6"/>
        <v>-2674</v>
      </c>
      <c r="F31" s="222">
        <f t="shared" si="6"/>
        <v>2127</v>
      </c>
      <c r="G31" s="222">
        <f t="shared" si="6"/>
        <v>973</v>
      </c>
      <c r="H31" s="223">
        <f t="shared" si="6"/>
        <v>-3321</v>
      </c>
      <c r="I31" s="224">
        <f t="shared" si="6"/>
        <v>4651.6135909836203</v>
      </c>
      <c r="J31" s="222">
        <f t="shared" si="6"/>
        <v>6067.3355442298789</v>
      </c>
      <c r="K31" s="222">
        <f t="shared" si="6"/>
        <v>8723.5767920928756</v>
      </c>
      <c r="L31" s="222">
        <f t="shared" si="6"/>
        <v>10361.581976108173</v>
      </c>
      <c r="M31" s="223">
        <f t="shared" si="6"/>
        <v>11800.279466779264</v>
      </c>
    </row>
    <row r="32" spans="1:13" ht="15" customHeight="1" x14ac:dyDescent="0.3">
      <c r="A32" s="226" t="s">
        <v>385</v>
      </c>
      <c r="B32" s="54"/>
      <c r="C32" s="54"/>
      <c r="D32" s="54"/>
      <c r="E32" s="54"/>
      <c r="F32" s="54"/>
      <c r="G32" s="54"/>
      <c r="H32" s="81"/>
      <c r="I32" s="227">
        <f>I31-FS!I72</f>
        <v>9.0949470177292824E-12</v>
      </c>
      <c r="J32" s="228">
        <f>J31-FS!J72</f>
        <v>0</v>
      </c>
      <c r="K32" s="228">
        <f>K31-FS!K72</f>
        <v>0</v>
      </c>
      <c r="L32" s="228">
        <f>L31-FS!L72</f>
        <v>0</v>
      </c>
      <c r="M32" s="229">
        <f>M31-FS!M72</f>
        <v>0</v>
      </c>
    </row>
  </sheetData>
  <mergeCells count="2">
    <mergeCell ref="A1:H1"/>
    <mergeCell ref="I1:M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7"/>
  <sheetViews>
    <sheetView zoomScaleNormal="100" workbookViewId="0"/>
  </sheetViews>
  <sheetFormatPr defaultColWidth="8.5546875" defaultRowHeight="14.4" x14ac:dyDescent="0.3"/>
  <cols>
    <col min="1" max="1" width="30.88671875" customWidth="1"/>
  </cols>
  <sheetData>
    <row r="1" spans="1:7" ht="15" customHeight="1" x14ac:dyDescent="0.3">
      <c r="A1" s="230" t="s">
        <v>386</v>
      </c>
      <c r="B1" s="231">
        <v>2020</v>
      </c>
      <c r="C1" s="231">
        <v>2021</v>
      </c>
      <c r="D1" s="231">
        <v>2022</v>
      </c>
      <c r="E1" s="231">
        <v>2023</v>
      </c>
      <c r="F1" s="231">
        <v>2024</v>
      </c>
      <c r="G1" s="232">
        <v>2025</v>
      </c>
    </row>
    <row r="2" spans="1:7" ht="15" customHeight="1" x14ac:dyDescent="0.3">
      <c r="A2" s="4" t="s">
        <v>293</v>
      </c>
      <c r="B2" s="233">
        <f>Assumptions!C14</f>
        <v>14512</v>
      </c>
      <c r="C2" s="233">
        <f>Assumptions!D14</f>
        <v>15769</v>
      </c>
      <c r="D2" s="233">
        <f>Assumptions!E14</f>
        <v>20658</v>
      </c>
      <c r="E2" s="233">
        <f>Assumptions!F14</f>
        <v>29046</v>
      </c>
      <c r="F2" s="233">
        <f>Assumptions!G14</f>
        <v>36942</v>
      </c>
      <c r="G2" s="233">
        <f>Assumptions!H14</f>
        <v>43740</v>
      </c>
    </row>
    <row r="3" spans="1:7" ht="15" customHeight="1" x14ac:dyDescent="0.3">
      <c r="A3" s="4" t="s">
        <v>387</v>
      </c>
      <c r="B3" s="233">
        <f>(FS!B70+FS!C70)/2</f>
        <v>7230.09</v>
      </c>
      <c r="C3" s="233">
        <f>(FS!C70+FS!D70)/2</f>
        <v>7862.5</v>
      </c>
      <c r="D3" s="233">
        <f>(FS!D70+FS!E70)/2</f>
        <v>10385.5</v>
      </c>
      <c r="E3" s="233">
        <f>(FS!E70+FS!F70)/2</f>
        <v>13869.5</v>
      </c>
      <c r="F3" s="233">
        <f>(FS!F70+FS!G70)/2</f>
        <v>15913</v>
      </c>
      <c r="G3" s="233">
        <f>(FS!G70+FS!H70)/2</f>
        <v>20695.5</v>
      </c>
    </row>
    <row r="4" spans="1:7" ht="15" customHeight="1" x14ac:dyDescent="0.3">
      <c r="A4" s="4" t="s">
        <v>388</v>
      </c>
      <c r="B4" s="233">
        <f t="shared" ref="B4:G4" si="0">B2/B3</f>
        <v>2.0071672690104827</v>
      </c>
      <c r="C4" s="233">
        <f t="shared" si="0"/>
        <v>2.0055961844197139</v>
      </c>
      <c r="D4" s="233">
        <f t="shared" si="0"/>
        <v>1.9891194453805787</v>
      </c>
      <c r="E4" s="233">
        <f t="shared" si="0"/>
        <v>2.0942355528317531</v>
      </c>
      <c r="F4" s="233">
        <f t="shared" si="0"/>
        <v>2.3214981461697981</v>
      </c>
      <c r="G4" s="234">
        <f t="shared" si="0"/>
        <v>2.1135029354207435</v>
      </c>
    </row>
    <row r="5" spans="1:7" ht="15" customHeight="1" x14ac:dyDescent="0.3">
      <c r="A5" s="235" t="s">
        <v>389</v>
      </c>
      <c r="B5" s="236">
        <f t="shared" ref="B5:G5" si="1">252/B4</f>
        <v>125.55007442116867</v>
      </c>
      <c r="C5" s="236">
        <f t="shared" si="1"/>
        <v>125.64842412327985</v>
      </c>
      <c r="D5" s="236">
        <f t="shared" si="1"/>
        <v>126.68922451350566</v>
      </c>
      <c r="E5" s="236">
        <f t="shared" si="1"/>
        <v>120.33030365626936</v>
      </c>
      <c r="F5" s="236">
        <f t="shared" si="1"/>
        <v>108.55059282117915</v>
      </c>
      <c r="G5" s="237">
        <f t="shared" si="1"/>
        <v>119.23333333333333</v>
      </c>
    </row>
    <row r="6" spans="1:7" ht="15" customHeight="1" x14ac:dyDescent="0.3">
      <c r="A6" s="4"/>
      <c r="B6" s="233"/>
      <c r="C6" s="233"/>
      <c r="D6" s="233"/>
      <c r="E6" s="233"/>
      <c r="F6" s="233"/>
      <c r="G6" s="234"/>
    </row>
    <row r="7" spans="1:7" ht="15" customHeight="1" x14ac:dyDescent="0.3">
      <c r="A7" s="4" t="s">
        <v>390</v>
      </c>
      <c r="B7" s="233">
        <f>FS!C8</f>
        <v>20156</v>
      </c>
      <c r="C7" s="233">
        <f>FS!D8</f>
        <v>20783</v>
      </c>
      <c r="D7" s="233">
        <f>FS!E8</f>
        <v>27456</v>
      </c>
      <c r="E7" s="233">
        <f>FS!F8</f>
        <v>38569</v>
      </c>
      <c r="F7" s="233">
        <f>FS!G8</f>
        <v>47624</v>
      </c>
      <c r="G7" s="233">
        <f>FS!H8</f>
        <v>55335</v>
      </c>
    </row>
    <row r="8" spans="1:7" ht="15" customHeight="1" x14ac:dyDescent="0.3">
      <c r="A8" s="4" t="s">
        <v>391</v>
      </c>
      <c r="B8" s="233">
        <f>(FS!B71+FS!C71)/2</f>
        <v>286.11500000000001</v>
      </c>
      <c r="C8" s="233">
        <f>(FS!C71+FS!D71)/2</f>
        <v>252.5</v>
      </c>
      <c r="D8" s="233">
        <f>(FS!D71+FS!E71)/2</f>
        <v>393</v>
      </c>
      <c r="E8" s="233">
        <f>(FS!E71+FS!F71)/2</f>
        <v>701.5</v>
      </c>
      <c r="F8" s="233">
        <f>(FS!F71+FS!G71)/2</f>
        <v>922.5</v>
      </c>
      <c r="G8" s="233">
        <f>(FS!G71+FS!H71)/2</f>
        <v>960.5</v>
      </c>
    </row>
    <row r="9" spans="1:7" ht="15" customHeight="1" x14ac:dyDescent="0.3">
      <c r="A9" s="4" t="s">
        <v>392</v>
      </c>
      <c r="B9" s="233">
        <f t="shared" ref="B9:G9" si="2">B7/B8</f>
        <v>70.447197805078375</v>
      </c>
      <c r="C9" s="233">
        <f t="shared" si="2"/>
        <v>82.308910891089113</v>
      </c>
      <c r="D9" s="233">
        <f t="shared" si="2"/>
        <v>69.862595419847324</v>
      </c>
      <c r="E9" s="233">
        <f t="shared" si="2"/>
        <v>54.980755523877406</v>
      </c>
      <c r="F9" s="233">
        <f t="shared" si="2"/>
        <v>51.624932249322491</v>
      </c>
      <c r="G9" s="234">
        <f t="shared" si="2"/>
        <v>57.610619469026545</v>
      </c>
    </row>
    <row r="10" spans="1:7" ht="15" customHeight="1" x14ac:dyDescent="0.3">
      <c r="A10" s="235" t="s">
        <v>393</v>
      </c>
      <c r="B10" s="236">
        <f t="shared" ref="B10:G10" si="3">252/B9</f>
        <v>3.5771472514387779</v>
      </c>
      <c r="C10" s="236">
        <f t="shared" si="3"/>
        <v>3.0616369147861233</v>
      </c>
      <c r="D10" s="236">
        <f t="shared" si="3"/>
        <v>3.60708041958042</v>
      </c>
      <c r="E10" s="236">
        <f t="shared" si="3"/>
        <v>4.5834219191578729</v>
      </c>
      <c r="F10" s="236">
        <f t="shared" si="3"/>
        <v>4.8813623383168157</v>
      </c>
      <c r="G10" s="237">
        <f t="shared" si="3"/>
        <v>4.3741935483870966</v>
      </c>
    </row>
    <row r="11" spans="1:7" ht="15" customHeight="1" x14ac:dyDescent="0.3">
      <c r="A11" s="235" t="s">
        <v>394</v>
      </c>
      <c r="B11" s="236">
        <f t="shared" ref="B11:G11" si="4">B5+B10</f>
        <v>129.12722167260745</v>
      </c>
      <c r="C11" s="236">
        <f t="shared" si="4"/>
        <v>128.71006103806599</v>
      </c>
      <c r="D11" s="236">
        <f t="shared" si="4"/>
        <v>130.29630493308608</v>
      </c>
      <c r="E11" s="236">
        <f t="shared" si="4"/>
        <v>124.91372557542724</v>
      </c>
      <c r="F11" s="236">
        <f t="shared" si="4"/>
        <v>113.43195515949597</v>
      </c>
      <c r="G11" s="237">
        <f t="shared" si="4"/>
        <v>123.60752688172043</v>
      </c>
    </row>
    <row r="12" spans="1:7" ht="15" customHeight="1" x14ac:dyDescent="0.3">
      <c r="A12" s="4"/>
      <c r="B12" s="233"/>
      <c r="C12" s="233"/>
      <c r="D12" s="233"/>
      <c r="E12" s="233"/>
      <c r="F12" s="233"/>
      <c r="G12" s="234"/>
    </row>
    <row r="13" spans="1:7" ht="15" customHeight="1" x14ac:dyDescent="0.3">
      <c r="A13" s="4" t="s">
        <v>395</v>
      </c>
      <c r="B13" s="233">
        <f>FS!C13</f>
        <v>2859</v>
      </c>
      <c r="C13" s="233">
        <f>FS!D13</f>
        <v>2462</v>
      </c>
      <c r="D13" s="233">
        <f>FS!E13</f>
        <v>4187</v>
      </c>
      <c r="E13" s="233">
        <f>FS!F13</f>
        <v>5438</v>
      </c>
      <c r="F13" s="233">
        <f>FS!G13</f>
        <v>5535</v>
      </c>
      <c r="G13" s="233">
        <f>FS!H13</f>
        <v>6372</v>
      </c>
    </row>
    <row r="14" spans="1:7" ht="15" customHeight="1" x14ac:dyDescent="0.3">
      <c r="A14" s="4" t="s">
        <v>396</v>
      </c>
      <c r="B14" s="233">
        <f>(FS!B50+FS!C50)/2</f>
        <v>641.17000000000007</v>
      </c>
      <c r="C14" s="233">
        <f>(FS!C50+FS!D50)/2</f>
        <v>602.5</v>
      </c>
      <c r="D14" s="233">
        <f>(FS!D50+FS!E50)/2</f>
        <v>875</v>
      </c>
      <c r="E14" s="233">
        <f>(FS!E50+FS!F50)/2</f>
        <v>1010</v>
      </c>
      <c r="F14" s="233">
        <f>(FS!F50+FS!G50)/2</f>
        <v>954</v>
      </c>
      <c r="G14" s="233">
        <f>(FS!G50+FS!H50)/2</f>
        <v>1207.5</v>
      </c>
    </row>
    <row r="15" spans="1:7" ht="15" customHeight="1" x14ac:dyDescent="0.3">
      <c r="A15" s="4" t="s">
        <v>397</v>
      </c>
      <c r="B15" s="233">
        <f t="shared" ref="B15:G15" si="5">B13/B14</f>
        <v>4.4590358251321796</v>
      </c>
      <c r="C15" s="233">
        <f t="shared" si="5"/>
        <v>4.0863070539419084</v>
      </c>
      <c r="D15" s="233">
        <f t="shared" si="5"/>
        <v>4.7851428571428576</v>
      </c>
      <c r="E15" s="233">
        <f t="shared" si="5"/>
        <v>5.3841584158415845</v>
      </c>
      <c r="F15" s="233">
        <f t="shared" si="5"/>
        <v>5.8018867924528301</v>
      </c>
      <c r="G15" s="234">
        <f t="shared" si="5"/>
        <v>5.277018633540373</v>
      </c>
    </row>
    <row r="16" spans="1:7" ht="15" customHeight="1" x14ac:dyDescent="0.3">
      <c r="A16" s="235" t="s">
        <v>398</v>
      </c>
      <c r="B16" s="236">
        <f t="shared" ref="B16:G16" si="6">252/B15</f>
        <v>56.51445960125919</v>
      </c>
      <c r="C16" s="236">
        <f t="shared" si="6"/>
        <v>61.669374492282699</v>
      </c>
      <c r="D16" s="236">
        <f t="shared" si="6"/>
        <v>52.663004537855258</v>
      </c>
      <c r="E16" s="236">
        <f t="shared" si="6"/>
        <v>46.803972048547259</v>
      </c>
      <c r="F16" s="236">
        <f t="shared" si="6"/>
        <v>43.434146341463418</v>
      </c>
      <c r="G16" s="237">
        <f t="shared" si="6"/>
        <v>47.754237288135592</v>
      </c>
    </row>
    <row r="17" spans="1:7" ht="15.75" customHeight="1" x14ac:dyDescent="0.3">
      <c r="A17" s="238" t="s">
        <v>399</v>
      </c>
      <c r="B17" s="239">
        <f t="shared" ref="B17:G17" si="7">B11-B16</f>
        <v>72.612762071348257</v>
      </c>
      <c r="C17" s="239">
        <f t="shared" si="7"/>
        <v>67.040686545783288</v>
      </c>
      <c r="D17" s="239">
        <f t="shared" si="7"/>
        <v>77.633300395230819</v>
      </c>
      <c r="E17" s="239">
        <f t="shared" si="7"/>
        <v>78.109753526879985</v>
      </c>
      <c r="F17" s="239">
        <f t="shared" si="7"/>
        <v>69.997808818032553</v>
      </c>
      <c r="G17" s="240">
        <f t="shared" si="7"/>
        <v>75.853289593584833</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9"/>
  <sheetViews>
    <sheetView showGridLines="0" topLeftCell="A11" zoomScaleNormal="100" workbookViewId="0">
      <selection activeCell="A39" sqref="A39"/>
    </sheetView>
  </sheetViews>
  <sheetFormatPr defaultColWidth="8.5546875" defaultRowHeight="14.4" x14ac:dyDescent="0.3"/>
  <cols>
    <col min="1" max="1" width="72.6640625" customWidth="1"/>
    <col min="2" max="5" width="9.21875" customWidth="1"/>
    <col min="6" max="6" width="9.33203125" customWidth="1"/>
    <col min="7" max="7" width="38.21875" style="241" customWidth="1"/>
    <col min="8" max="8" width="20" customWidth="1"/>
  </cols>
  <sheetData>
    <row r="1" spans="1:7" ht="15" customHeight="1" x14ac:dyDescent="0.3">
      <c r="A1" s="393" t="s">
        <v>400</v>
      </c>
      <c r="B1" s="393"/>
      <c r="C1" s="393"/>
      <c r="D1" s="393"/>
      <c r="E1" s="393"/>
      <c r="F1" s="393"/>
      <c r="G1" s="393"/>
    </row>
    <row r="2" spans="1:7" x14ac:dyDescent="0.3">
      <c r="A2" s="394" t="s">
        <v>401</v>
      </c>
      <c r="B2" s="394"/>
      <c r="C2" s="394"/>
      <c r="D2" s="394"/>
      <c r="E2" s="394"/>
      <c r="F2" s="394"/>
      <c r="G2" s="394"/>
    </row>
    <row r="3" spans="1:7" x14ac:dyDescent="0.3">
      <c r="A3" s="242" t="s">
        <v>402</v>
      </c>
      <c r="B3" s="243"/>
      <c r="C3" s="243"/>
      <c r="D3" s="243"/>
      <c r="E3" s="243"/>
      <c r="F3" s="243"/>
      <c r="G3" s="244"/>
    </row>
    <row r="4" spans="1:7" x14ac:dyDescent="0.3">
      <c r="A4" s="242" t="s">
        <v>242</v>
      </c>
      <c r="B4" s="245" t="s">
        <v>403</v>
      </c>
      <c r="C4" s="245" t="s">
        <v>404</v>
      </c>
      <c r="D4" s="245" t="s">
        <v>405</v>
      </c>
      <c r="E4" s="245" t="s">
        <v>406</v>
      </c>
      <c r="F4" s="245" t="s">
        <v>407</v>
      </c>
      <c r="G4" s="246" t="s">
        <v>408</v>
      </c>
    </row>
    <row r="5" spans="1:7" x14ac:dyDescent="0.3">
      <c r="A5" s="247" t="s">
        <v>221</v>
      </c>
      <c r="B5" s="248">
        <f>FS!I24+FS!I16</f>
        <v>6198.8866652382758</v>
      </c>
      <c r="C5" s="248">
        <f>FS!J24+FS!J16</f>
        <v>6871.9090471977652</v>
      </c>
      <c r="D5" s="248">
        <f>FS!K24+FS!K16</f>
        <v>7190.400455842082</v>
      </c>
      <c r="E5" s="248">
        <f>FS!L24+FS!L16</f>
        <v>7449.4976856198455</v>
      </c>
      <c r="F5" s="248">
        <f>FS!M24+FS!M16</f>
        <v>7915.6243822833712</v>
      </c>
      <c r="G5" s="249" t="s">
        <v>409</v>
      </c>
    </row>
    <row r="6" spans="1:7" x14ac:dyDescent="0.3">
      <c r="A6" s="247" t="s">
        <v>410</v>
      </c>
      <c r="B6" s="250">
        <f>(FS!I24+FS!I16)*Assumptions!I27</f>
        <v>1560.1357959071693</v>
      </c>
      <c r="C6" s="250">
        <f>(FS!J24+FS!J16)*Assumptions!J27</f>
        <v>1729.5220689987336</v>
      </c>
      <c r="D6" s="250">
        <f>(FS!K24+FS!K16)*Assumptions!K27</f>
        <v>1809.6799867263353</v>
      </c>
      <c r="E6" s="250">
        <f>(FS!L24+FS!L16)*Assumptions!L27</f>
        <v>1874.8895775168028</v>
      </c>
      <c r="F6" s="250">
        <f>(FS!M24+FS!M16)*Assumptions!M27</f>
        <v>1992.2043445330789</v>
      </c>
      <c r="G6" s="249" t="s">
        <v>411</v>
      </c>
    </row>
    <row r="7" spans="1:7" x14ac:dyDescent="0.3">
      <c r="A7" s="251" t="s">
        <v>223</v>
      </c>
      <c r="B7" s="340">
        <f>B5-B6</f>
        <v>4638.7508693311065</v>
      </c>
      <c r="C7" s="340">
        <f>C5-C6</f>
        <v>5142.3869781990315</v>
      </c>
      <c r="D7" s="340">
        <f>D5-D6</f>
        <v>5380.7204691157467</v>
      </c>
      <c r="E7" s="340">
        <f>E5-E6</f>
        <v>5574.6081081030425</v>
      </c>
      <c r="F7" s="340">
        <f>F5-F6</f>
        <v>5923.4200377502921</v>
      </c>
      <c r="G7" s="249" t="s">
        <v>412</v>
      </c>
    </row>
    <row r="8" spans="1:7" x14ac:dyDescent="0.3">
      <c r="A8" s="247" t="s">
        <v>362</v>
      </c>
      <c r="B8" s="248">
        <f>FS!I17</f>
        <v>543.65394600000002</v>
      </c>
      <c r="C8" s="248">
        <f>FS!J17</f>
        <v>644.27210224362329</v>
      </c>
      <c r="D8" s="248">
        <f>FS!K17</f>
        <v>714.28275430688154</v>
      </c>
      <c r="E8" s="248">
        <f>FS!L17</f>
        <v>792.69203928276943</v>
      </c>
      <c r="F8" s="248">
        <f>FS!M17</f>
        <v>858.46802021909878</v>
      </c>
      <c r="G8" s="249" t="s">
        <v>413</v>
      </c>
    </row>
    <row r="9" spans="1:7" x14ac:dyDescent="0.3">
      <c r="A9" s="247" t="s">
        <v>414</v>
      </c>
      <c r="B9" s="248">
        <f>-(FS!I77-FS!H77)</f>
        <v>-3041.4408314222565</v>
      </c>
      <c r="C9" s="248">
        <f>-(FS!J77-FS!I77)</f>
        <v>-3377.0875668437766</v>
      </c>
      <c r="D9" s="248">
        <f>-(FS!K77-FS!J77)</f>
        <v>-3443.2674064774146</v>
      </c>
      <c r="E9" s="248">
        <f>-(FS!L77-FS!K77)</f>
        <v>-3465.1013198189139</v>
      </c>
      <c r="F9" s="248">
        <f>-(FS!M77-FS!L77)</f>
        <v>-3778.2786667643268</v>
      </c>
      <c r="G9" s="249" t="s">
        <v>415</v>
      </c>
    </row>
    <row r="10" spans="1:7" x14ac:dyDescent="0.3">
      <c r="A10" s="247" t="s">
        <v>416</v>
      </c>
      <c r="B10" s="248">
        <f>-Assumptions!I54</f>
        <v>-762.50964960111514</v>
      </c>
      <c r="C10" s="248">
        <f>-Assumptions!J54</f>
        <v>-834.26906787896735</v>
      </c>
      <c r="D10" s="248">
        <f>-Assumptions!K54</f>
        <v>-904.49962730834898</v>
      </c>
      <c r="E10" s="248">
        <f>-Assumptions!L54</f>
        <v>-1008.571461631067</v>
      </c>
      <c r="F10" s="248">
        <f>-Assumptions!M54</f>
        <v>-1028.2117851965183</v>
      </c>
      <c r="G10" s="249" t="s">
        <v>417</v>
      </c>
    </row>
    <row r="11" spans="1:7" x14ac:dyDescent="0.3">
      <c r="A11" s="252" t="s">
        <v>418</v>
      </c>
      <c r="B11" s="341">
        <f>B7+B8+B9+B10</f>
        <v>1378.4543343077353</v>
      </c>
      <c r="C11" s="341">
        <f>C7+C8+C9+C10</f>
        <v>1575.3024457199112</v>
      </c>
      <c r="D11" s="341">
        <f>D7+D8+D9+D10</f>
        <v>1747.2361896368648</v>
      </c>
      <c r="E11" s="341">
        <f>E7+E8+E9+E10</f>
        <v>1893.6273659358312</v>
      </c>
      <c r="F11" s="341">
        <f>F7+F8+F9+F10</f>
        <v>1975.3976060085454</v>
      </c>
      <c r="G11" s="249" t="s">
        <v>419</v>
      </c>
    </row>
    <row r="12" spans="1:7" x14ac:dyDescent="0.3">
      <c r="A12" s="242" t="s">
        <v>420</v>
      </c>
      <c r="B12" s="243"/>
      <c r="C12" s="243"/>
      <c r="D12" s="243"/>
      <c r="E12" s="243"/>
      <c r="F12" s="243"/>
      <c r="G12" s="244"/>
    </row>
    <row r="13" spans="1:7" x14ac:dyDescent="0.3">
      <c r="A13" s="247" t="s">
        <v>421</v>
      </c>
      <c r="B13" s="253">
        <f>'WACC &amp; EVA'!C14</f>
        <v>0.10509205888485398</v>
      </c>
      <c r="C13" s="253">
        <f>'WACC &amp; EVA'!C14</f>
        <v>0.10509205888485398</v>
      </c>
      <c r="D13" s="253">
        <f>'WACC &amp; EVA'!C14</f>
        <v>0.10509205888485398</v>
      </c>
      <c r="E13" s="253">
        <f>'WACC &amp; EVA'!C14</f>
        <v>0.10509205888485398</v>
      </c>
      <c r="F13" s="253">
        <f>'WACC &amp; EVA'!C14</f>
        <v>0.10509205888485398</v>
      </c>
      <c r="G13" s="249" t="s">
        <v>422</v>
      </c>
    </row>
    <row r="14" spans="1:7" x14ac:dyDescent="0.3">
      <c r="A14" s="247" t="s">
        <v>423</v>
      </c>
      <c r="B14" s="254">
        <v>1</v>
      </c>
      <c r="C14" s="254">
        <v>2</v>
      </c>
      <c r="D14" s="254">
        <v>3</v>
      </c>
      <c r="E14" s="254">
        <v>4</v>
      </c>
      <c r="F14" s="254">
        <v>5</v>
      </c>
      <c r="G14" s="255"/>
    </row>
    <row r="15" spans="1:7" x14ac:dyDescent="0.3">
      <c r="A15" s="247" t="s">
        <v>424</v>
      </c>
      <c r="B15" s="256">
        <f>1/(1+B13)^B14</f>
        <v>0.90490198708793346</v>
      </c>
      <c r="C15" s="256">
        <f>1/(1+C13)^C14</f>
        <v>0.81884760623569053</v>
      </c>
      <c r="D15" s="256">
        <f>1/(1+D13)^D14</f>
        <v>0.74097682600487413</v>
      </c>
      <c r="E15" s="256">
        <f>1/(1+E13)^E14</f>
        <v>0.6705114022379205</v>
      </c>
      <c r="F15" s="256">
        <f>1/(1+F13)^F14</f>
        <v>0.60674710025021084</v>
      </c>
      <c r="G15" s="249" t="s">
        <v>425</v>
      </c>
    </row>
    <row r="16" spans="1:7" x14ac:dyDescent="0.3">
      <c r="A16" s="251" t="s">
        <v>426</v>
      </c>
      <c r="B16" s="342">
        <f>B11*B15</f>
        <v>1247.3660662250443</v>
      </c>
      <c r="C16" s="342">
        <f>C11*C15</f>
        <v>1289.9326367749782</v>
      </c>
      <c r="D16" s="342">
        <f>D11*D15</f>
        <v>1294.6615260779745</v>
      </c>
      <c r="E16" s="342">
        <f>E11*E15</f>
        <v>1269.698740449734</v>
      </c>
      <c r="F16" s="342">
        <f>F11*F15</f>
        <v>1198.5667692868933</v>
      </c>
      <c r="G16" s="249" t="s">
        <v>427</v>
      </c>
    </row>
    <row r="17" spans="1:7" x14ac:dyDescent="0.3">
      <c r="A17" s="242" t="s">
        <v>428</v>
      </c>
      <c r="B17" s="243"/>
      <c r="C17" s="243"/>
      <c r="D17" s="243"/>
      <c r="E17" s="243"/>
      <c r="F17" s="243"/>
      <c r="G17" s="244"/>
    </row>
    <row r="18" spans="1:7" x14ac:dyDescent="0.3">
      <c r="A18" s="247" t="s">
        <v>429</v>
      </c>
      <c r="B18" s="257">
        <v>0.05</v>
      </c>
      <c r="C18" s="253">
        <f>B18</f>
        <v>0.05</v>
      </c>
      <c r="D18" s="253">
        <f>B18</f>
        <v>0.05</v>
      </c>
      <c r="E18" s="253">
        <f>B18</f>
        <v>0.05</v>
      </c>
      <c r="F18" s="253">
        <f>B18</f>
        <v>0.05</v>
      </c>
      <c r="G18" s="249" t="s">
        <v>430</v>
      </c>
    </row>
    <row r="19" spans="1:7" x14ac:dyDescent="0.3">
      <c r="A19" s="247" t="s">
        <v>431</v>
      </c>
      <c r="B19" s="248">
        <f>F11*(1+B18)</f>
        <v>2074.1674863089729</v>
      </c>
      <c r="C19" s="258"/>
      <c r="D19" s="258"/>
      <c r="E19" s="258"/>
      <c r="F19" s="258"/>
      <c r="G19" s="249" t="s">
        <v>432</v>
      </c>
    </row>
    <row r="20" spans="1:7" x14ac:dyDescent="0.3">
      <c r="A20" s="247" t="s">
        <v>433</v>
      </c>
      <c r="B20" s="248">
        <f>B19/(B13-B18)</f>
        <v>37649.119097983232</v>
      </c>
      <c r="C20" s="258"/>
      <c r="D20" s="258"/>
      <c r="E20" s="258"/>
      <c r="F20" s="258"/>
      <c r="G20" s="249" t="s">
        <v>434</v>
      </c>
    </row>
    <row r="21" spans="1:7" x14ac:dyDescent="0.3">
      <c r="A21" s="251" t="s">
        <v>435</v>
      </c>
      <c r="B21" s="342">
        <f>B20*F15</f>
        <v>22843.493839676161</v>
      </c>
      <c r="C21" s="258"/>
      <c r="D21" s="258"/>
      <c r="E21" s="258"/>
      <c r="F21" s="258"/>
      <c r="G21" s="249" t="s">
        <v>436</v>
      </c>
    </row>
    <row r="22" spans="1:7" x14ac:dyDescent="0.3">
      <c r="A22" s="242" t="s">
        <v>437</v>
      </c>
      <c r="B22" s="243"/>
      <c r="C22" s="243"/>
      <c r="D22" s="243"/>
      <c r="E22" s="243"/>
      <c r="F22" s="243"/>
      <c r="G22" s="244"/>
    </row>
    <row r="23" spans="1:7" x14ac:dyDescent="0.3">
      <c r="A23" s="247" t="s">
        <v>438</v>
      </c>
      <c r="B23" s="248">
        <f>SUM(B16:F16)</f>
        <v>6300.2257388146245</v>
      </c>
      <c r="C23" s="258"/>
      <c r="D23" s="258"/>
      <c r="E23" s="258"/>
      <c r="F23" s="258"/>
      <c r="G23" s="249" t="s">
        <v>439</v>
      </c>
    </row>
    <row r="24" spans="1:7" x14ac:dyDescent="0.3">
      <c r="A24" s="247" t="s">
        <v>435</v>
      </c>
      <c r="B24" s="248">
        <f>B21</f>
        <v>22843.493839676161</v>
      </c>
      <c r="C24" s="258"/>
      <c r="D24" s="258"/>
      <c r="E24" s="258"/>
      <c r="F24" s="258"/>
      <c r="G24" s="255"/>
    </row>
    <row r="25" spans="1:7" x14ac:dyDescent="0.3">
      <c r="A25" s="252" t="s">
        <v>440</v>
      </c>
      <c r="B25" s="341">
        <f>B23+B24</f>
        <v>29143.719578490785</v>
      </c>
      <c r="C25" s="258"/>
      <c r="D25" s="258"/>
      <c r="E25" s="258"/>
      <c r="F25" s="258"/>
      <c r="G25" s="249" t="s">
        <v>441</v>
      </c>
    </row>
    <row r="26" spans="1:7" x14ac:dyDescent="0.3">
      <c r="A26" s="247" t="s">
        <v>442</v>
      </c>
      <c r="B26" s="248">
        <f>FS!H43+FS!H48+FS!H44</f>
        <v>16889</v>
      </c>
      <c r="C26" s="258"/>
      <c r="D26" s="258"/>
      <c r="E26" s="258"/>
      <c r="F26" s="258"/>
      <c r="G26" s="249" t="s">
        <v>443</v>
      </c>
    </row>
    <row r="27" spans="1:7" x14ac:dyDescent="0.3">
      <c r="A27" s="247" t="s">
        <v>444</v>
      </c>
      <c r="B27" s="248">
        <f>FS!H72</f>
        <v>1132</v>
      </c>
      <c r="C27" s="258"/>
      <c r="D27" s="258"/>
      <c r="E27" s="258"/>
      <c r="F27" s="258"/>
      <c r="G27" s="249" t="s">
        <v>445</v>
      </c>
    </row>
    <row r="28" spans="1:7" x14ac:dyDescent="0.3">
      <c r="A28" s="247" t="s">
        <v>446</v>
      </c>
      <c r="B28" s="259">
        <f>B26-B27</f>
        <v>15757</v>
      </c>
      <c r="C28" s="258"/>
      <c r="D28" s="258"/>
      <c r="E28" s="258"/>
      <c r="F28" s="258"/>
      <c r="G28" s="249" t="s">
        <v>447</v>
      </c>
    </row>
    <row r="29" spans="1:7" x14ac:dyDescent="0.3">
      <c r="A29" s="252" t="s">
        <v>448</v>
      </c>
      <c r="B29" s="341">
        <f>B25-B28</f>
        <v>13386.719578490785</v>
      </c>
      <c r="C29" s="258"/>
      <c r="D29" s="258"/>
      <c r="E29" s="258"/>
      <c r="F29" s="258"/>
      <c r="G29" s="249" t="s">
        <v>449</v>
      </c>
    </row>
    <row r="30" spans="1:7" x14ac:dyDescent="0.3">
      <c r="A30" s="247" t="s">
        <v>450</v>
      </c>
      <c r="B30" s="248">
        <f>FS!H29/FS!H30</f>
        <v>88.696808510638292</v>
      </c>
      <c r="C30" s="258"/>
      <c r="D30" s="258"/>
      <c r="E30" s="258"/>
      <c r="F30" s="258"/>
      <c r="G30" s="249" t="s">
        <v>451</v>
      </c>
    </row>
    <row r="31" spans="1:7" x14ac:dyDescent="0.3">
      <c r="A31" s="260" t="s">
        <v>452</v>
      </c>
      <c r="B31" s="261">
        <f>B29/B30</f>
        <v>150.92673347863675</v>
      </c>
      <c r="C31" s="262"/>
      <c r="D31" s="262"/>
      <c r="E31" s="262"/>
      <c r="F31" s="262"/>
      <c r="G31" s="263" t="s">
        <v>453</v>
      </c>
    </row>
    <row r="32" spans="1:7" x14ac:dyDescent="0.3">
      <c r="A32" s="260" t="s">
        <v>454</v>
      </c>
      <c r="B32" s="262"/>
      <c r="C32" s="262"/>
      <c r="D32" s="262"/>
      <c r="E32" s="262"/>
      <c r="F32" s="262"/>
      <c r="G32" s="264"/>
    </row>
    <row r="33" spans="1:7" x14ac:dyDescent="0.3">
      <c r="A33" s="265" t="s">
        <v>570</v>
      </c>
      <c r="B33" s="266">
        <v>0.03</v>
      </c>
      <c r="C33" s="266">
        <v>0.04</v>
      </c>
      <c r="D33" s="266">
        <v>0.05</v>
      </c>
      <c r="E33" s="266">
        <v>0.06</v>
      </c>
      <c r="F33" s="266">
        <v>7.0000000000000007E-2</v>
      </c>
      <c r="G33" s="255"/>
    </row>
    <row r="34" spans="1:7" x14ac:dyDescent="0.3">
      <c r="A34" s="267">
        <v>8.5000000000000006E-2</v>
      </c>
      <c r="B34" s="268">
        <v>207.3</v>
      </c>
      <c r="C34" s="268">
        <v>278.7</v>
      </c>
      <c r="D34" s="268">
        <v>391</v>
      </c>
      <c r="E34" s="268">
        <v>593.20000000000005</v>
      </c>
      <c r="F34" s="268">
        <v>1064.9000000000001</v>
      </c>
      <c r="G34" s="255"/>
    </row>
    <row r="35" spans="1:7" x14ac:dyDescent="0.3">
      <c r="A35" s="267">
        <v>9.5000000000000001E-2</v>
      </c>
      <c r="B35" s="269">
        <v>146.5</v>
      </c>
      <c r="C35" s="268">
        <v>194.2</v>
      </c>
      <c r="D35" s="268">
        <v>263.10000000000002</v>
      </c>
      <c r="E35" s="268">
        <v>371.4</v>
      </c>
      <c r="F35" s="268">
        <v>566.20000000000005</v>
      </c>
      <c r="G35" s="255"/>
    </row>
    <row r="36" spans="1:7" x14ac:dyDescent="0.3">
      <c r="A36" s="270">
        <v>0.1051</v>
      </c>
      <c r="B36" s="271">
        <v>101.6</v>
      </c>
      <c r="C36" s="271">
        <v>135.30000000000001</v>
      </c>
      <c r="D36" s="271">
        <v>181.1</v>
      </c>
      <c r="E36" s="271">
        <v>247.3</v>
      </c>
      <c r="F36" s="271">
        <v>351.1</v>
      </c>
      <c r="G36" s="249" t="s">
        <v>238</v>
      </c>
    </row>
    <row r="37" spans="1:7" x14ac:dyDescent="0.3">
      <c r="A37" s="267">
        <v>0.115</v>
      </c>
      <c r="B37" s="269">
        <v>68</v>
      </c>
      <c r="C37" s="269">
        <v>92.9</v>
      </c>
      <c r="D37" s="269">
        <v>125.4</v>
      </c>
      <c r="E37" s="268">
        <v>169.8</v>
      </c>
      <c r="F37" s="268">
        <v>233.9</v>
      </c>
      <c r="G37" s="255"/>
    </row>
    <row r="38" spans="1:7" x14ac:dyDescent="0.3">
      <c r="A38" s="267">
        <v>0.125</v>
      </c>
      <c r="B38" s="269">
        <v>41.2</v>
      </c>
      <c r="C38" s="269">
        <v>60.1</v>
      </c>
      <c r="D38" s="269">
        <v>84.2</v>
      </c>
      <c r="E38" s="269">
        <v>115.5</v>
      </c>
      <c r="F38" s="268">
        <v>158.4</v>
      </c>
      <c r="G38" s="255"/>
    </row>
    <row r="39" spans="1:7" ht="15" customHeight="1" x14ac:dyDescent="0.3">
      <c r="A39" s="272" t="s">
        <v>455</v>
      </c>
      <c r="B39" s="273"/>
      <c r="C39" s="273"/>
      <c r="D39" s="273"/>
      <c r="E39" s="273"/>
      <c r="F39" s="273"/>
      <c r="G39" s="274"/>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7"/>
  <sheetViews>
    <sheetView showGridLines="0" topLeftCell="N14" zoomScaleNormal="100" workbookViewId="0">
      <selection activeCell="G26" sqref="G26"/>
    </sheetView>
  </sheetViews>
  <sheetFormatPr defaultColWidth="8.5546875" defaultRowHeight="14.4" x14ac:dyDescent="0.3"/>
  <cols>
    <col min="1" max="1" width="61.6640625" customWidth="1"/>
    <col min="2" max="2" width="8.6640625" customWidth="1"/>
    <col min="3" max="4" width="10.88671875" customWidth="1"/>
    <col min="5" max="5" width="10.44140625" customWidth="1"/>
    <col min="6" max="6" width="12.44140625" customWidth="1"/>
    <col min="7" max="9" width="8.6640625" customWidth="1"/>
  </cols>
  <sheetData>
    <row r="1" spans="1:9" ht="15.75" customHeight="1" x14ac:dyDescent="0.3">
      <c r="A1" s="366" t="s">
        <v>456</v>
      </c>
      <c r="B1" s="366"/>
      <c r="C1" s="366"/>
      <c r="D1" s="366"/>
      <c r="E1" s="366"/>
      <c r="F1" s="366"/>
      <c r="G1" s="366"/>
      <c r="H1" s="366"/>
      <c r="I1" s="366"/>
    </row>
    <row r="2" spans="1:9" x14ac:dyDescent="0.3">
      <c r="A2" s="367" t="s">
        <v>457</v>
      </c>
      <c r="B2" s="367"/>
      <c r="C2" s="367"/>
      <c r="D2" s="367"/>
      <c r="E2" s="367"/>
      <c r="F2" s="367"/>
      <c r="G2" s="367"/>
      <c r="H2" s="367"/>
      <c r="I2" s="367"/>
    </row>
    <row r="3" spans="1:9" x14ac:dyDescent="0.3">
      <c r="A3" s="242" t="s">
        <v>458</v>
      </c>
      <c r="B3" s="275"/>
      <c r="C3" s="275"/>
      <c r="D3" s="275"/>
      <c r="E3" s="275"/>
      <c r="F3" s="275"/>
      <c r="G3" s="275"/>
      <c r="H3" s="275"/>
      <c r="I3" s="276"/>
    </row>
    <row r="4" spans="1:9" x14ac:dyDescent="0.3">
      <c r="A4" s="242" t="s">
        <v>242</v>
      </c>
      <c r="B4" s="245" t="s">
        <v>459</v>
      </c>
      <c r="C4" s="245" t="s">
        <v>460</v>
      </c>
      <c r="D4" s="245" t="s">
        <v>461</v>
      </c>
      <c r="E4" s="245" t="s">
        <v>462</v>
      </c>
      <c r="F4" s="245" t="s">
        <v>463</v>
      </c>
      <c r="G4" s="245" t="s">
        <v>464</v>
      </c>
      <c r="H4" s="245" t="s">
        <v>465</v>
      </c>
      <c r="I4" s="246" t="s">
        <v>466</v>
      </c>
    </row>
    <row r="5" spans="1:9" x14ac:dyDescent="0.3">
      <c r="A5" s="277" t="s">
        <v>467</v>
      </c>
      <c r="B5" s="278">
        <f>FS!D8</f>
        <v>20783</v>
      </c>
      <c r="C5" s="278">
        <f>FS!E8</f>
        <v>27456</v>
      </c>
      <c r="D5" s="278">
        <f>FS!F8</f>
        <v>38569</v>
      </c>
      <c r="E5" s="278">
        <f>FS!G8</f>
        <v>47624</v>
      </c>
      <c r="F5" s="278">
        <f>FS!H8</f>
        <v>55335</v>
      </c>
      <c r="G5" s="278">
        <f>FS!I8</f>
        <v>59129.681614067762</v>
      </c>
      <c r="H5" s="278">
        <f>FS!J8</f>
        <v>63206.628520339225</v>
      </c>
      <c r="I5" s="279">
        <f>FS!K8</f>
        <v>67549.825917050955</v>
      </c>
    </row>
    <row r="6" spans="1:9" x14ac:dyDescent="0.3">
      <c r="A6" s="277" t="s">
        <v>468</v>
      </c>
      <c r="B6" s="278">
        <f>FS!D8-FS!D9-FS!D15-FS!D18</f>
        <v>1882</v>
      </c>
      <c r="C6" s="278">
        <f>FS!E8-FS!E9-FS!E15-FS!E18</f>
        <v>3525</v>
      </c>
      <c r="D6" s="278">
        <f>FS!F8-FS!F9-FS!F15-FS!F18</f>
        <v>5069</v>
      </c>
      <c r="E6" s="278">
        <f>FS!G8-FS!G9-FS!G15-FS!G18</f>
        <v>5534</v>
      </c>
      <c r="F6" s="278">
        <f>FS!H8-FS!H9-FS!H15-FS!H18</f>
        <v>5785</v>
      </c>
      <c r="G6" s="278">
        <f>FS!I8-FS!I9-FS!I15-FS!I18</f>
        <v>6742.540611238278</v>
      </c>
      <c r="H6" s="278">
        <f>FS!J8-FS!J9-FS!J15-FS!J18</f>
        <v>7516.181149441386</v>
      </c>
      <c r="I6" s="279">
        <f>FS!K8-FS!K9-FS!K15-FS!K18</f>
        <v>7904.6832101489745</v>
      </c>
    </row>
    <row r="7" spans="1:9" x14ac:dyDescent="0.3">
      <c r="A7" s="277" t="s">
        <v>469</v>
      </c>
      <c r="B7" s="278">
        <f>FS!D8-FS!D9-FS!D15-FS!D18-FS!D17</f>
        <v>1551</v>
      </c>
      <c r="C7" s="278">
        <f>FS!E8-FS!E9-FS!E15-FS!E18-FS!E17</f>
        <v>3178</v>
      </c>
      <c r="D7" s="278">
        <f>FS!F8-FS!F9-FS!F15-FS!F18-FS!F17</f>
        <v>4705</v>
      </c>
      <c r="E7" s="278">
        <f>FS!G8-FS!G9-FS!G15-FS!G18-FS!G17</f>
        <v>5087</v>
      </c>
      <c r="F7" s="278">
        <f>FS!H8-FS!H9-FS!H15-FS!H18-FS!H17</f>
        <v>5248</v>
      </c>
      <c r="G7" s="278">
        <f>FS!I8-FS!I9-FS!I15-FS!I18-FS!I17</f>
        <v>6198.8866652382776</v>
      </c>
      <c r="H7" s="278">
        <f>FS!J8-FS!J9-FS!J15-FS!J18-FS!J17</f>
        <v>6871.9090471977624</v>
      </c>
      <c r="I7" s="279">
        <f>FS!K8-FS!K9-FS!K15-FS!K18-FS!K17</f>
        <v>7190.4004558420929</v>
      </c>
    </row>
    <row r="8" spans="1:9" x14ac:dyDescent="0.3">
      <c r="A8" s="277" t="s">
        <v>470</v>
      </c>
      <c r="B8" s="278">
        <f>FS!D29</f>
        <v>877</v>
      </c>
      <c r="C8" s="278">
        <f>FS!E29</f>
        <v>2180</v>
      </c>
      <c r="D8" s="278">
        <f>FS!F29</f>
        <v>3333</v>
      </c>
      <c r="E8" s="278">
        <f>FS!G29</f>
        <v>3544</v>
      </c>
      <c r="F8" s="278">
        <f>FS!H29</f>
        <v>3335</v>
      </c>
      <c r="G8" s="278">
        <f>FS!I29</f>
        <v>4231.7682004458493</v>
      </c>
      <c r="H8" s="278">
        <f>FS!J29</f>
        <v>4702.8151961270214</v>
      </c>
      <c r="I8" s="279">
        <f>FS!K29</f>
        <v>4888.792674597762</v>
      </c>
    </row>
    <row r="9" spans="1:9" x14ac:dyDescent="0.3">
      <c r="A9" s="277" t="s">
        <v>471</v>
      </c>
      <c r="B9" s="280">
        <f>FS!D30</f>
        <v>9.8800000000000008</v>
      </c>
      <c r="C9" s="280">
        <f>FS!E30</f>
        <v>24.56</v>
      </c>
      <c r="D9" s="280">
        <f>FS!F30</f>
        <v>37.54</v>
      </c>
      <c r="E9" s="280">
        <f>FS!G30</f>
        <v>39.94</v>
      </c>
      <c r="F9" s="280">
        <f>FS!H30</f>
        <v>37.6</v>
      </c>
      <c r="G9" s="280">
        <f>FS!I30</f>
        <v>47.710490056001184</v>
      </c>
      <c r="H9" s="280">
        <f>FS!J30</f>
        <v>53.021244789917844</v>
      </c>
      <c r="I9" s="281">
        <f>FS!K30</f>
        <v>55.118022358283618</v>
      </c>
    </row>
    <row r="10" spans="1:9" x14ac:dyDescent="0.3">
      <c r="A10" s="277" t="s">
        <v>472</v>
      </c>
      <c r="B10" s="280">
        <f>FS!D32</f>
        <v>85.07</v>
      </c>
      <c r="C10" s="280">
        <f>FS!E32</f>
        <v>105.57</v>
      </c>
      <c r="D10" s="280">
        <f>FS!F32</f>
        <v>134.76</v>
      </c>
      <c r="E10" s="280">
        <f>FS!G32</f>
        <v>162.44</v>
      </c>
      <c r="F10" s="280">
        <f>FS!H32</f>
        <v>188.89</v>
      </c>
      <c r="G10" s="280">
        <f>FS!I32</f>
        <v>226.29107937537603</v>
      </c>
      <c r="H10" s="280">
        <f>FS!J32</f>
        <v>266.50768459912865</v>
      </c>
      <c r="I10" s="281">
        <f>FS!K32</f>
        <v>307.47290466161911</v>
      </c>
    </row>
    <row r="11" spans="1:9" x14ac:dyDescent="0.3">
      <c r="A11" s="242" t="s">
        <v>473</v>
      </c>
      <c r="B11" s="275"/>
      <c r="C11" s="275"/>
      <c r="D11" s="275"/>
      <c r="E11" s="275"/>
      <c r="F11" s="275"/>
      <c r="G11" s="275"/>
      <c r="H11" s="275"/>
      <c r="I11" s="276"/>
    </row>
    <row r="12" spans="1:9" ht="26.25" customHeight="1" x14ac:dyDescent="0.3">
      <c r="A12" s="242" t="s">
        <v>40</v>
      </c>
      <c r="B12" s="282" t="s">
        <v>474</v>
      </c>
      <c r="C12" s="282" t="s">
        <v>475</v>
      </c>
      <c r="D12" s="282" t="s">
        <v>476</v>
      </c>
      <c r="E12" s="282" t="s">
        <v>477</v>
      </c>
      <c r="F12" s="282" t="s">
        <v>467</v>
      </c>
      <c r="G12" s="282" t="s">
        <v>468</v>
      </c>
      <c r="H12" s="282" t="s">
        <v>478</v>
      </c>
      <c r="I12" s="283" t="s">
        <v>479</v>
      </c>
    </row>
    <row r="13" spans="1:9" x14ac:dyDescent="0.3">
      <c r="A13" s="284" t="s">
        <v>480</v>
      </c>
      <c r="B13" s="285">
        <v>65</v>
      </c>
      <c r="C13" s="285">
        <v>40</v>
      </c>
      <c r="D13" s="285">
        <v>3.5</v>
      </c>
      <c r="E13" s="285">
        <v>10</v>
      </c>
      <c r="F13" s="278">
        <v>14830</v>
      </c>
      <c r="G13" s="278">
        <v>450</v>
      </c>
      <c r="H13" s="278">
        <v>540</v>
      </c>
      <c r="I13" s="279">
        <v>35100</v>
      </c>
    </row>
    <row r="14" spans="1:9" x14ac:dyDescent="0.3">
      <c r="A14" s="284" t="s">
        <v>481</v>
      </c>
      <c r="B14" s="285">
        <v>22</v>
      </c>
      <c r="C14" s="285">
        <v>18</v>
      </c>
      <c r="D14" s="285">
        <v>1</v>
      </c>
      <c r="E14" s="285">
        <v>2.5</v>
      </c>
      <c r="F14" s="278">
        <v>5800</v>
      </c>
      <c r="G14" s="278">
        <v>180</v>
      </c>
      <c r="H14" s="278">
        <v>130</v>
      </c>
      <c r="I14" s="279">
        <v>2860</v>
      </c>
    </row>
    <row r="15" spans="1:9" x14ac:dyDescent="0.3">
      <c r="A15" s="284" t="s">
        <v>482</v>
      </c>
      <c r="B15" s="285">
        <v>35</v>
      </c>
      <c r="C15" s="285">
        <v>25</v>
      </c>
      <c r="D15" s="285">
        <v>1.5</v>
      </c>
      <c r="E15" s="285">
        <v>2</v>
      </c>
      <c r="F15" s="278">
        <v>3200</v>
      </c>
      <c r="G15" s="278">
        <v>95</v>
      </c>
      <c r="H15" s="278">
        <v>62</v>
      </c>
      <c r="I15" s="279">
        <v>2170</v>
      </c>
    </row>
    <row r="16" spans="1:9" x14ac:dyDescent="0.3">
      <c r="A16" s="284" t="s">
        <v>483</v>
      </c>
      <c r="B16" s="285">
        <v>20</v>
      </c>
      <c r="C16" s="285">
        <v>15</v>
      </c>
      <c r="D16" s="285">
        <v>0.8</v>
      </c>
      <c r="E16" s="285">
        <v>1.5</v>
      </c>
      <c r="F16" s="278">
        <v>2500</v>
      </c>
      <c r="G16" s="278">
        <v>80</v>
      </c>
      <c r="H16" s="278">
        <v>50</v>
      </c>
      <c r="I16" s="279">
        <v>1000</v>
      </c>
    </row>
    <row r="17" spans="1:9" x14ac:dyDescent="0.3">
      <c r="A17" s="286" t="s">
        <v>484</v>
      </c>
      <c r="B17" s="287">
        <f>AVERAGE(B13:B16)</f>
        <v>35.5</v>
      </c>
      <c r="C17" s="287">
        <f t="shared" ref="C17:I17" si="0">AVERAGE(C13:C16)</f>
        <v>24.5</v>
      </c>
      <c r="D17" s="287">
        <f t="shared" si="0"/>
        <v>1.7</v>
      </c>
      <c r="E17" s="287">
        <f t="shared" si="0"/>
        <v>4</v>
      </c>
      <c r="F17" s="287">
        <f t="shared" si="0"/>
        <v>6582.5</v>
      </c>
      <c r="G17" s="287">
        <f t="shared" si="0"/>
        <v>201.25</v>
      </c>
      <c r="H17" s="287">
        <f t="shared" si="0"/>
        <v>195.5</v>
      </c>
      <c r="I17" s="287">
        <f t="shared" si="0"/>
        <v>10282.5</v>
      </c>
    </row>
    <row r="18" spans="1:9" x14ac:dyDescent="0.3">
      <c r="A18" s="284" t="s">
        <v>485</v>
      </c>
      <c r="B18" s="285">
        <v>87.8</v>
      </c>
      <c r="C18" s="285">
        <v>53.3</v>
      </c>
      <c r="D18" s="285">
        <v>5.57</v>
      </c>
      <c r="E18" s="285">
        <v>17.5</v>
      </c>
      <c r="F18" s="288"/>
      <c r="G18" s="288"/>
      <c r="H18" s="288"/>
      <c r="I18" s="289"/>
    </row>
    <row r="19" spans="1:9" x14ac:dyDescent="0.3">
      <c r="A19" s="284" t="s">
        <v>486</v>
      </c>
      <c r="B19" s="285">
        <v>67.8</v>
      </c>
      <c r="C19" s="285">
        <v>44.9</v>
      </c>
      <c r="D19" s="285">
        <v>5.27</v>
      </c>
      <c r="E19" s="285">
        <v>14.5</v>
      </c>
      <c r="F19" s="288"/>
      <c r="G19" s="288"/>
      <c r="H19" s="288"/>
      <c r="I19" s="289"/>
    </row>
    <row r="20" spans="1:9" x14ac:dyDescent="0.3">
      <c r="A20" s="290" t="s">
        <v>569</v>
      </c>
      <c r="B20" s="275"/>
      <c r="C20" s="275"/>
      <c r="D20" s="275"/>
      <c r="E20" s="275"/>
      <c r="F20" s="275"/>
      <c r="G20" s="275"/>
      <c r="H20" s="275"/>
      <c r="I20" s="276"/>
    </row>
    <row r="21" spans="1:9" ht="39" customHeight="1" x14ac:dyDescent="0.3">
      <c r="A21" s="290" t="s">
        <v>487</v>
      </c>
      <c r="B21" s="282" t="s">
        <v>488</v>
      </c>
      <c r="C21" s="282" t="s">
        <v>489</v>
      </c>
      <c r="D21" s="282" t="s">
        <v>490</v>
      </c>
      <c r="E21" s="282" t="s">
        <v>491</v>
      </c>
      <c r="F21" s="282" t="s">
        <v>492</v>
      </c>
      <c r="G21" s="282" t="s">
        <v>493</v>
      </c>
      <c r="H21" s="282" t="s">
        <v>494</v>
      </c>
      <c r="I21" s="289"/>
    </row>
    <row r="22" spans="1:9" x14ac:dyDescent="0.3">
      <c r="A22" s="277" t="s">
        <v>495</v>
      </c>
      <c r="B22" s="285">
        <f>B17</f>
        <v>35.5</v>
      </c>
      <c r="C22" s="278">
        <f>FS!I30</f>
        <v>47.710490056001184</v>
      </c>
      <c r="D22" s="291" t="s">
        <v>56</v>
      </c>
      <c r="E22" s="291" t="s">
        <v>56</v>
      </c>
      <c r="F22" s="343">
        <f>B22*C22</f>
        <v>1693.722396988042</v>
      </c>
      <c r="G22" s="292">
        <f>(F22-3300)/3300</f>
        <v>-0.48675078879150241</v>
      </c>
      <c r="H22" s="293">
        <v>0.35</v>
      </c>
      <c r="I22" s="289"/>
    </row>
    <row r="23" spans="1:9" x14ac:dyDescent="0.3">
      <c r="A23" s="277" t="s">
        <v>496</v>
      </c>
      <c r="B23" s="285">
        <f>C17</f>
        <v>24.5</v>
      </c>
      <c r="C23" s="278">
        <f>FS!I8-FS!I9-FS!I15-FS!I18</f>
        <v>6742.540611238278</v>
      </c>
      <c r="D23" s="278">
        <f>B23*C23</f>
        <v>165192.24497533782</v>
      </c>
      <c r="E23" s="278">
        <f>D23-15757</f>
        <v>149435.24497533782</v>
      </c>
      <c r="F23" s="343">
        <f>E23/(FS!H29/FS!H30)</f>
        <v>1684.7871697369421</v>
      </c>
      <c r="G23" s="292">
        <f>(F23-3300)/3300</f>
        <v>-0.48945843341304784</v>
      </c>
      <c r="H23" s="293">
        <v>0.35</v>
      </c>
      <c r="I23" s="289"/>
    </row>
    <row r="24" spans="1:9" x14ac:dyDescent="0.3">
      <c r="A24" s="277" t="s">
        <v>497</v>
      </c>
      <c r="B24" s="285">
        <f>D17</f>
        <v>1.7</v>
      </c>
      <c r="C24" s="278">
        <f>FS!I8</f>
        <v>59129.681614067762</v>
      </c>
      <c r="D24" s="278">
        <f>B24*C24</f>
        <v>100520.45874391519</v>
      </c>
      <c r="E24" s="278">
        <f>D24-15757</f>
        <v>84763.458743915195</v>
      </c>
      <c r="F24" s="344">
        <f>E24/(FS!H29/FS!H30)</f>
        <v>955.65398763754467</v>
      </c>
      <c r="G24" s="292">
        <f>(F24-3300)/3300</f>
        <v>-0.71040788253407738</v>
      </c>
      <c r="H24" s="293">
        <v>0.2</v>
      </c>
      <c r="I24" s="289"/>
    </row>
    <row r="25" spans="1:9" x14ac:dyDescent="0.3">
      <c r="A25" s="277" t="s">
        <v>498</v>
      </c>
      <c r="B25" s="285">
        <f>E17</f>
        <v>4</v>
      </c>
      <c r="C25" s="278">
        <f>FS!I32</f>
        <v>226.29107937537603</v>
      </c>
      <c r="D25" s="291" t="s">
        <v>56</v>
      </c>
      <c r="E25" s="291" t="s">
        <v>56</v>
      </c>
      <c r="F25" s="343">
        <f>B25*C25</f>
        <v>905.16431750150412</v>
      </c>
      <c r="G25" s="292">
        <f>(F25-3300)/3300</f>
        <v>-0.72570778257530177</v>
      </c>
      <c r="H25" s="293">
        <v>0.1</v>
      </c>
      <c r="I25" s="289"/>
    </row>
    <row r="26" spans="1:9" x14ac:dyDescent="0.3">
      <c r="A26" s="286" t="s">
        <v>499</v>
      </c>
      <c r="B26" s="294"/>
      <c r="C26" s="294"/>
      <c r="D26" s="294"/>
      <c r="E26" s="294"/>
      <c r="F26" s="345">
        <f>F22*H22+F23*H23+F24*H24+F25*H25</f>
        <v>1464.1255776314038</v>
      </c>
      <c r="G26" s="295">
        <f>(F26-3300)/3300</f>
        <v>-0.55632558253593822</v>
      </c>
      <c r="H26" s="288"/>
      <c r="I26" s="289"/>
    </row>
    <row r="27" spans="1:9" ht="15" customHeight="1" x14ac:dyDescent="0.3">
      <c r="A27" s="296" t="s">
        <v>500</v>
      </c>
      <c r="B27" s="297"/>
      <c r="C27" s="297"/>
      <c r="D27" s="297"/>
      <c r="E27" s="297"/>
      <c r="F27" s="297"/>
      <c r="G27" s="297"/>
      <c r="H27" s="297"/>
      <c r="I27" s="298"/>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7"/>
  <sheetViews>
    <sheetView showGridLines="0" topLeftCell="A24" zoomScaleNormal="100" workbookViewId="0">
      <selection activeCell="N10" sqref="N10"/>
    </sheetView>
  </sheetViews>
  <sheetFormatPr defaultColWidth="8.5546875" defaultRowHeight="14.4" x14ac:dyDescent="0.3"/>
  <cols>
    <col min="1" max="1" width="61" customWidth="1"/>
    <col min="2" max="3" width="7.109375" customWidth="1"/>
    <col min="4" max="4" width="8.33203125" customWidth="1"/>
    <col min="5" max="13" width="8.21875" customWidth="1"/>
  </cols>
  <sheetData>
    <row r="1" spans="1:13" ht="21.75" customHeight="1" x14ac:dyDescent="0.3">
      <c r="A1" s="395" t="s">
        <v>501</v>
      </c>
      <c r="B1" s="395"/>
      <c r="C1" s="395"/>
      <c r="D1" s="395"/>
      <c r="E1" s="395"/>
      <c r="F1" s="395"/>
      <c r="G1" s="395"/>
      <c r="H1" s="395"/>
      <c r="I1" s="395"/>
      <c r="J1" s="395"/>
      <c r="K1" s="395"/>
      <c r="L1" s="395"/>
      <c r="M1" s="395"/>
    </row>
    <row r="2" spans="1:13" ht="15.75" customHeight="1" x14ac:dyDescent="0.3">
      <c r="A2" s="299" t="s">
        <v>242</v>
      </c>
      <c r="B2" s="300" t="s">
        <v>502</v>
      </c>
      <c r="C2" s="300" t="s">
        <v>503</v>
      </c>
      <c r="D2" s="300" t="s">
        <v>504</v>
      </c>
      <c r="E2" s="300" t="s">
        <v>505</v>
      </c>
      <c r="F2" s="300" t="s">
        <v>506</v>
      </c>
      <c r="G2" s="300" t="s">
        <v>507</v>
      </c>
      <c r="H2" s="300" t="s">
        <v>508</v>
      </c>
      <c r="I2" s="300" t="s">
        <v>403</v>
      </c>
      <c r="J2" s="300" t="s">
        <v>404</v>
      </c>
      <c r="K2" s="300" t="s">
        <v>405</v>
      </c>
      <c r="L2" s="300" t="s">
        <v>406</v>
      </c>
      <c r="M2" s="301" t="s">
        <v>407</v>
      </c>
    </row>
    <row r="3" spans="1:13" ht="15" customHeight="1" x14ac:dyDescent="0.3">
      <c r="A3" s="302" t="s">
        <v>509</v>
      </c>
      <c r="B3" s="303"/>
      <c r="C3" s="303"/>
      <c r="D3" s="303"/>
      <c r="E3" s="303"/>
      <c r="F3" s="303"/>
      <c r="G3" s="303"/>
      <c r="H3" s="303"/>
      <c r="I3" s="303"/>
      <c r="J3" s="303"/>
      <c r="K3" s="303"/>
      <c r="L3" s="303"/>
      <c r="M3" s="304"/>
    </row>
    <row r="4" spans="1:13" ht="15" customHeight="1" x14ac:dyDescent="0.3">
      <c r="A4" s="305" t="s">
        <v>510</v>
      </c>
      <c r="B4" s="306">
        <f>FS!B6</f>
        <v>19069.97</v>
      </c>
      <c r="C4" s="306">
        <f>FS!C6</f>
        <v>20010</v>
      </c>
      <c r="D4" s="306">
        <f>FS!D6</f>
        <v>20602</v>
      </c>
      <c r="E4" s="306">
        <f>FS!E6</f>
        <v>27210</v>
      </c>
      <c r="F4" s="306">
        <f>FS!F6</f>
        <v>38270</v>
      </c>
      <c r="G4" s="306">
        <f>FS!G6</f>
        <v>47114</v>
      </c>
      <c r="H4" s="306">
        <f>FS!H6</f>
        <v>54842</v>
      </c>
      <c r="I4" s="306">
        <f>FS!I6</f>
        <v>58609.645400000001</v>
      </c>
      <c r="J4" s="306">
        <f>FS!J6</f>
        <v>62636.128038980001</v>
      </c>
      <c r="K4" s="306">
        <f>FS!K6</f>
        <v>66939.230035257933</v>
      </c>
      <c r="L4" s="306">
        <f>FS!L6</f>
        <v>71537.955138680147</v>
      </c>
      <c r="M4" s="307">
        <f>FS!M6</f>
        <v>76452.612656707468</v>
      </c>
    </row>
    <row r="5" spans="1:13" ht="15" customHeight="1" x14ac:dyDescent="0.3">
      <c r="A5" s="305" t="s">
        <v>511</v>
      </c>
      <c r="B5" s="306">
        <f>FS!B8</f>
        <v>19248.47</v>
      </c>
      <c r="C5" s="306">
        <f>FS!C8</f>
        <v>20156</v>
      </c>
      <c r="D5" s="306">
        <f>FS!D8</f>
        <v>20783</v>
      </c>
      <c r="E5" s="306">
        <f>FS!E8</f>
        <v>27456</v>
      </c>
      <c r="F5" s="306">
        <f>FS!F8</f>
        <v>38569</v>
      </c>
      <c r="G5" s="306">
        <f>FS!G8</f>
        <v>47624</v>
      </c>
      <c r="H5" s="306">
        <f>FS!H8</f>
        <v>55335</v>
      </c>
      <c r="I5" s="306">
        <f>FS!I8</f>
        <v>59129.681614067762</v>
      </c>
      <c r="J5" s="306">
        <f>FS!J8</f>
        <v>63206.628520339225</v>
      </c>
      <c r="K5" s="306">
        <f>FS!K8</f>
        <v>67549.825917050955</v>
      </c>
      <c r="L5" s="306">
        <f>FS!L8</f>
        <v>72209.223824872824</v>
      </c>
      <c r="M5" s="307">
        <f>FS!M8</f>
        <v>77147.957501341487</v>
      </c>
    </row>
    <row r="6" spans="1:13" ht="15" customHeight="1" x14ac:dyDescent="0.3">
      <c r="A6" s="305" t="s">
        <v>468</v>
      </c>
      <c r="B6" s="306">
        <f>FS!B8-FS!B9-FS!B15-FS!B18</f>
        <v>2180.7100000000009</v>
      </c>
      <c r="C6" s="306">
        <f>FS!C8-FS!C9-FS!C15-FS!C18</f>
        <v>2564</v>
      </c>
      <c r="D6" s="306">
        <f>FS!D8-FS!D9-FS!D15-FS!D18</f>
        <v>1882</v>
      </c>
      <c r="E6" s="306">
        <f>FS!E8-FS!E9-FS!E15-FS!E18</f>
        <v>3525</v>
      </c>
      <c r="F6" s="306">
        <f>FS!F8-FS!F9-FS!F15-FS!F18</f>
        <v>5069</v>
      </c>
      <c r="G6" s="306">
        <f>FS!G8-FS!G9-FS!G15-FS!G18</f>
        <v>5534</v>
      </c>
      <c r="H6" s="306">
        <f>FS!H8-FS!H9-FS!H15-FS!H18</f>
        <v>5785</v>
      </c>
      <c r="I6" s="306">
        <f>FS!I8-FS!I9-FS!I15-FS!I18</f>
        <v>6742.540611238278</v>
      </c>
      <c r="J6" s="306">
        <f>FS!J8-FS!J9-FS!J15-FS!J18</f>
        <v>7516.181149441386</v>
      </c>
      <c r="K6" s="306">
        <f>FS!K8-FS!K9-FS!K15-FS!K18</f>
        <v>7904.6832101489745</v>
      </c>
      <c r="L6" s="306">
        <f>FS!L8-FS!L9-FS!L15-FS!L18</f>
        <v>8242.1897249026206</v>
      </c>
      <c r="M6" s="307">
        <f>FS!M8-FS!M9-FS!M15-FS!M18</f>
        <v>8774.092402502476</v>
      </c>
    </row>
    <row r="7" spans="1:13" ht="15" customHeight="1" x14ac:dyDescent="0.3">
      <c r="A7" s="305" t="s">
        <v>469</v>
      </c>
      <c r="B7" s="306">
        <f>FS!B8-FS!B9-FS!B15-FS!B18-FS!B17</f>
        <v>2041.8200000000011</v>
      </c>
      <c r="C7" s="306">
        <f>FS!C8-FS!C9-FS!C15-FS!C18-FS!C17</f>
        <v>2254</v>
      </c>
      <c r="D7" s="306">
        <f>FS!D8-FS!D9-FS!D15-FS!D18-FS!D17</f>
        <v>1551</v>
      </c>
      <c r="E7" s="306">
        <f>FS!E8-FS!E9-FS!E15-FS!E18-FS!E17</f>
        <v>3178</v>
      </c>
      <c r="F7" s="306">
        <f>FS!F8-FS!F9-FS!F15-FS!F18-FS!F17</f>
        <v>4705</v>
      </c>
      <c r="G7" s="306">
        <f>FS!G8-FS!G9-FS!G15-FS!G18-FS!G17</f>
        <v>5087</v>
      </c>
      <c r="H7" s="306">
        <f>FS!H8-FS!H9-FS!H15-FS!H18-FS!H17</f>
        <v>5248</v>
      </c>
      <c r="I7" s="306">
        <f>FS!I8-FS!I9-FS!I15-FS!I18-FS!I17</f>
        <v>6198.8866652382776</v>
      </c>
      <c r="J7" s="306">
        <f>FS!J8-FS!J9-FS!J15-FS!J18-FS!J17</f>
        <v>6871.9090471977624</v>
      </c>
      <c r="K7" s="306">
        <f>FS!K8-FS!K9-FS!K15-FS!K18-FS!K17</f>
        <v>7190.4004558420929</v>
      </c>
      <c r="L7" s="306">
        <f>FS!L8-FS!L9-FS!L15-FS!L18-FS!L17</f>
        <v>7449.4976856198509</v>
      </c>
      <c r="M7" s="307">
        <f>FS!M8-FS!M9-FS!M15-FS!M18-FS!M17</f>
        <v>7915.6243822833776</v>
      </c>
    </row>
    <row r="8" spans="1:13" ht="15" customHeight="1" x14ac:dyDescent="0.3">
      <c r="A8" s="305" t="s">
        <v>478</v>
      </c>
      <c r="B8" s="306">
        <f>FS!B29</f>
        <v>1374.359999999999</v>
      </c>
      <c r="C8" s="306">
        <f>FS!C29</f>
        <v>1517</v>
      </c>
      <c r="D8" s="306">
        <f>FS!D29</f>
        <v>877</v>
      </c>
      <c r="E8" s="306">
        <f>FS!E29</f>
        <v>2180</v>
      </c>
      <c r="F8" s="306">
        <f>FS!F29</f>
        <v>3333</v>
      </c>
      <c r="G8" s="306">
        <f>FS!G29</f>
        <v>3544</v>
      </c>
      <c r="H8" s="306">
        <f>FS!H29</f>
        <v>3335</v>
      </c>
      <c r="I8" s="306">
        <f>FS!I29</f>
        <v>4231.7682004458493</v>
      </c>
      <c r="J8" s="306">
        <f>FS!J29</f>
        <v>4702.8151961270214</v>
      </c>
      <c r="K8" s="306">
        <f>FS!K29</f>
        <v>4888.792674597762</v>
      </c>
      <c r="L8" s="306">
        <f>FS!L29</f>
        <v>5010.8841406614756</v>
      </c>
      <c r="M8" s="307">
        <f>FS!M29</f>
        <v>5317.0516691391567</v>
      </c>
    </row>
    <row r="9" spans="1:13" ht="15" customHeight="1" x14ac:dyDescent="0.3">
      <c r="A9" s="305" t="s">
        <v>512</v>
      </c>
      <c r="B9" s="308">
        <f>(FS!B8-FS!B9)/FS!B8</f>
        <v>0.2733354910805898</v>
      </c>
      <c r="C9" s="308">
        <f>(FS!C8-FS!C9)/FS!C8</f>
        <v>0.28001587616590595</v>
      </c>
      <c r="D9" s="308">
        <f>(FS!D8-FS!D9)/FS!D8</f>
        <v>0.2412548717701968</v>
      </c>
      <c r="E9" s="308">
        <f>(FS!E8-FS!E9)/FS!E8</f>
        <v>0.24759615384615385</v>
      </c>
      <c r="F9" s="308">
        <f>(FS!F8-FS!F9)/FS!F8</f>
        <v>0.24690813866058234</v>
      </c>
      <c r="G9" s="308">
        <f>(FS!G8-FS!G9)/FS!G8</f>
        <v>0.22429867293801445</v>
      </c>
      <c r="H9" s="308">
        <f>(FS!H8-FS!H9)/FS!H8</f>
        <v>0.20954188126863649</v>
      </c>
      <c r="I9" s="308">
        <f>(FS!I8-FS!I9)/FS!I8</f>
        <v>0.23374785076424903</v>
      </c>
      <c r="J9" s="308">
        <f>(FS!J8-FS!J9)/FS!J8</f>
        <v>0.23241233076439025</v>
      </c>
      <c r="K9" s="308">
        <f>(FS!K8-FS!K9)/FS!K8</f>
        <v>0.22937580945416416</v>
      </c>
      <c r="L9" s="308">
        <f>(FS!L8-FS!L9)/FS!L8</f>
        <v>0.22587479926833531</v>
      </c>
      <c r="M9" s="309">
        <f>(FS!M8-FS!M9)/FS!M8</f>
        <v>0.22619056486483866</v>
      </c>
    </row>
    <row r="10" spans="1:13" ht="15" customHeight="1" x14ac:dyDescent="0.3">
      <c r="A10" s="305" t="s">
        <v>513</v>
      </c>
      <c r="B10" s="308">
        <f>(FS!B8-FS!B9-FS!B15-FS!B18)/FS!B8</f>
        <v>0.11329264092159018</v>
      </c>
      <c r="C10" s="308">
        <f>(FS!C8-FS!C9-FS!C15-FS!C18)/FS!C8</f>
        <v>0.1272077793212939</v>
      </c>
      <c r="D10" s="308">
        <f>(FS!D8-FS!D9-FS!D15-FS!D18)/FS!D8</f>
        <v>9.055478034932396E-2</v>
      </c>
      <c r="E10" s="308">
        <f>(FS!E8-FS!E9-FS!E15-FS!E18)/FS!E8</f>
        <v>0.12838723776223776</v>
      </c>
      <c r="F10" s="308">
        <f>(FS!F8-FS!F9-FS!F15-FS!F18)/FS!F8</f>
        <v>0.13142679353885245</v>
      </c>
      <c r="G10" s="308">
        <f>(FS!G8-FS!G9-FS!G15-FS!G18)/FS!G8</f>
        <v>0.11620191500083991</v>
      </c>
      <c r="H10" s="308">
        <f>(FS!H8-FS!H9-FS!H15-FS!H18)/FS!H8</f>
        <v>0.10454504382398121</v>
      </c>
      <c r="I10" s="308">
        <f>(FS!I8-FS!I9-FS!I15-FS!I18)/FS!I8</f>
        <v>0.11402971278022467</v>
      </c>
      <c r="J10" s="308">
        <f>(FS!J8-FS!J9-FS!J15-FS!J18)/FS!J8</f>
        <v>0.11891444497823132</v>
      </c>
      <c r="K10" s="308">
        <f>(FS!K8-FS!K9-FS!K15-FS!K18)/FS!K8</f>
        <v>0.11702003821380198</v>
      </c>
      <c r="L10" s="308">
        <f>(FS!L8-FS!L9-FS!L15-FS!L18)/FS!L8</f>
        <v>0.1141431701979264</v>
      </c>
      <c r="M10" s="309">
        <f>(FS!M8-FS!M9-FS!M15-FS!M18)/FS!M8</f>
        <v>0.11373071545477932</v>
      </c>
    </row>
    <row r="11" spans="1:13" ht="15" customHeight="1" x14ac:dyDescent="0.3">
      <c r="A11" s="305" t="s">
        <v>514</v>
      </c>
      <c r="B11" s="308">
        <f>(FS!B8-FS!B9-FS!B15-FS!B18-FS!B17)/FS!B8</f>
        <v>0.10607700248383382</v>
      </c>
      <c r="C11" s="308">
        <f>(FS!C8-FS!C9-FS!C15-FS!C18-FS!C17)/FS!C8</f>
        <v>0.11182774359992062</v>
      </c>
      <c r="D11" s="308">
        <f>(FS!D8-FS!D9-FS!D15-FS!D18-FS!D17)/FS!D8</f>
        <v>7.4628301977577832E-2</v>
      </c>
      <c r="E11" s="308">
        <f>(FS!E8-FS!E9-FS!E15-FS!E18-FS!E17)/FS!E8</f>
        <v>0.1157488344988345</v>
      </c>
      <c r="F11" s="308">
        <f>(FS!F8-FS!F9-FS!F15-FS!F18-FS!F17)/FS!F8</f>
        <v>0.12198916228058804</v>
      </c>
      <c r="G11" s="308">
        <f>(FS!G8-FS!G9-FS!G15-FS!G18-FS!G17)/FS!G8</f>
        <v>0.10681589114732068</v>
      </c>
      <c r="H11" s="308">
        <f>(FS!H8-FS!H9-FS!H15-FS!H18-FS!H17)/FS!H8</f>
        <v>9.4840516851902049E-2</v>
      </c>
      <c r="I11" s="308">
        <f>(FS!I8-FS!I9-FS!I15-FS!I18-FS!I17)/FS!I8</f>
        <v>0.10483544805293654</v>
      </c>
      <c r="J11" s="308">
        <f>(FS!J8-FS!J9-FS!J15-FS!J18-FS!J17)/FS!J8</f>
        <v>0.10872133521544271</v>
      </c>
      <c r="K11" s="308">
        <f>(FS!K8-FS!K9-FS!K15-FS!K18-FS!K17)/FS!K8</f>
        <v>0.10644587692456346</v>
      </c>
      <c r="L11" s="308">
        <f>(FS!L8-FS!L9-FS!L15-FS!L18-FS!L17)/FS!L8</f>
        <v>0.10316545852489602</v>
      </c>
      <c r="M11" s="309">
        <f>(FS!M8-FS!M9-FS!M15-FS!M18-FS!M17)/FS!M8</f>
        <v>0.10260316201042312</v>
      </c>
    </row>
    <row r="12" spans="1:13" ht="15" customHeight="1" x14ac:dyDescent="0.3">
      <c r="A12" s="305" t="s">
        <v>515</v>
      </c>
      <c r="B12" s="308">
        <f>FS!B29/FS!B8</f>
        <v>7.1400999663869327E-2</v>
      </c>
      <c r="C12" s="308">
        <f>FS!C29/FS!C8</f>
        <v>7.5262948997817034E-2</v>
      </c>
      <c r="D12" s="308">
        <f>FS!D29/FS!D8</f>
        <v>4.2197950247798682E-2</v>
      </c>
      <c r="E12" s="308">
        <f>FS!E29/FS!E8</f>
        <v>7.9399766899766896E-2</v>
      </c>
      <c r="F12" s="308">
        <f>FS!F29/FS!F8</f>
        <v>8.6416552153283727E-2</v>
      </c>
      <c r="G12" s="308">
        <f>FS!G29/FS!G8</f>
        <v>7.4416260708886281E-2</v>
      </c>
      <c r="H12" s="308">
        <f>FS!H29/FS!H8</f>
        <v>6.0269268997921746E-2</v>
      </c>
      <c r="I12" s="308">
        <f>FS!I29/FS!I8</f>
        <v>7.1567579681319535E-2</v>
      </c>
      <c r="J12" s="308">
        <f>FS!J29/FS!J8</f>
        <v>7.4403829253662929E-2</v>
      </c>
      <c r="K12" s="308">
        <f>FS!K29/FS!K8</f>
        <v>7.2373135063309335E-2</v>
      </c>
      <c r="L12" s="308">
        <f>FS!L29/FS!L8</f>
        <v>6.9393962090137457E-2</v>
      </c>
      <c r="M12" s="309">
        <f>FS!M29/FS!M8</f>
        <v>6.8920187148787462E-2</v>
      </c>
    </row>
    <row r="13" spans="1:13" ht="15" customHeight="1" x14ac:dyDescent="0.3">
      <c r="A13" s="302" t="s">
        <v>516</v>
      </c>
      <c r="B13" s="303"/>
      <c r="C13" s="303"/>
      <c r="D13" s="303"/>
      <c r="E13" s="303"/>
      <c r="F13" s="303"/>
      <c r="G13" s="303"/>
      <c r="H13" s="303"/>
      <c r="I13" s="303"/>
      <c r="J13" s="303"/>
      <c r="K13" s="303"/>
      <c r="L13" s="303"/>
      <c r="M13" s="304"/>
    </row>
    <row r="14" spans="1:13" ht="15" customHeight="1" x14ac:dyDescent="0.3">
      <c r="A14" s="305" t="s">
        <v>517</v>
      </c>
      <c r="B14" s="308">
        <f>FS!B29/FS!B41</f>
        <v>0.22232647224397076</v>
      </c>
      <c r="C14" s="308">
        <f>FS!C29/FS!C41</f>
        <v>0.22227106227106228</v>
      </c>
      <c r="D14" s="308">
        <f>FS!D29/FS!D41</f>
        <v>0.11611280285979081</v>
      </c>
      <c r="E14" s="308">
        <f>FS!E29/FS!E41</f>
        <v>0.23258295102955298</v>
      </c>
      <c r="F14" s="308">
        <f>FS!F29/FS!F41</f>
        <v>0.27788894447223611</v>
      </c>
      <c r="G14" s="308">
        <f>FS!G29/FS!G41</f>
        <v>0.24514076226049664</v>
      </c>
      <c r="H14" s="308">
        <f>FS!H29/FS!H41</f>
        <v>0.19838201177800249</v>
      </c>
      <c r="I14" s="308">
        <f>FS!I29/FS!I41</f>
        <v>0.21083681331007351</v>
      </c>
      <c r="J14" s="308">
        <f>FS!J29/FS!J41</f>
        <v>0.19894827749402616</v>
      </c>
      <c r="K14" s="308">
        <f>FS!K29/FS!K41</f>
        <v>0.17926139676906569</v>
      </c>
      <c r="L14" s="308">
        <f>FS!L29/FS!L41</f>
        <v>0.1618876702397388</v>
      </c>
      <c r="M14" s="309">
        <f>FS!M29/FS!M41</f>
        <v>0.15234725937999427</v>
      </c>
    </row>
    <row r="15" spans="1:13" ht="15" customHeight="1" x14ac:dyDescent="0.3">
      <c r="A15" s="305" t="s">
        <v>518</v>
      </c>
      <c r="B15" s="308">
        <f>FS!B29/FS!B76</f>
        <v>0.11982402513727321</v>
      </c>
      <c r="C15" s="308">
        <f>FS!C29/FS!C76</f>
        <v>0.11502881407340006</v>
      </c>
      <c r="D15" s="308">
        <f>FS!D29/FS!D76</f>
        <v>5.5296343001261031E-2</v>
      </c>
      <c r="E15" s="308">
        <f>FS!E29/FS!E76</f>
        <v>0.10825842975617024</v>
      </c>
      <c r="F15" s="308">
        <f>FS!F29/FS!F76</f>
        <v>0.13285235969387754</v>
      </c>
      <c r="G15" s="308">
        <f>FS!G29/FS!G76</f>
        <v>0.10784492727162072</v>
      </c>
      <c r="H15" s="308">
        <f>FS!H29/FS!H76</f>
        <v>8.1192939744370057E-2</v>
      </c>
      <c r="I15" s="308">
        <f>FS!I29/FS!I76</f>
        <v>9.3672243901767177E-2</v>
      </c>
      <c r="J15" s="308">
        <f>FS!J29/FS!J76</f>
        <v>9.5679059758900301E-2</v>
      </c>
      <c r="K15" s="308">
        <f>FS!K29/FS!K76</f>
        <v>9.2040099614493817E-2</v>
      </c>
      <c r="L15" s="308">
        <f>FS!L29/FS!L76</f>
        <v>8.7413656828479638E-2</v>
      </c>
      <c r="M15" s="309">
        <f>FS!M29/FS!M76</f>
        <v>8.5745503927470296E-2</v>
      </c>
    </row>
    <row r="16" spans="1:13" ht="15" customHeight="1" x14ac:dyDescent="0.3">
      <c r="A16" s="305" t="s">
        <v>519</v>
      </c>
      <c r="B16" s="308">
        <f>(FS!B8-FS!B9-FS!B15-FS!B18-FS!B17)*(1-Assumptions!B27)/(FS!B41+FS!B43+FS!B48)</f>
        <v>0.16578152764777532</v>
      </c>
      <c r="C16" s="308">
        <f>(FS!C8-FS!C9-FS!C15-FS!C18-FS!C17)*(1-Assumptions!C27)/(FS!C41+FS!C43+FS!C48)</f>
        <v>0.18563600311615197</v>
      </c>
      <c r="D16" s="308">
        <f>(FS!D8-FS!D9-FS!D15-FS!D18-FS!D17)*(1-Assumptions!D27)/(FS!D41+FS!D43+FS!D48)</f>
        <v>9.5258388645552042E-2</v>
      </c>
      <c r="E16" s="308">
        <f>(FS!E8-FS!E9-FS!E15-FS!E18-FS!E17)*(1-Assumptions!E27)/(FS!E41+FS!E43+FS!E48)</f>
        <v>0.15811643867589015</v>
      </c>
      <c r="F16" s="308">
        <f>(FS!F8-FS!F9-FS!F15-FS!F18-FS!F17)*(1-Assumptions!F27)/(FS!F41+FS!F43+FS!F48)</f>
        <v>0.19173270243270873</v>
      </c>
      <c r="G16" s="308">
        <f>(FS!G8-FS!G9-FS!G15-FS!G18-FS!G17)*(1-Assumptions!G27)/(FS!G41+FS!G43+FS!G48)</f>
        <v>0.15486863572669632</v>
      </c>
      <c r="H16" s="308">
        <f>(FS!H8-FS!H9-FS!H15-FS!H18-FS!H17)*(1-Assumptions!H27)/(FS!H41+FS!H43+FS!H48)</f>
        <v>0.12406103514935657</v>
      </c>
      <c r="I16" s="308">
        <f>(FS!I8-FS!I9-FS!I15-FS!I18-FS!I17)*(1-Assumptions!I27)/(FS!I41+FS!I43+FS!I48)</f>
        <v>0.1324702740741722</v>
      </c>
      <c r="J16" s="308">
        <f>(FS!J8-FS!J9-FS!J15-FS!J18-FS!J17)*(1-Assumptions!J27)/(FS!J41+FS!J43+FS!J48)</f>
        <v>0.13327638894096916</v>
      </c>
      <c r="K16" s="308">
        <f>(FS!K8-FS!K9-FS!K15-FS!K18-FS!K17)*(1-Assumptions!K27)/(FS!K41+FS!K43+FS!K48)</f>
        <v>0.12745126796185782</v>
      </c>
      <c r="L16" s="308">
        <f>(FS!L8-FS!L9-FS!L15-FS!L18-FS!L17)*(1-Assumptions!L27)/(FS!L41+FS!L43+FS!L48)</f>
        <v>0.12145421035804638</v>
      </c>
      <c r="M16" s="309">
        <f>(FS!M8-FS!M9-FS!M15-FS!M18-FS!M17)*(1-Assumptions!M27)/(FS!M41+FS!M43+FS!M48)</f>
        <v>0.11883234019540966</v>
      </c>
    </row>
    <row r="17" spans="1:13" ht="15" customHeight="1" x14ac:dyDescent="0.3">
      <c r="A17" s="305" t="s">
        <v>471</v>
      </c>
      <c r="B17" s="310">
        <f>FS!B30</f>
        <v>15.48</v>
      </c>
      <c r="C17" s="310">
        <f>FS!C30</f>
        <v>17.09</v>
      </c>
      <c r="D17" s="310">
        <f>FS!D30</f>
        <v>9.8800000000000008</v>
      </c>
      <c r="E17" s="310">
        <f>FS!E30</f>
        <v>24.56</v>
      </c>
      <c r="F17" s="310">
        <f>FS!F30</f>
        <v>37.54</v>
      </c>
      <c r="G17" s="310">
        <f>FS!G30</f>
        <v>39.94</v>
      </c>
      <c r="H17" s="310">
        <f>FS!H30</f>
        <v>37.6</v>
      </c>
      <c r="I17" s="310">
        <f>FS!I30</f>
        <v>47.710490056001184</v>
      </c>
      <c r="J17" s="310">
        <f>FS!J30</f>
        <v>53.021244789917844</v>
      </c>
      <c r="K17" s="310">
        <f>FS!K30</f>
        <v>55.118022358283618</v>
      </c>
      <c r="L17" s="310">
        <f>FS!L30</f>
        <v>56.494525843739581</v>
      </c>
      <c r="M17" s="311">
        <f>FS!M30</f>
        <v>59.946369643068159</v>
      </c>
    </row>
    <row r="18" spans="1:13" ht="15" customHeight="1" x14ac:dyDescent="0.3">
      <c r="A18" s="305" t="s">
        <v>520</v>
      </c>
      <c r="B18" s="312"/>
      <c r="C18" s="308">
        <f>(FS!C30-FS!B30)/ABS(FS!B30)</f>
        <v>0.10400516795865629</v>
      </c>
      <c r="D18" s="308">
        <f>(FS!D30-FS!C30)/ABS(FS!C30)</f>
        <v>-0.42188414277355174</v>
      </c>
      <c r="E18" s="308">
        <f>(FS!E30-FS!D30)/ABS(FS!D30)</f>
        <v>1.4858299595141697</v>
      </c>
      <c r="F18" s="308">
        <f>(FS!F30-FS!E30)/ABS(FS!E30)</f>
        <v>0.52850162866449513</v>
      </c>
      <c r="G18" s="308">
        <f>(FS!G30-FS!F30)/ABS(FS!F30)</f>
        <v>6.3931806073521544E-2</v>
      </c>
      <c r="H18" s="308">
        <f>(FS!H30-FS!G30)/ABS(FS!G30)</f>
        <v>-5.8587881822734014E-2</v>
      </c>
      <c r="I18" s="308">
        <f>(FS!I30-FS!H30)/ABS(FS!H30)</f>
        <v>0.26889601212769104</v>
      </c>
      <c r="J18" s="308">
        <f>(FS!J30-FS!I30)/ABS(FS!I30)</f>
        <v>0.11131209777311134</v>
      </c>
      <c r="K18" s="308">
        <f>(FS!K30-FS!J30)/ABS(FS!J30)</f>
        <v>3.9545989096892768E-2</v>
      </c>
      <c r="L18" s="308">
        <f>(FS!L30-FS!K30)/ABS(FS!K30)</f>
        <v>2.4973745910335444E-2</v>
      </c>
      <c r="M18" s="309">
        <f>(FS!M30-FS!L30)/ABS(FS!L30)</f>
        <v>6.1100500407352182E-2</v>
      </c>
    </row>
    <row r="19" spans="1:13" ht="15" customHeight="1" x14ac:dyDescent="0.3">
      <c r="A19" s="302" t="s">
        <v>521</v>
      </c>
      <c r="B19" s="303"/>
      <c r="C19" s="303"/>
      <c r="D19" s="303"/>
      <c r="E19" s="303"/>
      <c r="F19" s="303"/>
      <c r="G19" s="303"/>
      <c r="H19" s="303"/>
      <c r="I19" s="303"/>
      <c r="J19" s="303"/>
      <c r="K19" s="303"/>
      <c r="L19" s="303"/>
      <c r="M19" s="304"/>
    </row>
    <row r="20" spans="1:13" ht="15" customHeight="1" x14ac:dyDescent="0.3">
      <c r="A20" s="305" t="s">
        <v>522</v>
      </c>
      <c r="B20" s="306">
        <f>FS!B43+FS!B48</f>
        <v>2287.63</v>
      </c>
      <c r="C20" s="306">
        <f>FS!C43+FS!C48</f>
        <v>2133</v>
      </c>
      <c r="D20" s="306">
        <f>FS!D43+FS!D48</f>
        <v>4094</v>
      </c>
      <c r="E20" s="306">
        <f>FS!E43+FS!E48</f>
        <v>5386</v>
      </c>
      <c r="F20" s="306">
        <f>FS!F43+FS!F48</f>
        <v>6280</v>
      </c>
      <c r="G20" s="306">
        <f>FS!G43+FS!G48</f>
        <v>10747</v>
      </c>
      <c r="H20" s="306">
        <f>FS!H43+FS!H48</f>
        <v>14946</v>
      </c>
      <c r="I20" s="306">
        <f>FS!I43+FS!I48</f>
        <v>14946</v>
      </c>
      <c r="J20" s="306">
        <f>FS!J43+FS!J48</f>
        <v>14946</v>
      </c>
      <c r="K20" s="306">
        <f>FS!K43+FS!K48</f>
        <v>14946</v>
      </c>
      <c r="L20" s="306">
        <f>FS!L43+FS!L48</f>
        <v>14946</v>
      </c>
      <c r="M20" s="307">
        <f>FS!M43+FS!M48</f>
        <v>14946</v>
      </c>
    </row>
    <row r="21" spans="1:13" ht="15" customHeight="1" x14ac:dyDescent="0.3">
      <c r="A21" s="305" t="s">
        <v>523</v>
      </c>
      <c r="B21" s="306">
        <f>FS!B43+FS!B48-FS!B72</f>
        <v>1286.6300000000001</v>
      </c>
      <c r="C21" s="306">
        <f>FS!C43+FS!C48-FS!C72</f>
        <v>1777</v>
      </c>
      <c r="D21" s="306">
        <f>FS!D43+FS!D48-FS!D72</f>
        <v>3582</v>
      </c>
      <c r="E21" s="306">
        <f>FS!E43+FS!E48-FS!E72</f>
        <v>4337</v>
      </c>
      <c r="F21" s="306">
        <f>FS!F43+FS!F48-FS!F72</f>
        <v>5488</v>
      </c>
      <c r="G21" s="306">
        <f>FS!G43+FS!G48-FS!G72</f>
        <v>9942</v>
      </c>
      <c r="H21" s="306">
        <f>FS!H43+FS!H48-FS!H72</f>
        <v>13814</v>
      </c>
      <c r="I21" s="306">
        <f>FS!I43+FS!I48-FS!I72</f>
        <v>10294.386409016388</v>
      </c>
      <c r="J21" s="306">
        <f>FS!J43+FS!J48-FS!J72</f>
        <v>8878.664455770122</v>
      </c>
      <c r="K21" s="306">
        <f>FS!K43+FS!K48-FS!K72</f>
        <v>6222.4232079071189</v>
      </c>
      <c r="L21" s="306">
        <f>FS!L43+FS!L48-FS!L72</f>
        <v>4584.4180238918252</v>
      </c>
      <c r="M21" s="307">
        <f>FS!M43+FS!M48-FS!M72</f>
        <v>3145.7205332207377</v>
      </c>
    </row>
    <row r="22" spans="1:13" ht="15" customHeight="1" x14ac:dyDescent="0.3">
      <c r="A22" s="305" t="s">
        <v>524</v>
      </c>
      <c r="B22" s="313">
        <f>(FS!B43+FS!B48)/FS!B41</f>
        <v>0.37006367159949011</v>
      </c>
      <c r="C22" s="313">
        <f>(FS!C43+FS!C48)/FS!C41</f>
        <v>0.31252747252747254</v>
      </c>
      <c r="D22" s="313">
        <f>(FS!D43+FS!D48)/FS!D41</f>
        <v>0.54203627697603596</v>
      </c>
      <c r="E22" s="313">
        <f>(FS!E43+FS!E48)/FS!E41</f>
        <v>0.57462925424090472</v>
      </c>
      <c r="F22" s="313">
        <f>(FS!F43+FS!F48)/FS!F41</f>
        <v>0.52359513089878273</v>
      </c>
      <c r="G22" s="313">
        <f>(FS!G43+FS!G48)/FS!G41</f>
        <v>0.74337691083903989</v>
      </c>
      <c r="H22" s="313">
        <f>(FS!H43+FS!H48)/FS!H41</f>
        <v>0.88906073404318597</v>
      </c>
      <c r="I22" s="313">
        <f>(FS!I43+FS!I48)/FS!I41</f>
        <v>0.74464546791583686</v>
      </c>
      <c r="J22" s="313">
        <f>(FS!J43+FS!J48)/FS!J41</f>
        <v>0.63227680259996388</v>
      </c>
      <c r="K22" s="313">
        <f>(FS!K43+FS!K48)/FS!K41</f>
        <v>0.54803732014078455</v>
      </c>
      <c r="L22" s="313">
        <f>(FS!L43+FS!L48)/FS!L41</f>
        <v>0.48286351300146679</v>
      </c>
      <c r="M22" s="314">
        <f>(FS!M43+FS!M48)/FS!M41</f>
        <v>0.42824149178562398</v>
      </c>
    </row>
    <row r="23" spans="1:13" ht="15" customHeight="1" x14ac:dyDescent="0.3">
      <c r="A23" s="305" t="s">
        <v>525</v>
      </c>
      <c r="B23" s="313">
        <f>(FS!B8-FS!B9-FS!B15-FS!B18-FS!B17)/FS!B16</f>
        <v>45.935208098987651</v>
      </c>
      <c r="C23" s="313">
        <f>(FS!C8-FS!C9-FS!C15-FS!C18-FS!C17)/FS!C16</f>
        <v>15.127516778523489</v>
      </c>
      <c r="D23" s="313">
        <f>(FS!D8-FS!D9-FS!D15-FS!D18-FS!D17)/FS!D16</f>
        <v>8.569060773480663</v>
      </c>
      <c r="E23" s="313">
        <f>(FS!E8-FS!E9-FS!E15-FS!E18-FS!E17)/FS!E16</f>
        <v>16.297435897435896</v>
      </c>
      <c r="F23" s="313">
        <f>(FS!F8-FS!F9-FS!F15-FS!F18-FS!F17)/FS!F16</f>
        <v>19.604166666666668</v>
      </c>
      <c r="G23" s="313">
        <f>(FS!G8-FS!G9-FS!G15-FS!G18-FS!G17)/FS!G16</f>
        <v>10.597916666666666</v>
      </c>
      <c r="H23" s="313">
        <f>(FS!H8-FS!H9-FS!H15-FS!H18-FS!H17)/FS!H16</f>
        <v>6.8422425032594525</v>
      </c>
      <c r="I23" s="313">
        <f>(FS!I8-FS!I9-FS!I15-FS!I18-FS!I17)/FS!I16</f>
        <v>11.39790763581372</v>
      </c>
      <c r="J23" s="313">
        <f>(FS!J8-FS!J9-FS!J15-FS!J18-FS!J17)/FS!J16</f>
        <v>11.698628501491488</v>
      </c>
      <c r="K23" s="313">
        <f>(FS!K8-FS!K9-FS!K15-FS!K18-FS!K17)/FS!K16</f>
        <v>10.938028973109917</v>
      </c>
      <c r="L23" s="313">
        <f>(FS!L8-FS!L9-FS!L15-FS!L18-FS!L17)/FS!L16</f>
        <v>9.8888967474686957</v>
      </c>
      <c r="M23" s="314">
        <f>(FS!M8-FS!M9-FS!M15-FS!M18-FS!M17)/FS!M16</f>
        <v>9.7686824451573653</v>
      </c>
    </row>
    <row r="24" spans="1:13" ht="15" customHeight="1" x14ac:dyDescent="0.3">
      <c r="A24" s="305" t="s">
        <v>526</v>
      </c>
      <c r="B24" s="313">
        <f>FS!B75/FS!B53</f>
        <v>1.7575586400348213</v>
      </c>
      <c r="C24" s="313">
        <f>FS!C75/FS!C53</f>
        <v>1.8180778032036613</v>
      </c>
      <c r="D24" s="313">
        <f>FS!D75/FS!D53</f>
        <v>1.7379396635617963</v>
      </c>
      <c r="E24" s="313">
        <f>FS!E75/FS!E53</f>
        <v>1.713463751438435</v>
      </c>
      <c r="F24" s="313">
        <f>FS!F75/FS!F53</f>
        <v>1.7955038625119348</v>
      </c>
      <c r="G24" s="313">
        <f>FS!G75/FS!G53</f>
        <v>1.6983236042508607</v>
      </c>
      <c r="H24" s="313">
        <f>FS!H75/FS!H53</f>
        <v>1.4065142065142064</v>
      </c>
      <c r="I24" s="313">
        <f>FS!I75/FS!I53</f>
        <v>1.5265686747531539</v>
      </c>
      <c r="J24" s="313">
        <f>FS!J75/FS!J53</f>
        <v>1.6646776687451776</v>
      </c>
      <c r="K24" s="313">
        <f>FS!K75/FS!K53</f>
        <v>1.8034776499574299</v>
      </c>
      <c r="L24" s="313">
        <f>FS!L75/FS!L53</f>
        <v>1.9315395631326948</v>
      </c>
      <c r="M24" s="314">
        <f>FS!M75/FS!M53</f>
        <v>2.0577529666191055</v>
      </c>
    </row>
    <row r="25" spans="1:13" ht="15" customHeight="1" x14ac:dyDescent="0.3">
      <c r="A25" s="302" t="s">
        <v>527</v>
      </c>
      <c r="B25" s="303"/>
      <c r="C25" s="303"/>
      <c r="D25" s="303"/>
      <c r="E25" s="303"/>
      <c r="F25" s="303"/>
      <c r="G25" s="303"/>
      <c r="H25" s="303"/>
      <c r="I25" s="303"/>
      <c r="J25" s="303"/>
      <c r="K25" s="303"/>
      <c r="L25" s="303"/>
      <c r="M25" s="304"/>
    </row>
    <row r="26" spans="1:13" ht="15" customHeight="1" x14ac:dyDescent="0.3">
      <c r="A26" s="305" t="s">
        <v>528</v>
      </c>
      <c r="B26" s="315">
        <f>FS!B71/FS!B6*365</f>
        <v>6.8565367433719091</v>
      </c>
      <c r="C26" s="315">
        <f>FS!C71/FS!C6*365</f>
        <v>3.903548225887056</v>
      </c>
      <c r="D26" s="315">
        <f>FS!D71/FS!D6*365</f>
        <v>5.1555674206387732</v>
      </c>
      <c r="E26" s="315">
        <f>FS!E71/FS!E6*365</f>
        <v>6.6400220507166487</v>
      </c>
      <c r="F26" s="315">
        <f>FS!F71/FS!F6*365</f>
        <v>8.6600470342304678</v>
      </c>
      <c r="G26" s="315">
        <f>FS!G71/FS!G6*365</f>
        <v>7.2590949611580422</v>
      </c>
      <c r="H26" s="315">
        <f>FS!H71/FS!H6*365</f>
        <v>6.5489952955763826</v>
      </c>
      <c r="I26" s="315">
        <f>FS!I71/FS!I6*365</f>
        <v>6.8527453524640647</v>
      </c>
      <c r="J26" s="315">
        <f>FS!J71/FS!J6*365</f>
        <v>7.1921809388291198</v>
      </c>
      <c r="K26" s="315">
        <f>FS!K71/FS!K6*365</f>
        <v>7.3026127164516152</v>
      </c>
      <c r="L26" s="315">
        <f>FS!L71/FS!L6*365</f>
        <v>7.031125852895844</v>
      </c>
      <c r="M26" s="316">
        <f>FS!M71/FS!M6*365</f>
        <v>6.9855320312434062</v>
      </c>
    </row>
    <row r="27" spans="1:13" ht="15" customHeight="1" x14ac:dyDescent="0.3">
      <c r="A27" s="305" t="s">
        <v>529</v>
      </c>
      <c r="B27" s="315">
        <f>FS!B70/FS!B9*365</f>
        <v>175.33918202239479</v>
      </c>
      <c r="C27" s="315">
        <f>FS!C70/FS!C9*365</f>
        <v>194.69852535832416</v>
      </c>
      <c r="D27" s="315">
        <f>FS!D70/FS!D9*365</f>
        <v>184.80309467943434</v>
      </c>
      <c r="E27" s="315">
        <f>FS!E70/FS!E9*365</f>
        <v>225.92966405266722</v>
      </c>
      <c r="F27" s="315">
        <f>FS!F70/FS!F9*365</f>
        <v>187.89093162569716</v>
      </c>
      <c r="G27" s="315">
        <f>FS!G70/FS!G9*365</f>
        <v>166.72107628173893</v>
      </c>
      <c r="H27" s="315">
        <f>FS!H70/FS!H9*365</f>
        <v>204.58859167809786</v>
      </c>
      <c r="I27" s="315">
        <f>FS!I70/FS!I9*365</f>
        <v>193.98667166352712</v>
      </c>
      <c r="J27" s="315">
        <f>FS!J70/FS!J9*365</f>
        <v>195.82338706034562</v>
      </c>
      <c r="K27" s="315">
        <f>FS!K70/FS!K9*365</f>
        <v>189.80213166188133</v>
      </c>
      <c r="L27" s="315">
        <f>FS!L70/FS!L9*365</f>
        <v>190.18437166911818</v>
      </c>
      <c r="M27" s="316">
        <f>FS!M70/FS!M9*365</f>
        <v>194.87703074659404</v>
      </c>
    </row>
    <row r="28" spans="1:13" ht="15" customHeight="1" x14ac:dyDescent="0.3">
      <c r="A28" s="305" t="s">
        <v>530</v>
      </c>
      <c r="B28" s="315">
        <f>FS!B50/FS!B9*365</f>
        <v>20.154462872430326</v>
      </c>
      <c r="C28" s="315">
        <f>FS!C50/FS!C9*365</f>
        <v>12.827315325248071</v>
      </c>
      <c r="D28" s="315">
        <f>FS!D50/FS!D9*365</f>
        <v>16.086942735747353</v>
      </c>
      <c r="E28" s="315">
        <f>FS!E50/FS!E9*365</f>
        <v>18.640478265078904</v>
      </c>
      <c r="F28" s="315">
        <f>FS!F50/FS!F9*365</f>
        <v>12.126454589272187</v>
      </c>
      <c r="G28" s="315">
        <f>FS!G50/FS!G9*365</f>
        <v>9.3171728655730597</v>
      </c>
      <c r="H28" s="315">
        <f>FS!H50/FS!H9*365</f>
        <v>12.283493369913122</v>
      </c>
      <c r="I28" s="315">
        <f>FS!I50/FS!I9*365</f>
        <v>13.690908365116925</v>
      </c>
      <c r="J28" s="315">
        <f>FS!J50/FS!J9*365</f>
        <v>13.211701490990839</v>
      </c>
      <c r="K28" s="315">
        <f>FS!K50/FS!K9*365</f>
        <v>12.125946136173226</v>
      </c>
      <c r="L28" s="315">
        <f>FS!L50/FS!L9*365</f>
        <v>12.125844445553437</v>
      </c>
      <c r="M28" s="316">
        <f>FS!M50/FS!M9*365</f>
        <v>12.68757876154951</v>
      </c>
    </row>
    <row r="29" spans="1:13" ht="15" customHeight="1" x14ac:dyDescent="0.3">
      <c r="A29" s="305" t="s">
        <v>531</v>
      </c>
      <c r="B29" s="315">
        <f>FS!B70/FS!B9*365+FS!B71/FS!B6*365-FS!B50/FS!B9*365</f>
        <v>162.0412558933364</v>
      </c>
      <c r="C29" s="315">
        <f>FS!C70/FS!C9*365+FS!C71/FS!C6*365-FS!C50/FS!C9*365</f>
        <v>185.77475825896315</v>
      </c>
      <c r="D29" s="315">
        <f>FS!D70/FS!D9*365+FS!D71/FS!D6*365-FS!D50/FS!D9*365</f>
        <v>173.87171936432574</v>
      </c>
      <c r="E29" s="315">
        <f>FS!E70/FS!E9*365+FS!E71/FS!E6*365-FS!E50/FS!E9*365</f>
        <v>213.92920783830496</v>
      </c>
      <c r="F29" s="315">
        <f>FS!F70/FS!F9*365+FS!F71/FS!F6*365-FS!F50/FS!F9*365</f>
        <v>184.42452407065545</v>
      </c>
      <c r="G29" s="315">
        <f>FS!G70/FS!G9*365+FS!G71/FS!G6*365-FS!G50/FS!G9*365</f>
        <v>164.6629983773239</v>
      </c>
      <c r="H29" s="315">
        <f>FS!H70/FS!H9*365+FS!H71/FS!H6*365-FS!H50/FS!H9*365</f>
        <v>198.85409360376113</v>
      </c>
      <c r="I29" s="315">
        <f>FS!I70/FS!I9*365+FS!I71/FS!I6*365-FS!I50/FS!I9*365</f>
        <v>187.14850865087425</v>
      </c>
      <c r="J29" s="315">
        <f>FS!J70/FS!J9*365+FS!J71/FS!J6*365-FS!J50/FS!J9*365</f>
        <v>189.80386650818392</v>
      </c>
      <c r="K29" s="315">
        <f>FS!K70/FS!K9*365+FS!K71/FS!K6*365-FS!K50/FS!K9*365</f>
        <v>184.97879824215971</v>
      </c>
      <c r="L29" s="315">
        <f>FS!L70/FS!L9*365+FS!L71/FS!L6*365-FS!L50/FS!L9*365</f>
        <v>185.08965307646059</v>
      </c>
      <c r="M29" s="316">
        <f>FS!M70/FS!M9*365+FS!M71/FS!M6*365-FS!M50/FS!M9*365</f>
        <v>189.17498401628794</v>
      </c>
    </row>
    <row r="30" spans="1:13" ht="15" customHeight="1" x14ac:dyDescent="0.3">
      <c r="A30" s="305" t="s">
        <v>532</v>
      </c>
      <c r="B30" s="313">
        <f>FS!B8/FS!B76</f>
        <v>1.6781841388966874</v>
      </c>
      <c r="C30" s="313">
        <f>FS!C8/FS!C76</f>
        <v>1.5283591143463755</v>
      </c>
      <c r="D30" s="313">
        <f>FS!D8/FS!D76</f>
        <v>1.3104035308953341</v>
      </c>
      <c r="E30" s="313">
        <f>FS!E8/FS!E76</f>
        <v>1.3634602969657843</v>
      </c>
      <c r="F30" s="313">
        <f>FS!F8/FS!F76</f>
        <v>1.5373485331632653</v>
      </c>
      <c r="G30" s="313">
        <f>FS!G8/FS!G76</f>
        <v>1.4492118556387317</v>
      </c>
      <c r="H30" s="313">
        <f>FS!H8/FS!H76</f>
        <v>1.3471698113207546</v>
      </c>
      <c r="I30" s="313">
        <f>FS!I8/FS!I76</f>
        <v>1.3088642136408222</v>
      </c>
      <c r="J30" s="313">
        <f>FS!J8/FS!J76</f>
        <v>1.285942682233522</v>
      </c>
      <c r="K30" s="313">
        <f>FS!K8/FS!K76</f>
        <v>1.2717439908327939</v>
      </c>
      <c r="L30" s="313">
        <f>FS!L8/FS!L76</f>
        <v>1.2596723719988199</v>
      </c>
      <c r="M30" s="314">
        <f>FS!M8/FS!M76</f>
        <v>1.2441275549986497</v>
      </c>
    </row>
    <row r="31" spans="1:13" ht="18" customHeight="1" x14ac:dyDescent="0.3">
      <c r="A31" s="302" t="s">
        <v>533</v>
      </c>
      <c r="B31" s="303"/>
      <c r="C31" s="303"/>
      <c r="D31" s="303"/>
      <c r="E31" s="303"/>
      <c r="F31" s="303"/>
      <c r="G31" s="303"/>
      <c r="H31" s="303"/>
      <c r="I31" s="303"/>
      <c r="J31" s="303"/>
      <c r="K31" s="303"/>
      <c r="L31" s="303"/>
      <c r="M31" s="304"/>
    </row>
    <row r="32" spans="1:13" ht="15" customHeight="1" x14ac:dyDescent="0.3">
      <c r="A32" s="305" t="s">
        <v>534</v>
      </c>
      <c r="B32" s="310">
        <f>FS!B30</f>
        <v>15.48</v>
      </c>
      <c r="C32" s="310">
        <f>FS!C30</f>
        <v>17.09</v>
      </c>
      <c r="D32" s="310">
        <f>FS!D30</f>
        <v>9.8800000000000008</v>
      </c>
      <c r="E32" s="310">
        <f>FS!E30</f>
        <v>24.56</v>
      </c>
      <c r="F32" s="310">
        <f>FS!F30</f>
        <v>37.54</v>
      </c>
      <c r="G32" s="310">
        <f>FS!G30</f>
        <v>39.94</v>
      </c>
      <c r="H32" s="310">
        <f>FS!H30</f>
        <v>37.6</v>
      </c>
      <c r="I32" s="310">
        <f>FS!I30</f>
        <v>47.710490056001184</v>
      </c>
      <c r="J32" s="310">
        <f>FS!J30</f>
        <v>53.021244789917844</v>
      </c>
      <c r="K32" s="310">
        <f>FS!K30</f>
        <v>55.118022358283618</v>
      </c>
      <c r="L32" s="310">
        <f>FS!L30</f>
        <v>56.494525843739581</v>
      </c>
      <c r="M32" s="311">
        <f>FS!M30</f>
        <v>59.946369643068159</v>
      </c>
    </row>
    <row r="33" spans="1:13" ht="15" customHeight="1" x14ac:dyDescent="0.3">
      <c r="A33" s="305" t="s">
        <v>472</v>
      </c>
      <c r="B33" s="310">
        <f>FS!B32</f>
        <v>69.63</v>
      </c>
      <c r="C33" s="310">
        <f>FS!C32</f>
        <v>76.87</v>
      </c>
      <c r="D33" s="310">
        <f>FS!D32</f>
        <v>85.07</v>
      </c>
      <c r="E33" s="310">
        <f>FS!E32</f>
        <v>105.57</v>
      </c>
      <c r="F33" s="310">
        <f>FS!F32</f>
        <v>134.76</v>
      </c>
      <c r="G33" s="310">
        <f>FS!G32</f>
        <v>162.44</v>
      </c>
      <c r="H33" s="310">
        <f>FS!H32</f>
        <v>188.89</v>
      </c>
      <c r="I33" s="310">
        <f>FS!I32</f>
        <v>226.29107937537603</v>
      </c>
      <c r="J33" s="310">
        <f>FS!J32</f>
        <v>266.50768459912865</v>
      </c>
      <c r="K33" s="310">
        <f>FS!K32</f>
        <v>307.47290466161911</v>
      </c>
      <c r="L33" s="310">
        <f>FS!L32</f>
        <v>348.97361707705755</v>
      </c>
      <c r="M33" s="311">
        <f>FS!M32</f>
        <v>393.48505438844876</v>
      </c>
    </row>
    <row r="34" spans="1:13" ht="15" customHeight="1" x14ac:dyDescent="0.3">
      <c r="A34" s="305" t="s">
        <v>535</v>
      </c>
      <c r="B34" s="312"/>
      <c r="C34" s="310">
        <f>Assumptions!C29/(FS!H29/FS!H30)</f>
        <v>9.853116641679156</v>
      </c>
      <c r="D34" s="310">
        <f>Assumptions!D29/(FS!H29/FS!H30)</f>
        <v>1.6798800599700152</v>
      </c>
      <c r="E34" s="310">
        <f>Assumptions!E29/(FS!H29/FS!H30)</f>
        <v>4.0587706146926541</v>
      </c>
      <c r="F34" s="310">
        <f>Assumptions!F29/(FS!H29/FS!H30)</f>
        <v>8.0273463268365823</v>
      </c>
      <c r="G34" s="310">
        <f>Assumptions!G29/(FS!H29/FS!H30)</f>
        <v>12.187586206896553</v>
      </c>
      <c r="H34" s="310">
        <f>Assumptions!H29/(FS!H29/FS!H30)</f>
        <v>11.060149925037482</v>
      </c>
      <c r="I34" s="310">
        <f>Assumptions!I29/(FS!H29/FS!H30)</f>
        <v>10.952724023953454</v>
      </c>
      <c r="J34" s="310">
        <f>Assumptions!J29/(FS!H29/FS!H30)</f>
        <v>12.804639566165243</v>
      </c>
      <c r="K34" s="310">
        <f>Assumptions!K29/(FS!H29/FS!H30)</f>
        <v>14.152802295793151</v>
      </c>
      <c r="L34" s="310">
        <f>Assumptions!L29/(FS!H29/FS!H30)</f>
        <v>14.993813428301141</v>
      </c>
      <c r="M34" s="311">
        <f>Assumptions!M29/(FS!H29/FS!H30)</f>
        <v>15.434932331676952</v>
      </c>
    </row>
    <row r="35" spans="1:13" ht="15" customHeight="1" x14ac:dyDescent="0.3">
      <c r="A35" s="305" t="s">
        <v>536</v>
      </c>
      <c r="B35" s="308">
        <f>Assumptions!B30</f>
        <v>0</v>
      </c>
      <c r="C35" s="308">
        <f>Assumptions!C30</f>
        <v>0.57609756097560949</v>
      </c>
      <c r="D35" s="308">
        <f>Assumptions!D30</f>
        <v>0.16989737742303307</v>
      </c>
      <c r="E35" s="308">
        <f>Assumptions!E30</f>
        <v>0.16513761467889909</v>
      </c>
      <c r="F35" s="308">
        <f>Assumptions!F30</f>
        <v>0.21362136213621363</v>
      </c>
      <c r="G35" s="308">
        <f>Assumptions!G30</f>
        <v>0.30502257336343114</v>
      </c>
      <c r="H35" s="308">
        <f>Assumptions!H30</f>
        <v>0.29415292353823086</v>
      </c>
      <c r="I35" s="308">
        <f>Assumptions!I30</f>
        <v>0.22956637022796156</v>
      </c>
      <c r="J35" s="308">
        <f>Assumptions!J30</f>
        <v>0.24150016878894726</v>
      </c>
      <c r="K35" s="308">
        <f>Assumptions!K30</f>
        <v>0.2567726796109569</v>
      </c>
      <c r="L35" s="308">
        <f>Assumptions!L30</f>
        <v>0.26540294310590556</v>
      </c>
      <c r="M35" s="309">
        <f>Assumptions!M30</f>
        <v>0.25747901705440041</v>
      </c>
    </row>
    <row r="36" spans="1:13" ht="15" customHeight="1" x14ac:dyDescent="0.3">
      <c r="A36" s="305" t="s">
        <v>537</v>
      </c>
      <c r="B36" s="313">
        <f>3300/FS!B30</f>
        <v>213.1782945736434</v>
      </c>
      <c r="C36" s="313">
        <f>3300/FS!C30</f>
        <v>193.09537741369223</v>
      </c>
      <c r="D36" s="313">
        <f>3300/FS!D30</f>
        <v>334.0080971659919</v>
      </c>
      <c r="E36" s="313">
        <f>3300/FS!E30</f>
        <v>134.36482084690553</v>
      </c>
      <c r="F36" s="313">
        <f>3300/FS!F30</f>
        <v>87.906233351092169</v>
      </c>
      <c r="G36" s="313">
        <f>3300/FS!G30</f>
        <v>82.623935903855795</v>
      </c>
      <c r="H36" s="313">
        <f>3300/FS!H30</f>
        <v>87.765957446808514</v>
      </c>
      <c r="I36" s="313">
        <f>3300/FS!I30</f>
        <v>69.167178876732478</v>
      </c>
      <c r="J36" s="313">
        <f>3300/FS!J30</f>
        <v>62.239202664429058</v>
      </c>
      <c r="K36" s="313">
        <f>3300/FS!K30</f>
        <v>59.871524028003286</v>
      </c>
      <c r="L36" s="313">
        <f>3300/FS!L30</f>
        <v>58.412739123213441</v>
      </c>
      <c r="M36" s="314">
        <f>3300/FS!M30</f>
        <v>55.049205142009669</v>
      </c>
    </row>
    <row r="37" spans="1:13" ht="15" customHeight="1" x14ac:dyDescent="0.3">
      <c r="A37" s="317" t="s">
        <v>538</v>
      </c>
      <c r="B37" s="318">
        <f>3300/FS!B32</f>
        <v>47.393364928909953</v>
      </c>
      <c r="C37" s="318">
        <f>3300/FS!C32</f>
        <v>42.929621438792765</v>
      </c>
      <c r="D37" s="318">
        <f>3300/FS!D32</f>
        <v>38.791583401904319</v>
      </c>
      <c r="E37" s="318">
        <f>3300/FS!E32</f>
        <v>31.258880363739699</v>
      </c>
      <c r="F37" s="318">
        <f>3300/FS!F32</f>
        <v>24.487978628673197</v>
      </c>
      <c r="G37" s="318">
        <f>3300/FS!G32</f>
        <v>20.31519330214233</v>
      </c>
      <c r="H37" s="318">
        <f>3300/FS!H32</f>
        <v>17.470485467732544</v>
      </c>
      <c r="I37" s="318">
        <f>3300/FS!I32</f>
        <v>14.582987580018106</v>
      </c>
      <c r="J37" s="318">
        <f>3300/FS!J32</f>
        <v>12.382382162689764</v>
      </c>
      <c r="K37" s="318">
        <f>3300/FS!K32</f>
        <v>10.732653023952549</v>
      </c>
      <c r="L37" s="318">
        <f>3300/FS!L32</f>
        <v>9.4563022489786679</v>
      </c>
      <c r="M37" s="319">
        <f>3300/FS!M32</f>
        <v>8.3865955344322618</v>
      </c>
    </row>
  </sheetData>
  <mergeCells count="1">
    <mergeCell ref="A1:M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1"/>
  <sheetViews>
    <sheetView showGridLines="0" topLeftCell="A3" zoomScale="101" zoomScaleNormal="100" workbookViewId="0">
      <selection activeCell="P5" sqref="P5"/>
    </sheetView>
  </sheetViews>
  <sheetFormatPr defaultColWidth="8.5546875" defaultRowHeight="14.4" x14ac:dyDescent="0.3"/>
  <cols>
    <col min="1" max="1" width="32" style="346" customWidth="1"/>
    <col min="2" max="13" width="10" style="346" customWidth="1"/>
    <col min="14" max="14" width="14" style="346" customWidth="1"/>
    <col min="15" max="15" width="10" style="346" customWidth="1"/>
    <col min="16" max="16384" width="8.5546875" style="346"/>
  </cols>
  <sheetData>
    <row r="1" spans="1:14" ht="27.75" customHeight="1" x14ac:dyDescent="0.3">
      <c r="A1" s="399" t="s">
        <v>556</v>
      </c>
      <c r="B1" s="400"/>
      <c r="C1" s="400"/>
      <c r="D1" s="400"/>
      <c r="E1" s="400"/>
      <c r="F1" s="400"/>
      <c r="G1" s="400"/>
      <c r="H1" s="400"/>
      <c r="I1" s="400"/>
      <c r="J1" s="400"/>
      <c r="K1" s="400"/>
      <c r="L1" s="400"/>
      <c r="M1" s="400"/>
      <c r="N1" s="401"/>
    </row>
    <row r="2" spans="1:14" ht="18" customHeight="1" x14ac:dyDescent="0.3">
      <c r="A2" s="357" t="s">
        <v>539</v>
      </c>
      <c r="B2" s="320" t="s">
        <v>502</v>
      </c>
      <c r="C2" s="320" t="s">
        <v>503</v>
      </c>
      <c r="D2" s="320" t="s">
        <v>504</v>
      </c>
      <c r="E2" s="320" t="s">
        <v>505</v>
      </c>
      <c r="F2" s="320" t="s">
        <v>506</v>
      </c>
      <c r="G2" s="320" t="s">
        <v>507</v>
      </c>
      <c r="H2" s="320" t="s">
        <v>508</v>
      </c>
      <c r="I2" s="365" t="s">
        <v>403</v>
      </c>
      <c r="J2" s="365" t="s">
        <v>404</v>
      </c>
      <c r="K2" s="365" t="s">
        <v>405</v>
      </c>
      <c r="L2" s="365" t="s">
        <v>406</v>
      </c>
      <c r="M2" s="365" t="s">
        <v>407</v>
      </c>
      <c r="N2" s="358" t="s">
        <v>540</v>
      </c>
    </row>
    <row r="3" spans="1:14" ht="18" customHeight="1" x14ac:dyDescent="0.3">
      <c r="A3" s="396" t="s">
        <v>541</v>
      </c>
      <c r="B3" s="397"/>
      <c r="C3" s="397"/>
      <c r="D3" s="397"/>
      <c r="E3" s="397"/>
      <c r="F3" s="397"/>
      <c r="G3" s="397"/>
      <c r="H3" s="397"/>
      <c r="I3" s="397"/>
      <c r="J3" s="397"/>
      <c r="K3" s="397"/>
      <c r="L3" s="397"/>
      <c r="M3" s="397"/>
      <c r="N3" s="398"/>
    </row>
    <row r="4" spans="1:14" ht="15.75" customHeight="1" x14ac:dyDescent="0.3">
      <c r="A4" s="359" t="s">
        <v>510</v>
      </c>
      <c r="B4" s="347">
        <f>FS!B6</f>
        <v>19069.97</v>
      </c>
      <c r="C4" s="347">
        <f>FS!C6</f>
        <v>20010</v>
      </c>
      <c r="D4" s="347">
        <f>FS!D6</f>
        <v>20602</v>
      </c>
      <c r="E4" s="347">
        <f>FS!E6</f>
        <v>27210</v>
      </c>
      <c r="F4" s="347">
        <f>FS!F6</f>
        <v>38270</v>
      </c>
      <c r="G4" s="347">
        <f>FS!G6</f>
        <v>47114</v>
      </c>
      <c r="H4" s="347">
        <f>FS!H6</f>
        <v>54842</v>
      </c>
      <c r="I4" s="348">
        <f>FS!I6</f>
        <v>58609.645400000001</v>
      </c>
      <c r="J4" s="348">
        <f>FS!J6</f>
        <v>62636.128038980001</v>
      </c>
      <c r="K4" s="348">
        <f>FS!K6</f>
        <v>66939.230035257933</v>
      </c>
      <c r="L4" s="348">
        <f>FS!L6</f>
        <v>71537.955138680147</v>
      </c>
      <c r="M4" s="348">
        <f>FS!M6</f>
        <v>76452.612656707468</v>
      </c>
      <c r="N4" s="360"/>
    </row>
    <row r="5" spans="1:14" ht="15.75" customHeight="1" x14ac:dyDescent="0.3">
      <c r="A5" s="359" t="s">
        <v>468</v>
      </c>
      <c r="B5" s="347">
        <f>FS!B8-FS!B9-FS!B15-FS!B18</f>
        <v>2180.7100000000009</v>
      </c>
      <c r="C5" s="347">
        <f>FS!C8-FS!C9-FS!C15-FS!C18</f>
        <v>2564</v>
      </c>
      <c r="D5" s="347">
        <f>FS!D8-FS!D9-FS!D15-FS!D18</f>
        <v>1882</v>
      </c>
      <c r="E5" s="347">
        <f>FS!E8-FS!E9-FS!E15-FS!E18</f>
        <v>3525</v>
      </c>
      <c r="F5" s="347">
        <f>FS!F8-FS!F9-FS!F15-FS!F18</f>
        <v>5069</v>
      </c>
      <c r="G5" s="347">
        <f>FS!G8-FS!G9-FS!G15-FS!G18</f>
        <v>5534</v>
      </c>
      <c r="H5" s="347">
        <f>FS!H8-FS!H9-FS!H15-FS!H18</f>
        <v>5785</v>
      </c>
      <c r="I5" s="348">
        <f>FS!I8-FS!I9-FS!I15-FS!I18</f>
        <v>6742.540611238278</v>
      </c>
      <c r="J5" s="348">
        <f>FS!J8-FS!J9-FS!J15-FS!J18</f>
        <v>7516.181149441386</v>
      </c>
      <c r="K5" s="348">
        <f>FS!K8-FS!K9-FS!K15-FS!K18</f>
        <v>7904.6832101489745</v>
      </c>
      <c r="L5" s="348">
        <f>FS!L8-FS!L9-FS!L15-FS!L18</f>
        <v>8242.1897249026206</v>
      </c>
      <c r="M5" s="348">
        <f>FS!M8-FS!M9-FS!M15-FS!M18</f>
        <v>8774.092402502476</v>
      </c>
      <c r="N5" s="360"/>
    </row>
    <row r="6" spans="1:14" ht="15.75" customHeight="1" x14ac:dyDescent="0.3">
      <c r="A6" s="359" t="s">
        <v>470</v>
      </c>
      <c r="B6" s="347">
        <f>FS!B29</f>
        <v>1374.359999999999</v>
      </c>
      <c r="C6" s="347">
        <f>FS!C29</f>
        <v>1517</v>
      </c>
      <c r="D6" s="347">
        <f>FS!D29</f>
        <v>877</v>
      </c>
      <c r="E6" s="347">
        <f>FS!E29</f>
        <v>2180</v>
      </c>
      <c r="F6" s="347">
        <f>FS!F29</f>
        <v>3333</v>
      </c>
      <c r="G6" s="347">
        <f>FS!G29</f>
        <v>3544</v>
      </c>
      <c r="H6" s="347">
        <f>FS!H29</f>
        <v>3335</v>
      </c>
      <c r="I6" s="348">
        <f>FS!I29</f>
        <v>4231.7682004458493</v>
      </c>
      <c r="J6" s="348">
        <f>FS!J29</f>
        <v>4702.8151961270214</v>
      </c>
      <c r="K6" s="348">
        <f>FS!K29</f>
        <v>4888.792674597762</v>
      </c>
      <c r="L6" s="348">
        <f>FS!L29</f>
        <v>5010.8841406614756</v>
      </c>
      <c r="M6" s="348">
        <f>FS!M29</f>
        <v>5317.0516691391567</v>
      </c>
      <c r="N6" s="360"/>
    </row>
    <row r="7" spans="1:14" ht="15.75" customHeight="1" x14ac:dyDescent="0.3">
      <c r="A7" s="359" t="s">
        <v>513</v>
      </c>
      <c r="B7" s="349">
        <f>(FS!B8-FS!B9-FS!B15-FS!B18)/FS!B8</f>
        <v>0.11329264092159018</v>
      </c>
      <c r="C7" s="349">
        <f>(FS!C8-FS!C9-FS!C15-FS!C18)/FS!C8</f>
        <v>0.1272077793212939</v>
      </c>
      <c r="D7" s="349">
        <f>(FS!D8-FS!D9-FS!D15-FS!D18)/FS!D8</f>
        <v>9.055478034932396E-2</v>
      </c>
      <c r="E7" s="349">
        <f>(FS!E8-FS!E9-FS!E15-FS!E18)/FS!E8</f>
        <v>0.12838723776223776</v>
      </c>
      <c r="F7" s="349">
        <f>(FS!F8-FS!F9-FS!F15-FS!F18)/FS!F8</f>
        <v>0.13142679353885245</v>
      </c>
      <c r="G7" s="349">
        <f>(FS!G8-FS!G9-FS!G15-FS!G18)/FS!G8</f>
        <v>0.11620191500083991</v>
      </c>
      <c r="H7" s="349">
        <f>(FS!H8-FS!H9-FS!H15-FS!H18)/FS!H8</f>
        <v>0.10454504382398121</v>
      </c>
      <c r="I7" s="350">
        <f>(FS!I8-FS!I9-FS!I15-FS!I18)/FS!I8</f>
        <v>0.11402971278022467</v>
      </c>
      <c r="J7" s="350">
        <f>(FS!J8-FS!J9-FS!J15-FS!J18)/FS!J8</f>
        <v>0.11891444497823132</v>
      </c>
      <c r="K7" s="350">
        <f>(FS!K8-FS!K9-FS!K15-FS!K18)/FS!K8</f>
        <v>0.11702003821380198</v>
      </c>
      <c r="L7" s="350">
        <f>(FS!L8-FS!L9-FS!L15-FS!L18)/FS!L8</f>
        <v>0.1141431701979264</v>
      </c>
      <c r="M7" s="350">
        <f>(FS!M8-FS!M9-FS!M15-FS!M18)/FS!M8</f>
        <v>0.11373071545477932</v>
      </c>
      <c r="N7" s="360"/>
    </row>
    <row r="8" spans="1:14" ht="15.75" customHeight="1" x14ac:dyDescent="0.3">
      <c r="A8" s="359" t="s">
        <v>515</v>
      </c>
      <c r="B8" s="349">
        <f>FS!B29/FS!B8</f>
        <v>7.1400999663869327E-2</v>
      </c>
      <c r="C8" s="349">
        <f>FS!C29/FS!C8</f>
        <v>7.5262948997817034E-2</v>
      </c>
      <c r="D8" s="349">
        <f>FS!D29/FS!D8</f>
        <v>4.2197950247798682E-2</v>
      </c>
      <c r="E8" s="349">
        <f>FS!E29/FS!E8</f>
        <v>7.9399766899766896E-2</v>
      </c>
      <c r="F8" s="349">
        <f>FS!F29/FS!F8</f>
        <v>8.6416552153283727E-2</v>
      </c>
      <c r="G8" s="349">
        <f>FS!G29/FS!G8</f>
        <v>7.4416260708886281E-2</v>
      </c>
      <c r="H8" s="349">
        <f>FS!H29/FS!H8</f>
        <v>6.0269268997921746E-2</v>
      </c>
      <c r="I8" s="350">
        <f>FS!I29/FS!I8</f>
        <v>7.1567579681319535E-2</v>
      </c>
      <c r="J8" s="350">
        <f>FS!J29/FS!J8</f>
        <v>7.4403829253662929E-2</v>
      </c>
      <c r="K8" s="350">
        <f>FS!K29/FS!K8</f>
        <v>7.2373135063309335E-2</v>
      </c>
      <c r="L8" s="350">
        <f>FS!L29/FS!L8</f>
        <v>6.9393962090137457E-2</v>
      </c>
      <c r="M8" s="350">
        <f>FS!M29/FS!M8</f>
        <v>6.8920187148787462E-2</v>
      </c>
      <c r="N8" s="360"/>
    </row>
    <row r="9" spans="1:14" ht="18" customHeight="1" x14ac:dyDescent="0.3">
      <c r="A9" s="396" t="s">
        <v>542</v>
      </c>
      <c r="B9" s="397"/>
      <c r="C9" s="397"/>
      <c r="D9" s="397"/>
      <c r="E9" s="397"/>
      <c r="F9" s="397"/>
      <c r="G9" s="397"/>
      <c r="H9" s="397"/>
      <c r="I9" s="397"/>
      <c r="J9" s="397"/>
      <c r="K9" s="397"/>
      <c r="L9" s="397"/>
      <c r="M9" s="397"/>
      <c r="N9" s="398"/>
    </row>
    <row r="10" spans="1:14" ht="15.75" customHeight="1" x14ac:dyDescent="0.3">
      <c r="A10" s="359" t="s">
        <v>517</v>
      </c>
      <c r="B10" s="349">
        <f>FS!B29/FS!B41</f>
        <v>0.22232647224397076</v>
      </c>
      <c r="C10" s="349">
        <f>FS!C29/FS!C41</f>
        <v>0.22227106227106228</v>
      </c>
      <c r="D10" s="349">
        <f>FS!D29/FS!D41</f>
        <v>0.11611280285979081</v>
      </c>
      <c r="E10" s="349">
        <f>FS!E29/FS!E41</f>
        <v>0.23258295102955298</v>
      </c>
      <c r="F10" s="349">
        <f>FS!F29/FS!F41</f>
        <v>0.27788894447223611</v>
      </c>
      <c r="G10" s="349">
        <f>FS!G29/FS!G41</f>
        <v>0.24514076226049664</v>
      </c>
      <c r="H10" s="349">
        <f>FS!H29/FS!H41</f>
        <v>0.19838201177800249</v>
      </c>
      <c r="I10" s="350">
        <f>FS!I29/FS!I41</f>
        <v>0.21083681331007351</v>
      </c>
      <c r="J10" s="350">
        <f>FS!J29/FS!J41</f>
        <v>0.19894827749402616</v>
      </c>
      <c r="K10" s="350">
        <f>FS!K29/FS!K41</f>
        <v>0.17926139676906569</v>
      </c>
      <c r="L10" s="350">
        <f>FS!L29/FS!L41</f>
        <v>0.1618876702397388</v>
      </c>
      <c r="M10" s="350">
        <f>FS!M29/FS!M41</f>
        <v>0.15234725937999427</v>
      </c>
      <c r="N10" s="360"/>
    </row>
    <row r="11" spans="1:14" ht="15.75" customHeight="1" x14ac:dyDescent="0.3">
      <c r="A11" s="359" t="s">
        <v>543</v>
      </c>
      <c r="B11" s="349">
        <f>(FS!B8-FS!B9-FS!B15-FS!B18-FS!B17)*(1-Assumptions!B27)/(FS!B41+FS!B43+FS!B48)</f>
        <v>0.16578152764777532</v>
      </c>
      <c r="C11" s="349">
        <f>(FS!C8-FS!C9-FS!C15-FS!C18-FS!C17)*(1-Assumptions!C27)/(FS!C41+FS!C43+FS!C48)</f>
        <v>0.18563600311615197</v>
      </c>
      <c r="D11" s="349">
        <f>(FS!D8-FS!D9-FS!D15-FS!D18-FS!D17)*(1-Assumptions!D27)/(FS!D41+FS!D43+FS!D48)</f>
        <v>9.5258388645552042E-2</v>
      </c>
      <c r="E11" s="349">
        <f>(FS!E8-FS!E9-FS!E15-FS!E18-FS!E17)*(1-Assumptions!E27)/(FS!E41+FS!E43+FS!E48)</f>
        <v>0.15811643867589015</v>
      </c>
      <c r="F11" s="349">
        <f>(FS!F8-FS!F9-FS!F15-FS!F18-FS!F17)*(1-Assumptions!F27)/(FS!F41+FS!F43+FS!F48)</f>
        <v>0.19173270243270873</v>
      </c>
      <c r="G11" s="349">
        <f>(FS!G8-FS!G9-FS!G15-FS!G18-FS!G17)*(1-Assumptions!G27)/(FS!G41+FS!G43+FS!G48)</f>
        <v>0.15486863572669632</v>
      </c>
      <c r="H11" s="349">
        <f>(FS!H8-FS!H9-FS!H15-FS!H18-FS!H17)*(1-Assumptions!H27)/(FS!H41+FS!H43+FS!H48)</f>
        <v>0.12406103514935657</v>
      </c>
      <c r="I11" s="350">
        <f>(FS!I8-FS!I9-FS!I15-FS!I18-FS!I17)*(1-Assumptions!I27)/(FS!I41+FS!I43+FS!I48)</f>
        <v>0.1324702740741722</v>
      </c>
      <c r="J11" s="350">
        <f>(FS!J8-FS!J9-FS!J15-FS!J18-FS!J17)*(1-Assumptions!J27)/(FS!J41+FS!J43+FS!J48)</f>
        <v>0.13327638894096916</v>
      </c>
      <c r="K11" s="350">
        <f>(FS!K8-FS!K9-FS!K15-FS!K18-FS!K17)*(1-Assumptions!K27)/(FS!K41+FS!K43+FS!K48)</f>
        <v>0.12745126796185782</v>
      </c>
      <c r="L11" s="350">
        <f>(FS!L8-FS!L9-FS!L15-FS!L18-FS!L17)*(1-Assumptions!L27)/(FS!L41+FS!L43+FS!L48)</f>
        <v>0.12145421035804638</v>
      </c>
      <c r="M11" s="350">
        <f>(FS!M8-FS!M9-FS!M15-FS!M18-FS!M17)*(1-Assumptions!M27)/(FS!M41+FS!M43+FS!M48)</f>
        <v>0.11883234019540966</v>
      </c>
      <c r="N11" s="360"/>
    </row>
    <row r="12" spans="1:14" ht="15.75" customHeight="1" x14ac:dyDescent="0.3">
      <c r="A12" s="359" t="s">
        <v>565</v>
      </c>
      <c r="B12" s="351">
        <f>FS!B30</f>
        <v>15.48</v>
      </c>
      <c r="C12" s="351">
        <f>FS!C30</f>
        <v>17.09</v>
      </c>
      <c r="D12" s="351">
        <f>FS!D30</f>
        <v>9.8800000000000008</v>
      </c>
      <c r="E12" s="351">
        <f>FS!E30</f>
        <v>24.56</v>
      </c>
      <c r="F12" s="351">
        <f>FS!F30</f>
        <v>37.54</v>
      </c>
      <c r="G12" s="351">
        <f>FS!G30</f>
        <v>39.94</v>
      </c>
      <c r="H12" s="351">
        <f>FS!H30</f>
        <v>37.6</v>
      </c>
      <c r="I12" s="352">
        <f>FS!I30</f>
        <v>47.710490056001184</v>
      </c>
      <c r="J12" s="352">
        <f>FS!J30</f>
        <v>53.021244789917844</v>
      </c>
      <c r="K12" s="352">
        <f>FS!K30</f>
        <v>55.118022358283618</v>
      </c>
      <c r="L12" s="352">
        <f>FS!L30</f>
        <v>56.494525843739581</v>
      </c>
      <c r="M12" s="352">
        <f>FS!M30</f>
        <v>59.946369643068159</v>
      </c>
      <c r="N12" s="360"/>
    </row>
    <row r="13" spans="1:14" ht="15.75" customHeight="1" x14ac:dyDescent="0.3">
      <c r="A13" s="359" t="s">
        <v>520</v>
      </c>
      <c r="B13" s="349"/>
      <c r="C13" s="349">
        <f>(FS!C30-FS!B30)/ABS(FS!B30)</f>
        <v>0.10400516795865629</v>
      </c>
      <c r="D13" s="349">
        <f>(FS!D30-FS!C30)/ABS(FS!C30)</f>
        <v>-0.42188414277355174</v>
      </c>
      <c r="E13" s="349">
        <f>(FS!E30-FS!D30)/ABS(FS!D30)</f>
        <v>1.4858299595141697</v>
      </c>
      <c r="F13" s="349">
        <f>(FS!F30-FS!E30)/ABS(FS!E30)</f>
        <v>0.52850162866449513</v>
      </c>
      <c r="G13" s="349">
        <f>(FS!G30-FS!F30)/ABS(FS!F30)</f>
        <v>6.3931806073521544E-2</v>
      </c>
      <c r="H13" s="349">
        <f>(FS!H30-FS!G30)/ABS(FS!G30)</f>
        <v>-5.8587881822734014E-2</v>
      </c>
      <c r="I13" s="350">
        <f>(FS!I30-FS!H30)/ABS(FS!H30)</f>
        <v>0.26889601212769104</v>
      </c>
      <c r="J13" s="350">
        <f>(FS!J30-FS!I30)/ABS(FS!I30)</f>
        <v>0.11131209777311134</v>
      </c>
      <c r="K13" s="350">
        <f>(FS!K30-FS!J30)/ABS(FS!J30)</f>
        <v>3.9545989096892768E-2</v>
      </c>
      <c r="L13" s="350">
        <f>(FS!L30-FS!K30)/ABS(FS!K30)</f>
        <v>2.4973745910335444E-2</v>
      </c>
      <c r="M13" s="350">
        <f>(FS!M30-FS!L30)/ABS(FS!L30)</f>
        <v>6.1100500407352182E-2</v>
      </c>
      <c r="N13" s="360"/>
    </row>
    <row r="14" spans="1:14" ht="18" customHeight="1" x14ac:dyDescent="0.3">
      <c r="A14" s="396" t="s">
        <v>544</v>
      </c>
      <c r="B14" s="397"/>
      <c r="C14" s="397"/>
      <c r="D14" s="397"/>
      <c r="E14" s="397"/>
      <c r="F14" s="397"/>
      <c r="G14" s="397"/>
      <c r="H14" s="397"/>
      <c r="I14" s="397"/>
      <c r="J14" s="397"/>
      <c r="K14" s="397"/>
      <c r="L14" s="397"/>
      <c r="M14" s="397"/>
      <c r="N14" s="398"/>
    </row>
    <row r="15" spans="1:14" ht="15.75" customHeight="1" x14ac:dyDescent="0.3">
      <c r="A15" s="359" t="s">
        <v>524</v>
      </c>
      <c r="B15" s="353">
        <f>(FS!B43+FS!B48)/FS!B41</f>
        <v>0.37006367159949011</v>
      </c>
      <c r="C15" s="353">
        <f>(FS!C43+FS!C48)/FS!C41</f>
        <v>0.31252747252747254</v>
      </c>
      <c r="D15" s="353">
        <f>(FS!D43+FS!D48)/FS!D41</f>
        <v>0.54203627697603596</v>
      </c>
      <c r="E15" s="353">
        <f>(FS!E43+FS!E48)/FS!E41</f>
        <v>0.57462925424090472</v>
      </c>
      <c r="F15" s="353">
        <f>(FS!F43+FS!F48)/FS!F41</f>
        <v>0.52359513089878273</v>
      </c>
      <c r="G15" s="353">
        <f>(FS!G43+FS!G48)/FS!G41</f>
        <v>0.74337691083903989</v>
      </c>
      <c r="H15" s="353">
        <f>(FS!H43+FS!H48)/FS!H41</f>
        <v>0.88906073404318597</v>
      </c>
      <c r="I15" s="354">
        <f>(FS!I43+FS!I48)/FS!I41</f>
        <v>0.74464546791583686</v>
      </c>
      <c r="J15" s="354">
        <f>(FS!J43+FS!J48)/FS!J41</f>
        <v>0.63227680259996388</v>
      </c>
      <c r="K15" s="354">
        <f>(FS!K43+FS!K48)/FS!K41</f>
        <v>0.54803732014078455</v>
      </c>
      <c r="L15" s="354">
        <f>(FS!L43+FS!L48)/FS!L41</f>
        <v>0.48286351300146679</v>
      </c>
      <c r="M15" s="354">
        <f>(FS!M43+FS!M48)/FS!M41</f>
        <v>0.42824149178562398</v>
      </c>
      <c r="N15" s="360"/>
    </row>
    <row r="16" spans="1:14" ht="15.75" customHeight="1" x14ac:dyDescent="0.3">
      <c r="A16" s="359" t="s">
        <v>545</v>
      </c>
      <c r="B16" s="355">
        <f>(FS!B8-FS!B9-FS!B15-FS!B18-FS!B17)/FS!B16</f>
        <v>45.935208098987651</v>
      </c>
      <c r="C16" s="355">
        <f>(FS!C8-FS!C9-FS!C15-FS!C18-FS!C17)/FS!C16</f>
        <v>15.127516778523489</v>
      </c>
      <c r="D16" s="355">
        <f>(FS!D8-FS!D9-FS!D15-FS!D18-FS!D17)/FS!D16</f>
        <v>8.569060773480663</v>
      </c>
      <c r="E16" s="355">
        <f>(FS!E8-FS!E9-FS!E15-FS!E18-FS!E17)/FS!E16</f>
        <v>16.297435897435896</v>
      </c>
      <c r="F16" s="355">
        <f>(FS!F8-FS!F9-FS!F15-FS!F18-FS!F17)/FS!F16</f>
        <v>19.604166666666668</v>
      </c>
      <c r="G16" s="355">
        <f>(FS!G8-FS!G9-FS!G15-FS!G18-FS!G17)/FS!G16</f>
        <v>10.597916666666666</v>
      </c>
      <c r="H16" s="355">
        <f>(FS!H8-FS!H9-FS!H15-FS!H18-FS!H17)/FS!H16</f>
        <v>6.8422425032594525</v>
      </c>
      <c r="I16" s="356">
        <f>(FS!I8-FS!I9-FS!I15-FS!I18-FS!I17)/FS!I16</f>
        <v>11.39790763581372</v>
      </c>
      <c r="J16" s="356">
        <f>(FS!J8-FS!J9-FS!J15-FS!J18-FS!J17)/FS!J16</f>
        <v>11.698628501491488</v>
      </c>
      <c r="K16" s="356">
        <f>(FS!K8-FS!K9-FS!K15-FS!K18-FS!K17)/FS!K16</f>
        <v>10.938028973109917</v>
      </c>
      <c r="L16" s="356">
        <f>(FS!L8-FS!L9-FS!L15-FS!L18-FS!L17)/FS!L16</f>
        <v>9.8888967474686957</v>
      </c>
      <c r="M16" s="356">
        <f>(FS!M8-FS!M9-FS!M15-FS!M18-FS!M17)/FS!M16</f>
        <v>9.7686824451573653</v>
      </c>
      <c r="N16" s="360"/>
    </row>
    <row r="17" spans="1:14" ht="15.75" customHeight="1" x14ac:dyDescent="0.3">
      <c r="A17" s="359" t="s">
        <v>526</v>
      </c>
      <c r="B17" s="353">
        <f>FS!B75/FS!B53</f>
        <v>1.7575586400348213</v>
      </c>
      <c r="C17" s="353">
        <f>FS!C75/FS!C53</f>
        <v>1.8180778032036613</v>
      </c>
      <c r="D17" s="353">
        <f>FS!D75/FS!D53</f>
        <v>1.7379396635617963</v>
      </c>
      <c r="E17" s="353">
        <f>FS!E75/FS!E53</f>
        <v>1.713463751438435</v>
      </c>
      <c r="F17" s="353">
        <f>FS!F75/FS!F53</f>
        <v>1.7955038625119348</v>
      </c>
      <c r="G17" s="353">
        <f>FS!G75/FS!G53</f>
        <v>1.6983236042508607</v>
      </c>
      <c r="H17" s="353">
        <f>FS!H75/FS!H53</f>
        <v>1.4065142065142064</v>
      </c>
      <c r="I17" s="354">
        <f>FS!I75/FS!I53</f>
        <v>1.5265686747531539</v>
      </c>
      <c r="J17" s="354">
        <f>FS!J75/FS!J53</f>
        <v>1.6646776687451776</v>
      </c>
      <c r="K17" s="354">
        <f>FS!K75/FS!K53</f>
        <v>1.8034776499574299</v>
      </c>
      <c r="L17" s="354">
        <f>FS!L75/FS!L53</f>
        <v>1.9315395631326948</v>
      </c>
      <c r="M17" s="354">
        <f>FS!M75/FS!M53</f>
        <v>2.0577529666191055</v>
      </c>
      <c r="N17" s="360"/>
    </row>
    <row r="18" spans="1:14" ht="18" customHeight="1" x14ac:dyDescent="0.3">
      <c r="A18" s="396" t="s">
        <v>546</v>
      </c>
      <c r="B18" s="397"/>
      <c r="C18" s="397"/>
      <c r="D18" s="397"/>
      <c r="E18" s="397"/>
      <c r="F18" s="397"/>
      <c r="G18" s="397"/>
      <c r="H18" s="397"/>
      <c r="I18" s="397"/>
      <c r="J18" s="397"/>
      <c r="K18" s="397"/>
      <c r="L18" s="397"/>
      <c r="M18" s="397"/>
      <c r="N18" s="398"/>
    </row>
    <row r="19" spans="1:14" ht="15.75" customHeight="1" x14ac:dyDescent="0.3">
      <c r="A19" s="359" t="s">
        <v>566</v>
      </c>
      <c r="B19" s="351">
        <f>FS!B32</f>
        <v>69.63</v>
      </c>
      <c r="C19" s="351">
        <f>FS!C32</f>
        <v>76.87</v>
      </c>
      <c r="D19" s="351">
        <f>FS!D32</f>
        <v>85.07</v>
      </c>
      <c r="E19" s="351">
        <f>FS!E32</f>
        <v>105.57</v>
      </c>
      <c r="F19" s="351">
        <f>FS!F32</f>
        <v>134.76</v>
      </c>
      <c r="G19" s="351">
        <f>FS!G32</f>
        <v>162.44</v>
      </c>
      <c r="H19" s="351">
        <f>FS!H32</f>
        <v>188.89</v>
      </c>
      <c r="I19" s="352">
        <f>FS!I32</f>
        <v>226.29107937537603</v>
      </c>
      <c r="J19" s="352">
        <f>FS!J32</f>
        <v>266.50768459912865</v>
      </c>
      <c r="K19" s="352">
        <f>FS!K32</f>
        <v>307.47290466161911</v>
      </c>
      <c r="L19" s="352">
        <f>FS!L32</f>
        <v>348.97361707705755</v>
      </c>
      <c r="M19" s="352">
        <f>FS!M32</f>
        <v>393.48505438844876</v>
      </c>
      <c r="N19" s="360"/>
    </row>
    <row r="20" spans="1:14" ht="15.75" customHeight="1" x14ac:dyDescent="0.3">
      <c r="A20" s="359" t="s">
        <v>567</v>
      </c>
      <c r="B20" s="355">
        <f>3300/FS!B30</f>
        <v>213.1782945736434</v>
      </c>
      <c r="C20" s="355">
        <f>3300/FS!C30</f>
        <v>193.09537741369223</v>
      </c>
      <c r="D20" s="355">
        <f>3300/FS!D30</f>
        <v>334.0080971659919</v>
      </c>
      <c r="E20" s="355">
        <f>3300/FS!E30</f>
        <v>134.36482084690553</v>
      </c>
      <c r="F20" s="355">
        <f>3300/FS!F30</f>
        <v>87.906233351092169</v>
      </c>
      <c r="G20" s="355">
        <f>3300/FS!G30</f>
        <v>82.623935903855795</v>
      </c>
      <c r="H20" s="355">
        <f>3300/FS!H30</f>
        <v>87.765957446808514</v>
      </c>
      <c r="I20" s="356">
        <f>3300/FS!I30</f>
        <v>69.167178876732478</v>
      </c>
      <c r="J20" s="356">
        <f>3300/FS!J30</f>
        <v>62.239202664429058</v>
      </c>
      <c r="K20" s="356">
        <f>3300/FS!K30</f>
        <v>59.871524028003286</v>
      </c>
      <c r="L20" s="356">
        <f>3300/FS!L30</f>
        <v>58.412739123213441</v>
      </c>
      <c r="M20" s="356">
        <f>3300/FS!M30</f>
        <v>55.049205142009669</v>
      </c>
      <c r="N20" s="360"/>
    </row>
    <row r="21" spans="1:14" ht="15.75" customHeight="1" thickBot="1" x14ac:dyDescent="0.35">
      <c r="A21" s="361" t="s">
        <v>568</v>
      </c>
      <c r="B21" s="362">
        <f>3300/FS!B32</f>
        <v>47.393364928909953</v>
      </c>
      <c r="C21" s="362">
        <f>3300/FS!C32</f>
        <v>42.929621438792765</v>
      </c>
      <c r="D21" s="362">
        <f>3300/FS!D32</f>
        <v>38.791583401904319</v>
      </c>
      <c r="E21" s="362">
        <f>3300/FS!E32</f>
        <v>31.258880363739699</v>
      </c>
      <c r="F21" s="362">
        <f>3300/FS!F32</f>
        <v>24.487978628673197</v>
      </c>
      <c r="G21" s="362">
        <f>3300/FS!G32</f>
        <v>20.31519330214233</v>
      </c>
      <c r="H21" s="362">
        <f>3300/FS!H32</f>
        <v>17.470485467732544</v>
      </c>
      <c r="I21" s="363">
        <f>3300/FS!I32</f>
        <v>14.582987580018106</v>
      </c>
      <c r="J21" s="363">
        <f>3300/FS!J32</f>
        <v>12.382382162689764</v>
      </c>
      <c r="K21" s="363">
        <f>3300/FS!K32</f>
        <v>10.732653023952549</v>
      </c>
      <c r="L21" s="363">
        <f>3300/FS!L32</f>
        <v>9.4563022489786679</v>
      </c>
      <c r="M21" s="363">
        <f>3300/FS!M32</f>
        <v>8.3865955344322618</v>
      </c>
      <c r="N21" s="364"/>
    </row>
  </sheetData>
  <mergeCells count="5">
    <mergeCell ref="A18:N18"/>
    <mergeCell ref="A1:N1"/>
    <mergeCell ref="A3:N3"/>
    <mergeCell ref="A9:N9"/>
    <mergeCell ref="A14:N14"/>
  </mergeCells>
  <pageMargins left="0.75" right="0.75" top="1" bottom="1"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5825C01D-EEA9-49F6-9694-4A965798A618}">
          <x14:colorSeries rgb="FF376092"/>
          <x14:colorNegative rgb="FFD00000"/>
          <x14:colorAxis rgb="FF000000"/>
          <x14:colorMarkers rgb="FFD00000"/>
          <x14:colorFirst rgb="FFD00000"/>
          <x14:colorLast rgb="FFD00000"/>
          <x14:colorHigh rgb="FFD00000"/>
          <x14:colorLow rgb="FFD00000"/>
          <x14:sparklines>
            <x14:sparkline>
              <xm:f>'Key Ratio Forecast'!B19:M19</xm:f>
              <xm:sqref>N19</xm:sqref>
            </x14:sparkline>
            <x14:sparkline>
              <xm:f>'Key Ratio Forecast'!B20:M20</xm:f>
              <xm:sqref>N20</xm:sqref>
            </x14:sparkline>
            <x14:sparkline>
              <xm:f>'Key Ratio Forecast'!B21:M21</xm:f>
              <xm:sqref>N21</xm:sqref>
            </x14:sparkline>
          </x14:sparklines>
        </x14:sparklineGroup>
        <x14:sparklineGroup displayEmptyCellsAs="gap" xr2:uid="{2CFB34D8-26E3-489E-BDA5-5CA68FB21205}">
          <x14:colorSeries rgb="FF376092"/>
          <x14:colorNegative rgb="FFD00000"/>
          <x14:colorAxis rgb="FF000000"/>
          <x14:colorMarkers rgb="FFD00000"/>
          <x14:colorFirst rgb="FFD00000"/>
          <x14:colorLast rgb="FFD00000"/>
          <x14:colorHigh rgb="FFD00000"/>
          <x14:colorLow rgb="FFD00000"/>
          <x14:sparklines>
            <x14:sparkline>
              <xm:f>'Key Ratio Forecast'!B15:M15</xm:f>
              <xm:sqref>N15</xm:sqref>
            </x14:sparkline>
            <x14:sparkline>
              <xm:f>'Key Ratio Forecast'!B16:M16</xm:f>
              <xm:sqref>N16</xm:sqref>
            </x14:sparkline>
            <x14:sparkline>
              <xm:f>'Key Ratio Forecast'!B17:M17</xm:f>
              <xm:sqref>N17</xm:sqref>
            </x14:sparkline>
          </x14:sparklines>
        </x14:sparklineGroup>
        <x14:sparklineGroup displayEmptyCellsAs="gap" xr2:uid="{2937AE79-1E16-4983-AFCC-EA2644A987CE}">
          <x14:colorSeries rgb="FF376092"/>
          <x14:colorNegative rgb="FFD00000"/>
          <x14:colorAxis rgb="FF000000"/>
          <x14:colorMarkers rgb="FFD00000"/>
          <x14:colorFirst rgb="FFD00000"/>
          <x14:colorLast rgb="FFD00000"/>
          <x14:colorHigh rgb="FFD00000"/>
          <x14:colorLow rgb="FFD00000"/>
          <x14:sparklines>
            <x14:sparkline>
              <xm:f>'Key Ratio Forecast'!B10:M10</xm:f>
              <xm:sqref>N10</xm:sqref>
            </x14:sparkline>
            <x14:sparkline>
              <xm:f>'Key Ratio Forecast'!B11:M11</xm:f>
              <xm:sqref>N11</xm:sqref>
            </x14:sparkline>
            <x14:sparkline>
              <xm:f>'Key Ratio Forecast'!B12:M12</xm:f>
              <xm:sqref>N12</xm:sqref>
            </x14:sparkline>
            <x14:sparkline>
              <xm:f>'Key Ratio Forecast'!B13:M13</xm:f>
              <xm:sqref>N13</xm:sqref>
            </x14:sparkline>
          </x14:sparklines>
        </x14:sparklineGroup>
        <x14:sparklineGroup displayEmptyCellsAs="gap" xr2:uid="{230D8AF7-EE48-4B6F-925A-FB092E992312}">
          <x14:colorSeries rgb="FF376092"/>
          <x14:colorNegative rgb="FFD00000"/>
          <x14:colorAxis rgb="FF000000"/>
          <x14:colorMarkers rgb="FFD00000"/>
          <x14:colorFirst rgb="FFD00000"/>
          <x14:colorLast rgb="FFD00000"/>
          <x14:colorHigh rgb="FFD00000"/>
          <x14:colorLow rgb="FFD00000"/>
          <x14:sparklines>
            <x14:sparkline>
              <xm:f>'Key Ratio Forecast'!B4:M4</xm:f>
              <xm:sqref>N4</xm:sqref>
            </x14:sparkline>
            <x14:sparkline>
              <xm:f>'Key Ratio Forecast'!B5:M5</xm:f>
              <xm:sqref>N5</xm:sqref>
            </x14:sparkline>
            <x14:sparkline>
              <xm:f>'Key Ratio Forecast'!B6:M6</xm:f>
              <xm:sqref>N6</xm:sqref>
            </x14:sparkline>
            <x14:sparkline>
              <xm:f>'Key Ratio Forecast'!B7:M7</xm:f>
              <xm:sqref>N7</xm:sqref>
            </x14:sparkline>
            <x14:sparkline>
              <xm:f>'Key Ratio Forecast'!B8:M8</xm:f>
              <xm:sqref>N8</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 of Contents</vt:lpstr>
      <vt:lpstr>SOURCES</vt:lpstr>
      <vt:lpstr>ABOUT THE COMPANY</vt:lpstr>
      <vt:lpstr>ECONOMY ANALYSIS</vt:lpstr>
      <vt:lpstr>INDUSTRY ANALYSIS</vt:lpstr>
      <vt:lpstr>BETA</vt:lpstr>
      <vt:lpstr>WACC &amp; EVA</vt:lpstr>
      <vt:lpstr>DDM</vt:lpstr>
      <vt:lpstr>Assumptions</vt:lpstr>
      <vt:lpstr>FS</vt:lpstr>
      <vt:lpstr>CFS</vt:lpstr>
      <vt:lpstr>OPERATING CYCLE</vt:lpstr>
      <vt:lpstr>DCF Valuation</vt:lpstr>
      <vt:lpstr>Relative Valuation</vt:lpstr>
      <vt:lpstr>Ratio Analysis</vt:lpstr>
      <vt:lpstr>Key Ratio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KANISHKA SHARMA</dc:creator>
  <dc:description/>
  <cp:lastModifiedBy>KANISHKA SHARMA</cp:lastModifiedBy>
  <cp:revision>6</cp:revision>
  <dcterms:created xsi:type="dcterms:W3CDTF">2026-03-19T08:04:44Z</dcterms:created>
  <dcterms:modified xsi:type="dcterms:W3CDTF">2026-04-04T15:10:20Z</dcterms:modified>
  <dc:language>en-US</dc:language>
</cp:coreProperties>
</file>