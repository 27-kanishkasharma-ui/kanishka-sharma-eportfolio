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rm\Downloads\"/>
    </mc:Choice>
  </mc:AlternateContent>
  <xr:revisionPtr revIDLastSave="0" documentId="13_ncr:1_{63A5C0F5-6065-4923-BB41-F2E58DE7ACAB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INC" sheetId="1" r:id="rId1"/>
    <sheet name="BS" sheetId="4" r:id="rId2"/>
    <sheet name="CFS" sheetId="5" r:id="rId3"/>
    <sheet name="Ratios" sheetId="12" r:id="rId4"/>
    <sheet name="FCFF Valuation" sheetId="13" r:id="rId5"/>
    <sheet name="Instructions" sheetId="14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\0" localSheetId="4">#REF!</definedName>
    <definedName name="\0">#REF!</definedName>
    <definedName name="\c" localSheetId="4">#REF!</definedName>
    <definedName name="\c">#REF!</definedName>
    <definedName name="\d">#N/A</definedName>
    <definedName name="\l">#N/A</definedName>
    <definedName name="\M" localSheetId="4">#REF!</definedName>
    <definedName name="\M">#REF!</definedName>
    <definedName name="\n">#N/A</definedName>
    <definedName name="\p">#N/A</definedName>
    <definedName name="\r">#N/A</definedName>
    <definedName name="\s" localSheetId="4">#REF!</definedName>
    <definedName name="\s">#REF!</definedName>
    <definedName name="\t">#N/A</definedName>
    <definedName name="\w">#N/A</definedName>
    <definedName name="\Y" localSheetId="4">#REF!</definedName>
    <definedName name="\Y">#REF!</definedName>
    <definedName name="\z">#N/A</definedName>
    <definedName name="__123" hidden="1">[1]JAN!$B$46:$B$50</definedName>
    <definedName name="__123Graph_A" localSheetId="4" hidden="1">[2]SALES!#REF!</definedName>
    <definedName name="__123Graph_A" hidden="1">[2]SALES!#REF!</definedName>
    <definedName name="__123Graph_ABUD" localSheetId="4" hidden="1">[3]EXP!#REF!</definedName>
    <definedName name="__123Graph_ABUD" hidden="1">[3]EXP!#REF!</definedName>
    <definedName name="__123Graph_ADM" hidden="1">[1]JAN!$C$46:$C$50</definedName>
    <definedName name="__123Graph_ADY" hidden="1">[1]JAN!$H$46:$H$50</definedName>
    <definedName name="__123Graph_AMONTH" localSheetId="4" hidden="1">[4]SALES!#REF!</definedName>
    <definedName name="__123Graph_AMONTH" hidden="1">[4]SALES!#REF!</definedName>
    <definedName name="__123Graph_ATREND" localSheetId="4" hidden="1">[4]SALES!#REF!</definedName>
    <definedName name="__123Graph_ATREND" hidden="1">[4]SALES!#REF!</definedName>
    <definedName name="__123Graph_AYEAR" localSheetId="4" hidden="1">[4]SALES!#REF!</definedName>
    <definedName name="__123Graph_AYEAR" hidden="1">[4]SALES!#REF!</definedName>
    <definedName name="__123Graph_AYTD" localSheetId="4" hidden="1">[3]EXP!#REF!</definedName>
    <definedName name="__123Graph_AYTD" hidden="1">[3]EXP!#REF!</definedName>
    <definedName name="__123Graph_B" hidden="1">[1]JAN!$D$46:$D$50</definedName>
    <definedName name="__123Graph_BDM" hidden="1">[1]JAN!$C$46:$C$50</definedName>
    <definedName name="__123Graph_BMONTH" localSheetId="4" hidden="1">[4]SALES!#REF!</definedName>
    <definedName name="__123Graph_BMONTH" hidden="1">[4]SALES!#REF!</definedName>
    <definedName name="__123Graph_BTREND" localSheetId="4" hidden="1">[4]SALES!#REF!</definedName>
    <definedName name="__123Graph_BTREND" hidden="1">[4]SALES!#REF!</definedName>
    <definedName name="__123Graph_BYEAR" localSheetId="4" hidden="1">[4]SALES!#REF!</definedName>
    <definedName name="__123Graph_BYEAR" hidden="1">[4]SALES!#REF!</definedName>
    <definedName name="__123Graph_D" localSheetId="4" hidden="1">[2]SALES!#REF!</definedName>
    <definedName name="__123Graph_D" hidden="1">[2]SALES!#REF!</definedName>
    <definedName name="__123Graph_LBL_A" localSheetId="4" hidden="1">[4]SALES!#REF!</definedName>
    <definedName name="__123Graph_LBL_A" hidden="1">[4]SALES!#REF!</definedName>
    <definedName name="__123Graph_LBL_AMONTH" localSheetId="4" hidden="1">[4]SALES!#REF!</definedName>
    <definedName name="__123Graph_LBL_AMONTH" hidden="1">[4]SALES!#REF!</definedName>
    <definedName name="__123Graph_LBL_ATREND" localSheetId="4" hidden="1">[4]SALES!#REF!</definedName>
    <definedName name="__123Graph_LBL_ATREND" hidden="1">[4]SALES!#REF!</definedName>
    <definedName name="__123Graph_LBL_AYEAR" localSheetId="4" hidden="1">[4]SALES!#REF!</definedName>
    <definedName name="__123Graph_LBL_AYEAR" hidden="1">[4]SALES!#REF!</definedName>
    <definedName name="__123Graph_LBL_B" localSheetId="4" hidden="1">[4]SALES!#REF!</definedName>
    <definedName name="__123Graph_LBL_B" hidden="1">[4]SALES!#REF!</definedName>
    <definedName name="__123Graph_LBL_BMONTH" localSheetId="4" hidden="1">[4]SALES!#REF!</definedName>
    <definedName name="__123Graph_LBL_BMONTH" hidden="1">[4]SALES!#REF!</definedName>
    <definedName name="__123Graph_LBL_BTREND" localSheetId="4" hidden="1">[4]SALES!#REF!</definedName>
    <definedName name="__123Graph_LBL_BTREND" hidden="1">[4]SALES!#REF!</definedName>
    <definedName name="__123Graph_LBL_BYEAR" localSheetId="4" hidden="1">[4]SALES!#REF!</definedName>
    <definedName name="__123Graph_LBL_BYEAR" hidden="1">[4]SALES!#REF!</definedName>
    <definedName name="__123Graph_X" hidden="1">[1]JAN!$B$46:$B$50</definedName>
    <definedName name="__123Graph_XBUD" localSheetId="4" hidden="1">[3]EXP!#REF!</definedName>
    <definedName name="__123Graph_XBUD" hidden="1">[3]EXP!#REF!</definedName>
    <definedName name="__123Graph_XDM" hidden="1">[1]JAN!$B$46:$B$50</definedName>
    <definedName name="__123Graph_XDY" hidden="1">[1]JAN!$B$46:$B$50</definedName>
    <definedName name="__123Graph_XMONTH" localSheetId="4" hidden="1">[4]SALES!#REF!</definedName>
    <definedName name="__123Graph_XMONTH" hidden="1">[4]SALES!#REF!</definedName>
    <definedName name="__123Graph_XTREND" localSheetId="4" hidden="1">[4]SALES!#REF!</definedName>
    <definedName name="__123Graph_XTREND" hidden="1">[4]SALES!#REF!</definedName>
    <definedName name="__123Graph_XYEAR" localSheetId="4" hidden="1">[4]SALES!#REF!</definedName>
    <definedName name="__123Graph_XYEAR" hidden="1">[4]SALES!#REF!</definedName>
    <definedName name="__123Graph_XYTD" localSheetId="4" hidden="1">[3]EXP!#REF!</definedName>
    <definedName name="__123Graph_XYTD" hidden="1">[3]EXP!#REF!</definedName>
    <definedName name="_1" localSheetId="4">#REF!</definedName>
    <definedName name="_1">#REF!</definedName>
    <definedName name="_1__123Graph_AMKT_MONTH" localSheetId="4" hidden="1">[4]SALES!#REF!</definedName>
    <definedName name="_1__123Graph_AMKT_MONTH" hidden="1">[4]SALES!#REF!</definedName>
    <definedName name="_10">#N/A</definedName>
    <definedName name="_10__123Graph_XMKT_YTD" localSheetId="4" hidden="1">[4]SALES!#REF!</definedName>
    <definedName name="_10__123Graph_XMKT_YTD" hidden="1">[4]SALES!#REF!</definedName>
    <definedName name="_11">#N/A</definedName>
    <definedName name="_12">#N/A</definedName>
    <definedName name="_13">#N/A</definedName>
    <definedName name="_14">#N/A</definedName>
    <definedName name="_15">#N/A</definedName>
    <definedName name="_16">#N/A</definedName>
    <definedName name="_17">#N/A</definedName>
    <definedName name="_18">#N/A</definedName>
    <definedName name="_19">#N/A</definedName>
    <definedName name="_1A" localSheetId="4">#REF!</definedName>
    <definedName name="_1A">#REF!</definedName>
    <definedName name="_1F" localSheetId="4">#REF!</definedName>
    <definedName name="_1F">#REF!</definedName>
    <definedName name="_1NR" localSheetId="4">#REF!</definedName>
    <definedName name="_1NR">#REF!</definedName>
    <definedName name="_1S" localSheetId="4">#REF!</definedName>
    <definedName name="_1S">#REF!</definedName>
    <definedName name="_2" localSheetId="4">#REF!</definedName>
    <definedName name="_2">#REF!</definedName>
    <definedName name="_2__123Graph_AMKT_YTD" localSheetId="4" hidden="1">[4]SALES!#REF!</definedName>
    <definedName name="_2__123Graph_AMKT_YTD" hidden="1">[4]SALES!#REF!</definedName>
    <definedName name="_20">#N/A</definedName>
    <definedName name="_21">#N/A</definedName>
    <definedName name="_22">#N/A</definedName>
    <definedName name="_2A" localSheetId="4">#REF!</definedName>
    <definedName name="_2A">#REF!</definedName>
    <definedName name="_2F" localSheetId="4">#REF!</definedName>
    <definedName name="_2F">#REF!</definedName>
    <definedName name="_2S" localSheetId="4">#REF!</definedName>
    <definedName name="_2S">#REF!</definedName>
    <definedName name="_3">#N/A</definedName>
    <definedName name="_3__123Graph_BMKT_MONTH" localSheetId="4" hidden="1">[4]SALES!#REF!</definedName>
    <definedName name="_3__123Graph_BMKT_MONTH" hidden="1">[4]SALES!#REF!</definedName>
    <definedName name="_3A" localSheetId="4">#REF!</definedName>
    <definedName name="_3A">#REF!</definedName>
    <definedName name="_3S" localSheetId="4">#REF!</definedName>
    <definedName name="_3S">#REF!</definedName>
    <definedName name="_4">#N/A</definedName>
    <definedName name="_4__123Graph_BMKT_YTD" localSheetId="4" hidden="1">[4]SALES!#REF!</definedName>
    <definedName name="_4__123Graph_BMKT_YTD" hidden="1">[4]SALES!#REF!</definedName>
    <definedName name="_4A" localSheetId="4">#REF!</definedName>
    <definedName name="_4A">#REF!</definedName>
    <definedName name="_4S" localSheetId="4">#REF!</definedName>
    <definedName name="_4S">#REF!</definedName>
    <definedName name="_5">#N/A</definedName>
    <definedName name="_5__123Graph_LBL_AMKT_MONTH" localSheetId="4" hidden="1">[4]SALES!#REF!</definedName>
    <definedName name="_5__123Graph_LBL_AMKT_MONTH" hidden="1">[4]SALES!#REF!</definedName>
    <definedName name="_5A" localSheetId="4">#REF!</definedName>
    <definedName name="_5A">#REF!</definedName>
    <definedName name="_5S" localSheetId="4">#REF!</definedName>
    <definedName name="_5S">#REF!</definedName>
    <definedName name="_6">#N/A</definedName>
    <definedName name="_6__123Graph_LBL_AMKT_YTD" localSheetId="4" hidden="1">[4]SALES!#REF!</definedName>
    <definedName name="_6__123Graph_LBL_AMKT_YTD" hidden="1">[4]SALES!#REF!</definedName>
    <definedName name="_7">#N/A</definedName>
    <definedName name="_7__123Graph_LBL_BMKT_MONTH" localSheetId="4" hidden="1">[4]SALES!#REF!</definedName>
    <definedName name="_7__123Graph_LBL_BMKT_MONTH" hidden="1">[4]SALES!#REF!</definedName>
    <definedName name="_8">#N/A</definedName>
    <definedName name="_8__123Graph_LBL_BMKT_YTD" localSheetId="4" hidden="1">[4]SALES!#REF!</definedName>
    <definedName name="_8__123Graph_LBL_BMKT_YTD" hidden="1">[4]SALES!#REF!</definedName>
    <definedName name="_9">#N/A</definedName>
    <definedName name="_9__123Graph_XMKT_MONTH" localSheetId="4" hidden="1">[4]SALES!#REF!</definedName>
    <definedName name="_9__123Graph_XMKT_MONTH" hidden="1">[4]SALES!#REF!</definedName>
    <definedName name="_ALL1" localSheetId="4">#REF!</definedName>
    <definedName name="_ALL1">#REF!</definedName>
    <definedName name="_Fill" localSheetId="4" hidden="1">#REF!</definedName>
    <definedName name="_Fill" hidden="1">#REF!</definedName>
    <definedName name="_Key1" localSheetId="4" hidden="1">#REF!</definedName>
    <definedName name="_Key1" hidden="1">#REF!</definedName>
    <definedName name="_Key2" localSheetId="4" hidden="1">[5]PROD!#REF!</definedName>
    <definedName name="_Key2" hidden="1">[5]PROD!#REF!</definedName>
    <definedName name="_Order1" hidden="1">255</definedName>
    <definedName name="_Order2" hidden="1">255</definedName>
    <definedName name="_RIL1" localSheetId="4">#REF!</definedName>
    <definedName name="_RIL1">#REF!</definedName>
    <definedName name="_Sort" localSheetId="4" hidden="1">#REF!</definedName>
    <definedName name="_Sort" hidden="1">#REF!</definedName>
    <definedName name="A" localSheetId="4">#REF!</definedName>
    <definedName name="A">#REF!</definedName>
    <definedName name="AACTP" localSheetId="4">#REF!</definedName>
    <definedName name="AACTP">#REF!</definedName>
    <definedName name="AB" localSheetId="4">'[6]VISION 2000'!#REF!</definedName>
    <definedName name="AB">'[6]VISION 2000'!#REF!</definedName>
    <definedName name="ABLE">'[7]VISION 2000'!$B$115</definedName>
    <definedName name="ACCUMLEAVE">#N/A</definedName>
    <definedName name="ACT" localSheetId="4">#REF!</definedName>
    <definedName name="ACT">#REF!</definedName>
    <definedName name="ACTP" localSheetId="4">#REF!</definedName>
    <definedName name="ACTP">#REF!</definedName>
    <definedName name="ad" localSheetId="4">#REF!</definedName>
    <definedName name="ad">#REF!</definedName>
    <definedName name="ALL" localSheetId="4" hidden="1">[2]SALES!#REF!</definedName>
    <definedName name="ALL" hidden="1">[2]SALES!#REF!</definedName>
    <definedName name="ALLG" localSheetId="4">#REF!</definedName>
    <definedName name="ALLG">#REF!</definedName>
    <definedName name="ALLGROUPS" localSheetId="4" hidden="1">[2]SALES!#REF!</definedName>
    <definedName name="ALLGROUPS" hidden="1">[2]SALES!#REF!</definedName>
    <definedName name="ALW_CASH">#N/A</definedName>
    <definedName name="ALW_FOOD">#N/A</definedName>
    <definedName name="ALW_HOUSE">#N/A</definedName>
    <definedName name="ALW_TRANSP">#N/A</definedName>
    <definedName name="ANNUALEAVE">#N/A</definedName>
    <definedName name="APPROVAL">#N/A</definedName>
    <definedName name="asd" localSheetId="4">#REF!</definedName>
    <definedName name="asd">#REF!</definedName>
    <definedName name="ATTEND">#N/A</definedName>
    <definedName name="B" localSheetId="4">#REF!</definedName>
    <definedName name="B">#REF!</definedName>
    <definedName name="Base_Year">[8]Assumptions!$B$10</definedName>
    <definedName name="BASIC">#N/A</definedName>
    <definedName name="bbcpen" localSheetId="4">'[9]Product Costs'!#REF!</definedName>
    <definedName name="bbcpen">'[9]Product Costs'!#REF!</definedName>
    <definedName name="bbergpen" localSheetId="4">'[9]Product Costs'!#REF!</definedName>
    <definedName name="bbergpen">'[9]Product Costs'!#REF!</definedName>
    <definedName name="BU" localSheetId="4">#REF!</definedName>
    <definedName name="BU">#REF!</definedName>
    <definedName name="BUD" localSheetId="4">#REF!</definedName>
    <definedName name="BUD">#REF!</definedName>
    <definedName name="BUDGET" localSheetId="4">#REF!</definedName>
    <definedName name="BUDGET">#REF!</definedName>
    <definedName name="BUDP" localSheetId="4">#REF!</definedName>
    <definedName name="BUDP">#REF!</definedName>
    <definedName name="BUUDP" localSheetId="4">#REF!</definedName>
    <definedName name="BUUDP">#REF!</definedName>
    <definedName name="C_" localSheetId="4">#REF!</definedName>
    <definedName name="C_">#REF!</definedName>
    <definedName name="CENTRE">#N/A</definedName>
    <definedName name="CIVILDATE">#N/A</definedName>
    <definedName name="CIVILEXPIR">#N/A</definedName>
    <definedName name="CIVILID">#N/A</definedName>
    <definedName name="CUSTNAME" localSheetId="4">#REF!</definedName>
    <definedName name="CUSTNAME">#REF!</definedName>
    <definedName name="CUSTNO" localSheetId="4">#REF!</definedName>
    <definedName name="CUSTNO">#REF!</definedName>
    <definedName name="Custom_Rate" localSheetId="4">[10]Parameters!#REF!</definedName>
    <definedName name="Custom_Rate">[10]Parameters!#REF!</definedName>
    <definedName name="d" localSheetId="4">'[11]VISION 2000'!#REF!</definedName>
    <definedName name="d">'[11]VISION 2000'!#REF!</definedName>
    <definedName name="_xlnm.Database" localSheetId="4">#REF!</definedName>
    <definedName name="_xlnm.Database">#REF!</definedName>
    <definedName name="DAYS">#N/A</definedName>
    <definedName name="DAYS120" localSheetId="4">#REF!</definedName>
    <definedName name="DAYS120">#REF!</definedName>
    <definedName name="DAYS30" localSheetId="4">#REF!</definedName>
    <definedName name="DAYS30">#REF!</definedName>
    <definedName name="DAYS60" localSheetId="4">#REF!</definedName>
    <definedName name="DAYS60">#REF!</definedName>
    <definedName name="DAYS90" localSheetId="4">#REF!</definedName>
    <definedName name="DAYS90">#REF!</definedName>
    <definedName name="DI" localSheetId="4">#REF!</definedName>
    <definedName name="DI">#REF!</definedName>
    <definedName name="dispen" localSheetId="4">'[9]Product Costs'!#REF!</definedName>
    <definedName name="dispen">'[9]Product Costs'!#REF!</definedName>
    <definedName name="DIV" localSheetId="4">#REF!</definedName>
    <definedName name="DIV">#REF!</definedName>
    <definedName name="DIVI" localSheetId="4">#REF!</definedName>
    <definedName name="DIVI">#REF!</definedName>
    <definedName name="DIVISION">#N/A</definedName>
    <definedName name="e" localSheetId="4">#REF!</definedName>
    <definedName name="e">#REF!</definedName>
    <definedName name="ENTRYDATE">#N/A</definedName>
    <definedName name="EXPS" localSheetId="4">#REF!</definedName>
    <definedName name="EXPS">#REF!</definedName>
    <definedName name="F" localSheetId="4">#REF!</definedName>
    <definedName name="F">#REF!</definedName>
    <definedName name="F_DATE">#N/A</definedName>
    <definedName name="FIN" localSheetId="4">#REF!</definedName>
    <definedName name="FIN">#REF!</definedName>
    <definedName name="FINA" localSheetId="4">#REF!</definedName>
    <definedName name="FINA">#REF!</definedName>
    <definedName name="FINANCE" localSheetId="4">#REF!</definedName>
    <definedName name="FINANCE">#REF!</definedName>
    <definedName name="FINN" localSheetId="4">#REF!</definedName>
    <definedName name="FINN">#REF!</definedName>
    <definedName name="FREIGHT" localSheetId="4">#REF!</definedName>
    <definedName name="FREIGHT">#REF!</definedName>
    <definedName name="FTC">#N/A</definedName>
    <definedName name="g" localSheetId="4">#REF!</definedName>
    <definedName name="g">#REF!</definedName>
    <definedName name="gf">'[12]1-OBJ98 '!$A$1:$IV$3</definedName>
    <definedName name="GRADE">#N/A</definedName>
    <definedName name="GROUP">#N/A</definedName>
    <definedName name="h" localSheetId="4">#REF!</definedName>
    <definedName name="h">#REF!</definedName>
    <definedName name="hj" localSheetId="4">#REF!</definedName>
    <definedName name="hj">#REF!</definedName>
    <definedName name="i" localSheetId="4">#REF!</definedName>
    <definedName name="i">#REF!</definedName>
    <definedName name="Interconnect_Paid_Rate">#N/A</definedName>
    <definedName name="j">'[12]1-OBJ98 '!$A$1:$IV$3</definedName>
    <definedName name="JOB">#N/A</definedName>
    <definedName name="JOINDATE">#N/A</definedName>
    <definedName name="K">'[13]1-OBJ98 '!$A$1:$IV$3</definedName>
    <definedName name="KD_rate" localSheetId="4">'[14]Pricing &amp; Profits per Sector'!#REF!</definedName>
    <definedName name="KD_rate">'[14]Pricing &amp; Profits per Sector'!#REF!</definedName>
    <definedName name="L" localSheetId="4">#REF!</definedName>
    <definedName name="L">#REF!</definedName>
    <definedName name="LASTINCRDT">#N/A</definedName>
    <definedName name="LASTINCREM">#N/A</definedName>
    <definedName name="LASTRESUME">#N/A</definedName>
    <definedName name="LBL" localSheetId="4" hidden="1">[15]SALES!#REF!</definedName>
    <definedName name="LBL" hidden="1">[15]SALES!#REF!</definedName>
    <definedName name="LEAVEAVAIL">#N/A</definedName>
    <definedName name="M" localSheetId="4" hidden="1">[2]SALES!#REF!</definedName>
    <definedName name="M" hidden="1">[2]SALES!#REF!</definedName>
    <definedName name="MECH">#N/A</definedName>
    <definedName name="MECHANIC">#N/A</definedName>
    <definedName name="MGMT" localSheetId="4">#REF!</definedName>
    <definedName name="MGMT">#REF!</definedName>
    <definedName name="MGMT1" localSheetId="4" hidden="1">[2]SALES!#REF!</definedName>
    <definedName name="MGMT1" hidden="1">[2]SALES!#REF!</definedName>
    <definedName name="MMM">[1]JAN!$AQ$5</definedName>
    <definedName name="MTH">#N/A</definedName>
    <definedName name="mtvpen" localSheetId="4">'[9]Product Costs'!#REF!</definedName>
    <definedName name="mtvpen">'[9]Product Costs'!#REF!</definedName>
    <definedName name="MUFFIGRAPH" hidden="1">[1]JAN!$B$46:$B$50</definedName>
    <definedName name="n" localSheetId="4">#REF!</definedName>
    <definedName name="n">#REF!</definedName>
    <definedName name="NA" localSheetId="4">#REF!</definedName>
    <definedName name="NA">#REF!</definedName>
    <definedName name="NAME">#N/A</definedName>
    <definedName name="NATIONALIT">#N/A</definedName>
    <definedName name="NOTDUE" localSheetId="4">#REF!</definedName>
    <definedName name="NOTDUE">#REF!</definedName>
    <definedName name="OVER120" localSheetId="4">#REF!</definedName>
    <definedName name="OVER120">#REF!</definedName>
    <definedName name="p" localSheetId="4">#REF!</definedName>
    <definedName name="p">#REF!</definedName>
    <definedName name="PASS_DATE">#N/A</definedName>
    <definedName name="PASS_EXPIR">#N/A</definedName>
    <definedName name="PASSPORT">#N/A</definedName>
    <definedName name="PFNO">#N/A</definedName>
    <definedName name="_xlnm.Print_Area" localSheetId="1">BS!$A$1:$J$33</definedName>
    <definedName name="_xlnm.Print_Area" localSheetId="2">CFS!$A$1:$J$54</definedName>
    <definedName name="_xlnm.Print_Area" localSheetId="0">INC!$A$1:$J$42</definedName>
    <definedName name="_xlnm.Print_Area">'[7]1-OBJ98 '!$A$4:$G$38</definedName>
    <definedName name="PRINT_AREA_MI">'[7]1-OBJ98 '!$A$4:$G$38</definedName>
    <definedName name="_xlnm.Print_Titles">'[7]1-OBJ98 '!$A$1:$IV$3</definedName>
    <definedName name="PRINT_TITLES_MI" localSheetId="4">'[16]CONTRN BY DISTRICT'!#REF!</definedName>
    <definedName name="PRINT_TITLES_MI">'[16]CONTRN BY DISTRICT'!#REF!</definedName>
    <definedName name="PRN" localSheetId="4">#REF!</definedName>
    <definedName name="PRN">#REF!</definedName>
    <definedName name="PTM" localSheetId="4">'[17]CONTRN BY DISTRICT'!#REF!</definedName>
    <definedName name="PTM">'[17]CONTRN BY DISTRICT'!#REF!</definedName>
    <definedName name="ptpen" localSheetId="4">'[9]Product Costs'!#REF!</definedName>
    <definedName name="ptpen">'[9]Product Costs'!#REF!</definedName>
    <definedName name="Q">[1]JAN!$AQ$5</definedName>
    <definedName name="R_">#N/A</definedName>
    <definedName name="RIL" localSheetId="4">#REF!</definedName>
    <definedName name="RIL">#REF!</definedName>
    <definedName name="s" localSheetId="4">#REF!</definedName>
    <definedName name="s">#REF!</definedName>
    <definedName name="SALES">#N/A</definedName>
    <definedName name="share_price">[18]dcf!$C$9</definedName>
    <definedName name="shares_on_issue">[18]dcf!$C$73</definedName>
    <definedName name="SLSP">#N/A</definedName>
    <definedName name="SWS" hidden="1">[1]JAN!$D$46:$D$50</definedName>
    <definedName name="t" localSheetId="4">#REF!</definedName>
    <definedName name="t">#REF!</definedName>
    <definedName name="T_DATE">#N/A</definedName>
    <definedName name="TBL">#N/A</definedName>
    <definedName name="TEAM">#N/A</definedName>
    <definedName name="tmcpen" localSheetId="4">'[9]Product Costs'!#REF!</definedName>
    <definedName name="tmcpen">'[9]Product Costs'!#REF!</definedName>
    <definedName name="TOT_SAL">#N/A</definedName>
    <definedName name="TOTAL" localSheetId="4">#REF!</definedName>
    <definedName name="TOTAL">#REF!</definedName>
    <definedName name="u">'[12]1-OBJ98 '!$A$1:$IV$3</definedName>
    <definedName name="UNALCREDIT" localSheetId="4">#REF!</definedName>
    <definedName name="UNALCREDIT">#REF!</definedName>
    <definedName name="UTIL">#N/A</definedName>
    <definedName name="v" localSheetId="4">#REF!</definedName>
    <definedName name="v">#REF!</definedName>
    <definedName name="vh1pen" localSheetId="4">'[9]Product Costs'!#REF!</definedName>
    <definedName name="vh1pen">'[9]Product Costs'!#REF!</definedName>
    <definedName name="VISADATE">#N/A</definedName>
    <definedName name="VISAEXPIRY">#N/A</definedName>
    <definedName name="VISANUMBER">#N/A</definedName>
    <definedName name="wrn.Sensitivity." hidden="1">{#N/A,#N/A,FALSE,"Sensitivity"}</definedName>
    <definedName name="X">#N/A</definedName>
    <definedName name="z" localSheetId="4">#REF!</definedName>
    <definedName name="z">#REF!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13" l="1"/>
  <c r="J15" i="13"/>
  <c r="I15" i="13"/>
  <c r="H15" i="13"/>
  <c r="G15" i="13"/>
  <c r="F15" i="13"/>
  <c r="J31" i="13"/>
  <c r="I31" i="13"/>
  <c r="H31" i="13"/>
  <c r="G31" i="13"/>
  <c r="J25" i="13"/>
  <c r="I25" i="13"/>
  <c r="H25" i="13"/>
  <c r="G25" i="13"/>
  <c r="F25" i="13"/>
  <c r="F31" i="13"/>
  <c r="J30" i="13"/>
  <c r="I30" i="13"/>
  <c r="H30" i="13"/>
  <c r="G30" i="13"/>
  <c r="F30" i="13"/>
  <c r="J47" i="5"/>
  <c r="I47" i="5"/>
  <c r="H47" i="5"/>
  <c r="G47" i="5"/>
  <c r="F47" i="5"/>
  <c r="J29" i="13"/>
  <c r="I29" i="13"/>
  <c r="H29" i="13"/>
  <c r="G29" i="13"/>
  <c r="F29" i="13"/>
  <c r="J28" i="13"/>
  <c r="I28" i="13"/>
  <c r="H28" i="13"/>
  <c r="G28" i="13"/>
  <c r="F28" i="13"/>
  <c r="J27" i="13"/>
  <c r="I27" i="13"/>
  <c r="H27" i="13"/>
  <c r="G27" i="13"/>
  <c r="F27" i="13"/>
  <c r="J26" i="13"/>
  <c r="I26" i="13"/>
  <c r="H26" i="13"/>
  <c r="G26" i="13"/>
  <c r="F26" i="13"/>
  <c r="J24" i="13"/>
  <c r="I24" i="13"/>
  <c r="H24" i="13"/>
  <c r="G24" i="13"/>
  <c r="F24" i="13"/>
  <c r="J23" i="13"/>
  <c r="I23" i="13"/>
  <c r="H23" i="13"/>
  <c r="G23" i="13"/>
  <c r="F23" i="13"/>
  <c r="J21" i="13"/>
  <c r="J35" i="13" s="1"/>
  <c r="I21" i="13"/>
  <c r="H21" i="13"/>
  <c r="G21" i="13"/>
  <c r="J20" i="13"/>
  <c r="I20" i="13"/>
  <c r="H20" i="13"/>
  <c r="G20" i="13"/>
  <c r="J19" i="13"/>
  <c r="I19" i="13"/>
  <c r="H19" i="13"/>
  <c r="G19" i="13"/>
  <c r="J18" i="13"/>
  <c r="I18" i="13"/>
  <c r="H18" i="13"/>
  <c r="G18" i="13"/>
  <c r="J17" i="13"/>
  <c r="I17" i="13"/>
  <c r="H17" i="13"/>
  <c r="G17" i="13"/>
  <c r="F16" i="13"/>
  <c r="J16" i="13"/>
  <c r="I16" i="13"/>
  <c r="H16" i="13"/>
  <c r="G16" i="13"/>
  <c r="J14" i="13"/>
  <c r="I14" i="13"/>
  <c r="H14" i="13"/>
  <c r="G14" i="13"/>
  <c r="H13" i="13"/>
  <c r="I13" i="13" s="1"/>
  <c r="J13" i="13" s="1"/>
  <c r="G13" i="13"/>
  <c r="F18" i="13"/>
  <c r="F17" i="13"/>
  <c r="B11" i="13"/>
  <c r="F14" i="13"/>
  <c r="F13" i="13"/>
  <c r="F11" i="12"/>
  <c r="J11" i="12"/>
  <c r="I11" i="12"/>
  <c r="H11" i="12"/>
  <c r="G11" i="12"/>
  <c r="G16" i="12"/>
  <c r="J18" i="12"/>
  <c r="I18" i="12"/>
  <c r="H18" i="12"/>
  <c r="G18" i="12"/>
  <c r="J17" i="12"/>
  <c r="I17" i="12"/>
  <c r="H17" i="12"/>
  <c r="G17" i="12"/>
  <c r="J16" i="12"/>
  <c r="I16" i="12"/>
  <c r="H16" i="12"/>
  <c r="J15" i="12"/>
  <c r="I15" i="12"/>
  <c r="H15" i="12"/>
  <c r="G15" i="12"/>
  <c r="J14" i="12"/>
  <c r="I14" i="12"/>
  <c r="H14" i="12"/>
  <c r="G14" i="12"/>
  <c r="F18" i="12"/>
  <c r="F17" i="12"/>
  <c r="F16" i="12"/>
  <c r="F15" i="12"/>
  <c r="F14" i="12"/>
  <c r="J13" i="12"/>
  <c r="I13" i="12"/>
  <c r="H13" i="12"/>
  <c r="G13" i="12"/>
  <c r="J12" i="12"/>
  <c r="I12" i="12"/>
  <c r="H12" i="12"/>
  <c r="G12" i="12"/>
  <c r="J10" i="12"/>
  <c r="I10" i="12"/>
  <c r="H10" i="12"/>
  <c r="G10" i="12"/>
  <c r="J9" i="12"/>
  <c r="I9" i="12"/>
  <c r="H9" i="12"/>
  <c r="G9" i="12"/>
  <c r="F13" i="12"/>
  <c r="F12" i="12"/>
  <c r="F10" i="12"/>
  <c r="F9" i="12"/>
  <c r="J8" i="12"/>
  <c r="I8" i="12"/>
  <c r="H8" i="12"/>
  <c r="G8" i="12"/>
  <c r="F8" i="12"/>
  <c r="J7" i="12"/>
  <c r="I7" i="12"/>
  <c r="H7" i="12"/>
  <c r="G7" i="12"/>
  <c r="F7" i="12"/>
  <c r="J6" i="12"/>
  <c r="I6" i="12"/>
  <c r="H6" i="12"/>
  <c r="G6" i="12"/>
  <c r="F6" i="12"/>
  <c r="J32" i="5"/>
  <c r="I32" i="5"/>
  <c r="H32" i="5"/>
  <c r="G32" i="5"/>
  <c r="F32" i="5"/>
  <c r="F41" i="5"/>
  <c r="J31" i="5"/>
  <c r="I31" i="5"/>
  <c r="H31" i="5"/>
  <c r="G31" i="5"/>
  <c r="F30" i="5"/>
  <c r="J15" i="5"/>
  <c r="I15" i="5"/>
  <c r="H15" i="5"/>
  <c r="G15" i="5"/>
  <c r="F15" i="5"/>
  <c r="J14" i="5"/>
  <c r="I14" i="5"/>
  <c r="H14" i="5"/>
  <c r="G14" i="5"/>
  <c r="F14" i="5"/>
  <c r="J11" i="5"/>
  <c r="I11" i="5"/>
  <c r="H11" i="5"/>
  <c r="G11" i="5"/>
  <c r="F11" i="5"/>
  <c r="J13" i="5"/>
  <c r="I13" i="5"/>
  <c r="H13" i="5"/>
  <c r="G13" i="5"/>
  <c r="F13" i="5"/>
  <c r="J12" i="5"/>
  <c r="I12" i="5"/>
  <c r="H12" i="5"/>
  <c r="G12" i="5"/>
  <c r="F12" i="5"/>
  <c r="J10" i="5"/>
  <c r="I10" i="5"/>
  <c r="J9" i="5"/>
  <c r="I9" i="5"/>
  <c r="H9" i="5"/>
  <c r="G9" i="5"/>
  <c r="F9" i="5"/>
  <c r="J8" i="5"/>
  <c r="I8" i="5"/>
  <c r="H8" i="5"/>
  <c r="G8" i="5"/>
  <c r="F8" i="5"/>
  <c r="J7" i="5"/>
  <c r="I7" i="5"/>
  <c r="H7" i="5"/>
  <c r="G7" i="5"/>
  <c r="F7" i="5"/>
  <c r="J28" i="4"/>
  <c r="I28" i="4"/>
  <c r="H28" i="4"/>
  <c r="G28" i="4"/>
  <c r="F28" i="4"/>
  <c r="G46" i="4"/>
  <c r="H46" i="4" s="1"/>
  <c r="I46" i="4" s="1"/>
  <c r="J46" i="4" s="1"/>
  <c r="F46" i="4"/>
  <c r="E46" i="4"/>
  <c r="D46" i="4"/>
  <c r="J25" i="4"/>
  <c r="I25" i="4"/>
  <c r="G25" i="4"/>
  <c r="H25" i="4" s="1"/>
  <c r="F25" i="4"/>
  <c r="G24" i="4"/>
  <c r="H24" i="4" s="1"/>
  <c r="I24" i="4" s="1"/>
  <c r="J24" i="4" s="1"/>
  <c r="F24" i="4"/>
  <c r="G23" i="4"/>
  <c r="I23" i="4" s="1"/>
  <c r="J23" i="4" s="1"/>
  <c r="F23" i="4"/>
  <c r="J22" i="4"/>
  <c r="I22" i="4"/>
  <c r="H22" i="4"/>
  <c r="G22" i="4"/>
  <c r="F22" i="4"/>
  <c r="G45" i="4"/>
  <c r="H45" i="4" s="1"/>
  <c r="I45" i="4" s="1"/>
  <c r="J45" i="4" s="1"/>
  <c r="F45" i="4"/>
  <c r="E45" i="4"/>
  <c r="D45" i="4"/>
  <c r="J44" i="4"/>
  <c r="I44" i="4"/>
  <c r="H44" i="4"/>
  <c r="G44" i="4"/>
  <c r="J19" i="4"/>
  <c r="I19" i="4"/>
  <c r="H19" i="4"/>
  <c r="G19" i="4"/>
  <c r="F19" i="4"/>
  <c r="G43" i="4"/>
  <c r="H43" i="4" s="1"/>
  <c r="I43" i="4" s="1"/>
  <c r="J43" i="4" s="1"/>
  <c r="F43" i="4"/>
  <c r="E43" i="4"/>
  <c r="D43" i="4"/>
  <c r="J18" i="4"/>
  <c r="I18" i="4"/>
  <c r="H18" i="4"/>
  <c r="G18" i="4"/>
  <c r="F18" i="4"/>
  <c r="G42" i="4"/>
  <c r="H42" i="4" s="1"/>
  <c r="I42" i="4" s="1"/>
  <c r="J42" i="4" s="1"/>
  <c r="F42" i="4"/>
  <c r="E42" i="4"/>
  <c r="D42" i="4"/>
  <c r="J14" i="4"/>
  <c r="I14" i="4"/>
  <c r="H14" i="4"/>
  <c r="G14" i="4"/>
  <c r="F14" i="4"/>
  <c r="G41" i="4"/>
  <c r="H41" i="4" s="1"/>
  <c r="I41" i="4" s="1"/>
  <c r="J41" i="4" s="1"/>
  <c r="E41" i="4"/>
  <c r="F41" i="4" s="1"/>
  <c r="D41" i="4"/>
  <c r="G13" i="4"/>
  <c r="H13" i="4" s="1"/>
  <c r="I13" i="4" s="1"/>
  <c r="J13" i="4" s="1"/>
  <c r="F13" i="4"/>
  <c r="F40" i="4"/>
  <c r="E40" i="4"/>
  <c r="D40" i="4"/>
  <c r="F12" i="4"/>
  <c r="J9" i="4"/>
  <c r="I9" i="4"/>
  <c r="H9" i="4"/>
  <c r="G9" i="4"/>
  <c r="F9" i="4"/>
  <c r="J8" i="4"/>
  <c r="I8" i="4"/>
  <c r="H8" i="4"/>
  <c r="G8" i="4"/>
  <c r="F8" i="4"/>
  <c r="G39" i="4"/>
  <c r="H39" i="4" s="1"/>
  <c r="I39" i="4" s="1"/>
  <c r="J39" i="4" s="1"/>
  <c r="F39" i="4"/>
  <c r="G38" i="4"/>
  <c r="H38" i="4" s="1"/>
  <c r="I38" i="4" s="1"/>
  <c r="J38" i="4" s="1"/>
  <c r="F38" i="4"/>
  <c r="E39" i="4"/>
  <c r="D39" i="4"/>
  <c r="E38" i="4"/>
  <c r="D38" i="4"/>
  <c r="J7" i="4"/>
  <c r="I7" i="4"/>
  <c r="H7" i="4"/>
  <c r="G7" i="4"/>
  <c r="F7" i="4"/>
  <c r="G37" i="4"/>
  <c r="H37" i="4" s="1"/>
  <c r="I37" i="4" s="1"/>
  <c r="J37" i="4" s="1"/>
  <c r="F37" i="4"/>
  <c r="E37" i="4"/>
  <c r="D37" i="4"/>
  <c r="F54" i="1"/>
  <c r="F22" i="1"/>
  <c r="F20" i="1"/>
  <c r="F18" i="1"/>
  <c r="F53" i="1"/>
  <c r="F51" i="1"/>
  <c r="F49" i="1"/>
  <c r="G48" i="1"/>
  <c r="G18" i="1" s="1"/>
  <c r="F48" i="1"/>
  <c r="F46" i="1"/>
  <c r="J44" i="1"/>
  <c r="I44" i="1"/>
  <c r="H44" i="1"/>
  <c r="G44" i="1"/>
  <c r="F44" i="1"/>
  <c r="F14" i="1" s="1"/>
  <c r="J45" i="1"/>
  <c r="I45" i="1"/>
  <c r="H45" i="1"/>
  <c r="G45" i="1"/>
  <c r="F45" i="1"/>
  <c r="G42" i="1"/>
  <c r="F42" i="1"/>
  <c r="F16" i="1" s="1"/>
  <c r="J43" i="1"/>
  <c r="I43" i="1"/>
  <c r="H43" i="1"/>
  <c r="G43" i="1"/>
  <c r="F43" i="1"/>
  <c r="J14" i="1"/>
  <c r="I14" i="1"/>
  <c r="H14" i="1"/>
  <c r="G14" i="1"/>
  <c r="J40" i="1"/>
  <c r="I40" i="1"/>
  <c r="H40" i="1"/>
  <c r="G40" i="1"/>
  <c r="F40" i="1"/>
  <c r="J35" i="1"/>
  <c r="I35" i="1"/>
  <c r="H35" i="1"/>
  <c r="G35" i="1"/>
  <c r="F35" i="1"/>
  <c r="J38" i="1"/>
  <c r="I38" i="1"/>
  <c r="I12" i="1" s="1"/>
  <c r="H38" i="1"/>
  <c r="G38" i="1"/>
  <c r="F38" i="1"/>
  <c r="J39" i="1"/>
  <c r="I39" i="1"/>
  <c r="H39" i="1"/>
  <c r="G39" i="1"/>
  <c r="F39" i="1"/>
  <c r="G36" i="1"/>
  <c r="H36" i="1" s="1"/>
  <c r="F36" i="1"/>
  <c r="F11" i="1" s="1"/>
  <c r="J37" i="1"/>
  <c r="I37" i="1"/>
  <c r="H37" i="1"/>
  <c r="G37" i="1"/>
  <c r="F37" i="1"/>
  <c r="J12" i="1"/>
  <c r="H12" i="1"/>
  <c r="G12" i="1"/>
  <c r="F12" i="1"/>
  <c r="G11" i="1"/>
  <c r="G10" i="1"/>
  <c r="J32" i="1"/>
  <c r="I32" i="1"/>
  <c r="H32" i="1"/>
  <c r="G32" i="1"/>
  <c r="F32" i="1"/>
  <c r="F31" i="1"/>
  <c r="E33" i="1"/>
  <c r="F33" i="1"/>
  <c r="F29" i="1"/>
  <c r="G29" i="1"/>
  <c r="H29" i="1" s="1"/>
  <c r="G30" i="1"/>
  <c r="H30" i="1"/>
  <c r="I30" i="1" s="1"/>
  <c r="J30" i="1" s="1"/>
  <c r="F30" i="1"/>
  <c r="F6" i="1"/>
  <c r="G6" i="1"/>
  <c r="A1" i="13"/>
  <c r="A1" i="12"/>
  <c r="A1" i="5"/>
  <c r="A1" i="4"/>
  <c r="D4" i="1"/>
  <c r="C4" i="1" s="1"/>
  <c r="B4" i="1" s="1"/>
  <c r="F19" i="13" l="1"/>
  <c r="F20" i="13"/>
  <c r="G46" i="1"/>
  <c r="G49" i="1" s="1"/>
  <c r="G16" i="1"/>
  <c r="G40" i="4"/>
  <c r="H48" i="1"/>
  <c r="G51" i="1"/>
  <c r="F10" i="1"/>
  <c r="H11" i="1"/>
  <c r="H10" i="1" s="1"/>
  <c r="I36" i="1"/>
  <c r="F8" i="1"/>
  <c r="G31" i="1"/>
  <c r="I29" i="1"/>
  <c r="H6" i="1"/>
  <c r="D15" i="4"/>
  <c r="J21" i="5"/>
  <c r="J26" i="5" s="1"/>
  <c r="I21" i="5"/>
  <c r="E51" i="1"/>
  <c r="D51" i="1"/>
  <c r="C51" i="1"/>
  <c r="B51" i="1"/>
  <c r="E48" i="1"/>
  <c r="D48" i="1"/>
  <c r="C48" i="1"/>
  <c r="B48" i="1"/>
  <c r="E44" i="1"/>
  <c r="E42" i="1"/>
  <c r="D42" i="1"/>
  <c r="C42" i="1"/>
  <c r="B42" i="1"/>
  <c r="E38" i="1"/>
  <c r="D38" i="1"/>
  <c r="C38" i="1"/>
  <c r="B38" i="1"/>
  <c r="E36" i="1"/>
  <c r="D36" i="1"/>
  <c r="C36" i="1"/>
  <c r="B36" i="1"/>
  <c r="E31" i="1"/>
  <c r="D31" i="1"/>
  <c r="C31" i="1"/>
  <c r="B31" i="1"/>
  <c r="E29" i="1"/>
  <c r="D29" i="1"/>
  <c r="D33" i="1" s="1"/>
  <c r="C29" i="1"/>
  <c r="C33" i="1" s="1"/>
  <c r="B29" i="1"/>
  <c r="B28" i="1"/>
  <c r="C28" i="1" s="1"/>
  <c r="D28" i="1" s="1"/>
  <c r="E28" i="1" s="1"/>
  <c r="F28" i="1" s="1"/>
  <c r="G28" i="1" s="1"/>
  <c r="H28" i="1" s="1"/>
  <c r="I28" i="1" s="1"/>
  <c r="J28" i="1" s="1"/>
  <c r="G26" i="5"/>
  <c r="H26" i="5"/>
  <c r="I26" i="5"/>
  <c r="F26" i="5"/>
  <c r="E10" i="1"/>
  <c r="E35" i="1" s="1"/>
  <c r="E22" i="4"/>
  <c r="D4" i="4"/>
  <c r="D22" i="4"/>
  <c r="E20" i="4"/>
  <c r="E10" i="4"/>
  <c r="E15" i="4" s="1"/>
  <c r="D20" i="4"/>
  <c r="D10" i="1"/>
  <c r="D35" i="1" s="1"/>
  <c r="C10" i="1"/>
  <c r="C35" i="1" s="1"/>
  <c r="B10" i="1"/>
  <c r="B35" i="1" s="1"/>
  <c r="D10" i="4"/>
  <c r="F21" i="13" l="1"/>
  <c r="F33" i="13" s="1"/>
  <c r="G12" i="4"/>
  <c r="H42" i="1" s="1"/>
  <c r="H40" i="4" s="1"/>
  <c r="G20" i="1"/>
  <c r="G53" i="1"/>
  <c r="G54" i="1" s="1"/>
  <c r="G22" i="1" s="1"/>
  <c r="H18" i="1"/>
  <c r="J36" i="1"/>
  <c r="J11" i="1" s="1"/>
  <c r="J10" i="1" s="1"/>
  <c r="I11" i="1"/>
  <c r="I10" i="1" s="1"/>
  <c r="G33" i="1"/>
  <c r="G8" i="1"/>
  <c r="H31" i="1"/>
  <c r="J29" i="1"/>
  <c r="J6" i="1" s="1"/>
  <c r="I6" i="1"/>
  <c r="E30" i="1"/>
  <c r="D26" i="4"/>
  <c r="D30" i="4" s="1"/>
  <c r="C40" i="1"/>
  <c r="C46" i="1" s="1"/>
  <c r="C49" i="1" s="1"/>
  <c r="C53" i="1" s="1"/>
  <c r="D40" i="1"/>
  <c r="D46" i="1" s="1"/>
  <c r="D49" i="1" s="1"/>
  <c r="D53" i="1" s="1"/>
  <c r="B33" i="1"/>
  <c r="B40" i="1" s="1"/>
  <c r="B46" i="1" s="1"/>
  <c r="B49" i="1" s="1"/>
  <c r="B53" i="1" s="1"/>
  <c r="E40" i="1"/>
  <c r="E46" i="1" s="1"/>
  <c r="E49" i="1" s="1"/>
  <c r="E53" i="1" s="1"/>
  <c r="E26" i="4"/>
  <c r="E30" i="4" s="1"/>
  <c r="E32" i="4" s="1"/>
  <c r="F4" i="1"/>
  <c r="G33" i="13" l="1"/>
  <c r="F34" i="13"/>
  <c r="H12" i="4"/>
  <c r="I42" i="1" s="1"/>
  <c r="I40" i="4" s="1"/>
  <c r="H16" i="1"/>
  <c r="H46" i="1"/>
  <c r="H8" i="1"/>
  <c r="H33" i="1"/>
  <c r="I31" i="1"/>
  <c r="G4" i="1"/>
  <c r="F4" i="13"/>
  <c r="F20" i="4"/>
  <c r="F4" i="4"/>
  <c r="F4" i="12"/>
  <c r="E4" i="4"/>
  <c r="G4" i="4"/>
  <c r="H4" i="1"/>
  <c r="H33" i="13" l="1"/>
  <c r="G34" i="13"/>
  <c r="I12" i="4"/>
  <c r="J42" i="1" s="1"/>
  <c r="J40" i="4" s="1"/>
  <c r="J12" i="4" s="1"/>
  <c r="I16" i="1"/>
  <c r="I46" i="1"/>
  <c r="H49" i="1"/>
  <c r="H51" i="1" s="1"/>
  <c r="I48" i="1"/>
  <c r="I18" i="1" s="1"/>
  <c r="I33" i="1"/>
  <c r="J31" i="1"/>
  <c r="I8" i="1"/>
  <c r="G4" i="13"/>
  <c r="G4" i="12"/>
  <c r="H4" i="12"/>
  <c r="H4" i="13"/>
  <c r="F26" i="4"/>
  <c r="G4" i="5"/>
  <c r="F4" i="5"/>
  <c r="I4" i="1"/>
  <c r="H4" i="4"/>
  <c r="H34" i="13" l="1"/>
  <c r="I33" i="13"/>
  <c r="H53" i="1"/>
  <c r="H54" i="1" s="1"/>
  <c r="H22" i="1" s="1"/>
  <c r="H20" i="1"/>
  <c r="J16" i="1"/>
  <c r="J46" i="1"/>
  <c r="I49" i="1"/>
  <c r="J48" i="1"/>
  <c r="J18" i="1" s="1"/>
  <c r="J8" i="1"/>
  <c r="J33" i="1"/>
  <c r="I4" i="12"/>
  <c r="I4" i="13"/>
  <c r="G20" i="4"/>
  <c r="G26" i="4" s="1"/>
  <c r="H4" i="5"/>
  <c r="I4" i="4"/>
  <c r="J4" i="1"/>
  <c r="J4" i="13" s="1"/>
  <c r="I34" i="13" l="1"/>
  <c r="J33" i="13"/>
  <c r="I51" i="1"/>
  <c r="J49" i="1"/>
  <c r="J51" i="1" s="1"/>
  <c r="H20" i="4"/>
  <c r="J4" i="4"/>
  <c r="J4" i="12"/>
  <c r="I4" i="5"/>
  <c r="J34" i="13" l="1"/>
  <c r="M34" i="13" s="1"/>
  <c r="J36" i="13"/>
  <c r="I20" i="1"/>
  <c r="I53" i="1"/>
  <c r="I54" i="1" s="1"/>
  <c r="I22" i="1" s="1"/>
  <c r="J20" i="1"/>
  <c r="J53" i="1"/>
  <c r="J54" i="1" s="1"/>
  <c r="J22" i="1" s="1"/>
  <c r="G36" i="5"/>
  <c r="G17" i="5"/>
  <c r="I20" i="4"/>
  <c r="F36" i="5"/>
  <c r="F17" i="5"/>
  <c r="H26" i="4"/>
  <c r="J4" i="5"/>
  <c r="D32" i="4"/>
  <c r="B37" i="13" l="1"/>
  <c r="B39" i="13" s="1"/>
  <c r="F39" i="5"/>
  <c r="F42" i="5" s="1"/>
  <c r="H36" i="5"/>
  <c r="H17" i="5"/>
  <c r="G39" i="5"/>
  <c r="I26" i="4"/>
  <c r="J20" i="4"/>
  <c r="J26" i="4" s="1"/>
  <c r="F6" i="4" l="1"/>
  <c r="F10" i="4" s="1"/>
  <c r="G41" i="5"/>
  <c r="G42" i="5" s="1"/>
  <c r="H39" i="5"/>
  <c r="F15" i="4"/>
  <c r="F30" i="4"/>
  <c r="I17" i="5"/>
  <c r="I36" i="5"/>
  <c r="G6" i="4" l="1"/>
  <c r="G10" i="4" s="1"/>
  <c r="G15" i="4" s="1"/>
  <c r="H41" i="5"/>
  <c r="H42" i="5"/>
  <c r="F32" i="4"/>
  <c r="I39" i="5"/>
  <c r="G30" i="4"/>
  <c r="J17" i="5"/>
  <c r="J36" i="5"/>
  <c r="H6" i="4" l="1"/>
  <c r="H10" i="4" s="1"/>
  <c r="H15" i="4" s="1"/>
  <c r="I41" i="5"/>
  <c r="I42" i="5" s="1"/>
  <c r="G32" i="4"/>
  <c r="J39" i="5"/>
  <c r="H30" i="4"/>
  <c r="J41" i="5" l="1"/>
  <c r="J42" i="5" s="1"/>
  <c r="J6" i="4" s="1"/>
  <c r="J10" i="4" s="1"/>
  <c r="J15" i="4" s="1"/>
  <c r="I6" i="4"/>
  <c r="I10" i="4" s="1"/>
  <c r="I15" i="4" s="1"/>
  <c r="H32" i="4"/>
  <c r="I30" i="4"/>
  <c r="I32" i="4" l="1"/>
  <c r="J30" i="4"/>
  <c r="J32" i="4" s="1"/>
</calcChain>
</file>

<file path=xl/sharedStrings.xml><?xml version="1.0" encoding="utf-8"?>
<sst xmlns="http://schemas.openxmlformats.org/spreadsheetml/2006/main" count="181" uniqueCount="153">
  <si>
    <t>Net Sales</t>
  </si>
  <si>
    <t>Cost of Goods Sold</t>
  </si>
  <si>
    <t>SG&amp;A</t>
  </si>
  <si>
    <t>Net Interest Expense</t>
  </si>
  <si>
    <t>Income Taxes</t>
  </si>
  <si>
    <t>Dividends</t>
  </si>
  <si>
    <t>Income Statement</t>
  </si>
  <si>
    <t>Net Sales Growth %</t>
  </si>
  <si>
    <t>Gross Profit Margin</t>
  </si>
  <si>
    <t>EBIT Margin</t>
  </si>
  <si>
    <t>Balance Sheet</t>
  </si>
  <si>
    <t>Accounts Receivables</t>
  </si>
  <si>
    <t>Cash and Equivalents</t>
  </si>
  <si>
    <t>Inventory</t>
  </si>
  <si>
    <t>Other Current Assets</t>
  </si>
  <si>
    <t xml:space="preserve">  Total Assets</t>
  </si>
  <si>
    <t>Accounts Payable</t>
  </si>
  <si>
    <t>Other Current Liabilities</t>
  </si>
  <si>
    <t>Other Long-Term Liabilities</t>
  </si>
  <si>
    <t>Shareholders' Equity</t>
  </si>
  <si>
    <t xml:space="preserve">  Total Liabilities and SHE</t>
  </si>
  <si>
    <t xml:space="preserve">  balance check</t>
  </si>
  <si>
    <t>Cash Flow Statement</t>
  </si>
  <si>
    <t>Cash From Operations</t>
  </si>
  <si>
    <t>Capital Expenditures</t>
  </si>
  <si>
    <t>Cash (Used) in Financing Activities</t>
  </si>
  <si>
    <t>Cash (Used) in Investing Activities</t>
  </si>
  <si>
    <t>Beginning Cash Balance</t>
  </si>
  <si>
    <t>Ending Cash Balance</t>
  </si>
  <si>
    <t>Depreciation</t>
  </si>
  <si>
    <t>Current Assets</t>
  </si>
  <si>
    <t>Net Cash Flow</t>
  </si>
  <si>
    <t>Other Long-term Assets (Land)</t>
  </si>
  <si>
    <t>Net Property, Plant and Equipment (Net Block)</t>
  </si>
  <si>
    <t>Fixed SG &amp;A</t>
  </si>
  <si>
    <t>Variable SG&amp;A</t>
  </si>
  <si>
    <t>Provision for warranty</t>
  </si>
  <si>
    <t>Interest Coverage Ratio</t>
  </si>
  <si>
    <t>Key Ratios</t>
  </si>
  <si>
    <t xml:space="preserve">Current Ratio </t>
  </si>
  <si>
    <t xml:space="preserve">Debt Equity </t>
  </si>
  <si>
    <t>Net Profit Margin</t>
  </si>
  <si>
    <t>Construct the Income Statement of the company showing Gross Profit, EBITDA, EBIT &amp; Net Profit</t>
  </si>
  <si>
    <t>Current Liabilities</t>
  </si>
  <si>
    <t>Total Liabilities</t>
  </si>
  <si>
    <t>Debt</t>
  </si>
  <si>
    <t>Retention Ratio</t>
  </si>
  <si>
    <t>Return on Equity</t>
  </si>
  <si>
    <t>Return on Capital Employed</t>
  </si>
  <si>
    <t>Receivable Days</t>
  </si>
  <si>
    <t>Debt Service Coverage Ratio</t>
  </si>
  <si>
    <t>Investment in Subsidiary</t>
  </si>
  <si>
    <t>COGS</t>
  </si>
  <si>
    <t>Sales Growth (%)</t>
  </si>
  <si>
    <t>COGS Growth (%)</t>
  </si>
  <si>
    <t>Gross Profit</t>
  </si>
  <si>
    <t>Variable( as % of sales)</t>
  </si>
  <si>
    <t>Fixed SG&amp;A Growth (%)</t>
  </si>
  <si>
    <t>EBITDA</t>
  </si>
  <si>
    <t>Depreciation (%)</t>
  </si>
  <si>
    <t>Provision for Warranty</t>
  </si>
  <si>
    <t>Provision (%)</t>
  </si>
  <si>
    <t>EBIT</t>
  </si>
  <si>
    <t>Interest</t>
  </si>
  <si>
    <t>PBT</t>
  </si>
  <si>
    <t>Tax</t>
  </si>
  <si>
    <t>Net Profit</t>
  </si>
  <si>
    <t>Dividend Payout</t>
  </si>
  <si>
    <t>Add: Depreciation</t>
  </si>
  <si>
    <t>Add: Provision</t>
  </si>
  <si>
    <t>Less: cash paid for warranty service</t>
  </si>
  <si>
    <t>Investment In Subsidiary</t>
  </si>
  <si>
    <t>(Increase)/Decrease in Inventory</t>
  </si>
  <si>
    <t>(Increase)/Decrease in Receivables</t>
  </si>
  <si>
    <t>Increase/(Decrease in Accounts Payable</t>
  </si>
  <si>
    <t>Increase/(Decrease in Other CL</t>
  </si>
  <si>
    <t>(Increase)/Decrease in Other Current Assets</t>
  </si>
  <si>
    <t>Debt Repaid</t>
  </si>
  <si>
    <t>Dividend Paid</t>
  </si>
  <si>
    <t>EXCEL MODELING TEST</t>
  </si>
  <si>
    <t>(INR, Millions)</t>
  </si>
  <si>
    <t>Book Value (INR million)</t>
  </si>
  <si>
    <t>FCFF Valuation</t>
  </si>
  <si>
    <r>
      <t>Riskfree rate (R</t>
    </r>
    <r>
      <rPr>
        <vertAlign val="subscript"/>
        <sz val="10"/>
        <rFont val="Times"/>
        <family val="1"/>
      </rPr>
      <t>f</t>
    </r>
    <r>
      <rPr>
        <sz val="10"/>
        <rFont val="Times"/>
        <family val="1"/>
      </rPr>
      <t>)</t>
    </r>
  </si>
  <si>
    <r>
      <t>Market Rate of Return (R</t>
    </r>
    <r>
      <rPr>
        <vertAlign val="subscript"/>
        <sz val="10"/>
        <rFont val="Times"/>
        <family val="1"/>
      </rPr>
      <t>m</t>
    </r>
    <r>
      <rPr>
        <sz val="10"/>
        <rFont val="Times"/>
        <family val="1"/>
      </rPr>
      <t>)</t>
    </r>
  </si>
  <si>
    <t xml:space="preserve">Beta to beused for stock </t>
  </si>
  <si>
    <t>Growth Rate</t>
  </si>
  <si>
    <t>Working Capital and Balance Sheet</t>
  </si>
  <si>
    <t xml:space="preserve">Net Sales </t>
  </si>
  <si>
    <r>
      <t>Working capital:</t>
    </r>
    <r>
      <rPr>
        <sz val="10"/>
        <rFont val="Times New Roman"/>
        <family val="1"/>
      </rPr>
      <t xml:space="preserve">  Use the same proportions as a percentage </t>
    </r>
  </si>
  <si>
    <t>of revenues as observed in previous year</t>
  </si>
  <si>
    <r>
      <t>Other Long-term Assets:</t>
    </r>
    <r>
      <rPr>
        <sz val="10"/>
        <rFont val="Times New Roman"/>
        <family val="1"/>
      </rPr>
      <t xml:space="preserve">  Keep flat.</t>
    </r>
  </si>
  <si>
    <t>Cost of Goods Sold (COGS)</t>
  </si>
  <si>
    <r>
      <t>Other Long-term Liabilities:</t>
    </r>
    <r>
      <rPr>
        <sz val="10"/>
        <rFont val="Times New Roman"/>
        <family val="1"/>
      </rPr>
      <t xml:space="preserve">  Keep flat.</t>
    </r>
  </si>
  <si>
    <t>C O G S Growth /Net Sales Growth ('11 &amp; '12)</t>
  </si>
  <si>
    <t xml:space="preserve">  (ie, if sales grows by 100%, COGS grows by90%)</t>
  </si>
  <si>
    <t>Convertible bond gets converted at the year mentioned with it</t>
  </si>
  <si>
    <t>C O G S growth /Net Sales Growth ('13 to '15)</t>
  </si>
  <si>
    <t>Dividend Payout ratio as % of net income</t>
  </si>
  <si>
    <t xml:space="preserve">  (ie, if sales grows by 100%, COGS grows by 92.5%)</t>
  </si>
  <si>
    <t>Fixed SG&amp;A growth rate/Net Sales Growth</t>
  </si>
  <si>
    <t xml:space="preserve">  (ie, if sales grows by 10%, fixed SG&amp;A grows by 2.5%)</t>
  </si>
  <si>
    <t>Variable SG&amp;A as % of Net Sales</t>
  </si>
  <si>
    <t>Depreciation on Opening Net Block</t>
  </si>
  <si>
    <t>Provision for warranty (as a % of  Net Sales)</t>
  </si>
  <si>
    <t>Warranty service: The company is expected to incur the following</t>
  </si>
  <si>
    <t>cash expenditure for repair of products under warranty</t>
  </si>
  <si>
    <t>Tax Rate (every year)</t>
  </si>
  <si>
    <t>Interest Expense (on debt + convertible bond)</t>
  </si>
  <si>
    <t>Condition 1:</t>
  </si>
  <si>
    <t>Use beginning of year balance to calculate interest expense at</t>
  </si>
  <si>
    <t>Condition 2:</t>
  </si>
  <si>
    <t xml:space="preserve">If Interest coverage falls below 6 times, calculate interest expense </t>
  </si>
  <si>
    <t>for next year at</t>
  </si>
  <si>
    <t xml:space="preserve">For 2025 - Sales grows by the CAGR of 2007-10 plus - </t>
  </si>
  <si>
    <t xml:space="preserve">For 2026 to 2029 - Sales grows at previous year's growth plus - </t>
  </si>
  <si>
    <r>
      <rPr>
        <i/>
        <sz val="10"/>
        <rFont val="Times New Roman"/>
        <family val="1"/>
      </rPr>
      <t>Debt</t>
    </r>
    <r>
      <rPr>
        <sz val="10"/>
        <rFont val="Times New Roman"/>
        <family val="1"/>
      </rPr>
      <t>: Company takes additional debt of US$10 million in 2025 &amp; repays US$3 million every year from 2026 to 29</t>
    </r>
  </si>
  <si>
    <t>Convertible Bond -2027</t>
  </si>
  <si>
    <r>
      <rPr>
        <i/>
        <sz val="10"/>
        <rFont val="Times New Roman"/>
        <family val="1"/>
      </rPr>
      <t>Investment in subsidiary</t>
    </r>
    <r>
      <rPr>
        <sz val="10"/>
        <rFont val="Times New Roman"/>
        <family val="1"/>
      </rPr>
      <t>: The company would buy controlling stake in a company in 2025</t>
    </r>
  </si>
  <si>
    <t>for US$5 mn. It would sell 40% of it at cost in 2027 and remaining stake in 2029 at cost.</t>
  </si>
  <si>
    <t xml:space="preserve">  </t>
  </si>
  <si>
    <t>NOTE :</t>
  </si>
  <si>
    <t>Particulars</t>
  </si>
  <si>
    <t>Net Block</t>
  </si>
  <si>
    <t>Accounts Payables</t>
  </si>
  <si>
    <t>Debt adjusments</t>
  </si>
  <si>
    <t xml:space="preserve">Debt  </t>
  </si>
  <si>
    <t>Equity</t>
  </si>
  <si>
    <t>Cost of Equity</t>
  </si>
  <si>
    <t>Pre Tax Cost of Debt</t>
  </si>
  <si>
    <t>Post Tax Cost of Debt</t>
  </si>
  <si>
    <t>Total Value</t>
  </si>
  <si>
    <t>Equity Weight</t>
  </si>
  <si>
    <t>Debt Weight</t>
  </si>
  <si>
    <t>WACC</t>
  </si>
  <si>
    <t>Tax on EBIT</t>
  </si>
  <si>
    <t>NOPAT</t>
  </si>
  <si>
    <t>Depriciation</t>
  </si>
  <si>
    <t>Cash Paid For warranty</t>
  </si>
  <si>
    <t>Capex</t>
  </si>
  <si>
    <t>NOTE:</t>
  </si>
  <si>
    <t>Working Capital Changes</t>
  </si>
  <si>
    <t>WCC</t>
  </si>
  <si>
    <t>FCFF</t>
  </si>
  <si>
    <t>Discount Factor</t>
  </si>
  <si>
    <t>PV of FCFF</t>
  </si>
  <si>
    <t>Sum of PV</t>
  </si>
  <si>
    <t>Terminal Value</t>
  </si>
  <si>
    <t>PV of Terminal Value</t>
  </si>
  <si>
    <t>Enterprise Value</t>
  </si>
  <si>
    <t>Net Debt</t>
  </si>
  <si>
    <t>Equity Value</t>
  </si>
  <si>
    <t>Hardcoded as Conversion done in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</si>
</sst>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&quot;$&quot;#,##0.00_);[Red]\(&quot;$&quot;#,##0.00\)"/>
    <numFmt numFmtId="165" formatCode="_(* #,##0.00_);_(* \(#,##0.00\);_(* &quot;-&quot;??_);_(@_)"/>
    <numFmt numFmtId="166" formatCode="_(* #,##0.0_);_(* \(#,##0.0\);_(* &quot;-&quot;??_);_(@_)"/>
    <numFmt numFmtId="167" formatCode="0.0%"/>
    <numFmt numFmtId="168" formatCode="_([$€-2]* #,##0.00_);_([$€-2]* \(#,##0.00\);_([$€-2]* &quot;-&quot;??_)"/>
    <numFmt numFmtId="169" formatCode="0.0"/>
    <numFmt numFmtId="170" formatCode="0.0\x"/>
    <numFmt numFmtId="171" formatCode="_(* #,##0.00_);_(* \(#,##0.00\);_(* &quot;-&quot;_);_(@_)"/>
    <numFmt numFmtId="172" formatCode="&quot;INR&quot;_(* #,##0.0_)&quot;mn&quot;;_(* \(#,##0.0\);_(* &quot;-&quot;??_);_(@_)"/>
    <numFmt numFmtId="173" formatCode="_(* #,##0_);_(* \(#,##0\);_(* &quot;-&quot;??_);_(@_)"/>
    <numFmt numFmtId="174" formatCode="0\x"/>
  </numFmts>
  <fonts count="19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sz val="10"/>
      <name val="Times New Roman"/>
      <family val="1"/>
    </font>
    <font>
      <sz val="7"/>
      <name val="Times New Roman"/>
      <family val="1"/>
    </font>
    <font>
      <sz val="12"/>
      <name val="Helv"/>
    </font>
    <font>
      <sz val="10"/>
      <color indexed="12"/>
      <name val="Times"/>
      <family val="1"/>
    </font>
    <font>
      <b/>
      <sz val="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4"/>
      <name val="Times New Roman"/>
      <family val="1"/>
    </font>
    <font>
      <b/>
      <u/>
      <sz val="10"/>
      <name val="Times New Roman"/>
      <family val="1"/>
    </font>
    <font>
      <b/>
      <sz val="11"/>
      <name val="Times New Roman"/>
      <family val="1"/>
    </font>
    <font>
      <sz val="10"/>
      <name val="Geneva"/>
    </font>
    <font>
      <sz val="10"/>
      <name val="Times"/>
      <family val="1"/>
    </font>
    <font>
      <vertAlign val="subscript"/>
      <sz val="10"/>
      <name val="Times"/>
      <family val="1"/>
    </font>
    <font>
      <b/>
      <sz val="12"/>
      <color indexed="9"/>
      <name val="Times New Roman"/>
      <family val="1"/>
    </font>
    <font>
      <u/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6">
    <xf numFmtId="0" fontId="0" fillId="0" borderId="0"/>
    <xf numFmtId="165" fontId="1" fillId="0" borderId="0" applyFont="0" applyFill="0" applyBorder="0" applyAlignment="0" applyProtection="0"/>
    <xf numFmtId="0" fontId="6" fillId="0" borderId="0"/>
    <xf numFmtId="0" fontId="6" fillId="0" borderId="0"/>
    <xf numFmtId="168" fontId="1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4" fontId="14" fillId="0" borderId="0" applyFont="0" applyFill="0" applyBorder="0" applyAlignment="0" applyProtection="0"/>
    <xf numFmtId="164" fontId="14" fillId="0" borderId="0" applyFont="0" applyFill="0" applyBorder="0" applyAlignment="0" applyProtection="0"/>
  </cellStyleXfs>
  <cellXfs count="160">
    <xf numFmtId="0" fontId="0" fillId="0" borderId="0" xfId="0"/>
    <xf numFmtId="0" fontId="2" fillId="0" borderId="0" xfId="0" applyFont="1"/>
    <xf numFmtId="166" fontId="2" fillId="0" borderId="0" xfId="1" applyNumberFormat="1" applyFont="1"/>
    <xf numFmtId="0" fontId="2" fillId="0" borderId="1" xfId="0" applyFont="1" applyBorder="1"/>
    <xf numFmtId="0" fontId="3" fillId="0" borderId="0" xfId="0" applyFont="1"/>
    <xf numFmtId="167" fontId="2" fillId="0" borderId="0" xfId="6" applyNumberFormat="1" applyFont="1"/>
    <xf numFmtId="0" fontId="4" fillId="0" borderId="1" xfId="0" applyFont="1" applyBorder="1"/>
    <xf numFmtId="0" fontId="5" fillId="0" borderId="0" xfId="0" applyFont="1"/>
    <xf numFmtId="0" fontId="4" fillId="0" borderId="0" xfId="0" applyFont="1"/>
    <xf numFmtId="166" fontId="2" fillId="0" borderId="0" xfId="1" applyNumberFormat="1" applyFont="1" applyBorder="1"/>
    <xf numFmtId="0" fontId="2" fillId="0" borderId="3" xfId="0" applyFont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2" fillId="0" borderId="0" xfId="0" applyFont="1" applyAlignment="1">
      <alignment horizontal="left" indent="1"/>
    </xf>
    <xf numFmtId="9" fontId="2" fillId="0" borderId="0" xfId="0" applyNumberFormat="1" applyFont="1"/>
    <xf numFmtId="0" fontId="13" fillId="2" borderId="1" xfId="0" applyFont="1" applyFill="1" applyBorder="1"/>
    <xf numFmtId="166" fontId="2" fillId="2" borderId="1" xfId="1" applyNumberFormat="1" applyFont="1" applyFill="1" applyBorder="1"/>
    <xf numFmtId="166" fontId="4" fillId="0" borderId="6" xfId="1" applyNumberFormat="1" applyFont="1" applyBorder="1"/>
    <xf numFmtId="166" fontId="2" fillId="0" borderId="1" xfId="1" applyNumberFormat="1" applyFont="1" applyBorder="1"/>
    <xf numFmtId="166" fontId="7" fillId="0" borderId="2" xfId="1" applyNumberFormat="1" applyFont="1" applyFill="1" applyBorder="1" applyAlignment="1">
      <alignment horizontal="right"/>
    </xf>
    <xf numFmtId="166" fontId="7" fillId="0" borderId="0" xfId="1" applyNumberFormat="1" applyFont="1" applyFill="1" applyBorder="1" applyAlignment="1">
      <alignment horizontal="right"/>
    </xf>
    <xf numFmtId="166" fontId="2" fillId="0" borderId="4" xfId="1" applyNumberFormat="1" applyFont="1" applyBorder="1"/>
    <xf numFmtId="166" fontId="4" fillId="0" borderId="5" xfId="1" applyNumberFormat="1" applyFont="1" applyBorder="1"/>
    <xf numFmtId="166" fontId="4" fillId="0" borderId="4" xfId="1" applyNumberFormat="1" applyFont="1" applyBorder="1"/>
    <xf numFmtId="166" fontId="3" fillId="0" borderId="0" xfId="1" applyNumberFormat="1" applyFont="1" applyBorder="1"/>
    <xf numFmtId="166" fontId="2" fillId="0" borderId="0" xfId="0" applyNumberFormat="1" applyFont="1"/>
    <xf numFmtId="167" fontId="2" fillId="0" borderId="0" xfId="6" applyNumberFormat="1" applyFont="1" applyBorder="1"/>
    <xf numFmtId="170" fontId="2" fillId="0" borderId="0" xfId="0" applyNumberFormat="1" applyFont="1"/>
    <xf numFmtId="171" fontId="7" fillId="0" borderId="2" xfId="14" applyNumberFormat="1" applyFont="1" applyFill="1" applyBorder="1" applyAlignment="1">
      <alignment horizontal="right"/>
    </xf>
    <xf numFmtId="10" fontId="7" fillId="0" borderId="7" xfId="15" applyNumberFormat="1" applyFont="1" applyFill="1" applyBorder="1" applyAlignment="1">
      <alignment horizontal="right"/>
    </xf>
    <xf numFmtId="10" fontId="7" fillId="0" borderId="2" xfId="15" applyNumberFormat="1" applyFont="1" applyFill="1" applyBorder="1" applyAlignment="1">
      <alignment horizontal="right"/>
    </xf>
    <xf numFmtId="9" fontId="7" fillId="0" borderId="8" xfId="15" applyNumberFormat="1" applyFont="1" applyFill="1" applyBorder="1" applyAlignment="1">
      <alignment horizontal="right"/>
    </xf>
    <xf numFmtId="0" fontId="18" fillId="0" borderId="0" xfId="0" applyFont="1"/>
    <xf numFmtId="167" fontId="2" fillId="0" borderId="0" xfId="6" applyNumberFormat="1" applyFont="1" applyFill="1"/>
    <xf numFmtId="167" fontId="2" fillId="0" borderId="0" xfId="0" applyNumberFormat="1" applyFont="1"/>
    <xf numFmtId="169" fontId="2" fillId="0" borderId="0" xfId="0" applyNumberFormat="1" applyFont="1" applyAlignment="1">
      <alignment horizontal="right"/>
    </xf>
    <xf numFmtId="9" fontId="2" fillId="0" borderId="0" xfId="6" applyFont="1" applyFill="1" applyAlignment="1">
      <alignment horizontal="right"/>
    </xf>
    <xf numFmtId="172" fontId="2" fillId="0" borderId="0" xfId="1" applyNumberFormat="1" applyFont="1"/>
    <xf numFmtId="2" fontId="2" fillId="0" borderId="0" xfId="0" applyNumberFormat="1" applyFont="1"/>
    <xf numFmtId="0" fontId="9" fillId="0" borderId="10" xfId="0" applyFont="1" applyBorder="1"/>
    <xf numFmtId="0" fontId="10" fillId="0" borderId="6" xfId="0" applyFont="1" applyBorder="1"/>
    <xf numFmtId="0" fontId="2" fillId="0" borderId="6" xfId="0" applyFont="1" applyBorder="1"/>
    <xf numFmtId="0" fontId="2" fillId="0" borderId="11" xfId="0" applyFont="1" applyBorder="1"/>
    <xf numFmtId="0" fontId="3" fillId="0" borderId="12" xfId="0" applyFont="1" applyBorder="1"/>
    <xf numFmtId="0" fontId="2" fillId="0" borderId="13" xfId="0" applyFont="1" applyBorder="1"/>
    <xf numFmtId="0" fontId="2" fillId="0" borderId="12" xfId="0" applyFont="1" applyBorder="1"/>
    <xf numFmtId="0" fontId="4" fillId="0" borderId="13" xfId="0" applyFont="1" applyBorder="1"/>
    <xf numFmtId="0" fontId="2" fillId="0" borderId="14" xfId="0" applyFont="1" applyBorder="1"/>
    <xf numFmtId="166" fontId="2" fillId="0" borderId="0" xfId="1" applyNumberFormat="1" applyFont="1" applyBorder="1" applyAlignment="1"/>
    <xf numFmtId="166" fontId="2" fillId="0" borderId="13" xfId="1" applyNumberFormat="1" applyFont="1" applyBorder="1"/>
    <xf numFmtId="166" fontId="2" fillId="0" borderId="13" xfId="1" applyNumberFormat="1" applyFont="1" applyBorder="1" applyAlignment="1"/>
    <xf numFmtId="0" fontId="3" fillId="0" borderId="12" xfId="0" applyFont="1" applyBorder="1" applyAlignment="1">
      <alignment horizontal="left" indent="3"/>
    </xf>
    <xf numFmtId="166" fontId="3" fillId="0" borderId="0" xfId="1" applyNumberFormat="1" applyFont="1" applyBorder="1" applyAlignment="1"/>
    <xf numFmtId="166" fontId="3" fillId="0" borderId="13" xfId="1" applyNumberFormat="1" applyFont="1" applyBorder="1"/>
    <xf numFmtId="166" fontId="2" fillId="0" borderId="0" xfId="1" applyNumberFormat="1" applyFont="1" applyFill="1" applyBorder="1"/>
    <xf numFmtId="166" fontId="2" fillId="0" borderId="13" xfId="1" applyNumberFormat="1" applyFont="1" applyFill="1" applyBorder="1"/>
    <xf numFmtId="0" fontId="2" fillId="0" borderId="15" xfId="0" applyFont="1" applyBorder="1"/>
    <xf numFmtId="166" fontId="2" fillId="0" borderId="16" xfId="1" applyNumberFormat="1" applyFont="1" applyBorder="1"/>
    <xf numFmtId="0" fontId="2" fillId="0" borderId="17" xfId="0" applyFont="1" applyBorder="1"/>
    <xf numFmtId="0" fontId="4" fillId="0" borderId="6" xfId="1" applyNumberFormat="1" applyFont="1" applyFill="1" applyBorder="1"/>
    <xf numFmtId="0" fontId="4" fillId="0" borderId="6" xfId="1" applyNumberFormat="1" applyFont="1" applyBorder="1"/>
    <xf numFmtId="0" fontId="4" fillId="0" borderId="11" xfId="1" applyNumberFormat="1" applyFont="1" applyBorder="1"/>
    <xf numFmtId="166" fontId="2" fillId="0" borderId="0" xfId="0" applyNumberFormat="1" applyFont="1" applyAlignment="1">
      <alignment horizontal="right"/>
    </xf>
    <xf numFmtId="166" fontId="2" fillId="0" borderId="13" xfId="0" applyNumberFormat="1" applyFont="1" applyBorder="1" applyAlignment="1">
      <alignment horizontal="right"/>
    </xf>
    <xf numFmtId="167" fontId="2" fillId="0" borderId="13" xfId="6" applyNumberFormat="1" applyFont="1" applyBorder="1"/>
    <xf numFmtId="0" fontId="4" fillId="0" borderId="12" xfId="0" applyFont="1" applyBorder="1"/>
    <xf numFmtId="166" fontId="4" fillId="0" borderId="0" xfId="0" applyNumberFormat="1" applyFont="1" applyAlignment="1">
      <alignment horizontal="right"/>
    </xf>
    <xf numFmtId="166" fontId="4" fillId="0" borderId="13" xfId="0" applyNumberFormat="1" applyFont="1" applyBorder="1" applyAlignment="1">
      <alignment horizontal="right"/>
    </xf>
    <xf numFmtId="166" fontId="2" fillId="0" borderId="13" xfId="0" applyNumberFormat="1" applyFont="1" applyBorder="1"/>
    <xf numFmtId="165" fontId="2" fillId="0" borderId="0" xfId="0" applyNumberFormat="1" applyFont="1"/>
    <xf numFmtId="165" fontId="2" fillId="0" borderId="13" xfId="0" applyNumberFormat="1" applyFont="1" applyBorder="1"/>
    <xf numFmtId="9" fontId="2" fillId="0" borderId="13" xfId="0" applyNumberFormat="1" applyFont="1" applyBorder="1"/>
    <xf numFmtId="166" fontId="4" fillId="0" borderId="0" xfId="0" applyNumberFormat="1" applyFont="1"/>
    <xf numFmtId="166" fontId="4" fillId="0" borderId="13" xfId="0" applyNumberFormat="1" applyFont="1" applyBorder="1"/>
    <xf numFmtId="165" fontId="2" fillId="3" borderId="0" xfId="0" applyNumberFormat="1" applyFont="1" applyFill="1"/>
    <xf numFmtId="165" fontId="2" fillId="3" borderId="13" xfId="0" applyNumberFormat="1" applyFont="1" applyFill="1" applyBorder="1"/>
    <xf numFmtId="165" fontId="4" fillId="0" borderId="0" xfId="0" applyNumberFormat="1" applyFont="1"/>
    <xf numFmtId="165" fontId="4" fillId="0" borderId="13" xfId="0" applyNumberFormat="1" applyFont="1" applyBorder="1"/>
    <xf numFmtId="169" fontId="2" fillId="0" borderId="0" xfId="0" applyNumberFormat="1" applyFont="1"/>
    <xf numFmtId="169" fontId="2" fillId="4" borderId="0" xfId="0" applyNumberFormat="1" applyFont="1" applyFill="1"/>
    <xf numFmtId="169" fontId="2" fillId="3" borderId="0" xfId="0" applyNumberFormat="1" applyFont="1" applyFill="1"/>
    <xf numFmtId="169" fontId="2" fillId="3" borderId="13" xfId="0" applyNumberFormat="1" applyFont="1" applyFill="1" applyBorder="1"/>
    <xf numFmtId="43" fontId="1" fillId="0" borderId="0" xfId="0" applyNumberFormat="1" applyFont="1"/>
    <xf numFmtId="166" fontId="2" fillId="0" borderId="1" xfId="0" applyNumberFormat="1" applyFont="1" applyBorder="1"/>
    <xf numFmtId="2" fontId="2" fillId="0" borderId="1" xfId="0" applyNumberFormat="1" applyFont="1" applyBorder="1"/>
    <xf numFmtId="166" fontId="2" fillId="0" borderId="16" xfId="0" applyNumberFormat="1" applyFont="1" applyBorder="1"/>
    <xf numFmtId="0" fontId="2" fillId="0" borderId="12" xfId="0" applyFont="1" applyBorder="1" applyAlignment="1">
      <alignment horizontal="left" indent="1"/>
    </xf>
    <xf numFmtId="166" fontId="4" fillId="0" borderId="18" xfId="1" applyNumberFormat="1" applyFont="1" applyBorder="1"/>
    <xf numFmtId="166" fontId="4" fillId="0" borderId="19" xfId="1" applyNumberFormat="1" applyFont="1" applyBorder="1"/>
    <xf numFmtId="166" fontId="2" fillId="6" borderId="0" xfId="1" applyNumberFormat="1" applyFont="1" applyFill="1" applyBorder="1"/>
    <xf numFmtId="0" fontId="5" fillId="0" borderId="15" xfId="0" applyFont="1" applyBorder="1"/>
    <xf numFmtId="0" fontId="5" fillId="0" borderId="1" xfId="0" applyFont="1" applyBorder="1"/>
    <xf numFmtId="166" fontId="5" fillId="0" borderId="1" xfId="1" applyNumberFormat="1" applyFont="1" applyBorder="1"/>
    <xf numFmtId="173" fontId="5" fillId="0" borderId="1" xfId="1" applyNumberFormat="1" applyFont="1" applyBorder="1"/>
    <xf numFmtId="173" fontId="5" fillId="0" borderId="16" xfId="1" applyNumberFormat="1" applyFont="1" applyBorder="1"/>
    <xf numFmtId="0" fontId="2" fillId="0" borderId="0" xfId="0" applyFont="1" applyAlignment="1">
      <alignment horizontal="right"/>
    </xf>
    <xf numFmtId="0" fontId="4" fillId="0" borderId="16" xfId="0" applyFont="1" applyBorder="1"/>
    <xf numFmtId="9" fontId="2" fillId="0" borderId="0" xfId="6" applyFont="1" applyBorder="1"/>
    <xf numFmtId="9" fontId="2" fillId="0" borderId="0" xfId="6" applyFont="1" applyBorder="1" applyAlignment="1">
      <alignment horizontal="right" vertical="center"/>
    </xf>
    <xf numFmtId="9" fontId="2" fillId="0" borderId="13" xfId="6" applyFont="1" applyBorder="1" applyAlignment="1">
      <alignment horizontal="right" vertical="center"/>
    </xf>
    <xf numFmtId="174" fontId="2" fillId="0" borderId="0" xfId="0" applyNumberFormat="1" applyFont="1" applyAlignment="1">
      <alignment horizontal="right" vertical="center"/>
    </xf>
    <xf numFmtId="170" fontId="2" fillId="0" borderId="0" xfId="0" applyNumberFormat="1" applyFont="1" applyAlignment="1">
      <alignment horizontal="right" vertical="center"/>
    </xf>
    <xf numFmtId="170" fontId="2" fillId="0" borderId="13" xfId="0" applyNumberFormat="1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13" xfId="0" applyFont="1" applyBorder="1" applyAlignment="1">
      <alignment horizontal="right" vertical="center"/>
    </xf>
    <xf numFmtId="2" fontId="2" fillId="0" borderId="0" xfId="0" applyNumberFormat="1" applyFont="1" applyAlignment="1">
      <alignment horizontal="right" vertical="center"/>
    </xf>
    <xf numFmtId="165" fontId="2" fillId="0" borderId="0" xfId="1" applyFont="1" applyBorder="1" applyAlignment="1">
      <alignment horizontal="right" vertical="center"/>
    </xf>
    <xf numFmtId="165" fontId="2" fillId="0" borderId="13" xfId="1" applyFont="1" applyBorder="1" applyAlignment="1">
      <alignment horizontal="right" vertical="center"/>
    </xf>
    <xf numFmtId="2" fontId="2" fillId="0" borderId="0" xfId="1" applyNumberFormat="1" applyFont="1" applyBorder="1" applyAlignment="1">
      <alignment horizontal="right" vertical="center"/>
    </xf>
    <xf numFmtId="2" fontId="2" fillId="0" borderId="13" xfId="1" applyNumberFormat="1" applyFont="1" applyBorder="1" applyAlignment="1">
      <alignment horizontal="right" vertical="center"/>
    </xf>
    <xf numFmtId="9" fontId="2" fillId="0" borderId="0" xfId="6" applyFont="1" applyFill="1" applyBorder="1" applyAlignment="1">
      <alignment horizontal="right" vertical="center"/>
    </xf>
    <xf numFmtId="9" fontId="2" fillId="0" borderId="13" xfId="6" applyFont="1" applyFill="1" applyBorder="1" applyAlignment="1">
      <alignment horizontal="right" vertical="center"/>
    </xf>
    <xf numFmtId="2" fontId="2" fillId="0" borderId="1" xfId="0" applyNumberFormat="1" applyFont="1" applyBorder="1" applyAlignment="1">
      <alignment horizontal="right" vertical="center"/>
    </xf>
    <xf numFmtId="9" fontId="2" fillId="0" borderId="1" xfId="6" applyFont="1" applyFill="1" applyBorder="1" applyAlignment="1">
      <alignment horizontal="right" vertical="center"/>
    </xf>
    <xf numFmtId="9" fontId="2" fillId="0" borderId="16" xfId="6" applyFont="1" applyFill="1" applyBorder="1" applyAlignment="1">
      <alignment horizontal="right" vertical="center"/>
    </xf>
    <xf numFmtId="0" fontId="4" fillId="0" borderId="9" xfId="0" applyFont="1" applyBorder="1"/>
    <xf numFmtId="2" fontId="4" fillId="0" borderId="9" xfId="0" applyNumberFormat="1" applyFont="1" applyBorder="1"/>
    <xf numFmtId="0" fontId="4" fillId="0" borderId="20" xfId="0" applyFont="1" applyBorder="1"/>
    <xf numFmtId="2" fontId="4" fillId="0" borderId="20" xfId="0" applyNumberFormat="1" applyFont="1" applyBorder="1"/>
    <xf numFmtId="9" fontId="2" fillId="0" borderId="13" xfId="6" applyFont="1" applyBorder="1"/>
    <xf numFmtId="0" fontId="15" fillId="0" borderId="12" xfId="13" applyFont="1" applyBorder="1"/>
    <xf numFmtId="170" fontId="2" fillId="0" borderId="0" xfId="0" applyNumberFormat="1" applyFont="1" applyAlignment="1">
      <alignment horizontal="right"/>
    </xf>
    <xf numFmtId="170" fontId="2" fillId="0" borderId="13" xfId="0" applyNumberFormat="1" applyFont="1" applyBorder="1" applyAlignment="1">
      <alignment horizontal="right"/>
    </xf>
    <xf numFmtId="165" fontId="2" fillId="0" borderId="0" xfId="1" applyFont="1" applyBorder="1"/>
    <xf numFmtId="165" fontId="2" fillId="0" borderId="13" xfId="1" applyFont="1" applyBorder="1"/>
    <xf numFmtId="2" fontId="4" fillId="0" borderId="0" xfId="1" applyNumberFormat="1" applyFont="1" applyBorder="1"/>
    <xf numFmtId="2" fontId="4" fillId="0" borderId="13" xfId="1" applyNumberFormat="1" applyFont="1" applyBorder="1"/>
    <xf numFmtId="2" fontId="2" fillId="0" borderId="0" xfId="1" applyNumberFormat="1" applyFont="1" applyBorder="1"/>
    <xf numFmtId="2" fontId="2" fillId="0" borderId="13" xfId="1" applyNumberFormat="1" applyFont="1" applyBorder="1"/>
    <xf numFmtId="2" fontId="2" fillId="0" borderId="0" xfId="6" applyNumberFormat="1" applyFont="1" applyFill="1" applyBorder="1"/>
    <xf numFmtId="2" fontId="2" fillId="0" borderId="13" xfId="6" applyNumberFormat="1" applyFont="1" applyFill="1" applyBorder="1"/>
    <xf numFmtId="2" fontId="2" fillId="0" borderId="13" xfId="0" applyNumberFormat="1" applyFont="1" applyBorder="1"/>
    <xf numFmtId="2" fontId="4" fillId="0" borderId="0" xfId="0" applyNumberFormat="1" applyFont="1"/>
    <xf numFmtId="2" fontId="4" fillId="0" borderId="13" xfId="0" applyNumberFormat="1" applyFont="1" applyBorder="1"/>
    <xf numFmtId="2" fontId="2" fillId="0" borderId="16" xfId="0" applyNumberFormat="1" applyFont="1" applyBorder="1"/>
    <xf numFmtId="0" fontId="17" fillId="5" borderId="0" xfId="0" applyFont="1" applyFill="1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4" fillId="0" borderId="17" xfId="0" applyFont="1" applyBorder="1"/>
    <xf numFmtId="0" fontId="4" fillId="0" borderId="3" xfId="0" applyFont="1" applyBorder="1"/>
    <xf numFmtId="0" fontId="4" fillId="0" borderId="14" xfId="0" applyFont="1" applyBorder="1"/>
    <xf numFmtId="0" fontId="2" fillId="0" borderId="0" xfId="0" applyFont="1" applyBorder="1"/>
    <xf numFmtId="166" fontId="2" fillId="0" borderId="0" xfId="0" applyNumberFormat="1" applyFont="1" applyBorder="1"/>
    <xf numFmtId="2" fontId="2" fillId="0" borderId="0" xfId="0" applyNumberFormat="1" applyFont="1" applyBorder="1"/>
    <xf numFmtId="0" fontId="4" fillId="0" borderId="0" xfId="0" applyFont="1" applyBorder="1"/>
    <xf numFmtId="0" fontId="12" fillId="0" borderId="12" xfId="0" applyFont="1" applyBorder="1"/>
    <xf numFmtId="2" fontId="2" fillId="0" borderId="0" xfId="1" applyNumberFormat="1" applyFont="1" applyFill="1" applyBorder="1"/>
    <xf numFmtId="2" fontId="2" fillId="0" borderId="13" xfId="1" applyNumberFormat="1" applyFont="1" applyFill="1" applyBorder="1"/>
    <xf numFmtId="166" fontId="4" fillId="0" borderId="11" xfId="1" applyNumberFormat="1" applyFont="1" applyBorder="1"/>
    <xf numFmtId="0" fontId="8" fillId="0" borderId="0" xfId="0" applyFont="1" applyBorder="1"/>
    <xf numFmtId="166" fontId="7" fillId="0" borderId="21" xfId="1" applyNumberFormat="1" applyFont="1" applyFill="1" applyBorder="1" applyAlignment="1">
      <alignment horizontal="right"/>
    </xf>
    <xf numFmtId="166" fontId="7" fillId="0" borderId="13" xfId="1" applyNumberFormat="1" applyFont="1" applyFill="1" applyBorder="1" applyAlignment="1">
      <alignment horizontal="right"/>
    </xf>
    <xf numFmtId="0" fontId="11" fillId="0" borderId="0" xfId="0" applyFont="1" applyBorder="1"/>
    <xf numFmtId="0" fontId="11" fillId="0" borderId="13" xfId="0" applyFont="1" applyBorder="1"/>
    <xf numFmtId="166" fontId="2" fillId="0" borderId="19" xfId="1" applyNumberFormat="1" applyFont="1" applyBorder="1"/>
    <xf numFmtId="166" fontId="4" fillId="0" borderId="1" xfId="1" applyNumberFormat="1" applyFont="1" applyBorder="1"/>
    <xf numFmtId="166" fontId="4" fillId="0" borderId="16" xfId="1" applyNumberFormat="1" applyFont="1" applyBorder="1"/>
    <xf numFmtId="0" fontId="4" fillId="0" borderId="3" xfId="1" applyNumberFormat="1" applyFont="1" applyBorder="1"/>
    <xf numFmtId="0" fontId="4" fillId="0" borderId="14" xfId="1" applyNumberFormat="1" applyFont="1" applyBorder="1"/>
  </cellXfs>
  <cellStyles count="16">
    <cellStyle name="Comma" xfId="1" builtinId="3"/>
    <cellStyle name="Comma_Standard Test" xfId="14" xr:uid="{00000000-0005-0000-0000-000001000000}"/>
    <cellStyle name="Currency_Standard Test" xfId="15" xr:uid="{00000000-0005-0000-0000-000002000000}"/>
    <cellStyle name="e - Style2" xfId="2" xr:uid="{00000000-0005-0000-0000-000003000000}"/>
    <cellStyle name="ed - Style6" xfId="3" xr:uid="{00000000-0005-0000-0000-000004000000}"/>
    <cellStyle name="Euro" xfId="4" xr:uid="{00000000-0005-0000-0000-000005000000}"/>
    <cellStyle name="Normal" xfId="0" builtinId="0"/>
    <cellStyle name="Normal_Standard Test" xfId="13" xr:uid="{00000000-0005-0000-0000-000007000000}"/>
    <cellStyle name="o - Style1" xfId="5" xr:uid="{00000000-0005-0000-0000-000008000000}"/>
    <cellStyle name="Percent" xfId="6" builtinId="5"/>
    <cellStyle name="Standard_budget_Oper_Mainten 21-7-99" xfId="7" xr:uid="{00000000-0005-0000-0000-00000A000000}"/>
    <cellStyle name="Style3" xfId="8" xr:uid="{00000000-0005-0000-0000-00000B000000}"/>
    <cellStyle name="Style4" xfId="9" xr:uid="{00000000-0005-0000-0000-00000C000000}"/>
    <cellStyle name="Style5" xfId="10" xr:uid="{00000000-0005-0000-0000-00000D000000}"/>
    <cellStyle name="Style7" xfId="11" xr:uid="{00000000-0005-0000-0000-00000E000000}"/>
    <cellStyle name="Style8" xfId="12" xr:uid="{00000000-0005-0000-0000-00000F000000}"/>
  </cellStyles>
  <dxfs count="0"/>
  <tableStyles count="0" defaultTableStyle="TableStyleMedium9" defaultPivotStyle="PivotStyleLight16"/>
  <colors>
    <mruColors>
      <color rgb="FFFFFFCC"/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5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G3\GC\RNK\OPS\98\MONTH\DPP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neerja.rawat/Local%20Settings/Temporary%20Internet%20Files/OLK4/My97form.xls" TargetMode="External"/><Relationship Id="rId1" Type="http://schemas.openxmlformats.org/officeDocument/2006/relationships/externalLinkPath" Target="/Documents%20and%20Settings/neerja.rawat/Local%20Settings/Temporary%20Internet%20Files/OLK4/My97for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mco\data\IYER\MIS\98\OPR\05\OPRMAY9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MCO\DATA\IYER\MIS\98\BP1998\OLD-BP98\MIS\97\OPR\10\OPR-OC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mtcc1share\Finance_MAC\PRODUCT9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ELICITA\MY98\MYR98REV\KIMMCO\WRITEUP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MCO\DATA\IYER\MIS\98\BP1998\OLD-BP98\BP98FORM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mtcc1share\Finance_MAC\TEMP\baltcom99venturefinalplan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b-server\Air%20Taxi\Documents%20and%20Settings\youngan\Local%20Settings\Temporary%20Internet%20Files\OLK2\P%20&amp;%20L\Product%20Costs%2020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b-server\Air%20Taxi\Documents%20and%20Settings\Sunaman%20Sood\My%20Documents\Telecom\CD1\2002%20-%20Algeria%20v.18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MCO\SYS\FELICITA\MY98\MYR98REV\KIMMCO\WRITEUP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MCO\SYS\FELICITA\BP98\BP98FORM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ELICITA\BP98\BP98FORM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Sunaman%20Sood/My%20Documents/Air%20Taxi%20Model/Models/Air%20Taxi%20Model_8th%20Draft.xls" TargetMode="External"/><Relationship Id="rId1" Type="http://schemas.openxmlformats.org/officeDocument/2006/relationships/externalLinkPath" Target="/Documents%20and%20Settings/Sunaman%20Sood/My%20Documents/Air%20Taxi%20Model/Models/Air%20Taxi%20Model_8th%20Draf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MCO\DATA\IYER\MIS\98\BP1998\REV-BP98\MIS\97\OPR\10\OPR-OC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MCO\DATA\IYER\MIS\97\BP1998\BACKUP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MCO\DATA\IYER\MIS\98\OHEAD98\BACKUP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b-server\Air%20Taxi\My%20Documents\ShowTime%20Presentation\Board%20Meeting%20Oct%202001\aun_ugg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DPPGRAPH"/>
      <sheetName val="PGRAPH"/>
      <sheetName val="SERGRAP"/>
      <sheetName val="DEPQGRAPH"/>
      <sheetName val="GARAEQPGRAPH"/>
      <sheetName val="DATA"/>
    </sheetNames>
    <sheetDataSet>
      <sheetData sheetId="0">
        <row r="5">
          <cell r="AQ5" t="str">
            <v>/WGZY</v>
          </cell>
        </row>
        <row r="46">
          <cell r="B46" t="str">
            <v xml:space="preserve">    PARTS</v>
          </cell>
          <cell r="C46">
            <v>7.4</v>
          </cell>
          <cell r="D46">
            <v>13</v>
          </cell>
          <cell r="H46">
            <v>7.4</v>
          </cell>
        </row>
        <row r="48">
          <cell r="B48" t="str">
            <v xml:space="preserve">   SERVICE</v>
          </cell>
          <cell r="C48">
            <v>7</v>
          </cell>
          <cell r="D48">
            <v>4</v>
          </cell>
          <cell r="H48">
            <v>7</v>
          </cell>
        </row>
        <row r="50">
          <cell r="B50" t="str">
            <v xml:space="preserve">   EQUIPMENT</v>
          </cell>
          <cell r="D50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LES"/>
      <sheetName val="COVER"/>
      <sheetName val="INDEX"/>
      <sheetName val="INDEX-FIN"/>
      <sheetName val="5-FIN"/>
      <sheetName val="6-PVA"/>
      <sheetName val="7-NSM"/>
      <sheetName val="8-NSM2"/>
      <sheetName val="10-OVERH"/>
      <sheetName val="11-MAN"/>
      <sheetName val="12-BSHEET"/>
      <sheetName val="13-INV"/>
      <sheetName val="15-RAGE"/>
      <sheetName val="16-RAGM"/>
      <sheetName val="17-CFLOW"/>
      <sheetName val="18-CAPEX"/>
      <sheetName val="19-PERF"/>
      <sheetName val="20-EXP"/>
      <sheetName val="21-V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S"/>
      <sheetName val="FLASH"/>
      <sheetName val="EFR "/>
      <sheetName val="PROFIT-PERF"/>
      <sheetName val="PVA"/>
      <sheetName val="B-SHEET GRPNG"/>
      <sheetName val="BS"/>
      <sheetName val="cashflow-wkng"/>
      <sheetName val="CASHFLOW"/>
      <sheetName val="asset util-wkng"/>
      <sheetName val="ASSET-UT"/>
      <sheetName val="RECEIVABLES"/>
      <sheetName val="INVENTORY"/>
      <sheetName val="SALES"/>
      <sheetName val="DISTRICT PRO"/>
      <sheetName val="OVERHEAD"/>
      <sheetName val="PERF"/>
      <sheetName val="EXP"/>
      <sheetName val="OHVAR"/>
      <sheetName val="OT"/>
      <sheetName val="FACTORY"/>
      <sheetName val="PRODN"/>
      <sheetName val="MANPOWER"/>
      <sheetName val="AFE"/>
      <sheetName val="TEL-RPL SALES"/>
      <sheetName val="FACINGS-EFFCY"/>
      <sheetName val="RM-USAGE"/>
      <sheetName val="FREIGHT"/>
      <sheetName val="PPT-98"/>
      <sheetName val="LPG-DIESEL"/>
      <sheetName val="SPARES-CONS"/>
      <sheetName val="RPL - CAP UTIL"/>
      <sheetName val="FACTORY INFO-97"/>
      <sheetName val="VAR"/>
      <sheetName val="RM-1997"/>
      <sheetName val="PACKING-1997"/>
      <sheetName val="FACINGS-1997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  <sheetName val="TITLES"/>
      <sheetName val="FLASH"/>
      <sheetName val="EFR "/>
      <sheetName val="PROFIT-PERF"/>
      <sheetName val="PVA"/>
      <sheetName val="BS"/>
      <sheetName val="C-FLOW"/>
      <sheetName val="CASHFLOW"/>
      <sheetName val="ASSET-WK"/>
      <sheetName val="ASSET-UT"/>
      <sheetName val="RECEIVABLES"/>
      <sheetName val="INVENTORY"/>
      <sheetName val="DISTRICT PRO"/>
      <sheetName val="OVERHEAD"/>
      <sheetName val="PERF"/>
      <sheetName val="EXP"/>
      <sheetName val="OHVAR"/>
      <sheetName val="OT"/>
      <sheetName val="FACTORY"/>
      <sheetName val="PRODN"/>
      <sheetName val="MANPOWER"/>
      <sheetName val="AFE"/>
      <sheetName val="VAR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"/>
      <sheetName val="Sheet1"/>
      <sheetName val="Sheet2"/>
      <sheetName val="Sheet3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KIM-MIN"/>
      <sheetName val="VISION 2000"/>
      <sheetName val="03-MKT"/>
      <sheetName val="04-SHARE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SION 2000"/>
      <sheetName val="1-OBJ98 "/>
      <sheetName val="TITLES"/>
      <sheetName val="01-MIN"/>
      <sheetName val="GR-CURRENCY"/>
      <sheetName val="03-MKT"/>
      <sheetName val="03-MKSH"/>
      <sheetName val="3-COMPET"/>
    </sheetNames>
    <sheetDataSet>
      <sheetData sheetId="0">
        <row r="115">
          <cell r="B115" t="str">
            <v>ABLE TO CRUSH AND PROCESS</v>
          </cell>
        </row>
      </sheetData>
      <sheetData sheetId="1">
        <row r="1">
          <cell r="A1" t="str">
            <v>BUSINESS PLAN 1998</v>
          </cell>
        </row>
        <row r="2">
          <cell r="A2" t="str">
            <v>OPERATION : KIMMCO                                                                                  OBJECTIVES &amp; STRATEGIES</v>
          </cell>
        </row>
        <row r="3">
          <cell r="A3" t="str">
            <v>OBJECTIVES</v>
          </cell>
          <cell r="D3" t="str">
            <v>STRATEGIES</v>
          </cell>
          <cell r="E3" t="str">
            <v>ACTION PLANS/RESPONSIBILITY</v>
          </cell>
          <cell r="F3" t="str">
            <v>TGT.DATE</v>
          </cell>
          <cell r="G3" t="str">
            <v>STATUS</v>
          </cell>
        </row>
        <row r="5">
          <cell r="A5" t="str">
            <v xml:space="preserve">SELL A TOTAL OF 9500 TONS OF </v>
          </cell>
          <cell r="D5" t="str">
            <v>- RUN AT 9500T/Y NOMINAL CAPACITY ON</v>
          </cell>
          <cell r="E5" t="str">
            <v>- SET TARGETS FOR EACH SALES</v>
          </cell>
          <cell r="F5" t="str">
            <v>01.01.98</v>
          </cell>
        </row>
        <row r="6">
          <cell r="A6" t="str">
            <v>INSULATION PRODUCTS</v>
          </cell>
          <cell r="D6" t="str">
            <v xml:space="preserve">  330 WORKING DAYS</v>
          </cell>
          <cell r="E6" t="str">
            <v xml:space="preserve">  OFFICE AND MONITOR PER-</v>
          </cell>
        </row>
        <row r="7">
          <cell r="C7" t="str">
            <v>BUD ' 98</v>
          </cell>
          <cell r="D7" t="str">
            <v xml:space="preserve"> </v>
          </cell>
          <cell r="E7" t="str">
            <v xml:space="preserve">  FORMANCE ON A WEEKLY BASIS </v>
          </cell>
        </row>
        <row r="8">
          <cell r="A8" t="str">
            <v xml:space="preserve">MT                            </v>
          </cell>
          <cell r="C8">
            <v>5475</v>
          </cell>
          <cell r="D8" t="str">
            <v xml:space="preserve"> </v>
          </cell>
          <cell r="E8" t="str">
            <v xml:space="preserve">  (ARD/SAS)</v>
          </cell>
        </row>
        <row r="9">
          <cell r="A9" t="str">
            <v xml:space="preserve">KD'000 </v>
          </cell>
          <cell r="D9" t="str">
            <v>- ACHIEVE 7700 TONS SALES IN PRIMARY</v>
          </cell>
        </row>
        <row r="10">
          <cell r="D10" t="str">
            <v xml:space="preserve">  MARKET OR 81%  MARKET SHARE AND 1800</v>
          </cell>
          <cell r="E10" t="str">
            <v>- CONVINCE AFICO TO STICK TO IMA</v>
          </cell>
          <cell r="F10" t="str">
            <v>01.01.98</v>
          </cell>
        </row>
        <row r="11">
          <cell r="A11" t="str">
            <v>NET PROFIT</v>
          </cell>
          <cell r="D11" t="str">
            <v xml:space="preserve">  TONS SALES IN SECONDARY MARKET</v>
          </cell>
        </row>
        <row r="12">
          <cell r="A12" t="str">
            <v xml:space="preserve">KD'000 </v>
          </cell>
          <cell r="C12">
            <v>2101</v>
          </cell>
          <cell r="D12" t="str">
            <v xml:space="preserve">  OR 19% MARKET SHARE</v>
          </cell>
          <cell r="E12" t="str">
            <v>- CONVINCE AFICO TO ALIGN CREDIT</v>
          </cell>
          <cell r="F12" t="str">
            <v>01.01.98</v>
          </cell>
        </row>
        <row r="13">
          <cell r="E13" t="str">
            <v xml:space="preserve">   POLICY ON KIMMCO'S ONE</v>
          </cell>
        </row>
        <row r="14">
          <cell r="E14" t="str">
            <v xml:space="preserve">   (ARD/AREA SALES MANAGER)</v>
          </cell>
        </row>
        <row r="16">
          <cell r="E16" t="str">
            <v>- OBTAIN NECESSARY APPROVALS</v>
          </cell>
          <cell r="F16" t="str">
            <v>ON DAILY</v>
          </cell>
        </row>
        <row r="17">
          <cell r="E17" t="str">
            <v xml:space="preserve">  FOR DISCOUNT LEVEL TO JUSTIFY</v>
          </cell>
          <cell r="F17" t="str">
            <v>BASIS</v>
          </cell>
        </row>
        <row r="18">
          <cell r="E18" t="str">
            <v xml:space="preserve">  PRICE/VOLUME MARGIN </v>
          </cell>
        </row>
        <row r="19">
          <cell r="E19" t="str">
            <v xml:space="preserve">  CONTRIBUTION BASED ON MARKET</v>
          </cell>
        </row>
        <row r="20">
          <cell r="E20" t="str">
            <v xml:space="preserve">  CONDITIONS (SALES ENGINEERS)</v>
          </cell>
          <cell r="F20" t="str">
            <v xml:space="preserve"> </v>
          </cell>
        </row>
        <row r="21">
          <cell r="F21" t="str">
            <v xml:space="preserve"> </v>
          </cell>
        </row>
        <row r="22">
          <cell r="E22" t="str">
            <v>- IMPLEMENT A FIELD SALES</v>
          </cell>
          <cell r="F22" t="str">
            <v>01.01.98</v>
          </cell>
        </row>
        <row r="23">
          <cell r="E23" t="str">
            <v xml:space="preserve">  INCENTIVE PLAN AFTER EXEC.</v>
          </cell>
        </row>
        <row r="24">
          <cell r="E24" t="str">
            <v xml:space="preserve">  COMMITTEE'S APPROVAL</v>
          </cell>
        </row>
        <row r="25">
          <cell r="E25" t="str">
            <v xml:space="preserve">  (ARD/H. RESOURCES/RAM)</v>
          </cell>
        </row>
        <row r="27">
          <cell r="E27" t="str">
            <v>- MAINTAIN PRESSURE ON SAINT</v>
          </cell>
          <cell r="F27" t="str">
            <v>01.01.98</v>
          </cell>
        </row>
        <row r="28">
          <cell r="E28" t="str">
            <v xml:space="preserve">  GOBAIN TO GET ISO IRAN OUT OF KUWAIT</v>
          </cell>
          <cell r="F28" t="str">
            <v xml:space="preserve"> </v>
          </cell>
        </row>
        <row r="29">
          <cell r="E29" t="str">
            <v xml:space="preserve">   AND G+H AND IZOCAM OUT OF UAE.</v>
          </cell>
        </row>
        <row r="30">
          <cell r="E30" t="str">
            <v xml:space="preserve">   (ARD)</v>
          </cell>
        </row>
        <row r="32">
          <cell r="D32" t="str">
            <v xml:space="preserve"> </v>
          </cell>
          <cell r="E32" t="str">
            <v>- DEVELOP A DYNAMIC ADVERTISING</v>
          </cell>
          <cell r="F32" t="str">
            <v>01.01.98</v>
          </cell>
        </row>
        <row r="33">
          <cell r="D33" t="str">
            <v xml:space="preserve"> </v>
          </cell>
          <cell r="E33" t="str">
            <v xml:space="preserve">  PLAN CONSISTENT WITH 98</v>
          </cell>
        </row>
        <row r="34">
          <cell r="D34" t="str">
            <v xml:space="preserve"> </v>
          </cell>
          <cell r="E34" t="str">
            <v xml:space="preserve">  KIMMCO'S OBJECTIVES.</v>
          </cell>
          <cell r="F34" t="str">
            <v xml:space="preserve"> </v>
          </cell>
        </row>
        <row r="35">
          <cell r="D35" t="str">
            <v xml:space="preserve"> </v>
          </cell>
          <cell r="E35" t="str">
            <v xml:space="preserve">  (ARD/YQ)</v>
          </cell>
        </row>
        <row r="36">
          <cell r="D36" t="str">
            <v xml:space="preserve"> </v>
          </cell>
        </row>
        <row r="37">
          <cell r="E37" t="str">
            <v>-  INCREASE RP SECTION SALES IN GCC</v>
          </cell>
          <cell r="F37" t="str">
            <v>01.01.98</v>
          </cell>
        </row>
        <row r="38">
          <cell r="E38" t="str">
            <v xml:space="preserve">   BY CHANGING SPECIFICATIONS WITH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ldman Valuation"/>
      <sheetName val="DLJ Valuation"/>
      <sheetName val="Assumptions"/>
      <sheetName val="Op Projection"/>
      <sheetName val="Income"/>
      <sheetName val="Capital"/>
      <sheetName val="Sources&amp;Uses"/>
      <sheetName val="Network"/>
      <sheetName val="Staffing"/>
      <sheetName val="Control"/>
      <sheetName val="Balance"/>
      <sheetName val="Stats-Pub"/>
      <sheetName val="Balance-Pub"/>
      <sheetName val="Income-Pub"/>
      <sheetName val="Cash Flow-Pub"/>
      <sheetName val="Export"/>
      <sheetName val="Macros"/>
    </sheetNames>
    <sheetDataSet>
      <sheetData sheetId="0" refreshError="1"/>
      <sheetData sheetId="1" refreshError="1"/>
      <sheetData sheetId="2" refreshError="1">
        <row r="10">
          <cell r="B10">
            <v>1999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 Costs 2003.+"/>
      <sheetName val="Product Costs"/>
      <sheetName val="Summary GE Channels"/>
      <sheetName val="TMC % Splits"/>
      <sheetName val="Calcs."/>
      <sheetName val="Sheet2"/>
      <sheetName val="Committed"/>
      <sheetName val="Product Costs UAE"/>
      <sheetName val="Product Costs KSA"/>
      <sheetName val="Product Costs Kuwait"/>
      <sheetName val="Product Costs Egypt"/>
      <sheetName val="Product Costs Others"/>
      <sheetName val="Egypt LRP Assump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arameters"/>
      <sheetName val="Dashboard"/>
      <sheetName val="Snapshot"/>
      <sheetName val="WACC"/>
      <sheetName val="DCF Valuation"/>
      <sheetName val="Equity Valuation"/>
      <sheetName val="Public Wealth"/>
      <sheetName val="Economics"/>
      <sheetName val="Regulations"/>
      <sheetName val="Geographical"/>
      <sheetName val="Potential Market"/>
      <sheetName val="Postpaid Plans"/>
      <sheetName val="Prepaid Plans"/>
      <sheetName val="VAS &amp; Roaming"/>
      <sheetName val="Connection Fees"/>
      <sheetName val="Deposits"/>
      <sheetName val="Outgoing Tariffs"/>
      <sheetName val="Incoming Tariffs"/>
      <sheetName val="Interconnect Splits"/>
      <sheetName val="Minutes of Use"/>
      <sheetName val="Network Inputs"/>
      <sheetName val="Network Dimensioning"/>
      <sheetName val="Network Suppliers"/>
      <sheetName val="Network Expenses"/>
      <sheetName val="Commercial Expenses"/>
      <sheetName val="Interconnect Expenses"/>
      <sheetName val="Operating Expenses"/>
      <sheetName val="Revenues"/>
      <sheetName val="Capital Expenses"/>
      <sheetName val="Depreciation"/>
      <sheetName val="Profit &amp; Loss"/>
      <sheetName val="Balance Sheet"/>
      <sheetName val="Cash Flow"/>
      <sheetName val="Financing Plan"/>
      <sheetName val="Bank Loans"/>
      <sheetName val="Supplier Loans"/>
      <sheetName val="Local Loans"/>
      <sheetName val="Shareholder Loans"/>
      <sheetName val="Comment DB"/>
      <sheetName val="Graph Data"/>
      <sheetName val="Consolidation"/>
      <sheetName val="Total Market Evol"/>
      <sheetName val="Market Evol"/>
      <sheetName val="Market Split Evol"/>
      <sheetName val="Sales Evol"/>
      <sheetName val="Gross Adds Evol"/>
      <sheetName val="Connection Fee Evol"/>
      <sheetName val="Postpaid Tariff Evol"/>
      <sheetName val="Prepaid Tariff Evol"/>
      <sheetName val="Postpaid Usage Evol"/>
      <sheetName val="Prepaid Usage Evol"/>
      <sheetName val="Usage Evol"/>
      <sheetName val="ARPU Evol"/>
      <sheetName val="Cash Flow Evol"/>
      <sheetName val="OPEX Evol"/>
      <sheetName val="OPEX per Sub Evol"/>
      <sheetName val="Productivity Evol"/>
      <sheetName val="CAPEX Evol"/>
      <sheetName val="Revenue Evol"/>
      <sheetName val="Sensitivity Chart 1"/>
      <sheetName val="Sensitivity Chart 2"/>
      <sheetName val="Sensitivity Chart 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SION 2000"/>
      <sheetName val="INDEX"/>
      <sheetName val="KIM-MIN"/>
      <sheetName val="2-OBJ98 "/>
      <sheetName val="03-MKT"/>
      <sheetName val="04-SHARE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-OBJ98 "/>
      <sheetName val="01-MIN"/>
      <sheetName val="GR-CURRENCY"/>
      <sheetName val="VISION 2000"/>
      <sheetName val="3-COMPET"/>
    </sheetNames>
    <sheetDataSet>
      <sheetData sheetId="0" refreshError="1">
        <row r="1">
          <cell r="A1" t="str">
            <v>BUSINESS PLAN 1998</v>
          </cell>
        </row>
        <row r="2">
          <cell r="A2" t="str">
            <v>OPERATION : KIMMCO                                                                                  OBJECTIVES &amp; STRATEGIES</v>
          </cell>
        </row>
        <row r="3">
          <cell r="A3" t="str">
            <v>OBJECTIVES</v>
          </cell>
          <cell r="D3" t="str">
            <v>STRATEGIES</v>
          </cell>
          <cell r="E3" t="str">
            <v>ACTION PLANS/RESPONSIBILITY</v>
          </cell>
          <cell r="F3" t="str">
            <v>TGT.DATE</v>
          </cell>
          <cell r="G3" t="str">
            <v>STATUS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-MIN"/>
      <sheetName val="GR-CURRENCY"/>
      <sheetName val="VISION 2000"/>
      <sheetName val="1-OBJ98 "/>
      <sheetName val="03-MKT"/>
      <sheetName val="03-MKSH"/>
      <sheetName val="3-COMPET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BUSINESS PLAN 1998</v>
          </cell>
        </row>
        <row r="2">
          <cell r="A2" t="str">
            <v>OPERATION : KIMMCO                                                                                  OBJECTIVES &amp; STRATEGIES</v>
          </cell>
        </row>
        <row r="3">
          <cell r="A3" t="str">
            <v>OBJECTIVES</v>
          </cell>
          <cell r="D3" t="str">
            <v>STRATEGIES</v>
          </cell>
          <cell r="E3" t="str">
            <v>ACTION PLANS/RESPONSIBILITY</v>
          </cell>
          <cell r="F3" t="str">
            <v>TGT.DATE</v>
          </cell>
          <cell r="G3" t="str">
            <v>STATUS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Sheet Index"/>
      <sheetName val="Summary"/>
      <sheetName val="Operational Highlights"/>
      <sheetName val="Financial Highlights"/>
      <sheetName val="Net Present Value"/>
      <sheetName val="Scenario Analysis"/>
      <sheetName val="Ratio Analysis"/>
      <sheetName val="Page Break"/>
      <sheetName val="Key Assumptions"/>
      <sheetName val="Key Assumptions-Sc 1"/>
      <sheetName val="Key Assumptions-Sc 2"/>
      <sheetName val="Key Assumptions-Sc 3"/>
      <sheetName val="Key Assumptions-Sc 4"/>
      <sheetName val="Key Assumptions-Sc 5"/>
      <sheetName val="Assumptions"/>
      <sheetName val="Page Break (2)"/>
      <sheetName val="Profit &amp; Loss Statement"/>
      <sheetName val="Balance Sheet"/>
      <sheetName val="Cash Flow"/>
      <sheetName val="Page Break (3)"/>
      <sheetName val="Sector Analysis"/>
      <sheetName val="Pricing &amp; Profits per Sector"/>
      <sheetName val="Customers - Sector"/>
      <sheetName val="Revenue"/>
      <sheetName val="Revenue %"/>
      <sheetName val="Route Sensitivity"/>
      <sheetName val="Manual Route Selection"/>
      <sheetName val="Contribution - Passenger Miles"/>
      <sheetName val="Total Contribution"/>
      <sheetName val="Page Break (4)"/>
      <sheetName val="Direct Costs"/>
      <sheetName val="Crew &amp; Aircraft Req"/>
      <sheetName val="Crew Cost"/>
      <sheetName val="Fuel Cost"/>
      <sheetName val="Maintenance Cost"/>
      <sheetName val="Airport Fees"/>
      <sheetName val="Navigation Fees"/>
      <sheetName val="Customer Service"/>
      <sheetName val="Insurance"/>
      <sheetName val="Depreciation"/>
      <sheetName val="Working Capital"/>
      <sheetName val="Capital Requirements"/>
      <sheetName val="Cost of Capital"/>
      <sheetName val="Aircraft Lease"/>
      <sheetName val="Fuel Price Sensitivity"/>
      <sheetName val="Benchmarking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  <sheetName val="TITLES"/>
      <sheetName val="FLASH"/>
      <sheetName val="EFR "/>
      <sheetName val="PROFIT-PERF"/>
      <sheetName val="PVA"/>
      <sheetName val="BS"/>
      <sheetName val="C-FLOW"/>
      <sheetName val="CASHFLOW"/>
      <sheetName val="ASSET-WK"/>
      <sheetName val="ASSET-UT"/>
      <sheetName val="RECEIVABLES"/>
      <sheetName val="INVENTORY"/>
      <sheetName val="DISTRICT PRO"/>
      <sheetName val="OVERHEAD"/>
      <sheetName val="PERF"/>
      <sheetName val="EXP"/>
      <sheetName val="OHVAR"/>
      <sheetName val="OT"/>
      <sheetName val="FACTORY"/>
      <sheetName val="PRODN"/>
      <sheetName val="MANPOWER"/>
      <sheetName val="AFE"/>
      <sheetName val="VAR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 SUM"/>
      <sheetName val="SLY-SUMMARY"/>
      <sheetName val="HEADCOUNT"/>
      <sheetName val="BU-SLY TOTAL"/>
      <sheetName val="BU-INCENTIVE"/>
      <sheetName val="BU-GR LIFE"/>
      <sheetName val="BU-MFNG OH"/>
      <sheetName val="BU-COMMUNICATIONS"/>
      <sheetName val="BU-B TRAVEL"/>
      <sheetName val="BU-RENTAL"/>
      <sheetName val="BU-SUNDRIES"/>
      <sheetName val="CAPEX-97"/>
      <sheetName val="CAPEX-98"/>
      <sheetName val="DEPN-SCHDL"/>
      <sheetName val="BU-SPAREPARTS98"/>
      <sheetName val="BU-CONSUMABLES"/>
      <sheetName val="MODEL"/>
      <sheetName val="VSE"/>
      <sheetName val="energy"/>
      <sheetName val="RM COST"/>
      <sheetName val="PACKING COST"/>
      <sheetName val="financecost"/>
      <sheetName val="fixed asset cost"/>
      <sheetName val="CONTRN BY DISTRICT"/>
      <sheetName val="TIT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 SUM"/>
      <sheetName val="SLY-SUMMARY"/>
      <sheetName val="HEADCOUNT"/>
      <sheetName val="BU-SLY TOTAL"/>
      <sheetName val="BU-INCENTIVE"/>
      <sheetName val="BU-GR LIFE"/>
      <sheetName val="BU-MFNG OH"/>
      <sheetName val="BU-COMMUNICATIONS"/>
      <sheetName val="BU-B TRAVEL"/>
      <sheetName val="BU-RENTAL"/>
      <sheetName val="BU-SUNDRIES"/>
      <sheetName val="CAPEX-97"/>
      <sheetName val="CAPEX-98"/>
      <sheetName val="DEPN-SCHDL"/>
      <sheetName val="BU-SPAREPARTS98"/>
      <sheetName val="BU-CONSUMABLES"/>
      <sheetName val="MODEL"/>
      <sheetName val="VSE"/>
      <sheetName val="energy"/>
      <sheetName val="RM COST"/>
      <sheetName val="PACKING COST"/>
      <sheetName val="financecost"/>
      <sheetName val="fixed asset cost"/>
      <sheetName val="CONTRN BY DISTRICT"/>
      <sheetName val="TIT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n"/>
      <sheetName val="multiples"/>
      <sheetName val="dcf"/>
      <sheetName val="epsdps"/>
      <sheetName val="income"/>
      <sheetName val="cash"/>
      <sheetName val="balance"/>
      <sheetName val="divsumm"/>
      <sheetName val="paytv_revenue"/>
      <sheetName val="paytv_costs"/>
      <sheetName val="saturn"/>
      <sheetName val="xyz"/>
      <sheetName val="interactive_tv"/>
      <sheetName val="isp"/>
      <sheetName val="mobile"/>
      <sheetName val="mmds"/>
      <sheetName val="tvsn"/>
      <sheetName val="corporate"/>
      <sheetName val="capex"/>
      <sheetName val="quarters"/>
      <sheetName val="GE3"/>
      <sheetName val="subvalue"/>
      <sheetName val="summary"/>
    </sheetNames>
    <sheetDataSet>
      <sheetData sheetId="0"/>
      <sheetData sheetId="1"/>
      <sheetData sheetId="2">
        <row r="9">
          <cell r="C9">
            <v>0.47</v>
          </cell>
        </row>
        <row r="73">
          <cell r="C73">
            <v>714.09858099999997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showGridLines="0" topLeftCell="A28" zoomScale="85" zoomScaleNormal="85" workbookViewId="0">
      <selection activeCell="A28" sqref="A28:J54"/>
    </sheetView>
  </sheetViews>
  <sheetFormatPr defaultColWidth="9.21875" defaultRowHeight="13.2"/>
  <cols>
    <col min="1" max="1" width="25.77734375" style="1" customWidth="1"/>
    <col min="2" max="3" width="10.77734375" style="1" customWidth="1"/>
    <col min="4" max="4" width="11.21875" style="1" bestFit="1" customWidth="1"/>
    <col min="5" max="5" width="10.77734375" style="1" customWidth="1"/>
    <col min="6" max="6" width="8.21875" style="1" customWidth="1"/>
    <col min="7" max="7" width="10" style="1" customWidth="1"/>
    <col min="8" max="8" width="10.77734375" style="1" customWidth="1"/>
    <col min="9" max="9" width="10" style="1" customWidth="1"/>
    <col min="10" max="11" width="10.77734375" style="1" customWidth="1"/>
    <col min="12" max="16384" width="9.21875" style="1"/>
  </cols>
  <sheetData>
    <row r="1" spans="1:11" ht="15.6">
      <c r="A1" s="11" t="s">
        <v>79</v>
      </c>
      <c r="B1" s="12"/>
    </row>
    <row r="2" spans="1:11" ht="15.6">
      <c r="A2" s="40" t="s">
        <v>6</v>
      </c>
      <c r="B2" s="41"/>
      <c r="C2" s="42"/>
      <c r="D2" s="42"/>
      <c r="E2" s="42"/>
      <c r="F2" s="42"/>
      <c r="G2" s="42"/>
      <c r="H2" s="42"/>
      <c r="I2" s="42"/>
      <c r="J2" s="43"/>
    </row>
    <row r="3" spans="1:11">
      <c r="A3" s="44" t="s">
        <v>80</v>
      </c>
      <c r="J3" s="45"/>
    </row>
    <row r="4" spans="1:11">
      <c r="A4" s="46"/>
      <c r="B4" s="8">
        <f t="shared" ref="B4:C4" si="0">C4-1</f>
        <v>2021</v>
      </c>
      <c r="C4" s="8">
        <f t="shared" si="0"/>
        <v>2022</v>
      </c>
      <c r="D4" s="8">
        <f>E4-1</f>
        <v>2023</v>
      </c>
      <c r="E4" s="8">
        <v>2024</v>
      </c>
      <c r="F4" s="8">
        <f t="shared" ref="F4:J4" si="1">+E4+1</f>
        <v>2025</v>
      </c>
      <c r="G4" s="8">
        <f t="shared" si="1"/>
        <v>2026</v>
      </c>
      <c r="H4" s="8">
        <f t="shared" si="1"/>
        <v>2027</v>
      </c>
      <c r="I4" s="8">
        <f t="shared" si="1"/>
        <v>2028</v>
      </c>
      <c r="J4" s="47">
        <f t="shared" si="1"/>
        <v>2029</v>
      </c>
    </row>
    <row r="5" spans="1:11">
      <c r="A5" s="46"/>
      <c r="B5" s="10"/>
      <c r="C5" s="10"/>
      <c r="D5" s="10"/>
      <c r="E5" s="10"/>
      <c r="F5" s="10"/>
      <c r="G5" s="10"/>
      <c r="H5" s="10"/>
      <c r="I5" s="10"/>
      <c r="J5" s="48"/>
    </row>
    <row r="6" spans="1:11">
      <c r="A6" s="46" t="s">
        <v>0</v>
      </c>
      <c r="B6" s="49">
        <v>75.790000000000006</v>
      </c>
      <c r="C6" s="9">
        <v>94.26</v>
      </c>
      <c r="D6" s="9">
        <v>108.26</v>
      </c>
      <c r="E6" s="9">
        <v>125.1</v>
      </c>
      <c r="F6" s="9">
        <f>F29</f>
        <v>150.3467057426214</v>
      </c>
      <c r="G6" s="9">
        <f t="shared" ref="G6:J6" si="2">G29</f>
        <v>182.19197167499925</v>
      </c>
      <c r="H6" s="9">
        <f t="shared" si="2"/>
        <v>222.60437303932832</v>
      </c>
      <c r="I6" s="9">
        <f t="shared" si="2"/>
        <v>274.20678163374276</v>
      </c>
      <c r="J6" s="50">
        <f t="shared" si="2"/>
        <v>340.51332570915122</v>
      </c>
      <c r="K6" s="5"/>
    </row>
    <row r="7" spans="1:11">
      <c r="A7" s="46"/>
      <c r="B7" s="49"/>
      <c r="C7" s="9"/>
      <c r="D7" s="9"/>
      <c r="E7" s="9"/>
      <c r="F7" s="9"/>
      <c r="G7" s="9"/>
      <c r="H7" s="9"/>
      <c r="I7" s="9"/>
      <c r="J7" s="50"/>
    </row>
    <row r="8" spans="1:11">
      <c r="A8" s="46" t="s">
        <v>1</v>
      </c>
      <c r="B8" s="49">
        <v>49.39</v>
      </c>
      <c r="C8" s="9">
        <v>59.83</v>
      </c>
      <c r="D8" s="9">
        <v>69.540000000000006</v>
      </c>
      <c r="E8" s="9">
        <v>81.77</v>
      </c>
      <c r="F8" s="9">
        <f>F31</f>
        <v>96.621964953770885</v>
      </c>
      <c r="G8" s="9">
        <f t="shared" ref="G8:J8" si="3">G31</f>
        <v>115.04110449059749</v>
      </c>
      <c r="H8" s="9">
        <f t="shared" si="3"/>
        <v>138.64481052620556</v>
      </c>
      <c r="I8" s="9">
        <f t="shared" si="3"/>
        <v>168.37390169248334</v>
      </c>
      <c r="J8" s="50">
        <f t="shared" si="3"/>
        <v>206.03514991969078</v>
      </c>
    </row>
    <row r="9" spans="1:11">
      <c r="A9" s="46"/>
      <c r="B9" s="49"/>
      <c r="C9" s="9"/>
      <c r="D9" s="9"/>
      <c r="E9" s="9"/>
      <c r="F9" s="9"/>
      <c r="G9" s="9"/>
      <c r="H9" s="9"/>
      <c r="I9" s="9"/>
      <c r="J9" s="50"/>
    </row>
    <row r="10" spans="1:11">
      <c r="A10" s="46" t="s">
        <v>2</v>
      </c>
      <c r="B10" s="49">
        <f>SUM(B11:B12)</f>
        <v>22.6</v>
      </c>
      <c r="C10" s="49">
        <f>SUM(C11:C12)</f>
        <v>29.3</v>
      </c>
      <c r="D10" s="49">
        <f>SUM(D11:D12)</f>
        <v>32.5</v>
      </c>
      <c r="E10" s="49">
        <f>SUM(E11:E12)</f>
        <v>37.299999999999997</v>
      </c>
      <c r="F10" s="49">
        <f>SUM(F11:F12)</f>
        <v>39.792529742986076</v>
      </c>
      <c r="G10" s="49">
        <f t="shared" ref="G10:J10" si="4">SUM(G11:G12)</f>
        <v>44.049220972566573</v>
      </c>
      <c r="H10" s="49">
        <f t="shared" si="4"/>
        <v>49.219721675688874</v>
      </c>
      <c r="I10" s="49">
        <f t="shared" si="4"/>
        <v>55.555317200113812</v>
      </c>
      <c r="J10" s="51">
        <f t="shared" si="4"/>
        <v>63.389497240668781</v>
      </c>
    </row>
    <row r="11" spans="1:11" s="4" customFormat="1">
      <c r="A11" s="52" t="s">
        <v>34</v>
      </c>
      <c r="B11" s="53">
        <v>14</v>
      </c>
      <c r="C11" s="25">
        <v>20</v>
      </c>
      <c r="D11" s="25">
        <v>22</v>
      </c>
      <c r="E11" s="25">
        <v>25</v>
      </c>
      <c r="F11" s="25">
        <f>F36</f>
        <v>26.26132622615015</v>
      </c>
      <c r="G11" s="25">
        <f t="shared" ref="G11:J11" si="5">G36</f>
        <v>27.651943521816641</v>
      </c>
      <c r="H11" s="25">
        <f t="shared" si="5"/>
        <v>29.185328102149324</v>
      </c>
      <c r="I11" s="25">
        <f t="shared" si="5"/>
        <v>30.876706853076964</v>
      </c>
      <c r="J11" s="54">
        <f t="shared" si="5"/>
        <v>32.743297926845173</v>
      </c>
    </row>
    <row r="12" spans="1:11" s="4" customFormat="1">
      <c r="A12" s="52" t="s">
        <v>35</v>
      </c>
      <c r="B12" s="53">
        <v>8.6</v>
      </c>
      <c r="C12" s="25">
        <v>9.3000000000000007</v>
      </c>
      <c r="D12" s="25">
        <v>10.5</v>
      </c>
      <c r="E12" s="25">
        <v>12.3</v>
      </c>
      <c r="F12" s="25">
        <f>F38</f>
        <v>13.531203516835925</v>
      </c>
      <c r="G12" s="25">
        <f t="shared" ref="G12:J12" si="6">G38</f>
        <v>16.397277450749932</v>
      </c>
      <c r="H12" s="25">
        <f t="shared" si="6"/>
        <v>20.03439357353955</v>
      </c>
      <c r="I12" s="25">
        <f t="shared" si="6"/>
        <v>24.678610347036848</v>
      </c>
      <c r="J12" s="54">
        <f t="shared" si="6"/>
        <v>30.646199313823608</v>
      </c>
    </row>
    <row r="13" spans="1:11" s="4" customFormat="1">
      <c r="A13" s="52"/>
      <c r="B13" s="53"/>
      <c r="C13" s="25"/>
      <c r="D13" s="25"/>
      <c r="E13" s="25"/>
      <c r="F13" s="25"/>
      <c r="G13" s="25"/>
      <c r="H13" s="25"/>
      <c r="I13" s="25"/>
      <c r="J13" s="54"/>
    </row>
    <row r="14" spans="1:11" s="4" customFormat="1">
      <c r="A14" s="46" t="s">
        <v>36</v>
      </c>
      <c r="B14" s="53"/>
      <c r="C14" s="25"/>
      <c r="D14" s="25"/>
      <c r="E14" s="25">
        <v>0.2</v>
      </c>
      <c r="F14" s="25">
        <f>F44</f>
        <v>1.5034670574262139</v>
      </c>
      <c r="G14" s="25">
        <f t="shared" ref="G14:J14" si="7">G44</f>
        <v>1.8219197167499925</v>
      </c>
      <c r="H14" s="25">
        <f t="shared" si="7"/>
        <v>2.2260437303932834</v>
      </c>
      <c r="I14" s="25">
        <f t="shared" si="7"/>
        <v>2.7420678163374279</v>
      </c>
      <c r="J14" s="54">
        <f t="shared" si="7"/>
        <v>3.4051332570915123</v>
      </c>
    </row>
    <row r="15" spans="1:11" s="4" customFormat="1">
      <c r="A15" s="46"/>
      <c r="B15" s="53"/>
      <c r="C15" s="25"/>
      <c r="D15" s="25"/>
      <c r="E15" s="25"/>
      <c r="F15" s="25"/>
      <c r="G15" s="25"/>
      <c r="H15" s="25"/>
      <c r="I15" s="25"/>
      <c r="J15" s="54"/>
    </row>
    <row r="16" spans="1:11">
      <c r="A16" s="46" t="s">
        <v>29</v>
      </c>
      <c r="B16" s="49">
        <v>1.71</v>
      </c>
      <c r="C16" s="9">
        <v>2.1800000000000002</v>
      </c>
      <c r="D16" s="9">
        <v>2.81</v>
      </c>
      <c r="E16" s="9">
        <v>3.54</v>
      </c>
      <c r="F16" s="55">
        <f>F42</f>
        <v>2.7509999999999999</v>
      </c>
      <c r="G16" s="55">
        <f t="shared" ref="G16:J16" si="8">G42</f>
        <v>2.7133499999999997</v>
      </c>
      <c r="H16" s="55">
        <f t="shared" si="8"/>
        <v>2.6063475</v>
      </c>
      <c r="I16" s="55">
        <f t="shared" si="8"/>
        <v>2.065395375</v>
      </c>
      <c r="J16" s="56">
        <f t="shared" si="8"/>
        <v>2.3555860687500001</v>
      </c>
    </row>
    <row r="17" spans="1:10">
      <c r="A17" s="46"/>
      <c r="B17" s="49"/>
      <c r="C17" s="9"/>
      <c r="D17" s="9"/>
      <c r="E17" s="9"/>
      <c r="F17" s="9"/>
      <c r="G17" s="9"/>
      <c r="H17" s="9"/>
      <c r="I17" s="9"/>
      <c r="J17" s="50"/>
    </row>
    <row r="18" spans="1:10">
      <c r="A18" s="46" t="s">
        <v>3</v>
      </c>
      <c r="B18" s="49">
        <v>0.27</v>
      </c>
      <c r="C18" s="9">
        <v>0.45</v>
      </c>
      <c r="D18" s="9">
        <v>0.32</v>
      </c>
      <c r="E18" s="9">
        <v>0.81</v>
      </c>
      <c r="F18" s="9">
        <f>F48</f>
        <v>1.4308000000000003</v>
      </c>
      <c r="G18" s="9">
        <f t="shared" ref="G18:J18" si="9">G48</f>
        <v>1.8264</v>
      </c>
      <c r="H18" s="9">
        <f t="shared" si="9"/>
        <v>1.6464000000000001</v>
      </c>
      <c r="I18" s="9">
        <f t="shared" si="9"/>
        <v>1.1664000000000001</v>
      </c>
      <c r="J18" s="50">
        <f t="shared" si="9"/>
        <v>0.98640000000000005</v>
      </c>
    </row>
    <row r="19" spans="1:10">
      <c r="A19" s="46"/>
      <c r="B19" s="49"/>
      <c r="C19" s="9"/>
      <c r="D19" s="9"/>
      <c r="E19" s="9"/>
      <c r="F19" s="9"/>
      <c r="G19" s="9"/>
      <c r="H19" s="9"/>
      <c r="I19" s="9"/>
      <c r="J19" s="50"/>
    </row>
    <row r="20" spans="1:10">
      <c r="A20" s="46" t="s">
        <v>4</v>
      </c>
      <c r="B20" s="49">
        <v>0.64050000000000196</v>
      </c>
      <c r="C20" s="9">
        <v>0.86100000000000232</v>
      </c>
      <c r="D20" s="9">
        <v>1.2279999999999984</v>
      </c>
      <c r="E20" s="9">
        <v>0.68800000000000017</v>
      </c>
      <c r="F20" s="9">
        <f>F51</f>
        <v>2.4740831965314665</v>
      </c>
      <c r="G20" s="9">
        <f t="shared" ref="G20:J20" si="10">G51</f>
        <v>5.0219929485255594</v>
      </c>
      <c r="H20" s="9">
        <f t="shared" si="10"/>
        <v>8.4783148821121816</v>
      </c>
      <c r="I20" s="9">
        <f t="shared" si="10"/>
        <v>13.291109864942454</v>
      </c>
      <c r="J20" s="50">
        <f t="shared" si="10"/>
        <v>19.302467766885041</v>
      </c>
    </row>
    <row r="21" spans="1:10">
      <c r="A21" s="46"/>
      <c r="B21" s="9"/>
      <c r="C21" s="9"/>
      <c r="D21" s="9"/>
      <c r="E21" s="9"/>
      <c r="F21" s="9"/>
      <c r="G21" s="9"/>
      <c r="H21" s="9"/>
      <c r="I21" s="9"/>
      <c r="J21" s="50"/>
    </row>
    <row r="22" spans="1:10">
      <c r="A22" s="57" t="s">
        <v>5</v>
      </c>
      <c r="B22" s="19">
        <v>0</v>
      </c>
      <c r="C22" s="19">
        <v>0</v>
      </c>
      <c r="D22" s="19">
        <v>0</v>
      </c>
      <c r="E22" s="19">
        <v>0</v>
      </c>
      <c r="F22" s="19">
        <f>F54</f>
        <v>0.28864303959533777</v>
      </c>
      <c r="G22" s="19">
        <f t="shared" ref="G22:J22" si="11">G54</f>
        <v>0.58589917732798191</v>
      </c>
      <c r="H22" s="19">
        <f t="shared" si="11"/>
        <v>0.98913673624642129</v>
      </c>
      <c r="I22" s="19">
        <f t="shared" si="11"/>
        <v>1.5506294842432862</v>
      </c>
      <c r="J22" s="58">
        <f t="shared" si="11"/>
        <v>2.2519545728032546</v>
      </c>
    </row>
    <row r="23" spans="1:10"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B24" s="2"/>
      <c r="C24" s="2"/>
      <c r="D24" s="2"/>
      <c r="E24" s="2"/>
      <c r="F24" s="2"/>
      <c r="G24" s="2"/>
      <c r="H24" s="2"/>
      <c r="I24" s="2"/>
      <c r="J24" s="2"/>
    </row>
    <row r="25" spans="1:10" ht="13.8">
      <c r="A25" s="16" t="s">
        <v>42</v>
      </c>
      <c r="B25" s="17"/>
      <c r="C25" s="17"/>
      <c r="D25" s="17"/>
      <c r="E25" s="17"/>
      <c r="F25" s="17"/>
      <c r="G25" s="17"/>
      <c r="H25" s="17"/>
      <c r="I25" s="17"/>
      <c r="J25" s="17"/>
    </row>
    <row r="26" spans="1:10"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59"/>
      <c r="B28" s="60">
        <f>B4</f>
        <v>2021</v>
      </c>
      <c r="C28" s="61">
        <f t="shared" ref="C28:J28" si="12">+B28+1</f>
        <v>2022</v>
      </c>
      <c r="D28" s="61">
        <f t="shared" si="12"/>
        <v>2023</v>
      </c>
      <c r="E28" s="61">
        <f t="shared" si="12"/>
        <v>2024</v>
      </c>
      <c r="F28" s="61">
        <f t="shared" si="12"/>
        <v>2025</v>
      </c>
      <c r="G28" s="61">
        <f t="shared" si="12"/>
        <v>2026</v>
      </c>
      <c r="H28" s="61">
        <f t="shared" si="12"/>
        <v>2027</v>
      </c>
      <c r="I28" s="61">
        <f t="shared" si="12"/>
        <v>2028</v>
      </c>
      <c r="J28" s="62">
        <f t="shared" si="12"/>
        <v>2029</v>
      </c>
    </row>
    <row r="29" spans="1:10">
      <c r="A29" s="46" t="s">
        <v>0</v>
      </c>
      <c r="B29" s="63">
        <f>B6</f>
        <v>75.790000000000006</v>
      </c>
      <c r="C29" s="63">
        <f t="shared" ref="C29:E29" si="13">C6</f>
        <v>94.26</v>
      </c>
      <c r="D29" s="63">
        <f t="shared" si="13"/>
        <v>108.26</v>
      </c>
      <c r="E29" s="63">
        <f t="shared" si="13"/>
        <v>125.1</v>
      </c>
      <c r="F29" s="63">
        <f>E29*(1+F30)</f>
        <v>150.3467057426214</v>
      </c>
      <c r="G29" s="63">
        <f t="shared" ref="G29:J29" si="14">F29*(1+G30)</f>
        <v>182.19197167499925</v>
      </c>
      <c r="H29" s="63">
        <f t="shared" si="14"/>
        <v>222.60437303932832</v>
      </c>
      <c r="I29" s="63">
        <f t="shared" si="14"/>
        <v>274.20678163374276</v>
      </c>
      <c r="J29" s="64">
        <f t="shared" si="14"/>
        <v>340.51332570915122</v>
      </c>
    </row>
    <row r="30" spans="1:10">
      <c r="A30" s="46" t="s">
        <v>53</v>
      </c>
      <c r="B30" s="27"/>
      <c r="C30" s="27"/>
      <c r="D30" s="27"/>
      <c r="E30" s="27">
        <f>(E29/B29)^(1/3)-1</f>
        <v>0.181812196184024</v>
      </c>
      <c r="F30" s="27">
        <f>$E$30+Instructions!$E$5</f>
        <v>0.20181219618402399</v>
      </c>
      <c r="G30" s="27">
        <f>F30+Instructions!$E$6</f>
        <v>0.211812196184024</v>
      </c>
      <c r="H30" s="27">
        <f>G30+Instructions!$E$6</f>
        <v>0.22181219618402401</v>
      </c>
      <c r="I30" s="27">
        <f>H30+Instructions!$E$6</f>
        <v>0.23181219618402402</v>
      </c>
      <c r="J30" s="65">
        <f>I30+Instructions!$E$6</f>
        <v>0.24181219618402403</v>
      </c>
    </row>
    <row r="31" spans="1:10">
      <c r="A31" s="46" t="s">
        <v>52</v>
      </c>
      <c r="B31" s="63">
        <f>B8</f>
        <v>49.39</v>
      </c>
      <c r="C31" s="63">
        <f>C8</f>
        <v>59.83</v>
      </c>
      <c r="D31" s="63">
        <f t="shared" ref="D31:E31" si="15">D8</f>
        <v>69.540000000000006</v>
      </c>
      <c r="E31" s="63">
        <f t="shared" si="15"/>
        <v>81.77</v>
      </c>
      <c r="F31" s="63">
        <f>E31*(1+F32)</f>
        <v>96.621964953770885</v>
      </c>
      <c r="G31" s="63">
        <f t="shared" ref="G31:J31" si="16">F31*(1+G32)</f>
        <v>115.04110449059749</v>
      </c>
      <c r="H31" s="63">
        <f t="shared" si="16"/>
        <v>138.64481052620556</v>
      </c>
      <c r="I31" s="63">
        <f t="shared" si="16"/>
        <v>168.37390169248334</v>
      </c>
      <c r="J31" s="64">
        <f t="shared" si="16"/>
        <v>206.03514991969078</v>
      </c>
    </row>
    <row r="32" spans="1:10">
      <c r="A32" s="46" t="s">
        <v>54</v>
      </c>
      <c r="B32" s="27"/>
      <c r="C32" s="27"/>
      <c r="D32" s="27"/>
      <c r="E32" s="27"/>
      <c r="F32" s="27">
        <f>F30*Instructions!$E$9</f>
        <v>0.1816309765656216</v>
      </c>
      <c r="G32" s="27">
        <f>G30*Instructions!$E$9</f>
        <v>0.19063097656562161</v>
      </c>
      <c r="H32" s="27">
        <f>H30*Instructions!$E$11</f>
        <v>0.20517628147022221</v>
      </c>
      <c r="I32" s="27">
        <f>I30*Instructions!$E$11</f>
        <v>0.21442628147022222</v>
      </c>
      <c r="J32" s="65">
        <f>J30*Instructions!$E$11</f>
        <v>0.22367628147022223</v>
      </c>
    </row>
    <row r="33" spans="1:10" s="8" customFormat="1">
      <c r="A33" s="66" t="s">
        <v>55</v>
      </c>
      <c r="B33" s="67">
        <f>B29-B31</f>
        <v>26.400000000000006</v>
      </c>
      <c r="C33" s="67">
        <f t="shared" ref="C33:J33" si="17">C29-C31</f>
        <v>34.430000000000007</v>
      </c>
      <c r="D33" s="67">
        <f t="shared" si="17"/>
        <v>38.72</v>
      </c>
      <c r="E33" s="67">
        <f>E29-E31</f>
        <v>43.33</v>
      </c>
      <c r="F33" s="67">
        <f t="shared" si="17"/>
        <v>53.724740788850511</v>
      </c>
      <c r="G33" s="67">
        <f t="shared" si="17"/>
        <v>67.150867184401761</v>
      </c>
      <c r="H33" s="67">
        <f t="shared" si="17"/>
        <v>83.959562513122762</v>
      </c>
      <c r="I33" s="67">
        <f t="shared" si="17"/>
        <v>105.83287994125942</v>
      </c>
      <c r="J33" s="68">
        <f t="shared" si="17"/>
        <v>134.47817578946044</v>
      </c>
    </row>
    <row r="34" spans="1:10">
      <c r="A34" s="46"/>
      <c r="B34" s="27"/>
      <c r="C34" s="27"/>
      <c r="D34" s="27"/>
      <c r="E34" s="27"/>
      <c r="F34" s="27"/>
      <c r="G34" s="27"/>
      <c r="H34" s="27"/>
      <c r="I34" s="27"/>
      <c r="J34" s="65"/>
    </row>
    <row r="35" spans="1:10">
      <c r="A35" s="46" t="s">
        <v>2</v>
      </c>
      <c r="B35" s="26">
        <f>B10</f>
        <v>22.6</v>
      </c>
      <c r="C35" s="26">
        <f t="shared" ref="C35:J35" si="18">C10</f>
        <v>29.3</v>
      </c>
      <c r="D35" s="26">
        <f t="shared" si="18"/>
        <v>32.5</v>
      </c>
      <c r="E35" s="26">
        <f t="shared" si="18"/>
        <v>37.299999999999997</v>
      </c>
      <c r="F35" s="26">
        <f t="shared" si="18"/>
        <v>39.792529742986076</v>
      </c>
      <c r="G35" s="26">
        <f t="shared" si="18"/>
        <v>44.049220972566573</v>
      </c>
      <c r="H35" s="26">
        <f t="shared" si="18"/>
        <v>49.219721675688874</v>
      </c>
      <c r="I35" s="26">
        <f t="shared" si="18"/>
        <v>55.555317200113812</v>
      </c>
      <c r="J35" s="69">
        <f t="shared" si="18"/>
        <v>63.389497240668781</v>
      </c>
    </row>
    <row r="36" spans="1:10">
      <c r="A36" s="52" t="s">
        <v>34</v>
      </c>
      <c r="B36" s="26">
        <f>B11</f>
        <v>14</v>
      </c>
      <c r="C36" s="26">
        <f t="shared" ref="C36:E36" si="19">C11</f>
        <v>20</v>
      </c>
      <c r="D36" s="26">
        <f t="shared" si="19"/>
        <v>22</v>
      </c>
      <c r="E36" s="26">
        <f t="shared" si="19"/>
        <v>25</v>
      </c>
      <c r="F36" s="26">
        <f>E36*(1+F37)</f>
        <v>26.26132622615015</v>
      </c>
      <c r="G36" s="26">
        <f t="shared" ref="G36:J36" si="20">F36*(1+G37)</f>
        <v>27.651943521816641</v>
      </c>
      <c r="H36" s="26">
        <f t="shared" si="20"/>
        <v>29.185328102149324</v>
      </c>
      <c r="I36" s="26">
        <f t="shared" si="20"/>
        <v>30.876706853076964</v>
      </c>
      <c r="J36" s="69">
        <f t="shared" si="20"/>
        <v>32.743297926845173</v>
      </c>
    </row>
    <row r="37" spans="1:10">
      <c r="A37" s="46" t="s">
        <v>57</v>
      </c>
      <c r="F37" s="27">
        <f>F30*Instructions!$E$15</f>
        <v>5.0453049046005997E-2</v>
      </c>
      <c r="G37" s="27">
        <f>G30*Instructions!$E$15</f>
        <v>5.2953049046006E-2</v>
      </c>
      <c r="H37" s="27">
        <f>H30*Instructions!$E$15</f>
        <v>5.5453049046006002E-2</v>
      </c>
      <c r="I37" s="27">
        <f>I30*Instructions!$E$15</f>
        <v>5.7953049046006004E-2</v>
      </c>
      <c r="J37" s="65">
        <f>J30*Instructions!$E$15</f>
        <v>6.0453049046006006E-2</v>
      </c>
    </row>
    <row r="38" spans="1:10">
      <c r="A38" s="52" t="s">
        <v>35</v>
      </c>
      <c r="B38" s="9">
        <f>B12</f>
        <v>8.6</v>
      </c>
      <c r="C38" s="9">
        <f t="shared" ref="C38:E38" si="21">C12</f>
        <v>9.3000000000000007</v>
      </c>
      <c r="D38" s="9">
        <f t="shared" si="21"/>
        <v>10.5</v>
      </c>
      <c r="E38" s="9">
        <f t="shared" si="21"/>
        <v>12.3</v>
      </c>
      <c r="F38" s="70">
        <f>F39*F29</f>
        <v>13.531203516835925</v>
      </c>
      <c r="G38" s="70">
        <f t="shared" ref="G38:J38" si="22">G39*G29</f>
        <v>16.397277450749932</v>
      </c>
      <c r="H38" s="70">
        <f t="shared" si="22"/>
        <v>20.03439357353955</v>
      </c>
      <c r="I38" s="70">
        <f t="shared" si="22"/>
        <v>24.678610347036848</v>
      </c>
      <c r="J38" s="71">
        <f t="shared" si="22"/>
        <v>30.646199313823608</v>
      </c>
    </row>
    <row r="39" spans="1:10">
      <c r="A39" s="46" t="s">
        <v>56</v>
      </c>
      <c r="F39" s="15">
        <f>Instructions!$E$18</f>
        <v>0.09</v>
      </c>
      <c r="G39" s="15">
        <f>Instructions!$E$18</f>
        <v>0.09</v>
      </c>
      <c r="H39" s="15">
        <f>Instructions!$E$18</f>
        <v>0.09</v>
      </c>
      <c r="I39" s="15">
        <f>Instructions!$E$18</f>
        <v>0.09</v>
      </c>
      <c r="J39" s="72">
        <f>Instructions!$E$18</f>
        <v>0.09</v>
      </c>
    </row>
    <row r="40" spans="1:10" s="8" customFormat="1">
      <c r="A40" s="66" t="s">
        <v>58</v>
      </c>
      <c r="B40" s="73">
        <f>B33-B35</f>
        <v>3.8000000000000043</v>
      </c>
      <c r="C40" s="73">
        <f t="shared" ref="C40:E40" si="23">C33-C35</f>
        <v>5.1300000000000061</v>
      </c>
      <c r="D40" s="73">
        <f t="shared" si="23"/>
        <v>6.2199999999999989</v>
      </c>
      <c r="E40" s="73">
        <f t="shared" si="23"/>
        <v>6.0300000000000011</v>
      </c>
      <c r="F40" s="73">
        <f>F33-F35</f>
        <v>13.932211045864435</v>
      </c>
      <c r="G40" s="73">
        <f t="shared" ref="G40:J40" si="24">G33-G35</f>
        <v>23.101646211835188</v>
      </c>
      <c r="H40" s="73">
        <f t="shared" si="24"/>
        <v>34.739840837433889</v>
      </c>
      <c r="I40" s="73">
        <f t="shared" si="24"/>
        <v>50.277562741145609</v>
      </c>
      <c r="J40" s="74">
        <f t="shared" si="24"/>
        <v>71.088678548791648</v>
      </c>
    </row>
    <row r="41" spans="1:10">
      <c r="A41" s="46"/>
      <c r="J41" s="45"/>
    </row>
    <row r="42" spans="1:10">
      <c r="A42" s="46" t="s">
        <v>29</v>
      </c>
      <c r="B42" s="26">
        <f>B16</f>
        <v>1.71</v>
      </c>
      <c r="C42" s="26">
        <f t="shared" ref="C42:E42" si="25">C16</f>
        <v>2.1800000000000002</v>
      </c>
      <c r="D42" s="26">
        <f t="shared" si="25"/>
        <v>2.81</v>
      </c>
      <c r="E42" s="26">
        <f t="shared" si="25"/>
        <v>3.54</v>
      </c>
      <c r="F42" s="26">
        <f>BS!E12*INC!F43</f>
        <v>2.7509999999999999</v>
      </c>
      <c r="G42" s="26">
        <f>BS!F12*INC!G43</f>
        <v>2.7133499999999997</v>
      </c>
      <c r="H42" s="26">
        <f>BS!G12*INC!H43</f>
        <v>2.6063475</v>
      </c>
      <c r="I42" s="26">
        <f>BS!H12*INC!I43</f>
        <v>2.065395375</v>
      </c>
      <c r="J42" s="69">
        <f>BS!I12*INC!J43</f>
        <v>2.3555860687500001</v>
      </c>
    </row>
    <row r="43" spans="1:10">
      <c r="A43" s="46" t="s">
        <v>59</v>
      </c>
      <c r="F43" s="15">
        <f>Instructions!$E$20</f>
        <v>0.15</v>
      </c>
      <c r="G43" s="15">
        <f>Instructions!$E$20</f>
        <v>0.15</v>
      </c>
      <c r="H43" s="15">
        <f>Instructions!$E$20</f>
        <v>0.15</v>
      </c>
      <c r="I43" s="15">
        <f>Instructions!$E$20</f>
        <v>0.15</v>
      </c>
      <c r="J43" s="72">
        <f>Instructions!$E$20</f>
        <v>0.15</v>
      </c>
    </row>
    <row r="44" spans="1:10">
      <c r="A44" s="46" t="s">
        <v>60</v>
      </c>
      <c r="B44" s="1">
        <v>0</v>
      </c>
      <c r="C44" s="1">
        <v>0</v>
      </c>
      <c r="D44" s="1">
        <v>0</v>
      </c>
      <c r="E44" s="26">
        <f>E14</f>
        <v>0.2</v>
      </c>
      <c r="F44" s="70">
        <f>F29*F45</f>
        <v>1.5034670574262139</v>
      </c>
      <c r="G44" s="70">
        <f t="shared" ref="G44:J44" si="26">G29*G45</f>
        <v>1.8219197167499925</v>
      </c>
      <c r="H44" s="70">
        <f t="shared" si="26"/>
        <v>2.2260437303932834</v>
      </c>
      <c r="I44" s="75">
        <f t="shared" si="26"/>
        <v>2.7420678163374279</v>
      </c>
      <c r="J44" s="76">
        <f t="shared" si="26"/>
        <v>3.4051332570915123</v>
      </c>
    </row>
    <row r="45" spans="1:10">
      <c r="A45" s="46" t="s">
        <v>61</v>
      </c>
      <c r="F45" s="15">
        <f>Instructions!$E$22</f>
        <v>0.01</v>
      </c>
      <c r="G45" s="15">
        <f>Instructions!$E$22</f>
        <v>0.01</v>
      </c>
      <c r="H45" s="15">
        <f>Instructions!$E$22</f>
        <v>0.01</v>
      </c>
      <c r="I45" s="15">
        <f>Instructions!$E$22</f>
        <v>0.01</v>
      </c>
      <c r="J45" s="72">
        <f>Instructions!$E$22</f>
        <v>0.01</v>
      </c>
    </row>
    <row r="46" spans="1:10" s="8" customFormat="1">
      <c r="A46" s="66" t="s">
        <v>62</v>
      </c>
      <c r="B46" s="77">
        <f>B40-B42-B44</f>
        <v>2.0900000000000043</v>
      </c>
      <c r="C46" s="77">
        <f t="shared" ref="C46:E46" si="27">C40-C42-C44</f>
        <v>2.950000000000006</v>
      </c>
      <c r="D46" s="77">
        <f t="shared" si="27"/>
        <v>3.4099999999999988</v>
      </c>
      <c r="E46" s="77">
        <f t="shared" si="27"/>
        <v>2.2900000000000009</v>
      </c>
      <c r="F46" s="77">
        <f>F40-F42-F44</f>
        <v>9.6777439884382215</v>
      </c>
      <c r="G46" s="77">
        <f t="shared" ref="G46:J46" si="28">G40-G42-G44</f>
        <v>18.566376495085198</v>
      </c>
      <c r="H46" s="77">
        <f t="shared" si="28"/>
        <v>29.907449607040608</v>
      </c>
      <c r="I46" s="77">
        <f t="shared" si="28"/>
        <v>45.470099549808182</v>
      </c>
      <c r="J46" s="78">
        <f t="shared" si="28"/>
        <v>65.327959222950142</v>
      </c>
    </row>
    <row r="47" spans="1:10">
      <c r="A47" s="46"/>
      <c r="J47" s="45"/>
    </row>
    <row r="48" spans="1:10">
      <c r="A48" s="46" t="s">
        <v>63</v>
      </c>
      <c r="B48" s="79">
        <f>B18</f>
        <v>0.27</v>
      </c>
      <c r="C48" s="79">
        <f t="shared" ref="C48:E48" si="29">C18</f>
        <v>0.45</v>
      </c>
      <c r="D48" s="79">
        <f t="shared" si="29"/>
        <v>0.32</v>
      </c>
      <c r="E48" s="79">
        <f t="shared" si="29"/>
        <v>0.81</v>
      </c>
      <c r="F48" s="80">
        <f>IF(E46/E48&lt;6,Instructions!$E$38,Instructions!$E$35)*(BS!E22+BS!E23)</f>
        <v>1.4308000000000003</v>
      </c>
      <c r="G48" s="81">
        <f>IF(F46/F48&lt;6,Instructions!$E$38,Instructions!$E$35)*(BS!F22+BS!F23)</f>
        <v>1.8264</v>
      </c>
      <c r="H48" s="81">
        <f>IF(G46/G48&lt;6,Instructions!$E$38,Instructions!$E$35)*(BS!G22+BS!G23)</f>
        <v>1.6464000000000001</v>
      </c>
      <c r="I48" s="81">
        <f>IF(H46/H48&lt;6,Instructions!$E$38,Instructions!$E$35)*(BS!H22+BS!H23)</f>
        <v>1.1664000000000001</v>
      </c>
      <c r="J48" s="82">
        <f>IF(I46/I48&lt;6,Instructions!$E$38,Instructions!$E$35)*(BS!I22+BS!I23)</f>
        <v>0.98640000000000005</v>
      </c>
    </row>
    <row r="49" spans="1:10" s="8" customFormat="1">
      <c r="A49" s="66" t="s">
        <v>64</v>
      </c>
      <c r="B49" s="73">
        <f>B46-B48</f>
        <v>1.8200000000000043</v>
      </c>
      <c r="C49" s="73">
        <f t="shared" ref="C49:E49" si="30">C46-C48</f>
        <v>2.5000000000000058</v>
      </c>
      <c r="D49" s="73">
        <f t="shared" si="30"/>
        <v>3.089999999999999</v>
      </c>
      <c r="E49" s="73">
        <f t="shared" si="30"/>
        <v>1.4800000000000009</v>
      </c>
      <c r="F49" s="73">
        <f>F46-F48</f>
        <v>8.2469439884382219</v>
      </c>
      <c r="G49" s="73">
        <f t="shared" ref="G49:J49" si="31">G46-G48</f>
        <v>16.739976495085198</v>
      </c>
      <c r="H49" s="73">
        <f t="shared" si="31"/>
        <v>28.261049607040608</v>
      </c>
      <c r="I49" s="73">
        <f t="shared" si="31"/>
        <v>44.303699549808179</v>
      </c>
      <c r="J49" s="74">
        <f t="shared" si="31"/>
        <v>64.341559222950139</v>
      </c>
    </row>
    <row r="50" spans="1:10">
      <c r="A50" s="46"/>
      <c r="J50" s="45"/>
    </row>
    <row r="51" spans="1:10">
      <c r="A51" s="46" t="s">
        <v>65</v>
      </c>
      <c r="B51" s="9">
        <f>B20</f>
        <v>0.64050000000000196</v>
      </c>
      <c r="C51" s="9">
        <f t="shared" ref="C51:E51" si="32">C20</f>
        <v>0.86100000000000232</v>
      </c>
      <c r="D51" s="9">
        <f t="shared" si="32"/>
        <v>1.2279999999999984</v>
      </c>
      <c r="E51" s="9">
        <f t="shared" si="32"/>
        <v>0.68800000000000017</v>
      </c>
      <c r="F51" s="83">
        <f>F49*Instructions!$E$29</f>
        <v>2.4740831965314665</v>
      </c>
      <c r="G51" s="9">
        <f>G49*Instructions!$E$29</f>
        <v>5.0219929485255594</v>
      </c>
      <c r="H51" s="9">
        <f>H49*Instructions!$E$29</f>
        <v>8.4783148821121816</v>
      </c>
      <c r="I51" s="9">
        <f>I49*Instructions!$E$29</f>
        <v>13.291109864942454</v>
      </c>
      <c r="J51" s="50">
        <f>J49*Instructions!$E$29</f>
        <v>19.302467766885041</v>
      </c>
    </row>
    <row r="52" spans="1:10">
      <c r="A52" s="46"/>
      <c r="F52" s="15"/>
      <c r="G52" s="15"/>
      <c r="H52" s="15"/>
      <c r="I52" s="15"/>
      <c r="J52" s="72"/>
    </row>
    <row r="53" spans="1:10" s="8" customFormat="1">
      <c r="A53" s="66" t="s">
        <v>66</v>
      </c>
      <c r="B53" s="73">
        <f>B49-B51</f>
        <v>1.1795000000000022</v>
      </c>
      <c r="C53" s="73">
        <f t="shared" ref="C53:E53" si="33">C49-C51</f>
        <v>1.6390000000000033</v>
      </c>
      <c r="D53" s="73">
        <f t="shared" si="33"/>
        <v>1.8620000000000005</v>
      </c>
      <c r="E53" s="73">
        <f t="shared" si="33"/>
        <v>0.7920000000000007</v>
      </c>
      <c r="F53" s="73">
        <f>F49-F51</f>
        <v>5.7728607919067549</v>
      </c>
      <c r="G53" s="73">
        <f t="shared" ref="G53:J53" si="34">G49-G51</f>
        <v>11.717983546559639</v>
      </c>
      <c r="H53" s="73">
        <f t="shared" si="34"/>
        <v>19.782734724928424</v>
      </c>
      <c r="I53" s="73">
        <f t="shared" si="34"/>
        <v>31.012589684865723</v>
      </c>
      <c r="J53" s="74">
        <f t="shared" si="34"/>
        <v>45.039091456065094</v>
      </c>
    </row>
    <row r="54" spans="1:10">
      <c r="A54" s="57" t="s">
        <v>67</v>
      </c>
      <c r="B54" s="84"/>
      <c r="C54" s="84"/>
      <c r="D54" s="84"/>
      <c r="E54" s="84"/>
      <c r="F54" s="85">
        <f>F53*Instructions!$K$11</f>
        <v>0.28864303959533777</v>
      </c>
      <c r="G54" s="84">
        <f>G53*Instructions!$K$11</f>
        <v>0.58589917732798191</v>
      </c>
      <c r="H54" s="84">
        <f>H53*Instructions!$K$11</f>
        <v>0.98913673624642129</v>
      </c>
      <c r="I54" s="84">
        <f>I53*Instructions!$K$11</f>
        <v>1.5506294842432862</v>
      </c>
      <c r="J54" s="86">
        <f>J53*Instructions!$K$11</f>
        <v>2.2519545728032546</v>
      </c>
    </row>
  </sheetData>
  <phoneticPr fontId="0" type="noConversion"/>
  <pageMargins left="0.5" right="0.5" top="0.5" bottom="0.5" header="0.5" footer="0.5"/>
  <pageSetup orientation="landscape" r:id="rId1"/>
  <headerFooter alignWithMargins="0">
    <oddFooter>&amp;L&amp;"Times New Roman,Italic"&amp;8Pulsar Knowledge Centre&amp;C&amp;"Times New Roman,Italic"&amp;8Page &amp;P of &amp;N&amp;R&amp;"Times New Roman,Italic"&amp;8 07-Apr-2003</oddFooter>
  </headerFooter>
  <ignoredErrors>
    <ignoredError sqref="E3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6"/>
  <sheetViews>
    <sheetView showGridLines="0" topLeftCell="A26" zoomScale="85" zoomScaleNormal="85" workbookViewId="0">
      <selection activeCell="A36" sqref="A36:J46"/>
    </sheetView>
  </sheetViews>
  <sheetFormatPr defaultColWidth="9.21875" defaultRowHeight="13.2"/>
  <cols>
    <col min="1" max="1" width="29.21875" style="1" customWidth="1"/>
    <col min="2" max="3" width="5.44140625" style="1" customWidth="1"/>
    <col min="4" max="10" width="10.77734375" style="1" customWidth="1"/>
    <col min="11" max="16384" width="9.21875" style="1"/>
  </cols>
  <sheetData>
    <row r="1" spans="1:10" ht="15.6">
      <c r="A1" s="11" t="str">
        <f>INC!A1</f>
        <v>EXCEL MODELING TEST</v>
      </c>
      <c r="B1" s="12"/>
    </row>
    <row r="2" spans="1:10" ht="15.6">
      <c r="A2" s="40" t="s">
        <v>10</v>
      </c>
      <c r="B2" s="41"/>
      <c r="C2" s="42"/>
      <c r="D2" s="42"/>
      <c r="E2" s="42"/>
      <c r="F2" s="42"/>
      <c r="G2" s="42"/>
      <c r="H2" s="42"/>
      <c r="I2" s="42"/>
      <c r="J2" s="43"/>
    </row>
    <row r="3" spans="1:10">
      <c r="A3" s="44" t="s">
        <v>80</v>
      </c>
      <c r="J3" s="45"/>
    </row>
    <row r="4" spans="1:10">
      <c r="A4" s="46"/>
      <c r="B4" s="6"/>
      <c r="C4" s="6"/>
      <c r="D4" s="8">
        <f>+INC!D4</f>
        <v>2023</v>
      </c>
      <c r="E4" s="8">
        <f>+INC!E4</f>
        <v>2024</v>
      </c>
      <c r="F4" s="8">
        <f>+INC!F4</f>
        <v>2025</v>
      </c>
      <c r="G4" s="8">
        <f>+INC!G4</f>
        <v>2026</v>
      </c>
      <c r="H4" s="8">
        <f>+INC!H4</f>
        <v>2027</v>
      </c>
      <c r="I4" s="8">
        <f>+INC!I4</f>
        <v>2028</v>
      </c>
      <c r="J4" s="47">
        <f>+INC!J4</f>
        <v>2029</v>
      </c>
    </row>
    <row r="5" spans="1:10">
      <c r="A5" s="46"/>
      <c r="D5" s="10"/>
      <c r="E5" s="10"/>
      <c r="F5" s="10"/>
      <c r="G5" s="10"/>
      <c r="H5" s="10"/>
      <c r="I5" s="10"/>
      <c r="J5" s="48"/>
    </row>
    <row r="6" spans="1:10">
      <c r="A6" s="87" t="s">
        <v>12</v>
      </c>
      <c r="D6" s="9">
        <v>0.43</v>
      </c>
      <c r="E6" s="9">
        <v>1.03</v>
      </c>
      <c r="F6" s="9">
        <f>CFS!F42</f>
        <v>6.0720618938153397</v>
      </c>
      <c r="G6" s="9">
        <f>CFS!G42</f>
        <v>7.6618605589449116</v>
      </c>
      <c r="H6" s="9">
        <f>CFS!H42</f>
        <v>17.768215624127514</v>
      </c>
      <c r="I6" s="9">
        <f>CFS!I42</f>
        <v>30.328271386376592</v>
      </c>
      <c r="J6" s="50">
        <f>CFS!J42</f>
        <v>51.475317349843927</v>
      </c>
    </row>
    <row r="7" spans="1:10">
      <c r="A7" s="87" t="s">
        <v>11</v>
      </c>
      <c r="D7" s="9">
        <v>5.48</v>
      </c>
      <c r="E7" s="9">
        <v>5.82</v>
      </c>
      <c r="F7" s="9">
        <f>F37</f>
        <v>6.9945469817910206</v>
      </c>
      <c r="G7" s="9">
        <f t="shared" ref="G7:J7" si="0">G37</f>
        <v>8.4760773393165127</v>
      </c>
      <c r="H7" s="9">
        <f t="shared" si="0"/>
        <v>10.356174668975948</v>
      </c>
      <c r="I7" s="9">
        <f t="shared" si="0"/>
        <v>12.75686226305662</v>
      </c>
      <c r="J7" s="50">
        <f t="shared" si="0"/>
        <v>15.841627143303441</v>
      </c>
    </row>
    <row r="8" spans="1:10">
      <c r="A8" s="87" t="s">
        <v>13</v>
      </c>
      <c r="D8" s="9">
        <v>28.54</v>
      </c>
      <c r="E8" s="9">
        <v>31.44</v>
      </c>
      <c r="F8" s="9">
        <f>F38</f>
        <v>37.784975448025712</v>
      </c>
      <c r="G8" s="9">
        <f t="shared" ref="G8:J8" si="1">G38</f>
        <v>45.78829408043147</v>
      </c>
      <c r="H8" s="9">
        <f t="shared" si="1"/>
        <v>55.944696149931914</v>
      </c>
      <c r="I8" s="9">
        <f t="shared" si="1"/>
        <v>68.913359029295549</v>
      </c>
      <c r="J8" s="50">
        <f t="shared" si="1"/>
        <v>85.577449722587644</v>
      </c>
    </row>
    <row r="9" spans="1:10">
      <c r="A9" s="87" t="s">
        <v>14</v>
      </c>
      <c r="D9" s="9">
        <v>4.46</v>
      </c>
      <c r="E9" s="9">
        <v>5.69</v>
      </c>
      <c r="F9" s="9">
        <f t="shared" ref="F9:J9" si="2">F39</f>
        <v>6.8383113962870974</v>
      </c>
      <c r="G9" s="9">
        <f t="shared" si="2"/>
        <v>8.2867491513249067</v>
      </c>
      <c r="H9" s="9">
        <f t="shared" si="2"/>
        <v>10.124851179806381</v>
      </c>
      <c r="I9" s="9">
        <f t="shared" si="2"/>
        <v>12.471915167833703</v>
      </c>
      <c r="J9" s="50">
        <f t="shared" si="2"/>
        <v>15.487776365188413</v>
      </c>
    </row>
    <row r="10" spans="1:10">
      <c r="A10" s="66" t="s">
        <v>30</v>
      </c>
      <c r="B10" s="8"/>
      <c r="C10" s="8"/>
      <c r="D10" s="23">
        <f>+SUM(D6:D9)</f>
        <v>38.910000000000004</v>
      </c>
      <c r="E10" s="23">
        <f>+SUM(E6:E9)</f>
        <v>43.98</v>
      </c>
      <c r="F10" s="23">
        <f t="shared" ref="F10:J10" si="3">+SUM(F6:F9)</f>
        <v>57.689895719919164</v>
      </c>
      <c r="G10" s="23">
        <f t="shared" si="3"/>
        <v>70.212981130017809</v>
      </c>
      <c r="H10" s="23">
        <f t="shared" si="3"/>
        <v>94.193937622841759</v>
      </c>
      <c r="I10" s="23">
        <f t="shared" si="3"/>
        <v>124.47040784656245</v>
      </c>
      <c r="J10" s="88">
        <f t="shared" si="3"/>
        <v>168.38217058092343</v>
      </c>
    </row>
    <row r="11" spans="1:10">
      <c r="A11" s="46"/>
      <c r="D11" s="9"/>
      <c r="E11" s="9"/>
      <c r="F11" s="9"/>
      <c r="G11" s="9"/>
      <c r="H11" s="9"/>
      <c r="I11" s="9"/>
      <c r="J11" s="50"/>
    </row>
    <row r="12" spans="1:10">
      <c r="A12" s="87" t="s">
        <v>33</v>
      </c>
      <c r="D12" s="9">
        <v>17.100000000000001</v>
      </c>
      <c r="E12" s="9">
        <v>18.34</v>
      </c>
      <c r="F12" s="9">
        <f>F40</f>
        <v>18.088999999999999</v>
      </c>
      <c r="G12" s="9">
        <f t="shared" ref="G12:J12" si="4">G40</f>
        <v>17.37565</v>
      </c>
      <c r="H12" s="9">
        <f t="shared" si="4"/>
        <v>13.7693025</v>
      </c>
      <c r="I12" s="9">
        <f t="shared" si="4"/>
        <v>15.703907125000002</v>
      </c>
      <c r="J12" s="50">
        <f t="shared" si="4"/>
        <v>18.848321056250001</v>
      </c>
    </row>
    <row r="13" spans="1:10">
      <c r="A13" s="87" t="s">
        <v>32</v>
      </c>
      <c r="D13" s="9">
        <v>3.59</v>
      </c>
      <c r="E13" s="9">
        <v>2.5099999999999998</v>
      </c>
      <c r="F13" s="9">
        <f>E13</f>
        <v>2.5099999999999998</v>
      </c>
      <c r="G13" s="9">
        <f t="shared" ref="G13:J13" si="5">F13</f>
        <v>2.5099999999999998</v>
      </c>
      <c r="H13" s="9">
        <f t="shared" si="5"/>
        <v>2.5099999999999998</v>
      </c>
      <c r="I13" s="9">
        <f t="shared" si="5"/>
        <v>2.5099999999999998</v>
      </c>
      <c r="J13" s="50">
        <f t="shared" si="5"/>
        <v>2.5099999999999998</v>
      </c>
    </row>
    <row r="14" spans="1:10">
      <c r="A14" s="87" t="s">
        <v>71</v>
      </c>
      <c r="D14" s="9">
        <v>0</v>
      </c>
      <c r="E14" s="9">
        <v>0</v>
      </c>
      <c r="F14" s="9">
        <f>F41</f>
        <v>5</v>
      </c>
      <c r="G14" s="9">
        <f t="shared" ref="G14:J14" si="6">G41</f>
        <v>5</v>
      </c>
      <c r="H14" s="9">
        <f t="shared" si="6"/>
        <v>5</v>
      </c>
      <c r="I14" s="9">
        <f t="shared" si="6"/>
        <v>3</v>
      </c>
      <c r="J14" s="50">
        <f t="shared" si="6"/>
        <v>0</v>
      </c>
    </row>
    <row r="15" spans="1:10" ht="13.8" thickBot="1">
      <c r="A15" s="66" t="s">
        <v>15</v>
      </c>
      <c r="B15" s="8"/>
      <c r="C15" s="8"/>
      <c r="D15" s="24">
        <f>+SUM(D10,D12:D14)</f>
        <v>59.600000000000009</v>
      </c>
      <c r="E15" s="24">
        <f>+SUM(E10,E12:E14)</f>
        <v>64.83</v>
      </c>
      <c r="F15" s="24">
        <f>F10+F12+F13+F14</f>
        <v>83.288895719919168</v>
      </c>
      <c r="G15" s="24">
        <f t="shared" ref="G15:J15" si="7">G10+G12+G13+G14</f>
        <v>95.098631130017807</v>
      </c>
      <c r="H15" s="24">
        <f t="shared" si="7"/>
        <v>115.47324012284176</v>
      </c>
      <c r="I15" s="24">
        <f t="shared" si="7"/>
        <v>145.68431497156246</v>
      </c>
      <c r="J15" s="89">
        <f t="shared" si="7"/>
        <v>189.74049163717342</v>
      </c>
    </row>
    <row r="16" spans="1:10" ht="13.8" thickTop="1">
      <c r="A16" s="46"/>
      <c r="D16" s="9"/>
      <c r="E16" s="9"/>
      <c r="F16" s="9"/>
      <c r="G16" s="9"/>
      <c r="H16" s="9"/>
      <c r="I16" s="9"/>
      <c r="J16" s="50"/>
    </row>
    <row r="17" spans="1:11">
      <c r="A17" s="46"/>
      <c r="D17" s="9"/>
      <c r="E17" s="9"/>
      <c r="F17" s="9"/>
      <c r="G17" s="9"/>
      <c r="H17" s="9"/>
      <c r="I17" s="9"/>
      <c r="J17" s="50"/>
    </row>
    <row r="18" spans="1:11">
      <c r="A18" s="87" t="s">
        <v>16</v>
      </c>
      <c r="D18" s="9">
        <v>6.67</v>
      </c>
      <c r="E18" s="9">
        <v>4.79</v>
      </c>
      <c r="F18" s="9">
        <f>F42</f>
        <v>5.7566804197214756</v>
      </c>
      <c r="G18" s="9">
        <f t="shared" ref="G18:J18" si="8">G42</f>
        <v>6.9760155421522505</v>
      </c>
      <c r="H18" s="9">
        <f t="shared" si="8"/>
        <v>8.523380870170925</v>
      </c>
      <c r="I18" s="9">
        <f t="shared" si="8"/>
        <v>10.499204508598146</v>
      </c>
      <c r="J18" s="50">
        <f t="shared" si="8"/>
        <v>13.03804020900747</v>
      </c>
    </row>
    <row r="19" spans="1:11">
      <c r="A19" s="87" t="s">
        <v>17</v>
      </c>
      <c r="D19" s="9">
        <v>4.12</v>
      </c>
      <c r="E19" s="9">
        <v>2.5</v>
      </c>
      <c r="F19" s="9">
        <f>F43</f>
        <v>3.00453049046006</v>
      </c>
      <c r="G19" s="9">
        <f t="shared" ref="G19:J19" si="9">G43</f>
        <v>3.6409266921462682</v>
      </c>
      <c r="H19" s="9">
        <f t="shared" si="9"/>
        <v>4.4485286378762661</v>
      </c>
      <c r="I19" s="9">
        <f t="shared" si="9"/>
        <v>5.4797518312098878</v>
      </c>
      <c r="J19" s="50">
        <f t="shared" si="9"/>
        <v>6.8048226560581782</v>
      </c>
    </row>
    <row r="20" spans="1:11">
      <c r="A20" s="66" t="s">
        <v>43</v>
      </c>
      <c r="B20" s="8"/>
      <c r="C20" s="8"/>
      <c r="D20" s="23">
        <f>SUM(D18:D19)</f>
        <v>10.79</v>
      </c>
      <c r="E20" s="23">
        <f>SUM(E18:E19)</f>
        <v>7.29</v>
      </c>
      <c r="F20" s="23">
        <f t="shared" ref="F20:J20" si="10">SUM(F18:F19)</f>
        <v>8.7612109101815356</v>
      </c>
      <c r="G20" s="23">
        <f t="shared" si="10"/>
        <v>10.616942234298518</v>
      </c>
      <c r="H20" s="23">
        <f t="shared" si="10"/>
        <v>12.97190950804719</v>
      </c>
      <c r="I20" s="23">
        <f t="shared" si="10"/>
        <v>15.978956339808033</v>
      </c>
      <c r="J20" s="88">
        <f t="shared" si="10"/>
        <v>19.842862865065648</v>
      </c>
    </row>
    <row r="21" spans="1:11">
      <c r="A21" s="46"/>
      <c r="D21" s="9"/>
      <c r="E21" s="9"/>
      <c r="F21" s="9"/>
      <c r="G21" s="9"/>
      <c r="H21" s="9"/>
      <c r="I21" s="9"/>
      <c r="J21" s="50"/>
    </row>
    <row r="22" spans="1:11">
      <c r="A22" s="87" t="s">
        <v>45</v>
      </c>
      <c r="D22" s="55">
        <f>(0.11+12.53)-5</f>
        <v>7.6399999999999988</v>
      </c>
      <c r="E22" s="55">
        <f>(19.71+0.73)-5</f>
        <v>15.440000000000001</v>
      </c>
      <c r="F22" s="55">
        <f>F45</f>
        <v>25.44</v>
      </c>
      <c r="G22" s="55">
        <f t="shared" ref="G22:J22" si="11">G45</f>
        <v>22.44</v>
      </c>
      <c r="H22" s="55">
        <f t="shared" si="11"/>
        <v>19.440000000000001</v>
      </c>
      <c r="I22" s="55">
        <f t="shared" si="11"/>
        <v>16.440000000000001</v>
      </c>
      <c r="J22" s="56">
        <f t="shared" si="11"/>
        <v>13.440000000000001</v>
      </c>
    </row>
    <row r="23" spans="1:11">
      <c r="A23" s="87" t="s">
        <v>117</v>
      </c>
      <c r="D23" s="55">
        <v>5</v>
      </c>
      <c r="E23" s="55">
        <v>5</v>
      </c>
      <c r="F23" s="55">
        <f>E23</f>
        <v>5</v>
      </c>
      <c r="G23" s="55">
        <f t="shared" ref="G23:J23" si="12">F23</f>
        <v>5</v>
      </c>
      <c r="H23" s="90">
        <v>0</v>
      </c>
      <c r="I23" s="55">
        <f t="shared" si="12"/>
        <v>0</v>
      </c>
      <c r="J23" s="56">
        <f t="shared" si="12"/>
        <v>0</v>
      </c>
      <c r="K23" s="1" t="s">
        <v>152</v>
      </c>
    </row>
    <row r="24" spans="1:11">
      <c r="A24" s="87" t="s">
        <v>18</v>
      </c>
      <c r="D24" s="55">
        <v>0.15</v>
      </c>
      <c r="E24" s="55">
        <v>0.1</v>
      </c>
      <c r="F24" s="55">
        <f>E24</f>
        <v>0.1</v>
      </c>
      <c r="G24" s="55">
        <f t="shared" ref="G24:J24" si="13">F24</f>
        <v>0.1</v>
      </c>
      <c r="H24" s="55">
        <f t="shared" si="13"/>
        <v>0.1</v>
      </c>
      <c r="I24" s="55">
        <f t="shared" si="13"/>
        <v>0.1</v>
      </c>
      <c r="J24" s="56">
        <f t="shared" si="13"/>
        <v>0.1</v>
      </c>
    </row>
    <row r="25" spans="1:11">
      <c r="A25" s="87" t="s">
        <v>36</v>
      </c>
      <c r="D25" s="55"/>
      <c r="E25" s="55">
        <v>0.2</v>
      </c>
      <c r="F25" s="55">
        <f>E25+INC!F44</f>
        <v>1.7034670574262138</v>
      </c>
      <c r="G25" s="55">
        <f>F25+INC!G44</f>
        <v>3.5253867741762064</v>
      </c>
      <c r="H25" s="55">
        <f>G25+INC!H44</f>
        <v>5.7514305045694893</v>
      </c>
      <c r="I25" s="55">
        <f>H25+INC!I44-Instructions!E26</f>
        <v>6.4934983209069177</v>
      </c>
      <c r="J25" s="56">
        <f>I25+INC!J44-Instructions!E27</f>
        <v>6.8986315779984295</v>
      </c>
    </row>
    <row r="26" spans="1:11">
      <c r="A26" s="66" t="s">
        <v>44</v>
      </c>
      <c r="B26" s="8"/>
      <c r="C26" s="8"/>
      <c r="D26" s="23">
        <f>SUM(D20,D22:D25)</f>
        <v>23.58</v>
      </c>
      <c r="E26" s="23">
        <f>SUM(E20,E22:E25)</f>
        <v>28.03</v>
      </c>
      <c r="F26" s="23">
        <f t="shared" ref="F26:J26" si="14">SUM(F20,F22:F25)</f>
        <v>41.004677967607755</v>
      </c>
      <c r="G26" s="23">
        <f t="shared" si="14"/>
        <v>41.682329008474724</v>
      </c>
      <c r="H26" s="23">
        <f t="shared" si="14"/>
        <v>38.26334001261668</v>
      </c>
      <c r="I26" s="23">
        <f t="shared" si="14"/>
        <v>39.012454660714951</v>
      </c>
      <c r="J26" s="88">
        <f t="shared" si="14"/>
        <v>40.281494443064084</v>
      </c>
    </row>
    <row r="27" spans="1:11">
      <c r="A27" s="46"/>
      <c r="D27" s="9"/>
      <c r="E27" s="9"/>
      <c r="F27" s="9"/>
      <c r="G27" s="9"/>
      <c r="H27" s="9"/>
      <c r="I27" s="9"/>
      <c r="J27" s="50"/>
    </row>
    <row r="28" spans="1:11">
      <c r="A28" s="46" t="s">
        <v>19</v>
      </c>
      <c r="D28" s="9">
        <v>36.020000000000003</v>
      </c>
      <c r="E28" s="9">
        <v>36.799999999999997</v>
      </c>
      <c r="F28" s="9">
        <f>F46</f>
        <v>42.284217752311413</v>
      </c>
      <c r="G28" s="9">
        <f t="shared" ref="G28:J28" si="15">G46</f>
        <v>53.416302121543069</v>
      </c>
      <c r="H28" s="9">
        <f t="shared" si="15"/>
        <v>77.209900110225078</v>
      </c>
      <c r="I28" s="9">
        <f t="shared" si="15"/>
        <v>106.67186031084752</v>
      </c>
      <c r="J28" s="50">
        <f t="shared" si="15"/>
        <v>149.45899719410937</v>
      </c>
    </row>
    <row r="29" spans="1:11">
      <c r="A29" s="46"/>
      <c r="D29" s="9"/>
      <c r="E29" s="9"/>
      <c r="F29" s="9"/>
      <c r="G29" s="9"/>
      <c r="H29" s="9"/>
      <c r="I29" s="9"/>
      <c r="J29" s="50"/>
    </row>
    <row r="30" spans="1:11" ht="13.8" thickBot="1">
      <c r="A30" s="66" t="s">
        <v>20</v>
      </c>
      <c r="B30" s="8"/>
      <c r="C30" s="8"/>
      <c r="D30" s="24">
        <f>+D28+D26</f>
        <v>59.6</v>
      </c>
      <c r="E30" s="24">
        <f>+E28+E26</f>
        <v>64.83</v>
      </c>
      <c r="F30" s="24">
        <f t="shared" ref="F30:J30" si="16">+F28+F26</f>
        <v>83.288895719919168</v>
      </c>
      <c r="G30" s="24">
        <f t="shared" si="16"/>
        <v>95.098631130017793</v>
      </c>
      <c r="H30" s="24">
        <f t="shared" si="16"/>
        <v>115.47324012284176</v>
      </c>
      <c r="I30" s="24">
        <f t="shared" si="16"/>
        <v>145.68431497156246</v>
      </c>
      <c r="J30" s="89">
        <f t="shared" si="16"/>
        <v>189.74049163717345</v>
      </c>
    </row>
    <row r="31" spans="1:11" ht="13.8" thickTop="1">
      <c r="A31" s="46"/>
      <c r="D31" s="9"/>
      <c r="E31" s="9"/>
      <c r="F31" s="9"/>
      <c r="G31" s="9"/>
      <c r="H31" s="9"/>
      <c r="I31" s="9"/>
      <c r="J31" s="50"/>
    </row>
    <row r="32" spans="1:11" s="7" customFormat="1" ht="9.6">
      <c r="A32" s="91" t="s">
        <v>21</v>
      </c>
      <c r="B32" s="92"/>
      <c r="C32" s="92"/>
      <c r="D32" s="93">
        <f>+D15-D30</f>
        <v>0</v>
      </c>
      <c r="E32" s="93">
        <f>+E15-E30</f>
        <v>0</v>
      </c>
      <c r="F32" s="94">
        <f t="shared" ref="F32:J32" si="17">+F15-F30</f>
        <v>0</v>
      </c>
      <c r="G32" s="94">
        <f t="shared" si="17"/>
        <v>0</v>
      </c>
      <c r="H32" s="94">
        <f t="shared" si="17"/>
        <v>0</v>
      </c>
      <c r="I32" s="94">
        <f t="shared" si="17"/>
        <v>0</v>
      </c>
      <c r="J32" s="95">
        <f t="shared" si="17"/>
        <v>0</v>
      </c>
    </row>
    <row r="33" spans="1:10">
      <c r="D33" s="2"/>
      <c r="E33" s="2"/>
      <c r="F33" s="2"/>
      <c r="G33" s="2"/>
      <c r="H33" s="2"/>
      <c r="I33" s="2"/>
      <c r="J33" s="2"/>
    </row>
    <row r="35" spans="1:10">
      <c r="A35" s="8" t="s">
        <v>121</v>
      </c>
    </row>
    <row r="36" spans="1:10">
      <c r="A36" s="139" t="s">
        <v>122</v>
      </c>
      <c r="B36" s="140"/>
      <c r="C36" s="140"/>
      <c r="D36" s="140">
        <v>2023</v>
      </c>
      <c r="E36" s="140">
        <v>2024</v>
      </c>
      <c r="F36" s="140">
        <v>2025</v>
      </c>
      <c r="G36" s="140">
        <v>2026</v>
      </c>
      <c r="H36" s="140">
        <v>2027</v>
      </c>
      <c r="I36" s="140">
        <v>2028</v>
      </c>
      <c r="J36" s="141">
        <v>2029</v>
      </c>
    </row>
    <row r="37" spans="1:10">
      <c r="A37" s="46" t="s">
        <v>11</v>
      </c>
      <c r="B37" s="142"/>
      <c r="C37" s="142"/>
      <c r="D37" s="143">
        <f>D7</f>
        <v>5.48</v>
      </c>
      <c r="E37" s="142">
        <f t="shared" ref="E37:E39" si="18">E7</f>
        <v>5.82</v>
      </c>
      <c r="F37" s="144">
        <f>(E37/INC!E6)*INC!F6</f>
        <v>6.9945469817910206</v>
      </c>
      <c r="G37" s="144">
        <f>(F37/INC!F6)*INC!G6</f>
        <v>8.4760773393165127</v>
      </c>
      <c r="H37" s="144">
        <f>(G37/INC!G6)*INC!H6</f>
        <v>10.356174668975948</v>
      </c>
      <c r="I37" s="144">
        <f>(H37/INC!H6)*INC!I6</f>
        <v>12.75686226305662</v>
      </c>
      <c r="J37" s="132">
        <f>(I37/INC!I6)*INC!J6</f>
        <v>15.841627143303441</v>
      </c>
    </row>
    <row r="38" spans="1:10">
      <c r="A38" s="46" t="s">
        <v>13</v>
      </c>
      <c r="B38" s="142"/>
      <c r="C38" s="142"/>
      <c r="D38" s="143">
        <f>D8</f>
        <v>28.54</v>
      </c>
      <c r="E38" s="142">
        <f t="shared" si="18"/>
        <v>31.44</v>
      </c>
      <c r="F38" s="144">
        <f>(E38/INC!E6)*INC!F6</f>
        <v>37.784975448025712</v>
      </c>
      <c r="G38" s="144">
        <f>(F38/INC!F6)*INC!G6</f>
        <v>45.78829408043147</v>
      </c>
      <c r="H38" s="144">
        <f>(G38/INC!G6)*INC!H6</f>
        <v>55.944696149931914</v>
      </c>
      <c r="I38" s="144">
        <f>(H38/INC!H6)*INC!I6</f>
        <v>68.913359029295549</v>
      </c>
      <c r="J38" s="132">
        <f>(I38/INC!I6)*INC!J6</f>
        <v>85.577449722587644</v>
      </c>
    </row>
    <row r="39" spans="1:10">
      <c r="A39" s="46" t="s">
        <v>14</v>
      </c>
      <c r="B39" s="142"/>
      <c r="C39" s="142"/>
      <c r="D39" s="142">
        <f t="shared" ref="D39" si="19">D9</f>
        <v>4.46</v>
      </c>
      <c r="E39" s="142">
        <f t="shared" si="18"/>
        <v>5.69</v>
      </c>
      <c r="F39" s="144">
        <f>(E39/INC!E6)*INC!F6</f>
        <v>6.8383113962870974</v>
      </c>
      <c r="G39" s="144">
        <f>(F39/INC!F6)*INC!G6</f>
        <v>8.2867491513249067</v>
      </c>
      <c r="H39" s="144">
        <f>(G39/INC!G6)*INC!H6</f>
        <v>10.124851179806381</v>
      </c>
      <c r="I39" s="144">
        <f>(H39/INC!H6)*INC!I6</f>
        <v>12.471915167833703</v>
      </c>
      <c r="J39" s="132">
        <f>(I39/INC!I6)*INC!J6</f>
        <v>15.487776365188413</v>
      </c>
    </row>
    <row r="40" spans="1:10">
      <c r="A40" s="46" t="s">
        <v>123</v>
      </c>
      <c r="B40" s="142"/>
      <c r="C40" s="142"/>
      <c r="D40" s="143">
        <f>D12</f>
        <v>17.100000000000001</v>
      </c>
      <c r="E40" s="142">
        <f t="shared" ref="E40" si="20">E12</f>
        <v>18.34</v>
      </c>
      <c r="F40" s="144">
        <f>E40-CFS!F20-INC!F42</f>
        <v>18.088999999999999</v>
      </c>
      <c r="G40" s="144">
        <f>F40-CFS!G20-INC!G42</f>
        <v>17.37565</v>
      </c>
      <c r="H40" s="144">
        <f>G40-CFS!H20-INC!H42</f>
        <v>13.7693025</v>
      </c>
      <c r="I40" s="144">
        <f>H40-CFS!I20-INC!I42</f>
        <v>15.703907125000002</v>
      </c>
      <c r="J40" s="132">
        <f>I40-CFS!J20-INC!J42</f>
        <v>18.848321056250001</v>
      </c>
    </row>
    <row r="41" spans="1:10">
      <c r="A41" s="46" t="s">
        <v>51</v>
      </c>
      <c r="B41" s="142"/>
      <c r="C41" s="142"/>
      <c r="D41" s="143">
        <f>D14</f>
        <v>0</v>
      </c>
      <c r="E41" s="142">
        <f t="shared" ref="E41" si="21">E14</f>
        <v>0</v>
      </c>
      <c r="F41" s="142">
        <f>E41-CFS!F21</f>
        <v>5</v>
      </c>
      <c r="G41" s="142">
        <f>F41-CFS!G21</f>
        <v>5</v>
      </c>
      <c r="H41" s="142">
        <f>G41-CFS!H21</f>
        <v>5</v>
      </c>
      <c r="I41" s="142">
        <f>H41-CFS!I21</f>
        <v>3</v>
      </c>
      <c r="J41" s="45">
        <f>I41-CFS!J21</f>
        <v>0</v>
      </c>
    </row>
    <row r="42" spans="1:10">
      <c r="A42" s="46" t="s">
        <v>124</v>
      </c>
      <c r="B42" s="142"/>
      <c r="C42" s="142"/>
      <c r="D42" s="143">
        <f>D18</f>
        <v>6.67</v>
      </c>
      <c r="E42" s="142">
        <f t="shared" ref="E42:E43" si="22">E18</f>
        <v>4.79</v>
      </c>
      <c r="F42" s="144">
        <f>(E42/INC!E29)*INC!F29</f>
        <v>5.7566804197214756</v>
      </c>
      <c r="G42" s="144">
        <f>(F42/INC!F29)*INC!G29</f>
        <v>6.9760155421522505</v>
      </c>
      <c r="H42" s="144">
        <f>(G42/INC!G29)*INC!H29</f>
        <v>8.523380870170925</v>
      </c>
      <c r="I42" s="144">
        <f>(H42/INC!H29)*INC!I29</f>
        <v>10.499204508598146</v>
      </c>
      <c r="J42" s="132">
        <f>(I42/INC!I29)*INC!J29</f>
        <v>13.03804020900747</v>
      </c>
    </row>
    <row r="43" spans="1:10">
      <c r="A43" s="46" t="s">
        <v>17</v>
      </c>
      <c r="B43" s="142"/>
      <c r="C43" s="142"/>
      <c r="D43" s="143">
        <f>D19</f>
        <v>4.12</v>
      </c>
      <c r="E43" s="142">
        <f t="shared" si="22"/>
        <v>2.5</v>
      </c>
      <c r="F43" s="144">
        <f>(E43/INC!E29)*INC!F29</f>
        <v>3.00453049046006</v>
      </c>
      <c r="G43" s="144">
        <f>(F43/INC!F29)*INC!G29</f>
        <v>3.6409266921462682</v>
      </c>
      <c r="H43" s="144">
        <f>(G43/INC!G29)*INC!H29</f>
        <v>4.4485286378762661</v>
      </c>
      <c r="I43" s="144">
        <f>(H43/INC!H29)*INC!I29</f>
        <v>5.4797518312098878</v>
      </c>
      <c r="J43" s="132">
        <f>(I43/INC!I29)*INC!J29</f>
        <v>6.8048226560581782</v>
      </c>
    </row>
    <row r="44" spans="1:10">
      <c r="A44" s="46" t="s">
        <v>125</v>
      </c>
      <c r="B44" s="142"/>
      <c r="C44" s="142"/>
      <c r="D44" s="142"/>
      <c r="E44" s="142"/>
      <c r="F44" s="142">
        <v>10</v>
      </c>
      <c r="G44" s="142">
        <f>-3</f>
        <v>-3</v>
      </c>
      <c r="H44" s="142">
        <f t="shared" ref="H44:J44" si="23">-3</f>
        <v>-3</v>
      </c>
      <c r="I44" s="142">
        <f t="shared" si="23"/>
        <v>-3</v>
      </c>
      <c r="J44" s="45">
        <f t="shared" si="23"/>
        <v>-3</v>
      </c>
    </row>
    <row r="45" spans="1:10">
      <c r="A45" s="46" t="s">
        <v>126</v>
      </c>
      <c r="B45" s="142"/>
      <c r="C45" s="142"/>
      <c r="D45" s="143">
        <f>D22</f>
        <v>7.6399999999999988</v>
      </c>
      <c r="E45" s="142">
        <f t="shared" ref="E45" si="24">E22</f>
        <v>15.440000000000001</v>
      </c>
      <c r="F45" s="142">
        <f>E45+F44</f>
        <v>25.44</v>
      </c>
      <c r="G45" s="142">
        <f t="shared" ref="G45:J45" si="25">F45+G44</f>
        <v>22.44</v>
      </c>
      <c r="H45" s="142">
        <f t="shared" si="25"/>
        <v>19.440000000000001</v>
      </c>
      <c r="I45" s="142">
        <f t="shared" si="25"/>
        <v>16.440000000000001</v>
      </c>
      <c r="J45" s="45">
        <f t="shared" si="25"/>
        <v>13.440000000000001</v>
      </c>
    </row>
    <row r="46" spans="1:10">
      <c r="A46" s="57" t="s">
        <v>127</v>
      </c>
      <c r="B46" s="3"/>
      <c r="C46" s="3"/>
      <c r="D46" s="84">
        <f>D28</f>
        <v>36.020000000000003</v>
      </c>
      <c r="E46" s="3">
        <f t="shared" ref="E46" si="26">E28</f>
        <v>36.799999999999997</v>
      </c>
      <c r="F46" s="85">
        <f>E46+INC!F53-INC!F54+(E23-F23)</f>
        <v>42.284217752311413</v>
      </c>
      <c r="G46" s="85">
        <f>F46+INC!G53-INC!G54+(F23-G23)</f>
        <v>53.416302121543069</v>
      </c>
      <c r="H46" s="85">
        <f>G46+INC!H53-INC!H54+(G23-H23)</f>
        <v>77.209900110225078</v>
      </c>
      <c r="I46" s="85">
        <f>H46+INC!I53-INC!I54+(H23-I23)</f>
        <v>106.67186031084752</v>
      </c>
      <c r="J46" s="135">
        <f>I46+INC!J53-INC!J54+(I23-J23)</f>
        <v>149.45899719410937</v>
      </c>
    </row>
  </sheetData>
  <phoneticPr fontId="0" type="noConversion"/>
  <pageMargins left="0.5" right="0.5" top="0.5" bottom="0.5" header="0.5" footer="0.5"/>
  <pageSetup orientation="landscape" r:id="rId1"/>
  <headerFooter alignWithMargins="0">
    <oddFooter>&amp;L&amp;"Times New Roman,Italic"&amp;8Pulsar Knowledge Centre&amp;C&amp;"Times New Roman,Italic"&amp;8Page &amp;P of &amp;N&amp;R&amp;"Times New Roman,Italic"&amp;8 07-Apr-2003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9"/>
  <sheetViews>
    <sheetView showGridLines="0" topLeftCell="A38" zoomScale="85" zoomScaleNormal="85" workbookViewId="0">
      <selection activeCell="F68" sqref="F68"/>
    </sheetView>
  </sheetViews>
  <sheetFormatPr defaultColWidth="9.21875" defaultRowHeight="13.2"/>
  <cols>
    <col min="1" max="1" width="29.21875" style="1" bestFit="1" customWidth="1"/>
    <col min="2" max="5" width="3" style="1" customWidth="1"/>
    <col min="6" max="10" width="10.77734375" style="1" customWidth="1"/>
    <col min="11" max="16384" width="9.21875" style="1"/>
  </cols>
  <sheetData>
    <row r="1" spans="1:10" ht="15.6">
      <c r="A1" s="11" t="str">
        <f>INC!A1</f>
        <v>EXCEL MODELING TEST</v>
      </c>
      <c r="B1" s="12"/>
    </row>
    <row r="2" spans="1:10" ht="15.6">
      <c r="A2" s="40" t="s">
        <v>22</v>
      </c>
      <c r="B2" s="41"/>
      <c r="C2" s="42"/>
      <c r="D2" s="42"/>
      <c r="E2" s="42"/>
      <c r="F2" s="42"/>
      <c r="G2" s="42"/>
      <c r="H2" s="42"/>
      <c r="I2" s="42"/>
      <c r="J2" s="43"/>
    </row>
    <row r="3" spans="1:10">
      <c r="A3" s="44" t="s">
        <v>80</v>
      </c>
      <c r="B3" s="142"/>
      <c r="C3" s="142"/>
      <c r="D3" s="142"/>
      <c r="E3" s="142"/>
      <c r="F3" s="142"/>
      <c r="G3" s="142"/>
      <c r="H3" s="142"/>
      <c r="I3" s="142"/>
      <c r="J3" s="45"/>
    </row>
    <row r="4" spans="1:10">
      <c r="A4" s="46"/>
      <c r="B4" s="142"/>
      <c r="C4" s="142"/>
      <c r="D4" s="142"/>
      <c r="E4" s="142"/>
      <c r="F4" s="145">
        <f>+BS!F4</f>
        <v>2025</v>
      </c>
      <c r="G4" s="145">
        <f>+BS!G4</f>
        <v>2026</v>
      </c>
      <c r="H4" s="145">
        <f>+BS!H4</f>
        <v>2027</v>
      </c>
      <c r="I4" s="145">
        <f>+BS!I4</f>
        <v>2028</v>
      </c>
      <c r="J4" s="47">
        <f>+BS!J4</f>
        <v>2029</v>
      </c>
    </row>
    <row r="5" spans="1:10">
      <c r="A5" s="46"/>
      <c r="B5" s="142"/>
      <c r="C5" s="142"/>
      <c r="D5" s="142"/>
      <c r="E5" s="142"/>
      <c r="F5" s="10"/>
      <c r="G5" s="10"/>
      <c r="H5" s="10"/>
      <c r="I5" s="10"/>
      <c r="J5" s="48"/>
    </row>
    <row r="6" spans="1:10">
      <c r="A6" s="146" t="s">
        <v>23</v>
      </c>
      <c r="B6" s="142"/>
      <c r="C6" s="142"/>
      <c r="D6" s="142"/>
      <c r="E6" s="142"/>
      <c r="F6" s="142"/>
      <c r="G6" s="142"/>
      <c r="H6" s="142"/>
      <c r="I6" s="142"/>
      <c r="J6" s="45"/>
    </row>
    <row r="7" spans="1:10">
      <c r="A7" s="46" t="s">
        <v>66</v>
      </c>
      <c r="B7" s="142"/>
      <c r="C7" s="142"/>
      <c r="D7" s="142"/>
      <c r="E7" s="142"/>
      <c r="F7" s="9">
        <f>INC!F53</f>
        <v>5.7728607919067549</v>
      </c>
      <c r="G7" s="9">
        <f>INC!G53</f>
        <v>11.717983546559639</v>
      </c>
      <c r="H7" s="9">
        <f>INC!H53</f>
        <v>19.782734724928424</v>
      </c>
      <c r="I7" s="9">
        <f>INC!I53</f>
        <v>31.012589684865723</v>
      </c>
      <c r="J7" s="50">
        <f>INC!J53</f>
        <v>45.039091456065094</v>
      </c>
    </row>
    <row r="8" spans="1:10">
      <c r="A8" s="46" t="s">
        <v>68</v>
      </c>
      <c r="B8" s="142"/>
      <c r="C8" s="142"/>
      <c r="D8" s="142"/>
      <c r="E8" s="142"/>
      <c r="F8" s="9">
        <f>INC!F42</f>
        <v>2.7509999999999999</v>
      </c>
      <c r="G8" s="9">
        <f>INC!G42</f>
        <v>2.7133499999999997</v>
      </c>
      <c r="H8" s="9">
        <f>INC!H42</f>
        <v>2.6063475</v>
      </c>
      <c r="I8" s="9">
        <f>INC!I42</f>
        <v>2.065395375</v>
      </c>
      <c r="J8" s="50">
        <f>INC!J42</f>
        <v>2.3555860687500001</v>
      </c>
    </row>
    <row r="9" spans="1:10">
      <c r="A9" s="87" t="s">
        <v>69</v>
      </c>
      <c r="B9" s="142"/>
      <c r="C9" s="142"/>
      <c r="D9" s="142"/>
      <c r="E9" s="142"/>
      <c r="F9" s="55">
        <f>INC!F44</f>
        <v>1.5034670574262139</v>
      </c>
      <c r="G9" s="55">
        <f>INC!G44</f>
        <v>1.8219197167499925</v>
      </c>
      <c r="H9" s="55">
        <f>INC!H44</f>
        <v>2.2260437303932834</v>
      </c>
      <c r="I9" s="55">
        <f>INC!I44</f>
        <v>2.7420678163374279</v>
      </c>
      <c r="J9" s="56">
        <f>INC!J44</f>
        <v>3.4051332570915123</v>
      </c>
    </row>
    <row r="10" spans="1:10">
      <c r="A10" s="87" t="s">
        <v>70</v>
      </c>
      <c r="B10" s="142"/>
      <c r="C10" s="142"/>
      <c r="D10" s="142"/>
      <c r="E10" s="142"/>
      <c r="F10" s="55"/>
      <c r="G10" s="55"/>
      <c r="H10" s="55"/>
      <c r="I10" s="55">
        <f>-Instructions!E26</f>
        <v>-2</v>
      </c>
      <c r="J10" s="56">
        <f>-Instructions!E27</f>
        <v>-3</v>
      </c>
    </row>
    <row r="11" spans="1:10">
      <c r="A11" s="87" t="s">
        <v>73</v>
      </c>
      <c r="B11" s="142"/>
      <c r="C11" s="142"/>
      <c r="D11" s="142"/>
      <c r="E11" s="142"/>
      <c r="F11" s="144">
        <f>BS!E7-BS!F7</f>
        <v>-1.1745469817910204</v>
      </c>
      <c r="G11" s="147">
        <f>BS!F7-BS!G7</f>
        <v>-1.4815303575254921</v>
      </c>
      <c r="H11" s="147">
        <f>BS!G7-BS!H7</f>
        <v>-1.880097329659435</v>
      </c>
      <c r="I11" s="147">
        <f>BS!H7-BS!I7</f>
        <v>-2.4006875940806722</v>
      </c>
      <c r="J11" s="148">
        <f>BS!I7-BS!J7</f>
        <v>-3.0847648802468211</v>
      </c>
    </row>
    <row r="12" spans="1:10">
      <c r="A12" s="87" t="s">
        <v>72</v>
      </c>
      <c r="B12" s="142"/>
      <c r="C12" s="142"/>
      <c r="D12" s="142"/>
      <c r="E12" s="142"/>
      <c r="F12" s="55">
        <f>BS!E8-BS!F8</f>
        <v>-6.3449754480257106</v>
      </c>
      <c r="G12" s="55">
        <f>BS!F8-BS!G8</f>
        <v>-8.0033186324057581</v>
      </c>
      <c r="H12" s="55">
        <f>BS!G8-BS!H8</f>
        <v>-10.156402069500444</v>
      </c>
      <c r="I12" s="55">
        <f>BS!H8-BS!I8</f>
        <v>-12.968662879363634</v>
      </c>
      <c r="J12" s="56">
        <f>BS!I8-BS!J8</f>
        <v>-16.664090693292096</v>
      </c>
    </row>
    <row r="13" spans="1:10">
      <c r="A13" s="87" t="s">
        <v>76</v>
      </c>
      <c r="B13" s="142"/>
      <c r="C13" s="142"/>
      <c r="D13" s="142"/>
      <c r="E13" s="142"/>
      <c r="F13" s="55">
        <f>BS!E9-BS!F9</f>
        <v>-1.148311396287097</v>
      </c>
      <c r="G13" s="55">
        <f>BS!F9-BS!G9</f>
        <v>-1.4484377550378094</v>
      </c>
      <c r="H13" s="55">
        <f>BS!G9-BS!H9</f>
        <v>-1.8381020284814742</v>
      </c>
      <c r="I13" s="55">
        <f>BS!H9-BS!I9</f>
        <v>-2.3470639880273225</v>
      </c>
      <c r="J13" s="56">
        <f>BS!I9-BS!J9</f>
        <v>-3.0158611973547096</v>
      </c>
    </row>
    <row r="14" spans="1:10">
      <c r="A14" s="87" t="s">
        <v>74</v>
      </c>
      <c r="B14" s="142"/>
      <c r="C14" s="142"/>
      <c r="D14" s="142"/>
      <c r="E14" s="142"/>
      <c r="F14" s="55">
        <f>BS!F18-BS!E18</f>
        <v>0.96668041972147556</v>
      </c>
      <c r="G14" s="55">
        <f>BS!G18-BS!F18</f>
        <v>1.2193351224307749</v>
      </c>
      <c r="H14" s="55">
        <f>BS!H18-BS!G18</f>
        <v>1.5473653280186745</v>
      </c>
      <c r="I14" s="55">
        <f>BS!I18-BS!H18</f>
        <v>1.9758236384272205</v>
      </c>
      <c r="J14" s="56">
        <f>BS!J18-BS!I18</f>
        <v>2.538835700409324</v>
      </c>
    </row>
    <row r="15" spans="1:10">
      <c r="A15" s="87" t="s">
        <v>75</v>
      </c>
      <c r="B15" s="142"/>
      <c r="C15" s="142"/>
      <c r="D15" s="142"/>
      <c r="E15" s="142"/>
      <c r="F15" s="55">
        <f>BS!F19-BS!E19</f>
        <v>0.50453049046006004</v>
      </c>
      <c r="G15" s="55">
        <f>BS!G19-BS!F19</f>
        <v>0.63639620168620814</v>
      </c>
      <c r="H15" s="55">
        <f>BS!H19-BS!G19</f>
        <v>0.80760194572999788</v>
      </c>
      <c r="I15" s="55">
        <f>BS!I19-BS!H19</f>
        <v>1.0312231933336218</v>
      </c>
      <c r="J15" s="56">
        <f>BS!J19-BS!I19</f>
        <v>1.3250708248482903</v>
      </c>
    </row>
    <row r="16" spans="1:10">
      <c r="A16" s="46"/>
      <c r="B16" s="142"/>
      <c r="C16" s="142"/>
      <c r="D16" s="142"/>
      <c r="E16" s="142"/>
      <c r="F16" s="19"/>
      <c r="G16" s="19"/>
      <c r="H16" s="19"/>
      <c r="I16" s="19"/>
      <c r="J16" s="58"/>
    </row>
    <row r="17" spans="1:10">
      <c r="A17" s="66" t="s">
        <v>23</v>
      </c>
      <c r="B17" s="142"/>
      <c r="C17" s="142"/>
      <c r="D17" s="142"/>
      <c r="E17" s="142"/>
      <c r="F17" s="18">
        <f>SUM(F7:F16)</f>
        <v>2.8307049334106766</v>
      </c>
      <c r="G17" s="18">
        <f t="shared" ref="G17:J17" si="0">SUM(G7:G16)</f>
        <v>7.1756978424575539</v>
      </c>
      <c r="H17" s="18">
        <f t="shared" si="0"/>
        <v>13.095491801429024</v>
      </c>
      <c r="I17" s="18">
        <f t="shared" si="0"/>
        <v>19.110685246492366</v>
      </c>
      <c r="J17" s="149">
        <f t="shared" si="0"/>
        <v>28.899000536270592</v>
      </c>
    </row>
    <row r="18" spans="1:10">
      <c r="A18" s="46"/>
      <c r="B18" s="142"/>
      <c r="C18" s="142"/>
      <c r="D18" s="142"/>
      <c r="E18" s="142"/>
      <c r="F18" s="9"/>
      <c r="G18" s="9"/>
      <c r="H18" s="9"/>
      <c r="I18" s="9"/>
      <c r="J18" s="50"/>
    </row>
    <row r="19" spans="1:10">
      <c r="A19" s="146" t="s">
        <v>26</v>
      </c>
      <c r="B19" s="142"/>
      <c r="C19" s="142"/>
      <c r="D19" s="142"/>
      <c r="E19" s="142"/>
      <c r="F19" s="9"/>
      <c r="G19" s="9"/>
      <c r="H19" s="9"/>
      <c r="I19" s="9"/>
      <c r="J19" s="50"/>
    </row>
    <row r="20" spans="1:10">
      <c r="A20" s="46" t="s">
        <v>24</v>
      </c>
      <c r="B20" s="142"/>
      <c r="C20" s="142"/>
      <c r="D20" s="150"/>
      <c r="E20" s="150"/>
      <c r="F20" s="20">
        <v>-2.5</v>
      </c>
      <c r="G20" s="20">
        <v>-2</v>
      </c>
      <c r="H20" s="20">
        <v>1</v>
      </c>
      <c r="I20" s="20">
        <v>-4</v>
      </c>
      <c r="J20" s="151">
        <v>-5.5</v>
      </c>
    </row>
    <row r="21" spans="1:10">
      <c r="A21" s="46" t="s">
        <v>51</v>
      </c>
      <c r="B21" s="142"/>
      <c r="C21" s="142"/>
      <c r="D21" s="150"/>
      <c r="E21" s="150"/>
      <c r="F21" s="20">
        <v>-5</v>
      </c>
      <c r="G21" s="20">
        <v>0</v>
      </c>
      <c r="H21" s="20">
        <v>0</v>
      </c>
      <c r="I21" s="20">
        <f>-0.4*F21</f>
        <v>2</v>
      </c>
      <c r="J21" s="151">
        <f>-0.6*F21</f>
        <v>3</v>
      </c>
    </row>
    <row r="22" spans="1:10">
      <c r="A22" s="46"/>
      <c r="B22" s="142"/>
      <c r="C22" s="142"/>
      <c r="D22" s="150"/>
      <c r="E22" s="150"/>
      <c r="F22" s="21"/>
      <c r="G22" s="21"/>
      <c r="H22" s="21"/>
      <c r="I22" s="21"/>
      <c r="J22" s="152"/>
    </row>
    <row r="23" spans="1:10">
      <c r="A23" s="46"/>
      <c r="B23" s="142"/>
      <c r="C23" s="142"/>
      <c r="D23" s="150"/>
      <c r="E23" s="150"/>
      <c r="F23" s="21"/>
      <c r="G23" s="21"/>
      <c r="H23" s="21"/>
      <c r="I23" s="21"/>
      <c r="J23" s="152"/>
    </row>
    <row r="24" spans="1:10">
      <c r="A24" s="46"/>
      <c r="B24" s="142"/>
      <c r="C24" s="142"/>
      <c r="D24" s="150"/>
      <c r="E24" s="150"/>
      <c r="F24" s="21"/>
      <c r="G24" s="21"/>
      <c r="H24" s="21"/>
      <c r="I24" s="21"/>
      <c r="J24" s="152"/>
    </row>
    <row r="25" spans="1:10">
      <c r="A25" s="46"/>
      <c r="B25" s="142"/>
      <c r="C25" s="142"/>
      <c r="D25" s="142"/>
      <c r="E25" s="142"/>
      <c r="F25" s="19"/>
      <c r="G25" s="19"/>
      <c r="H25" s="19"/>
      <c r="I25" s="19"/>
      <c r="J25" s="58"/>
    </row>
    <row r="26" spans="1:10">
      <c r="A26" s="66" t="s">
        <v>26</v>
      </c>
      <c r="B26" s="142"/>
      <c r="C26" s="142"/>
      <c r="D26" s="142"/>
      <c r="E26" s="142"/>
      <c r="F26" s="18">
        <f>SUM(F20:F21)</f>
        <v>-7.5</v>
      </c>
      <c r="G26" s="18">
        <f t="shared" ref="G26:J26" si="1">SUM(G20:G21)</f>
        <v>-2</v>
      </c>
      <c r="H26" s="18">
        <f t="shared" si="1"/>
        <v>1</v>
      </c>
      <c r="I26" s="18">
        <f t="shared" si="1"/>
        <v>-2</v>
      </c>
      <c r="J26" s="149">
        <f t="shared" si="1"/>
        <v>-2.5</v>
      </c>
    </row>
    <row r="27" spans="1:10">
      <c r="A27" s="46"/>
      <c r="B27" s="142"/>
      <c r="C27" s="142"/>
      <c r="D27" s="142"/>
      <c r="E27" s="142"/>
      <c r="F27" s="9"/>
      <c r="G27" s="9"/>
      <c r="H27" s="9"/>
      <c r="I27" s="9"/>
      <c r="J27" s="50"/>
    </row>
    <row r="28" spans="1:10">
      <c r="A28" s="46"/>
      <c r="B28" s="142"/>
      <c r="C28" s="142"/>
      <c r="D28" s="142"/>
      <c r="E28" s="142"/>
      <c r="F28" s="9"/>
      <c r="G28" s="9"/>
      <c r="H28" s="9"/>
      <c r="I28" s="9"/>
      <c r="J28" s="50"/>
    </row>
    <row r="29" spans="1:10">
      <c r="A29" s="146" t="s">
        <v>25</v>
      </c>
      <c r="B29" s="142"/>
      <c r="C29" s="142"/>
      <c r="D29" s="142"/>
      <c r="E29" s="142"/>
      <c r="F29" s="9"/>
      <c r="G29" s="9"/>
      <c r="H29" s="9"/>
      <c r="I29" s="9"/>
      <c r="J29" s="50"/>
    </row>
    <row r="30" spans="1:10" s="13" customFormat="1">
      <c r="A30" s="87" t="s">
        <v>45</v>
      </c>
      <c r="B30" s="153"/>
      <c r="C30" s="153"/>
      <c r="D30" s="153"/>
      <c r="E30" s="153"/>
      <c r="F30" s="9">
        <f>BS!F44</f>
        <v>10</v>
      </c>
      <c r="G30" s="153"/>
      <c r="H30" s="153"/>
      <c r="I30" s="153"/>
      <c r="J30" s="154"/>
    </row>
    <row r="31" spans="1:10" s="13" customFormat="1">
      <c r="A31" s="46" t="s">
        <v>77</v>
      </c>
      <c r="B31" s="153"/>
      <c r="C31" s="153"/>
      <c r="D31" s="153"/>
      <c r="E31" s="153"/>
      <c r="F31" s="9"/>
      <c r="G31" s="9">
        <f>BS!G44</f>
        <v>-3</v>
      </c>
      <c r="H31" s="9">
        <f>BS!H44</f>
        <v>-3</v>
      </c>
      <c r="I31" s="9">
        <f>BS!I44</f>
        <v>-3</v>
      </c>
      <c r="J31" s="50">
        <f>BS!J44</f>
        <v>-3</v>
      </c>
    </row>
    <row r="32" spans="1:10" s="13" customFormat="1">
      <c r="A32" s="46" t="s">
        <v>78</v>
      </c>
      <c r="B32" s="153"/>
      <c r="C32" s="153"/>
      <c r="D32" s="153"/>
      <c r="E32" s="153"/>
      <c r="F32" s="9">
        <f>-INC!F54</f>
        <v>-0.28864303959533777</v>
      </c>
      <c r="G32" s="9">
        <f>-INC!G54</f>
        <v>-0.58589917732798191</v>
      </c>
      <c r="H32" s="9">
        <f>-INC!H54</f>
        <v>-0.98913673624642129</v>
      </c>
      <c r="I32" s="9">
        <f>-INC!I54</f>
        <v>-1.5506294842432862</v>
      </c>
      <c r="J32" s="50">
        <f>-INC!J54</f>
        <v>-2.2519545728032546</v>
      </c>
    </row>
    <row r="33" spans="1:10" s="13" customFormat="1">
      <c r="A33" s="46"/>
      <c r="B33" s="153"/>
      <c r="C33" s="153"/>
      <c r="D33" s="153"/>
      <c r="E33" s="153"/>
      <c r="F33" s="9"/>
      <c r="G33" s="9"/>
      <c r="H33" s="9"/>
      <c r="I33" s="9"/>
      <c r="J33" s="50"/>
    </row>
    <row r="34" spans="1:10" s="13" customFormat="1">
      <c r="A34" s="46"/>
      <c r="B34" s="153"/>
      <c r="C34" s="153"/>
      <c r="D34" s="153"/>
      <c r="E34" s="153"/>
      <c r="F34" s="9"/>
      <c r="G34" s="9"/>
      <c r="H34" s="9"/>
      <c r="I34" s="9"/>
      <c r="J34" s="50"/>
    </row>
    <row r="35" spans="1:10" s="13" customFormat="1">
      <c r="A35" s="46"/>
      <c r="B35" s="153"/>
      <c r="C35" s="153"/>
      <c r="D35" s="153"/>
      <c r="E35" s="153"/>
      <c r="F35" s="9"/>
      <c r="G35" s="9"/>
      <c r="H35" s="9"/>
      <c r="I35" s="9"/>
      <c r="J35" s="50"/>
    </row>
    <row r="36" spans="1:10" s="13" customFormat="1">
      <c r="A36" s="66" t="s">
        <v>25</v>
      </c>
      <c r="B36" s="142"/>
      <c r="C36" s="142"/>
      <c r="D36" s="142"/>
      <c r="E36" s="142"/>
      <c r="F36" s="18">
        <f>SUM(F30:F35)</f>
        <v>9.7113569604046628</v>
      </c>
      <c r="G36" s="18">
        <f>SUM(G31:G35)</f>
        <v>-3.585899177327982</v>
      </c>
      <c r="H36" s="18">
        <f>SUM(H31:H35)</f>
        <v>-3.9891367362464214</v>
      </c>
      <c r="I36" s="18">
        <f>SUM(I31:I35)</f>
        <v>-4.5506294842432862</v>
      </c>
      <c r="J36" s="149">
        <f>SUM(J31:J35)</f>
        <v>-5.2519545728032551</v>
      </c>
    </row>
    <row r="37" spans="1:10">
      <c r="A37" s="46"/>
      <c r="B37" s="142"/>
      <c r="C37" s="142"/>
      <c r="D37" s="142"/>
      <c r="E37" s="142"/>
      <c r="F37" s="9"/>
      <c r="G37" s="9"/>
      <c r="H37" s="9"/>
      <c r="I37" s="9"/>
      <c r="J37" s="50"/>
    </row>
    <row r="38" spans="1:10">
      <c r="A38" s="46"/>
      <c r="B38" s="142"/>
      <c r="C38" s="142"/>
      <c r="D38" s="142"/>
      <c r="E38" s="142"/>
      <c r="F38" s="9"/>
      <c r="G38" s="9"/>
      <c r="H38" s="9"/>
      <c r="I38" s="9"/>
      <c r="J38" s="50"/>
    </row>
    <row r="39" spans="1:10" ht="13.8" thickBot="1">
      <c r="A39" s="66" t="s">
        <v>31</v>
      </c>
      <c r="B39" s="142"/>
      <c r="C39" s="142"/>
      <c r="D39" s="142"/>
      <c r="E39" s="142"/>
      <c r="F39" s="22">
        <f>F17+F26+F36</f>
        <v>5.0420618938153394</v>
      </c>
      <c r="G39" s="22">
        <f t="shared" ref="G39:J39" si="2">G17+G26+G36</f>
        <v>1.5897986651295719</v>
      </c>
      <c r="H39" s="22">
        <f t="shared" si="2"/>
        <v>10.106355065182601</v>
      </c>
      <c r="I39" s="22">
        <f t="shared" si="2"/>
        <v>12.56005576224908</v>
      </c>
      <c r="J39" s="155">
        <f t="shared" si="2"/>
        <v>21.147045963467335</v>
      </c>
    </row>
    <row r="40" spans="1:10" ht="13.8" thickTop="1">
      <c r="A40" s="46"/>
      <c r="B40" s="142"/>
      <c r="C40" s="142"/>
      <c r="D40" s="142"/>
      <c r="E40" s="142"/>
      <c r="F40" s="9"/>
      <c r="G40" s="9"/>
      <c r="H40" s="9"/>
      <c r="I40" s="9"/>
      <c r="J40" s="50"/>
    </row>
    <row r="41" spans="1:10">
      <c r="A41" s="46" t="s">
        <v>27</v>
      </c>
      <c r="B41" s="142"/>
      <c r="C41" s="142"/>
      <c r="D41" s="142"/>
      <c r="E41" s="142"/>
      <c r="F41" s="9">
        <f>BS!E6</f>
        <v>1.03</v>
      </c>
      <c r="G41" s="9">
        <f>F42</f>
        <v>6.0720618938153397</v>
      </c>
      <c r="H41" s="9">
        <f t="shared" ref="H41:J41" si="3">G42</f>
        <v>7.6618605589449116</v>
      </c>
      <c r="I41" s="9">
        <f t="shared" si="3"/>
        <v>17.768215624127514</v>
      </c>
      <c r="J41" s="50">
        <f t="shared" si="3"/>
        <v>30.328271386376592</v>
      </c>
    </row>
    <row r="42" spans="1:10">
      <c r="A42" s="57" t="s">
        <v>28</v>
      </c>
      <c r="B42" s="3"/>
      <c r="C42" s="3"/>
      <c r="D42" s="3"/>
      <c r="E42" s="3"/>
      <c r="F42" s="156">
        <f>F41+F39</f>
        <v>6.0720618938153397</v>
      </c>
      <c r="G42" s="156">
        <f>G41+G39</f>
        <v>7.6618605589449116</v>
      </c>
      <c r="H42" s="156">
        <f t="shared" ref="H42:J42" si="4">H41+H39</f>
        <v>17.768215624127514</v>
      </c>
      <c r="I42" s="156">
        <f t="shared" si="4"/>
        <v>30.328271386376592</v>
      </c>
      <c r="J42" s="157">
        <f t="shared" si="4"/>
        <v>51.475317349843927</v>
      </c>
    </row>
    <row r="43" spans="1:10">
      <c r="F43" s="2"/>
      <c r="G43" s="2"/>
      <c r="H43" s="2"/>
      <c r="I43" s="2"/>
      <c r="J43" s="2"/>
    </row>
    <row r="44" spans="1:10">
      <c r="F44" s="2"/>
      <c r="G44" s="2"/>
      <c r="H44" s="2"/>
      <c r="I44" s="2"/>
      <c r="J44" s="2"/>
    </row>
    <row r="45" spans="1:10">
      <c r="A45" s="8" t="s">
        <v>140</v>
      </c>
      <c r="F45" s="2"/>
      <c r="G45" s="2"/>
      <c r="H45" s="2"/>
      <c r="I45" s="2"/>
      <c r="J45" s="2"/>
    </row>
    <row r="46" spans="1:10">
      <c r="A46" s="139" t="s">
        <v>122</v>
      </c>
      <c r="B46" s="140"/>
      <c r="C46" s="140"/>
      <c r="D46" s="140"/>
      <c r="E46" s="140"/>
      <c r="F46" s="158">
        <v>2025</v>
      </c>
      <c r="G46" s="158">
        <v>2026</v>
      </c>
      <c r="H46" s="158">
        <v>2027</v>
      </c>
      <c r="I46" s="158">
        <v>2028</v>
      </c>
      <c r="J46" s="159">
        <v>2029</v>
      </c>
    </row>
    <row r="47" spans="1:10">
      <c r="A47" s="57" t="s">
        <v>141</v>
      </c>
      <c r="B47" s="3"/>
      <c r="C47" s="3"/>
      <c r="D47" s="3"/>
      <c r="E47" s="3"/>
      <c r="F47" s="19">
        <f>SUM(F11:F15)</f>
        <v>-7.1966229159222914</v>
      </c>
      <c r="G47" s="19">
        <f t="shared" ref="G47:J47" si="5">SUM(G11:G15)</f>
        <v>-9.077555420852077</v>
      </c>
      <c r="H47" s="19">
        <f t="shared" si="5"/>
        <v>-11.519634153892682</v>
      </c>
      <c r="I47" s="19">
        <f t="shared" si="5"/>
        <v>-14.709367629710787</v>
      </c>
      <c r="J47" s="58">
        <f t="shared" si="5"/>
        <v>-18.900810245636016</v>
      </c>
    </row>
    <row r="48" spans="1:10">
      <c r="F48" s="2"/>
      <c r="G48" s="2"/>
      <c r="H48" s="2"/>
      <c r="I48" s="2"/>
      <c r="J48" s="2"/>
    </row>
    <row r="49" spans="6:10">
      <c r="F49" s="2"/>
      <c r="G49" s="2"/>
      <c r="H49" s="2"/>
      <c r="I49" s="2"/>
      <c r="J49" s="2"/>
    </row>
  </sheetData>
  <phoneticPr fontId="0" type="noConversion"/>
  <pageMargins left="0.5" right="0.5" top="0.5" bottom="0.5" header="0.5" footer="0.5"/>
  <pageSetup scale="95" orientation="landscape" r:id="rId1"/>
  <headerFooter alignWithMargins="0">
    <oddFooter>&amp;L&amp;"Times New Roman,Italic"&amp;8Pulsar Knowledge Centre&amp;C&amp;"Times New Roman,Italic"&amp;8Page &amp;P of &amp;N&amp;R&amp;"Times New Roman,Italic"&amp;8 07-Apr-2003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9"/>
  <sheetViews>
    <sheetView showGridLines="0" zoomScale="85" zoomScaleNormal="85" workbookViewId="0">
      <selection activeCell="H17" sqref="H17"/>
    </sheetView>
  </sheetViews>
  <sheetFormatPr defaultColWidth="10.21875" defaultRowHeight="13.2"/>
  <cols>
    <col min="1" max="1" width="23.77734375" style="1" bestFit="1" customWidth="1"/>
    <col min="2" max="2" width="3.21875" style="1" customWidth="1"/>
    <col min="3" max="4" width="4.77734375" style="1" bestFit="1" customWidth="1"/>
    <col min="5" max="5" width="6.21875" style="1" customWidth="1"/>
    <col min="6" max="16384" width="10.21875" style="1"/>
  </cols>
  <sheetData>
    <row r="1" spans="1:11" ht="15.6">
      <c r="A1" s="11" t="str">
        <f>INC!A1</f>
        <v>EXCEL MODELING TEST</v>
      </c>
      <c r="B1" s="12"/>
    </row>
    <row r="2" spans="1:11" ht="15.6">
      <c r="A2" s="40" t="s">
        <v>38</v>
      </c>
      <c r="B2" s="41"/>
      <c r="C2" s="42"/>
      <c r="D2" s="42"/>
      <c r="E2" s="42"/>
      <c r="F2" s="42"/>
      <c r="G2" s="42"/>
      <c r="H2" s="42"/>
      <c r="I2" s="42"/>
      <c r="J2" s="43"/>
    </row>
    <row r="3" spans="1:11">
      <c r="A3" s="44" t="s">
        <v>80</v>
      </c>
      <c r="J3" s="45"/>
    </row>
    <row r="4" spans="1:11">
      <c r="A4" s="46"/>
      <c r="B4" s="6"/>
      <c r="C4" s="6"/>
      <c r="D4" s="6"/>
      <c r="E4" s="6"/>
      <c r="F4" s="6">
        <f>+INC!F4</f>
        <v>2025</v>
      </c>
      <c r="G4" s="6">
        <f>+INC!G4</f>
        <v>2026</v>
      </c>
      <c r="H4" s="6">
        <f>+INC!H4</f>
        <v>2027</v>
      </c>
      <c r="I4" s="6">
        <f>+INC!I4</f>
        <v>2028</v>
      </c>
      <c r="J4" s="97">
        <f>+INC!J4</f>
        <v>2029</v>
      </c>
    </row>
    <row r="5" spans="1:11">
      <c r="A5" s="46"/>
      <c r="B5" s="8"/>
      <c r="C5" s="8"/>
      <c r="D5" s="8"/>
      <c r="E5" s="8"/>
      <c r="F5" s="8"/>
      <c r="G5" s="8"/>
      <c r="H5" s="8"/>
      <c r="I5" s="8"/>
      <c r="J5" s="47"/>
    </row>
    <row r="6" spans="1:11">
      <c r="A6" s="46" t="s">
        <v>7</v>
      </c>
      <c r="C6" s="98"/>
      <c r="D6" s="98"/>
      <c r="E6" s="98"/>
      <c r="F6" s="99">
        <f>(INC!F6/INC!E6)-1</f>
        <v>0.20181219618402402</v>
      </c>
      <c r="G6" s="99">
        <f>(INC!G6/INC!F6)-1</f>
        <v>0.21181219618402403</v>
      </c>
      <c r="H6" s="99">
        <f>(INC!H6/INC!G6)-1</f>
        <v>0.22181219618402404</v>
      </c>
      <c r="I6" s="99">
        <f>(INC!I6/INC!H6)-1</f>
        <v>0.23181219618402404</v>
      </c>
      <c r="J6" s="100">
        <f>(INC!J6/INC!I6)-1</f>
        <v>0.24181219618402405</v>
      </c>
    </row>
    <row r="7" spans="1:11">
      <c r="A7" s="46" t="s">
        <v>8</v>
      </c>
      <c r="C7" s="98"/>
      <c r="D7" s="98"/>
      <c r="E7" s="98"/>
      <c r="F7" s="99">
        <f>INC!F33/INC!F29</f>
        <v>0.35733899538059666</v>
      </c>
      <c r="G7" s="99">
        <f>INC!G33/INC!G29</f>
        <v>0.36857204281310457</v>
      </c>
      <c r="H7" s="99">
        <f>INC!H33/INC!H29</f>
        <v>0.37716942109798229</v>
      </c>
      <c r="I7" s="99">
        <f>INC!I33/INC!I29</f>
        <v>0.3859601112368552</v>
      </c>
      <c r="J7" s="100">
        <f>INC!J33/INC!J29</f>
        <v>0.39492779176673015</v>
      </c>
    </row>
    <row r="8" spans="1:11">
      <c r="A8" s="46" t="s">
        <v>9</v>
      </c>
      <c r="C8" s="98"/>
      <c r="D8" s="98"/>
      <c r="E8" s="98"/>
      <c r="F8" s="99">
        <f>INC!F46/INC!F29</f>
        <v>6.4369511394586562E-2</v>
      </c>
      <c r="G8" s="99">
        <f>INC!G46/INC!G29</f>
        <v>0.10190556874923437</v>
      </c>
      <c r="H8" s="99">
        <f>INC!H46/INC!H29</f>
        <v>0.13435248013639314</v>
      </c>
      <c r="I8" s="99">
        <f>INC!I46/INC!I29</f>
        <v>0.16582412469485336</v>
      </c>
      <c r="J8" s="100">
        <f>INC!J46/INC!J29</f>
        <v>0.191851402839811</v>
      </c>
    </row>
    <row r="9" spans="1:11">
      <c r="A9" s="46" t="s">
        <v>41</v>
      </c>
      <c r="C9" s="98"/>
      <c r="D9" s="98"/>
      <c r="E9" s="98"/>
      <c r="F9" s="99">
        <f>INC!F53/INC!F29</f>
        <v>3.839698890236623E-2</v>
      </c>
      <c r="G9" s="99">
        <f>INC!G53/INC!G29</f>
        <v>6.4316684422640796E-2</v>
      </c>
      <c r="H9" s="99">
        <f>INC!H53/INC!H29</f>
        <v>8.8869479313568284E-2</v>
      </c>
      <c r="I9" s="99">
        <f>INC!I53/INC!I29</f>
        <v>0.11309928040470259</v>
      </c>
      <c r="J9" s="100">
        <f>INC!J53/INC!J29</f>
        <v>0.13226821993608304</v>
      </c>
    </row>
    <row r="10" spans="1:11">
      <c r="A10" s="46" t="s">
        <v>37</v>
      </c>
      <c r="F10" s="101">
        <f>INC!F46/INC!F48</f>
        <v>6.7638691560233575</v>
      </c>
      <c r="G10" s="102">
        <f>INC!G46/INC!G48</f>
        <v>10.165558746761496</v>
      </c>
      <c r="H10" s="102">
        <f>INC!H46/INC!H48</f>
        <v>18.16536054849405</v>
      </c>
      <c r="I10" s="102">
        <f>INC!I46/INC!I48</f>
        <v>38.983281507037191</v>
      </c>
      <c r="J10" s="103">
        <f>INC!J46/INC!J48</f>
        <v>66.228669123023252</v>
      </c>
    </row>
    <row r="11" spans="1:11">
      <c r="A11" s="46" t="s">
        <v>50</v>
      </c>
      <c r="F11" s="101">
        <f>(INC!F53+INC!F42+INC!F48)/(INC!F48+MAX(-BS!F44,0))</f>
        <v>6.9574089963004973</v>
      </c>
      <c r="G11" s="102">
        <f>(INC!G53+INC!G42+INC!G48)/(INC!G48+MAX(-BS!G44,0))</f>
        <v>3.3685010663350821</v>
      </c>
      <c r="H11" s="102">
        <f>(INC!H53+INC!H42+INC!H48)/(INC!H48+MAX(-BS!H44,0))</f>
        <v>5.1729257543320468</v>
      </c>
      <c r="I11" s="102">
        <f>(INC!I53+INC!I42+INC!I48)/(INC!I48+MAX(-BS!I44,0))</f>
        <v>8.2191784417880491</v>
      </c>
      <c r="J11" s="103">
        <f>(INC!J53+INC!J42+INC!J48)/(INC!J48+MAX(-BS!J44,0))</f>
        <v>12.136533595428229</v>
      </c>
      <c r="K11" s="28"/>
    </row>
    <row r="12" spans="1:11">
      <c r="A12" s="46" t="s">
        <v>46</v>
      </c>
      <c r="F12" s="104">
        <f>1-(INC!F54/INC!F53)</f>
        <v>0.95</v>
      </c>
      <c r="G12" s="104">
        <f>1-(INC!G54/INC!G53)</f>
        <v>0.95</v>
      </c>
      <c r="H12" s="104">
        <f>1-(INC!H54/INC!H53)</f>
        <v>0.95</v>
      </c>
      <c r="I12" s="104">
        <f>1-(INC!I54/INC!I53)</f>
        <v>0.95</v>
      </c>
      <c r="J12" s="105">
        <f>1-(INC!J54/INC!J53)</f>
        <v>0.95</v>
      </c>
    </row>
    <row r="13" spans="1:11">
      <c r="A13" s="46" t="s">
        <v>39</v>
      </c>
      <c r="F13" s="106">
        <f>BS!F10/BS!F20</f>
        <v>6.5846943203794881</v>
      </c>
      <c r="G13" s="107">
        <f>BS!G10/BS!G20</f>
        <v>6.6132959547610195</v>
      </c>
      <c r="H13" s="107">
        <f>BS!H10/BS!H20</f>
        <v>7.2613779462775367</v>
      </c>
      <c r="I13" s="107">
        <f>BS!I10/BS!I20</f>
        <v>7.7896456564232537</v>
      </c>
      <c r="J13" s="108">
        <f>BS!J10/BS!J20</f>
        <v>8.4857800875784246</v>
      </c>
    </row>
    <row r="14" spans="1:11">
      <c r="A14" s="46" t="s">
        <v>49</v>
      </c>
      <c r="F14" s="106">
        <f>(BS!F7/INC!F29)*365</f>
        <v>16.980815347721826</v>
      </c>
      <c r="G14" s="109">
        <f>(BS!G7/INC!G29)*365</f>
        <v>16.980815347721826</v>
      </c>
      <c r="H14" s="109">
        <f>(BS!H7/INC!H29)*365</f>
        <v>16.980815347721826</v>
      </c>
      <c r="I14" s="109">
        <f>(BS!I7/INC!I29)*365</f>
        <v>16.980815347721826</v>
      </c>
      <c r="J14" s="110">
        <f>(BS!J7/INC!J29)*365</f>
        <v>16.980815347721826</v>
      </c>
    </row>
    <row r="15" spans="1:11">
      <c r="A15" s="46" t="s">
        <v>40</v>
      </c>
      <c r="E15" s="9"/>
      <c r="F15" s="106">
        <f>(BS!F22+BS!F23)/BS!F28</f>
        <v>0.71989034249867467</v>
      </c>
      <c r="G15" s="107">
        <f>(BS!G22+BS!G23)/BS!G28</f>
        <v>0.51370085367503016</v>
      </c>
      <c r="H15" s="107">
        <f>(BS!H22+BS!H23)/BS!H28</f>
        <v>0.251781183141636</v>
      </c>
      <c r="I15" s="107">
        <f>(BS!I22+BS!I23)/BS!I28</f>
        <v>0.15411749595528718</v>
      </c>
      <c r="J15" s="108">
        <f>(BS!J22+BS!J23)/BS!J28</f>
        <v>8.9924328761184225E-2</v>
      </c>
    </row>
    <row r="16" spans="1:11">
      <c r="A16" s="46" t="s">
        <v>81</v>
      </c>
      <c r="F16" s="106">
        <f>BS!F28</f>
        <v>42.284217752311413</v>
      </c>
      <c r="G16" s="107">
        <f>BS!G28</f>
        <v>53.416302121543069</v>
      </c>
      <c r="H16" s="107">
        <f>BS!H28</f>
        <v>77.209900110225078</v>
      </c>
      <c r="I16" s="107">
        <f>BS!I28</f>
        <v>106.67186031084752</v>
      </c>
      <c r="J16" s="108">
        <f>BS!J28</f>
        <v>149.45899719410937</v>
      </c>
    </row>
    <row r="17" spans="1:10">
      <c r="A17" s="46" t="s">
        <v>48</v>
      </c>
      <c r="F17" s="106">
        <f>INC!F46/(BS!F15-BS!F20)</f>
        <v>0.12985434893281089</v>
      </c>
      <c r="G17" s="111">
        <f>INC!G46/(BS!G15-BS!G20)</f>
        <v>0.21976805551322212</v>
      </c>
      <c r="H17" s="111">
        <f>INC!H46/(BS!H15-BS!H20)</f>
        <v>0.29177620844196051</v>
      </c>
      <c r="I17" s="111">
        <f>INC!I46/(BS!I15-BS!I20)</f>
        <v>0.35056454127621683</v>
      </c>
      <c r="J17" s="112">
        <f>INC!J46/(BS!J15-BS!J20)</f>
        <v>0.38451366093271272</v>
      </c>
    </row>
    <row r="18" spans="1:10">
      <c r="A18" s="57" t="s">
        <v>47</v>
      </c>
      <c r="B18" s="3"/>
      <c r="C18" s="3"/>
      <c r="D18" s="3"/>
      <c r="E18" s="3"/>
      <c r="F18" s="113">
        <f>INC!F53/BS!F28</f>
        <v>0.1365251883272971</v>
      </c>
      <c r="G18" s="114">
        <f>INC!G53/BS!G28</f>
        <v>0.21937092387819404</v>
      </c>
      <c r="H18" s="114">
        <f>INC!H53/BS!H28</f>
        <v>0.25622018286109083</v>
      </c>
      <c r="I18" s="114">
        <f>INC!I53/BS!I28</f>
        <v>0.29072887258639135</v>
      </c>
      <c r="J18" s="115">
        <f>INC!J53/BS!J28</f>
        <v>0.30134747523811312</v>
      </c>
    </row>
    <row r="19" spans="1:10">
      <c r="F19" s="96"/>
      <c r="G19" s="96"/>
      <c r="H19" s="96"/>
      <c r="I19" s="96"/>
      <c r="J19" s="9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9"/>
  <sheetViews>
    <sheetView showGridLines="0" topLeftCell="A11" zoomScale="85" zoomScaleNormal="85" workbookViewId="0">
      <selection activeCell="M14" sqref="M14"/>
    </sheetView>
  </sheetViews>
  <sheetFormatPr defaultColWidth="10.21875" defaultRowHeight="13.2"/>
  <cols>
    <col min="1" max="1" width="23.77734375" style="1" bestFit="1" customWidth="1"/>
    <col min="2" max="2" width="6.77734375" style="1" bestFit="1" customWidth="1"/>
    <col min="3" max="4" width="4.77734375" style="1" bestFit="1" customWidth="1"/>
    <col min="5" max="5" width="6.21875" style="1" customWidth="1"/>
    <col min="6" max="10" width="10.21875" style="39"/>
    <col min="11" max="16384" width="10.21875" style="1"/>
  </cols>
  <sheetData>
    <row r="1" spans="1:11" ht="15.6">
      <c r="A1" s="11" t="str">
        <f>INC!A1</f>
        <v>EXCEL MODELING TEST</v>
      </c>
      <c r="B1" s="12"/>
      <c r="F1" s="1"/>
      <c r="G1" s="1"/>
      <c r="H1" s="1"/>
      <c r="I1" s="1"/>
      <c r="J1" s="1"/>
    </row>
    <row r="2" spans="1:11" ht="15.6">
      <c r="A2" s="40" t="s">
        <v>82</v>
      </c>
      <c r="B2" s="41"/>
      <c r="C2" s="42"/>
      <c r="D2" s="42"/>
      <c r="E2" s="42"/>
      <c r="F2" s="42"/>
      <c r="G2" s="42"/>
      <c r="H2" s="42"/>
      <c r="I2" s="42"/>
      <c r="J2" s="43"/>
    </row>
    <row r="3" spans="1:11">
      <c r="A3" s="44" t="s">
        <v>80</v>
      </c>
      <c r="F3" s="1"/>
      <c r="G3" s="1"/>
      <c r="H3" s="1"/>
      <c r="I3" s="1"/>
      <c r="J3" s="45"/>
    </row>
    <row r="4" spans="1:11">
      <c r="A4" s="46"/>
      <c r="B4" s="6"/>
      <c r="C4" s="6"/>
      <c r="D4" s="6"/>
      <c r="E4" s="6"/>
      <c r="F4" s="6">
        <f>+INC!F4</f>
        <v>2025</v>
      </c>
      <c r="G4" s="6">
        <f>+INC!G4</f>
        <v>2026</v>
      </c>
      <c r="H4" s="6">
        <f>+INC!H4</f>
        <v>2027</v>
      </c>
      <c r="I4" s="6">
        <f>+INC!I4</f>
        <v>2028</v>
      </c>
      <c r="J4" s="97">
        <f>+INC!J4</f>
        <v>2029</v>
      </c>
    </row>
    <row r="5" spans="1:11">
      <c r="A5" s="46"/>
      <c r="B5" s="8"/>
      <c r="C5" s="8"/>
      <c r="D5" s="8"/>
      <c r="E5" s="8"/>
      <c r="F5" s="8"/>
      <c r="G5" s="8"/>
      <c r="H5" s="8"/>
      <c r="I5" s="8"/>
      <c r="J5" s="47"/>
    </row>
    <row r="6" spans="1:11">
      <c r="A6" s="46"/>
      <c r="C6" s="98"/>
      <c r="D6" s="98"/>
      <c r="E6" s="98"/>
      <c r="F6" s="98"/>
      <c r="G6" s="98"/>
      <c r="H6" s="98"/>
      <c r="I6" s="98"/>
      <c r="J6" s="120"/>
    </row>
    <row r="7" spans="1:11">
      <c r="A7" s="121" t="s">
        <v>85</v>
      </c>
      <c r="B7" s="29">
        <v>1.2</v>
      </c>
      <c r="C7" s="98"/>
      <c r="D7" s="98"/>
      <c r="E7" s="98"/>
      <c r="F7" s="98"/>
      <c r="G7" s="98"/>
      <c r="H7" s="98"/>
      <c r="I7" s="98"/>
      <c r="J7" s="120"/>
    </row>
    <row r="8" spans="1:11" ht="15.6">
      <c r="A8" s="121" t="s">
        <v>83</v>
      </c>
      <c r="B8" s="30">
        <v>3.2500000000000001E-2</v>
      </c>
      <c r="C8" s="98"/>
      <c r="D8" s="98"/>
      <c r="E8" s="98"/>
      <c r="F8" s="98"/>
      <c r="G8" s="98"/>
      <c r="H8" s="98"/>
      <c r="I8" s="98"/>
      <c r="J8" s="120"/>
    </row>
    <row r="9" spans="1:11" ht="15.6">
      <c r="A9" s="121" t="s">
        <v>84</v>
      </c>
      <c r="B9" s="31">
        <v>0.10299999999999999</v>
      </c>
      <c r="C9" s="98"/>
      <c r="D9" s="98"/>
      <c r="E9" s="98"/>
      <c r="F9" s="98"/>
      <c r="G9" s="98"/>
      <c r="H9" s="98"/>
      <c r="I9" s="98"/>
      <c r="J9" s="120"/>
    </row>
    <row r="10" spans="1:11">
      <c r="A10" s="121" t="s">
        <v>86</v>
      </c>
      <c r="B10" s="32">
        <v>0.03</v>
      </c>
      <c r="F10" s="122"/>
      <c r="G10" s="122"/>
      <c r="H10" s="122"/>
      <c r="I10" s="122"/>
      <c r="J10" s="123"/>
      <c r="K10" s="28"/>
    </row>
    <row r="11" spans="1:11">
      <c r="A11" s="46" t="s">
        <v>65</v>
      </c>
      <c r="B11" s="1">
        <f>Instructions!$E$29</f>
        <v>0.3</v>
      </c>
      <c r="F11" s="124"/>
      <c r="G11" s="124"/>
      <c r="H11" s="124"/>
      <c r="I11" s="124"/>
      <c r="J11" s="125"/>
    </row>
    <row r="12" spans="1:11">
      <c r="A12" s="46"/>
      <c r="F12" s="124"/>
      <c r="G12" s="124"/>
      <c r="H12" s="124"/>
      <c r="I12" s="124"/>
      <c r="J12" s="125"/>
    </row>
    <row r="13" spans="1:11">
      <c r="A13" s="66" t="s">
        <v>128</v>
      </c>
      <c r="B13" s="8"/>
      <c r="C13" s="8"/>
      <c r="D13" s="8"/>
      <c r="E13" s="8"/>
      <c r="F13" s="126">
        <f>B8+B7*(B9-B8)</f>
        <v>0.1171</v>
      </c>
      <c r="G13" s="126">
        <f>F13</f>
        <v>0.1171</v>
      </c>
      <c r="H13" s="126">
        <f t="shared" ref="H13:J13" si="0">G13</f>
        <v>0.1171</v>
      </c>
      <c r="I13" s="126">
        <f t="shared" si="0"/>
        <v>0.1171</v>
      </c>
      <c r="J13" s="127">
        <f t="shared" si="0"/>
        <v>0.1171</v>
      </c>
    </row>
    <row r="14" spans="1:11">
      <c r="A14" s="46" t="s">
        <v>129</v>
      </c>
      <c r="E14" s="9"/>
      <c r="F14" s="128">
        <f>INC!F48/(BS!E22+BS!E23)</f>
        <v>7.0000000000000007E-2</v>
      </c>
      <c r="G14" s="128">
        <f>INC!G48/(BS!F22+BS!F23)</f>
        <v>0.06</v>
      </c>
      <c r="H14" s="128">
        <f>INC!H48/(BS!G22+BS!G23)</f>
        <v>0.06</v>
      </c>
      <c r="I14" s="128">
        <f>INC!I48/(BS!H22+BS!H23)</f>
        <v>6.0000000000000005E-2</v>
      </c>
      <c r="J14" s="129">
        <f>INC!J48/(BS!I22+BS!I23)</f>
        <v>0.06</v>
      </c>
    </row>
    <row r="15" spans="1:11">
      <c r="A15" s="66" t="s">
        <v>130</v>
      </c>
      <c r="B15" s="8"/>
      <c r="C15" s="8"/>
      <c r="D15" s="8"/>
      <c r="E15" s="8"/>
      <c r="F15" s="126">
        <f>F14*(1-$B$11)</f>
        <v>4.9000000000000002E-2</v>
      </c>
      <c r="G15" s="126">
        <f t="shared" ref="G15:J15" si="1">G14*(1-$B$11)</f>
        <v>4.1999999999999996E-2</v>
      </c>
      <c r="H15" s="126">
        <f t="shared" si="1"/>
        <v>4.1999999999999996E-2</v>
      </c>
      <c r="I15" s="126">
        <f t="shared" si="1"/>
        <v>4.2000000000000003E-2</v>
      </c>
      <c r="J15" s="127">
        <f t="shared" si="1"/>
        <v>4.1999999999999996E-2</v>
      </c>
    </row>
    <row r="16" spans="1:11">
      <c r="A16" s="46" t="s">
        <v>127</v>
      </c>
      <c r="F16" s="130">
        <f>BS!F28</f>
        <v>42.284217752311413</v>
      </c>
      <c r="G16" s="130">
        <f>BS!G28</f>
        <v>53.416302121543069</v>
      </c>
      <c r="H16" s="130">
        <f>BS!H28</f>
        <v>77.209900110225078</v>
      </c>
      <c r="I16" s="130">
        <f>BS!I28</f>
        <v>106.67186031084752</v>
      </c>
      <c r="J16" s="131">
        <f>BS!J28</f>
        <v>149.45899719410937</v>
      </c>
    </row>
    <row r="17" spans="1:10">
      <c r="A17" s="46" t="s">
        <v>45</v>
      </c>
      <c r="F17" s="130">
        <f>SUM(BS!F22:F23)</f>
        <v>30.44</v>
      </c>
      <c r="G17" s="130">
        <f>SUM(BS!G22:G23)</f>
        <v>27.44</v>
      </c>
      <c r="H17" s="130">
        <f>SUM(BS!H22:H23)</f>
        <v>19.440000000000001</v>
      </c>
      <c r="I17" s="130">
        <f>SUM(BS!I22:I23)</f>
        <v>16.440000000000001</v>
      </c>
      <c r="J17" s="131">
        <f>SUM(BS!J22:J23)</f>
        <v>13.440000000000001</v>
      </c>
    </row>
    <row r="18" spans="1:10">
      <c r="A18" s="46" t="s">
        <v>131</v>
      </c>
      <c r="F18" s="39">
        <f>SUM(F16:F17)</f>
        <v>72.724217752311418</v>
      </c>
      <c r="G18" s="39">
        <f t="shared" ref="G18:J18" si="2">SUM(G16:G17)</f>
        <v>80.856302121543067</v>
      </c>
      <c r="H18" s="39">
        <f t="shared" si="2"/>
        <v>96.649900110225076</v>
      </c>
      <c r="I18" s="39">
        <f t="shared" si="2"/>
        <v>123.11186031084752</v>
      </c>
      <c r="J18" s="132">
        <f t="shared" si="2"/>
        <v>162.89899719410937</v>
      </c>
    </row>
    <row r="19" spans="1:10">
      <c r="A19" s="46" t="s">
        <v>132</v>
      </c>
      <c r="F19" s="39">
        <f>F16/F18</f>
        <v>0.58143241768960074</v>
      </c>
      <c r="G19" s="39">
        <f t="shared" ref="G19:J19" si="3">G16/G18</f>
        <v>0.66063251373093679</v>
      </c>
      <c r="H19" s="39">
        <f t="shared" si="3"/>
        <v>0.79886166485604737</v>
      </c>
      <c r="I19" s="39">
        <f t="shared" si="3"/>
        <v>0.86646290651046676</v>
      </c>
      <c r="J19" s="132">
        <f t="shared" si="3"/>
        <v>0.91749488805026236</v>
      </c>
    </row>
    <row r="20" spans="1:10">
      <c r="A20" s="46" t="s">
        <v>133</v>
      </c>
      <c r="F20" s="39">
        <f>F17/F18</f>
        <v>0.41856758231039914</v>
      </c>
      <c r="G20" s="39">
        <f t="shared" ref="G20:J20" si="4">G17/G18</f>
        <v>0.33936748626906332</v>
      </c>
      <c r="H20" s="39">
        <f t="shared" si="4"/>
        <v>0.20113833514395268</v>
      </c>
      <c r="I20" s="39">
        <f t="shared" si="4"/>
        <v>0.13353709348953324</v>
      </c>
      <c r="J20" s="132">
        <f t="shared" si="4"/>
        <v>8.2505111949737697E-2</v>
      </c>
    </row>
    <row r="21" spans="1:10">
      <c r="A21" s="46" t="s">
        <v>134</v>
      </c>
      <c r="F21" s="39">
        <f>(F13*F19)+(F15*F20)</f>
        <v>8.8595547644661807E-2</v>
      </c>
      <c r="G21" s="39">
        <f t="shared" ref="G21:J21" si="5">(G13*G19)+(G15*G20)</f>
        <v>9.1613501781193346E-2</v>
      </c>
      <c r="H21" s="39">
        <f t="shared" si="5"/>
        <v>0.10199451103068916</v>
      </c>
      <c r="I21" s="39">
        <f t="shared" si="5"/>
        <v>0.10707136427893606</v>
      </c>
      <c r="J21" s="132">
        <f t="shared" si="5"/>
        <v>0.1109038660925747</v>
      </c>
    </row>
    <row r="22" spans="1:10">
      <c r="A22" s="46"/>
      <c r="J22" s="132"/>
    </row>
    <row r="23" spans="1:10">
      <c r="A23" s="46" t="s">
        <v>62</v>
      </c>
      <c r="F23" s="39">
        <f>INC!F46</f>
        <v>9.6777439884382215</v>
      </c>
      <c r="G23" s="39">
        <f>INC!G46</f>
        <v>18.566376495085198</v>
      </c>
      <c r="H23" s="39">
        <f>INC!H46</f>
        <v>29.907449607040608</v>
      </c>
      <c r="I23" s="39">
        <f>INC!I46</f>
        <v>45.470099549808182</v>
      </c>
      <c r="J23" s="132">
        <f>INC!J46</f>
        <v>65.327959222950142</v>
      </c>
    </row>
    <row r="24" spans="1:10">
      <c r="A24" s="46" t="s">
        <v>135</v>
      </c>
      <c r="F24" s="39">
        <f>F23*$B$11</f>
        <v>2.9033231965314665</v>
      </c>
      <c r="G24" s="39">
        <f t="shared" ref="G24:J24" si="6">G23*$B$11</f>
        <v>5.569912948525559</v>
      </c>
      <c r="H24" s="39">
        <f t="shared" si="6"/>
        <v>8.9722348821121827</v>
      </c>
      <c r="I24" s="39">
        <f t="shared" si="6"/>
        <v>13.641029864942455</v>
      </c>
      <c r="J24" s="132">
        <f t="shared" si="6"/>
        <v>19.598387766885043</v>
      </c>
    </row>
    <row r="25" spans="1:10">
      <c r="A25" s="46" t="s">
        <v>136</v>
      </c>
      <c r="F25" s="39">
        <f>F23-F24</f>
        <v>6.7744207919067545</v>
      </c>
      <c r="G25" s="39">
        <f t="shared" ref="G25:J25" si="7">G23-G24</f>
        <v>12.996463546559639</v>
      </c>
      <c r="H25" s="39">
        <f t="shared" si="7"/>
        <v>20.935214724928425</v>
      </c>
      <c r="I25" s="39">
        <f t="shared" si="7"/>
        <v>31.829069684865729</v>
      </c>
      <c r="J25" s="132">
        <f t="shared" si="7"/>
        <v>45.729571456065102</v>
      </c>
    </row>
    <row r="26" spans="1:10">
      <c r="A26" s="46" t="s">
        <v>137</v>
      </c>
      <c r="F26" s="39">
        <f>INC!F42</f>
        <v>2.7509999999999999</v>
      </c>
      <c r="G26" s="39">
        <f>INC!G42</f>
        <v>2.7133499999999997</v>
      </c>
      <c r="H26" s="39">
        <f>INC!H42</f>
        <v>2.6063475</v>
      </c>
      <c r="I26" s="39">
        <f>INC!I42</f>
        <v>2.065395375</v>
      </c>
      <c r="J26" s="132">
        <f>INC!J42</f>
        <v>2.3555860687500001</v>
      </c>
    </row>
    <row r="27" spans="1:10">
      <c r="A27" s="46" t="s">
        <v>36</v>
      </c>
      <c r="F27" s="39">
        <f>INC!F44</f>
        <v>1.5034670574262139</v>
      </c>
      <c r="G27" s="39">
        <f>INC!G44</f>
        <v>1.8219197167499925</v>
      </c>
      <c r="H27" s="39">
        <f>INC!H44</f>
        <v>2.2260437303932834</v>
      </c>
      <c r="I27" s="39">
        <f>INC!I44</f>
        <v>2.7420678163374279</v>
      </c>
      <c r="J27" s="132">
        <f>INC!J44</f>
        <v>3.4051332570915123</v>
      </c>
    </row>
    <row r="28" spans="1:10">
      <c r="A28" s="46" t="s">
        <v>138</v>
      </c>
      <c r="F28" s="39">
        <f>CFS!F10</f>
        <v>0</v>
      </c>
      <c r="G28" s="39">
        <f>CFS!G10</f>
        <v>0</v>
      </c>
      <c r="H28" s="39">
        <f>CFS!H10</f>
        <v>0</v>
      </c>
      <c r="I28" s="39">
        <f>CFS!I10</f>
        <v>-2</v>
      </c>
      <c r="J28" s="132">
        <f>CFS!J10</f>
        <v>-3</v>
      </c>
    </row>
    <row r="29" spans="1:10">
      <c r="A29" s="46" t="s">
        <v>139</v>
      </c>
      <c r="F29" s="39">
        <f>CFS!F20</f>
        <v>-2.5</v>
      </c>
      <c r="G29" s="39">
        <f>CFS!G20</f>
        <v>-2</v>
      </c>
      <c r="H29" s="39">
        <f>CFS!H20</f>
        <v>1</v>
      </c>
      <c r="I29" s="39">
        <f>CFS!I20</f>
        <v>-4</v>
      </c>
      <c r="J29" s="132">
        <f>CFS!J20</f>
        <v>-5.5</v>
      </c>
    </row>
    <row r="30" spans="1:10">
      <c r="A30" s="46" t="s">
        <v>142</v>
      </c>
      <c r="F30" s="39">
        <f>CFS!F47</f>
        <v>-7.1966229159222914</v>
      </c>
      <c r="G30" s="39">
        <f>CFS!G47</f>
        <v>-9.077555420852077</v>
      </c>
      <c r="H30" s="39">
        <f>CFS!H47</f>
        <v>-11.519634153892682</v>
      </c>
      <c r="I30" s="39">
        <f>CFS!I47</f>
        <v>-14.709367629710787</v>
      </c>
      <c r="J30" s="132">
        <f>CFS!J47</f>
        <v>-18.900810245636016</v>
      </c>
    </row>
    <row r="31" spans="1:10">
      <c r="A31" s="66" t="s">
        <v>143</v>
      </c>
      <c r="B31" s="8"/>
      <c r="C31" s="8"/>
      <c r="D31" s="8"/>
      <c r="E31" s="8"/>
      <c r="F31" s="133">
        <f>SUM(F25:F30)</f>
        <v>1.3322649334106762</v>
      </c>
      <c r="G31" s="133">
        <f t="shared" ref="G31:J31" si="8">SUM(G25:G30)</f>
        <v>6.4541778424575558</v>
      </c>
      <c r="H31" s="133">
        <f t="shared" si="8"/>
        <v>15.247971801429028</v>
      </c>
      <c r="I31" s="133">
        <f t="shared" si="8"/>
        <v>15.927165246492368</v>
      </c>
      <c r="J31" s="134">
        <f t="shared" si="8"/>
        <v>24.089480536270599</v>
      </c>
    </row>
    <row r="32" spans="1:10">
      <c r="A32" s="46"/>
      <c r="J32" s="132"/>
    </row>
    <row r="33" spans="1:13">
      <c r="A33" s="46" t="s">
        <v>144</v>
      </c>
      <c r="F33" s="39">
        <f>1/(1+F21)</f>
        <v>0.9186148171960179</v>
      </c>
      <c r="G33" s="39">
        <f>F33/(1+G21)</f>
        <v>0.84152020444700215</v>
      </c>
      <c r="H33" s="39">
        <f t="shared" ref="H33:J33" si="9">G33/(1+H21)</f>
        <v>0.7636337531844265</v>
      </c>
      <c r="I33" s="39">
        <f t="shared" si="9"/>
        <v>0.6897782544324057</v>
      </c>
      <c r="J33" s="132">
        <f t="shared" si="9"/>
        <v>0.62091624260755296</v>
      </c>
    </row>
    <row r="34" spans="1:13">
      <c r="A34" s="46" t="s">
        <v>145</v>
      </c>
      <c r="F34" s="39">
        <f>F33*F31</f>
        <v>1.2238383082617132</v>
      </c>
      <c r="G34" s="39">
        <f t="shared" ref="G34:J34" si="10">G33*G31</f>
        <v>5.4313210575221937</v>
      </c>
      <c r="H34" s="39">
        <f t="shared" si="10"/>
        <v>11.643865935175549</v>
      </c>
      <c r="I34" s="39">
        <f t="shared" si="10"/>
        <v>10.986212241781983</v>
      </c>
      <c r="J34" s="132">
        <f t="shared" si="10"/>
        <v>14.95754974094892</v>
      </c>
      <c r="K34" s="39"/>
      <c r="L34" s="116" t="s">
        <v>146</v>
      </c>
      <c r="M34" s="117">
        <f>SUM(F34:J34)</f>
        <v>44.242787283690362</v>
      </c>
    </row>
    <row r="35" spans="1:13">
      <c r="A35" s="46" t="s">
        <v>147</v>
      </c>
      <c r="J35" s="132">
        <f>J31*(1+$B$10)/(J21-$B$10)</f>
        <v>306.68701201457122</v>
      </c>
    </row>
    <row r="36" spans="1:13">
      <c r="A36" s="57" t="s">
        <v>148</v>
      </c>
      <c r="B36" s="3"/>
      <c r="C36" s="3"/>
      <c r="D36" s="3"/>
      <c r="E36" s="3"/>
      <c r="F36" s="85"/>
      <c r="G36" s="85"/>
      <c r="H36" s="85"/>
      <c r="I36" s="85"/>
      <c r="J36" s="135">
        <f>J35*J33</f>
        <v>190.426947156625</v>
      </c>
    </row>
    <row r="37" spans="1:13">
      <c r="A37" s="118" t="s">
        <v>149</v>
      </c>
      <c r="B37" s="119">
        <f>M34+J36</f>
        <v>234.66973444031538</v>
      </c>
    </row>
    <row r="38" spans="1:13">
      <c r="A38" s="116" t="s">
        <v>150</v>
      </c>
      <c r="B38" s="116">
        <f>BS!E22+BS!E23-BS!E6</f>
        <v>19.41</v>
      </c>
    </row>
    <row r="39" spans="1:13">
      <c r="A39" s="116" t="s">
        <v>151</v>
      </c>
      <c r="B39" s="117">
        <f>B37-B38</f>
        <v>215.25973444031538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L38"/>
  <sheetViews>
    <sheetView showGridLines="0" tabSelected="1" workbookViewId="0">
      <selection activeCell="H40" sqref="H40"/>
    </sheetView>
  </sheetViews>
  <sheetFormatPr defaultRowHeight="13.2"/>
  <cols>
    <col min="1" max="1" width="23.6640625" customWidth="1"/>
    <col min="5" max="5" width="10.21875" bestFit="1" customWidth="1"/>
  </cols>
  <sheetData>
    <row r="2" spans="1:12" ht="15.6">
      <c r="A2" s="136" t="s">
        <v>6</v>
      </c>
      <c r="B2" s="136"/>
      <c r="C2" s="136"/>
      <c r="D2" s="136"/>
      <c r="E2" s="136"/>
      <c r="F2" s="1"/>
      <c r="G2" s="136" t="s">
        <v>87</v>
      </c>
      <c r="H2" s="136"/>
      <c r="I2" s="136"/>
      <c r="J2" s="136"/>
      <c r="K2" s="136"/>
    </row>
    <row r="3" spans="1:12">
      <c r="A3" s="4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2">
      <c r="A4" s="33" t="s">
        <v>88</v>
      </c>
      <c r="B4" s="1"/>
      <c r="C4" s="1"/>
      <c r="D4" s="1"/>
      <c r="E4" s="1"/>
      <c r="F4" s="1"/>
      <c r="G4" s="1"/>
      <c r="H4" s="1"/>
      <c r="I4" s="1"/>
      <c r="J4" s="1"/>
      <c r="K4" s="15"/>
    </row>
    <row r="5" spans="1:12">
      <c r="A5" s="137" t="s">
        <v>114</v>
      </c>
      <c r="B5" s="138"/>
      <c r="C5" s="138"/>
      <c r="D5" s="138"/>
      <c r="E5" s="34">
        <v>0.02</v>
      </c>
      <c r="F5" s="1"/>
      <c r="G5" s="4" t="s">
        <v>89</v>
      </c>
      <c r="H5" s="1"/>
      <c r="I5" s="1"/>
      <c r="J5" s="1"/>
      <c r="K5" s="1"/>
    </row>
    <row r="6" spans="1:12">
      <c r="A6" s="1" t="s">
        <v>115</v>
      </c>
      <c r="B6" s="1"/>
      <c r="C6" s="1"/>
      <c r="D6" s="1"/>
      <c r="E6" s="35">
        <v>0.01</v>
      </c>
      <c r="F6" s="1"/>
      <c r="G6" s="1" t="s">
        <v>90</v>
      </c>
      <c r="H6" s="1"/>
      <c r="I6" s="1"/>
      <c r="J6" s="1"/>
      <c r="K6" s="1"/>
    </row>
    <row r="7" spans="1:12">
      <c r="A7" s="14"/>
      <c r="B7" s="1"/>
      <c r="C7" s="1"/>
      <c r="D7" s="1"/>
      <c r="E7" s="35"/>
      <c r="F7" s="1"/>
      <c r="G7" s="4" t="s">
        <v>91</v>
      </c>
      <c r="H7" s="1"/>
      <c r="I7" s="1"/>
      <c r="J7" s="1"/>
      <c r="K7" s="36"/>
    </row>
    <row r="8" spans="1:12">
      <c r="A8" s="33" t="s">
        <v>92</v>
      </c>
      <c r="B8" s="1"/>
      <c r="C8" s="1"/>
      <c r="D8" s="1"/>
      <c r="E8" s="1"/>
      <c r="F8" s="1"/>
      <c r="G8" s="4" t="s">
        <v>93</v>
      </c>
      <c r="H8" s="1"/>
      <c r="I8" s="1"/>
      <c r="J8" s="1"/>
      <c r="K8" s="1" t="s">
        <v>120</v>
      </c>
    </row>
    <row r="9" spans="1:12">
      <c r="A9" s="14" t="s">
        <v>94</v>
      </c>
      <c r="B9" s="1"/>
      <c r="C9" s="1"/>
      <c r="D9" s="1"/>
      <c r="E9" s="34">
        <v>0.9</v>
      </c>
      <c r="F9" s="1"/>
      <c r="G9" s="1" t="s">
        <v>116</v>
      </c>
      <c r="H9" s="1"/>
      <c r="I9" s="1"/>
      <c r="J9" s="1"/>
      <c r="K9" s="36"/>
    </row>
    <row r="10" spans="1:12">
      <c r="A10" s="4" t="s">
        <v>95</v>
      </c>
      <c r="B10" s="1"/>
      <c r="C10" s="1"/>
      <c r="D10" s="1"/>
      <c r="E10" s="34"/>
      <c r="F10" s="1"/>
      <c r="G10" s="1" t="s">
        <v>96</v>
      </c>
      <c r="H10" s="1"/>
      <c r="I10" s="1"/>
      <c r="J10" s="1"/>
      <c r="K10" s="1"/>
    </row>
    <row r="11" spans="1:12">
      <c r="A11" s="14" t="s">
        <v>97</v>
      </c>
      <c r="B11" s="1"/>
      <c r="C11" s="1"/>
      <c r="D11" s="1"/>
      <c r="E11" s="34">
        <v>0.92500000000000004</v>
      </c>
      <c r="F11" s="1"/>
      <c r="G11" s="4" t="s">
        <v>98</v>
      </c>
      <c r="H11" s="1"/>
      <c r="I11" s="1"/>
      <c r="J11" s="1"/>
      <c r="K11" s="37">
        <v>0.05</v>
      </c>
    </row>
    <row r="12" spans="1:12">
      <c r="A12" s="4" t="s">
        <v>99</v>
      </c>
      <c r="B12" s="1"/>
      <c r="C12" s="1"/>
      <c r="D12" s="1"/>
      <c r="E12" s="1"/>
      <c r="F12" s="1"/>
      <c r="G12" s="1" t="s">
        <v>118</v>
      </c>
      <c r="H12" s="1"/>
      <c r="I12" s="1"/>
      <c r="J12" s="1"/>
      <c r="K12" s="1"/>
    </row>
    <row r="13" spans="1:12">
      <c r="A13" s="1"/>
      <c r="B13" s="1"/>
      <c r="C13" s="1"/>
      <c r="D13" s="1"/>
      <c r="E13" s="1"/>
      <c r="F13" s="1"/>
      <c r="G13" s="1" t="s">
        <v>119</v>
      </c>
      <c r="H13" s="1"/>
      <c r="I13" s="1"/>
      <c r="J13" s="1"/>
      <c r="K13" s="1"/>
    </row>
    <row r="14" spans="1:12">
      <c r="A14" s="33" t="s">
        <v>2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2">
      <c r="A15" s="1" t="s">
        <v>100</v>
      </c>
      <c r="B15" s="1"/>
      <c r="C15" s="1"/>
      <c r="D15" s="1"/>
      <c r="E15" s="35">
        <v>0.25</v>
      </c>
      <c r="F15" s="1"/>
      <c r="G15" s="1"/>
      <c r="H15" s="1"/>
      <c r="I15" s="1"/>
      <c r="J15" s="1"/>
      <c r="K15" s="1"/>
      <c r="L15" s="1"/>
    </row>
    <row r="16" spans="1:12">
      <c r="A16" s="4" t="s">
        <v>101</v>
      </c>
      <c r="B16" s="1"/>
      <c r="C16" s="1"/>
      <c r="D16" s="1"/>
      <c r="E16" s="15"/>
      <c r="F16" s="1"/>
      <c r="G16" s="1"/>
      <c r="H16" s="1"/>
      <c r="I16" s="1"/>
      <c r="J16" s="1"/>
      <c r="K16" s="1"/>
      <c r="L16" s="1"/>
    </row>
    <row r="17" spans="1:12" ht="13.05" customHeight="1">
      <c r="A17" s="1"/>
      <c r="B17" s="1"/>
      <c r="C17" s="1"/>
      <c r="D17" s="1"/>
      <c r="E17" s="15"/>
      <c r="F17" s="1"/>
      <c r="G17" s="1"/>
      <c r="H17" s="1"/>
      <c r="I17" s="1"/>
      <c r="J17" s="1"/>
      <c r="K17" s="1"/>
      <c r="L17" s="1"/>
    </row>
    <row r="18" spans="1:12">
      <c r="A18" s="1" t="s">
        <v>102</v>
      </c>
      <c r="B18" s="1"/>
      <c r="C18" s="1"/>
      <c r="D18" s="1"/>
      <c r="E18" s="35">
        <v>0.09</v>
      </c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3.05" customHeight="1">
      <c r="A20" s="1" t="s">
        <v>103</v>
      </c>
      <c r="B20" s="1"/>
      <c r="C20" s="1"/>
      <c r="D20" s="1"/>
      <c r="E20" s="34">
        <v>0.15</v>
      </c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 t="s">
        <v>104</v>
      </c>
      <c r="B22" s="1"/>
      <c r="C22" s="1"/>
      <c r="D22" s="1"/>
      <c r="E22" s="15">
        <v>0.01</v>
      </c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 t="s">
        <v>105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 t="s">
        <v>106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>
        <v>2028</v>
      </c>
      <c r="B26" s="1"/>
      <c r="C26" s="1"/>
      <c r="D26" s="1"/>
      <c r="E26" s="38">
        <v>2</v>
      </c>
      <c r="F26" s="1"/>
      <c r="G26" s="1"/>
      <c r="H26" s="1"/>
      <c r="I26" s="1"/>
      <c r="J26" s="1"/>
      <c r="K26" s="1"/>
    </row>
    <row r="27" spans="1:12">
      <c r="A27" s="1">
        <v>2029</v>
      </c>
      <c r="B27" s="1"/>
      <c r="C27" s="1"/>
      <c r="D27" s="1"/>
      <c r="E27" s="38">
        <v>3</v>
      </c>
      <c r="F27" s="1"/>
      <c r="G27" s="1"/>
      <c r="H27" s="1"/>
      <c r="I27" s="1"/>
      <c r="J27" s="1"/>
      <c r="K27" s="1"/>
    </row>
    <row r="28" spans="1:12">
      <c r="A28" s="1"/>
      <c r="B28" s="1"/>
      <c r="C28" s="1"/>
      <c r="D28" s="1"/>
      <c r="E28" s="1"/>
      <c r="F28" s="1"/>
      <c r="G28" s="4"/>
      <c r="H28" s="1"/>
      <c r="I28" s="1"/>
      <c r="J28" s="1"/>
      <c r="K28" s="1"/>
    </row>
    <row r="29" spans="1:12">
      <c r="A29" s="1" t="s">
        <v>107</v>
      </c>
      <c r="B29" s="1"/>
      <c r="C29" s="1"/>
      <c r="D29" s="1"/>
      <c r="E29" s="35">
        <v>0.3</v>
      </c>
      <c r="F29" s="1"/>
      <c r="G29" s="1"/>
      <c r="H29" s="1"/>
      <c r="I29" s="1"/>
      <c r="J29" s="1"/>
      <c r="K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2">
      <c r="A32" s="33" t="s">
        <v>108</v>
      </c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33" t="s">
        <v>109</v>
      </c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 t="s">
        <v>110</v>
      </c>
      <c r="B35" s="1"/>
      <c r="C35" s="1"/>
      <c r="D35" s="1"/>
      <c r="E35" s="15">
        <v>0.06</v>
      </c>
      <c r="F35" s="1"/>
      <c r="G35" s="1"/>
      <c r="H35" s="8"/>
      <c r="I35" s="1"/>
      <c r="J35" s="1"/>
      <c r="K35" s="1"/>
    </row>
    <row r="36" spans="1:11">
      <c r="A36" s="33" t="s">
        <v>111</v>
      </c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 t="s">
        <v>112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 t="s">
        <v>113</v>
      </c>
      <c r="B38" s="1"/>
      <c r="C38" s="1"/>
      <c r="D38" s="1"/>
      <c r="E38" s="15">
        <v>7.0000000000000007E-2</v>
      </c>
      <c r="F38" s="1"/>
      <c r="G38" s="1"/>
      <c r="H38" s="1"/>
      <c r="I38" s="1"/>
      <c r="J38" s="1"/>
      <c r="K38" s="1"/>
    </row>
  </sheetData>
  <mergeCells count="3">
    <mergeCell ref="A2:E2"/>
    <mergeCell ref="G2:K2"/>
    <mergeCell ref="A5:D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INC</vt:lpstr>
      <vt:lpstr>BS</vt:lpstr>
      <vt:lpstr>CFS</vt:lpstr>
      <vt:lpstr>Ratios</vt:lpstr>
      <vt:lpstr>FCFF Valuation</vt:lpstr>
      <vt:lpstr>Instructions</vt:lpstr>
      <vt:lpstr>BS!Print_Area</vt:lpstr>
      <vt:lpstr>CFS!Print_Area</vt:lpstr>
      <vt:lpstr>INC!Print_Area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KANISHKA SHARMA</cp:lastModifiedBy>
  <cp:lastPrinted>2010-10-23T06:18:31Z</cp:lastPrinted>
  <dcterms:created xsi:type="dcterms:W3CDTF">1998-12-15T09:29:30Z</dcterms:created>
  <dcterms:modified xsi:type="dcterms:W3CDTF">2026-08-27T15:48:19Z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{6D840052-4817-48EA-B552-541690B7F003}</vt:lpwstr>
  </property>
</Properties>
</file>