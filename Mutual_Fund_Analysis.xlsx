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harm\Downloads\"/>
    </mc:Choice>
  </mc:AlternateContent>
  <xr:revisionPtr revIDLastSave="0" documentId="13_ncr:1_{2312B951-ACBD-49AA-8393-0AD644C3155E}" xr6:coauthVersionLast="47" xr6:coauthVersionMax="47" xr10:uidLastSave="{00000000-0000-0000-0000-000000000000}"/>
  <bookViews>
    <workbookView xWindow="-108" yWindow="-108" windowWidth="23256" windowHeight="12456" tabRatio="500" xr2:uid="{00000000-000D-0000-FFFF-FFFF00000000}"/>
  </bookViews>
  <sheets>
    <sheet name="Assumptions" sheetId="1" r:id="rId1"/>
    <sheet name="Comparison" sheetId="3" r:id="rId2"/>
    <sheet name="Raw Data" sheetId="2" r:id="rId3"/>
    <sheet name="ICICI PRUDENTIAL MULTICAP FUND" sheetId="4" r:id="rId4"/>
    <sheet name="QUANT ACTIVE FUND" sheetId="5" r:id="rId5"/>
    <sheet name="NIFTY500 TRI" sheetId="6" r:id="rId6"/>
    <sheet name="NIPPON INDIA "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05" i="7" l="1"/>
  <c r="C1204" i="7"/>
  <c r="C1203" i="7"/>
  <c r="C1202" i="7"/>
  <c r="C1201" i="7"/>
  <c r="C1200" i="7"/>
  <c r="C1199" i="7"/>
  <c r="C1198" i="7"/>
  <c r="C1197" i="7"/>
  <c r="C1196" i="7"/>
  <c r="C1195" i="7"/>
  <c r="C1194" i="7"/>
  <c r="C1193" i="7"/>
  <c r="C1192" i="7"/>
  <c r="C1191" i="7"/>
  <c r="C1190" i="7"/>
  <c r="C1189" i="7"/>
  <c r="C1188" i="7"/>
  <c r="C1187" i="7"/>
  <c r="C1186" i="7"/>
  <c r="C1185" i="7"/>
  <c r="C1184" i="7"/>
  <c r="C1183" i="7"/>
  <c r="C1182" i="7"/>
  <c r="C1181" i="7"/>
  <c r="C1180" i="7"/>
  <c r="C1179" i="7"/>
  <c r="C1178" i="7"/>
  <c r="C1177" i="7"/>
  <c r="C1176" i="7"/>
  <c r="C1175" i="7"/>
  <c r="C1174" i="7"/>
  <c r="C1173" i="7"/>
  <c r="C1172" i="7"/>
  <c r="C1171" i="7"/>
  <c r="C1170" i="7"/>
  <c r="C1169" i="7"/>
  <c r="C1168" i="7"/>
  <c r="C1167" i="7"/>
  <c r="C1166" i="7"/>
  <c r="C1165" i="7"/>
  <c r="C1164" i="7"/>
  <c r="C1163" i="7"/>
  <c r="C1162" i="7"/>
  <c r="C1161" i="7"/>
  <c r="C1160" i="7"/>
  <c r="C1159" i="7"/>
  <c r="C1158" i="7"/>
  <c r="C1157" i="7"/>
  <c r="C1156" i="7"/>
  <c r="C1155" i="7"/>
  <c r="C1154" i="7"/>
  <c r="C1153" i="7"/>
  <c r="C1152" i="7"/>
  <c r="C1151" i="7"/>
  <c r="C1150" i="7"/>
  <c r="C1149" i="7"/>
  <c r="C1148" i="7"/>
  <c r="C1147" i="7"/>
  <c r="C1146" i="7"/>
  <c r="C1145" i="7"/>
  <c r="C1144" i="7"/>
  <c r="C1143" i="7"/>
  <c r="C1142" i="7"/>
  <c r="C1141" i="7"/>
  <c r="C1140" i="7"/>
  <c r="C1139" i="7"/>
  <c r="C1138" i="7"/>
  <c r="C1137" i="7"/>
  <c r="C1136" i="7"/>
  <c r="C1135" i="7"/>
  <c r="C1134" i="7"/>
  <c r="C1133" i="7"/>
  <c r="C1132" i="7"/>
  <c r="C1131" i="7"/>
  <c r="C1130" i="7"/>
  <c r="C1129" i="7"/>
  <c r="C1128" i="7"/>
  <c r="C1127" i="7"/>
  <c r="C1126" i="7"/>
  <c r="C1125" i="7"/>
  <c r="C1124" i="7"/>
  <c r="C1123" i="7"/>
  <c r="C1122" i="7"/>
  <c r="C1121" i="7"/>
  <c r="C1120" i="7"/>
  <c r="C1119" i="7"/>
  <c r="C1118" i="7"/>
  <c r="C1117" i="7"/>
  <c r="C1116" i="7"/>
  <c r="C1115" i="7"/>
  <c r="C1114" i="7"/>
  <c r="C1113" i="7"/>
  <c r="C1112" i="7"/>
  <c r="C1111" i="7"/>
  <c r="C1110" i="7"/>
  <c r="C1109" i="7"/>
  <c r="C1108" i="7"/>
  <c r="C1107" i="7"/>
  <c r="C1106" i="7"/>
  <c r="C1105" i="7"/>
  <c r="C1104" i="7"/>
  <c r="C1103" i="7"/>
  <c r="C1102" i="7"/>
  <c r="C1101" i="7"/>
  <c r="C1100" i="7"/>
  <c r="C1099" i="7"/>
  <c r="C1098" i="7"/>
  <c r="C1097" i="7"/>
  <c r="C1096" i="7"/>
  <c r="C1095" i="7"/>
  <c r="C1094" i="7"/>
  <c r="C1093" i="7"/>
  <c r="C1092" i="7"/>
  <c r="C1091" i="7"/>
  <c r="C1090" i="7"/>
  <c r="C1089" i="7"/>
  <c r="C1088" i="7"/>
  <c r="C1087" i="7"/>
  <c r="C1086" i="7"/>
  <c r="C1085" i="7"/>
  <c r="C1084" i="7"/>
  <c r="C1083" i="7"/>
  <c r="C1082" i="7"/>
  <c r="C1081" i="7"/>
  <c r="C1080" i="7"/>
  <c r="C1079" i="7"/>
  <c r="C1078" i="7"/>
  <c r="C1077" i="7"/>
  <c r="C1076" i="7"/>
  <c r="C1075" i="7"/>
  <c r="C1074" i="7"/>
  <c r="C1073" i="7"/>
  <c r="C1072" i="7"/>
  <c r="C1071" i="7"/>
  <c r="C1070" i="7"/>
  <c r="C1069" i="7"/>
  <c r="C1068" i="7"/>
  <c r="C1067" i="7"/>
  <c r="C1066" i="7"/>
  <c r="C1065" i="7"/>
  <c r="C1064" i="7"/>
  <c r="C1063" i="7"/>
  <c r="C1062" i="7"/>
  <c r="C1061" i="7"/>
  <c r="C1060" i="7"/>
  <c r="C1059" i="7"/>
  <c r="C1058" i="7"/>
  <c r="C1057" i="7"/>
  <c r="C1056" i="7"/>
  <c r="C1055" i="7"/>
  <c r="C1054" i="7"/>
  <c r="C1053" i="7"/>
  <c r="C1052" i="7"/>
  <c r="C1051" i="7"/>
  <c r="C1050" i="7"/>
  <c r="C1049" i="7"/>
  <c r="C1048" i="7"/>
  <c r="C1047" i="7"/>
  <c r="C1046" i="7"/>
  <c r="C1045" i="7"/>
  <c r="C1044" i="7"/>
  <c r="C1043" i="7"/>
  <c r="C1042" i="7"/>
  <c r="C1041" i="7"/>
  <c r="C1040" i="7"/>
  <c r="C1039" i="7"/>
  <c r="C1038" i="7"/>
  <c r="C1037" i="7"/>
  <c r="C1036" i="7"/>
  <c r="C1035" i="7"/>
  <c r="C1034" i="7"/>
  <c r="C1033" i="7"/>
  <c r="C1032" i="7"/>
  <c r="C1031" i="7"/>
  <c r="C1030" i="7"/>
  <c r="C1029" i="7"/>
  <c r="C1028" i="7"/>
  <c r="C1027" i="7"/>
  <c r="C1026" i="7"/>
  <c r="C1025" i="7"/>
  <c r="C1024" i="7"/>
  <c r="C1023" i="7"/>
  <c r="C1022" i="7"/>
  <c r="C1021" i="7"/>
  <c r="C1020" i="7"/>
  <c r="C1019" i="7"/>
  <c r="C1018" i="7"/>
  <c r="C1017" i="7"/>
  <c r="C1016" i="7"/>
  <c r="C1015" i="7"/>
  <c r="C1014" i="7"/>
  <c r="C1013" i="7"/>
  <c r="C1012" i="7"/>
  <c r="C1011" i="7"/>
  <c r="C1010" i="7"/>
  <c r="C1009" i="7"/>
  <c r="C1008" i="7"/>
  <c r="C1007" i="7"/>
  <c r="C1006" i="7"/>
  <c r="C1005" i="7"/>
  <c r="C1004" i="7"/>
  <c r="C1003" i="7"/>
  <c r="C1002" i="7"/>
  <c r="C1001" i="7"/>
  <c r="C1000" i="7"/>
  <c r="C999" i="7"/>
  <c r="C998" i="7"/>
  <c r="C997" i="7"/>
  <c r="C996" i="7"/>
  <c r="C995" i="7"/>
  <c r="C994" i="7"/>
  <c r="C993" i="7"/>
  <c r="C992" i="7"/>
  <c r="C991" i="7"/>
  <c r="C990" i="7"/>
  <c r="C989" i="7"/>
  <c r="C988" i="7"/>
  <c r="C987" i="7"/>
  <c r="C986" i="7"/>
  <c r="C985" i="7"/>
  <c r="C984" i="7"/>
  <c r="C983" i="7"/>
  <c r="C982" i="7"/>
  <c r="C981" i="7"/>
  <c r="C980" i="7"/>
  <c r="C979" i="7"/>
  <c r="C978" i="7"/>
  <c r="C977" i="7"/>
  <c r="C976" i="7"/>
  <c r="C975" i="7"/>
  <c r="C974" i="7"/>
  <c r="C973" i="7"/>
  <c r="C972" i="7"/>
  <c r="C971" i="7"/>
  <c r="C970" i="7"/>
  <c r="C969" i="7"/>
  <c r="C968" i="7"/>
  <c r="C967" i="7"/>
  <c r="C966" i="7"/>
  <c r="C965" i="7"/>
  <c r="C964" i="7"/>
  <c r="C963" i="7"/>
  <c r="C962" i="7"/>
  <c r="C961" i="7"/>
  <c r="C960" i="7"/>
  <c r="C959" i="7"/>
  <c r="C958" i="7"/>
  <c r="C957" i="7"/>
  <c r="C956" i="7"/>
  <c r="C955" i="7"/>
  <c r="C954" i="7"/>
  <c r="C953" i="7"/>
  <c r="C952" i="7"/>
  <c r="C951" i="7"/>
  <c r="C950" i="7"/>
  <c r="C949" i="7"/>
  <c r="C948" i="7"/>
  <c r="C947" i="7"/>
  <c r="C946" i="7"/>
  <c r="C945" i="7"/>
  <c r="C944" i="7"/>
  <c r="C943" i="7"/>
  <c r="C942" i="7"/>
  <c r="C941" i="7"/>
  <c r="C940" i="7"/>
  <c r="C939" i="7"/>
  <c r="C938" i="7"/>
  <c r="C937" i="7"/>
  <c r="C936" i="7"/>
  <c r="C935" i="7"/>
  <c r="C934" i="7"/>
  <c r="C933" i="7"/>
  <c r="C932" i="7"/>
  <c r="C931" i="7"/>
  <c r="C930" i="7"/>
  <c r="C929" i="7"/>
  <c r="C928" i="7"/>
  <c r="C927" i="7"/>
  <c r="C926" i="7"/>
  <c r="C925" i="7"/>
  <c r="C924" i="7"/>
  <c r="C923" i="7"/>
  <c r="C922" i="7"/>
  <c r="C921" i="7"/>
  <c r="C920" i="7"/>
  <c r="C919" i="7"/>
  <c r="C918" i="7"/>
  <c r="C917" i="7"/>
  <c r="C916" i="7"/>
  <c r="C915" i="7"/>
  <c r="C914" i="7"/>
  <c r="C913" i="7"/>
  <c r="C912" i="7"/>
  <c r="C911" i="7"/>
  <c r="C910" i="7"/>
  <c r="C909" i="7"/>
  <c r="C908" i="7"/>
  <c r="C907" i="7"/>
  <c r="C906" i="7"/>
  <c r="C905" i="7"/>
  <c r="C904" i="7"/>
  <c r="C903" i="7"/>
  <c r="C902" i="7"/>
  <c r="C901" i="7"/>
  <c r="C900" i="7"/>
  <c r="C899" i="7"/>
  <c r="C898" i="7"/>
  <c r="C897" i="7"/>
  <c r="C896" i="7"/>
  <c r="C895" i="7"/>
  <c r="C894" i="7"/>
  <c r="C893" i="7"/>
  <c r="C892" i="7"/>
  <c r="C891" i="7"/>
  <c r="C890" i="7"/>
  <c r="C889" i="7"/>
  <c r="C888" i="7"/>
  <c r="C887" i="7"/>
  <c r="C886" i="7"/>
  <c r="C885" i="7"/>
  <c r="C884" i="7"/>
  <c r="C883" i="7"/>
  <c r="C882" i="7"/>
  <c r="C881" i="7"/>
  <c r="C880" i="7"/>
  <c r="C879" i="7"/>
  <c r="C878" i="7"/>
  <c r="C877" i="7"/>
  <c r="C876" i="7"/>
  <c r="C875" i="7"/>
  <c r="C874" i="7"/>
  <c r="C873" i="7"/>
  <c r="C872" i="7"/>
  <c r="C871" i="7"/>
  <c r="C870" i="7"/>
  <c r="C869" i="7"/>
  <c r="C868" i="7"/>
  <c r="C867" i="7"/>
  <c r="C866" i="7"/>
  <c r="C865" i="7"/>
  <c r="C864" i="7"/>
  <c r="C863" i="7"/>
  <c r="C862" i="7"/>
  <c r="C861" i="7"/>
  <c r="C860" i="7"/>
  <c r="C859" i="7"/>
  <c r="C858" i="7"/>
  <c r="C857" i="7"/>
  <c r="C856" i="7"/>
  <c r="C855" i="7"/>
  <c r="C854" i="7"/>
  <c r="C853" i="7"/>
  <c r="C852" i="7"/>
  <c r="C851" i="7"/>
  <c r="C850" i="7"/>
  <c r="C849" i="7"/>
  <c r="C848" i="7"/>
  <c r="C847" i="7"/>
  <c r="C846" i="7"/>
  <c r="C845" i="7"/>
  <c r="C844" i="7"/>
  <c r="C843" i="7"/>
  <c r="C842" i="7"/>
  <c r="C841" i="7"/>
  <c r="C840" i="7"/>
  <c r="C839" i="7"/>
  <c r="C838" i="7"/>
  <c r="C837" i="7"/>
  <c r="C836" i="7"/>
  <c r="C835" i="7"/>
  <c r="C834" i="7"/>
  <c r="C833" i="7"/>
  <c r="C832" i="7"/>
  <c r="C831" i="7"/>
  <c r="C830" i="7"/>
  <c r="C829" i="7"/>
  <c r="C828" i="7"/>
  <c r="C827" i="7"/>
  <c r="C826" i="7"/>
  <c r="C825" i="7"/>
  <c r="C824" i="7"/>
  <c r="C823" i="7"/>
  <c r="C822" i="7"/>
  <c r="C821" i="7"/>
  <c r="C820" i="7"/>
  <c r="C819" i="7"/>
  <c r="C818" i="7"/>
  <c r="C817" i="7"/>
  <c r="C816" i="7"/>
  <c r="C815" i="7"/>
  <c r="C814" i="7"/>
  <c r="C813" i="7"/>
  <c r="C812" i="7"/>
  <c r="C811" i="7"/>
  <c r="C810" i="7"/>
  <c r="C809" i="7"/>
  <c r="C808" i="7"/>
  <c r="C807" i="7"/>
  <c r="C806" i="7"/>
  <c r="C805" i="7"/>
  <c r="C804" i="7"/>
  <c r="C803" i="7"/>
  <c r="C802" i="7"/>
  <c r="C801" i="7"/>
  <c r="C800" i="7"/>
  <c r="C799" i="7"/>
  <c r="C798" i="7"/>
  <c r="C797" i="7"/>
  <c r="C796" i="7"/>
  <c r="C795" i="7"/>
  <c r="C794" i="7"/>
  <c r="C793" i="7"/>
  <c r="C792" i="7"/>
  <c r="C791" i="7"/>
  <c r="C790" i="7"/>
  <c r="C789" i="7"/>
  <c r="C788" i="7"/>
  <c r="C787" i="7"/>
  <c r="C786" i="7"/>
  <c r="C785" i="7"/>
  <c r="C784" i="7"/>
  <c r="C783" i="7"/>
  <c r="C782" i="7"/>
  <c r="C781" i="7"/>
  <c r="C780" i="7"/>
  <c r="C779" i="7"/>
  <c r="C778" i="7"/>
  <c r="C777" i="7"/>
  <c r="C776" i="7"/>
  <c r="C775" i="7"/>
  <c r="C774" i="7"/>
  <c r="C773" i="7"/>
  <c r="C772" i="7"/>
  <c r="C771" i="7"/>
  <c r="C770" i="7"/>
  <c r="C769" i="7"/>
  <c r="C768" i="7"/>
  <c r="C767" i="7"/>
  <c r="C766" i="7"/>
  <c r="C765" i="7"/>
  <c r="C764" i="7"/>
  <c r="C763" i="7"/>
  <c r="C762" i="7"/>
  <c r="C761" i="7"/>
  <c r="C760" i="7"/>
  <c r="C759" i="7"/>
  <c r="C758" i="7"/>
  <c r="C757" i="7"/>
  <c r="C756" i="7"/>
  <c r="C755" i="7"/>
  <c r="C754" i="7"/>
  <c r="C753" i="7"/>
  <c r="C752" i="7"/>
  <c r="C751" i="7"/>
  <c r="C750" i="7"/>
  <c r="C749" i="7"/>
  <c r="C748" i="7"/>
  <c r="C747" i="7"/>
  <c r="C746" i="7"/>
  <c r="C745" i="7"/>
  <c r="C744" i="7"/>
  <c r="C743" i="7"/>
  <c r="C742" i="7"/>
  <c r="C741" i="7"/>
  <c r="C740" i="7"/>
  <c r="C739" i="7"/>
  <c r="C738" i="7"/>
  <c r="C737" i="7"/>
  <c r="C736" i="7"/>
  <c r="C735" i="7"/>
  <c r="C734" i="7"/>
  <c r="C733" i="7"/>
  <c r="C732" i="7"/>
  <c r="C731" i="7"/>
  <c r="C730" i="7"/>
  <c r="C729" i="7"/>
  <c r="C728" i="7"/>
  <c r="C727" i="7"/>
  <c r="C726" i="7"/>
  <c r="C725" i="7"/>
  <c r="C724" i="7"/>
  <c r="C723" i="7"/>
  <c r="C722" i="7"/>
  <c r="C721" i="7"/>
  <c r="C720" i="7"/>
  <c r="C719" i="7"/>
  <c r="C718" i="7"/>
  <c r="C717" i="7"/>
  <c r="C716" i="7"/>
  <c r="C715" i="7"/>
  <c r="C714" i="7"/>
  <c r="C713" i="7"/>
  <c r="C712" i="7"/>
  <c r="C711" i="7"/>
  <c r="C710" i="7"/>
  <c r="C709" i="7"/>
  <c r="C708" i="7"/>
  <c r="C707" i="7"/>
  <c r="C706" i="7"/>
  <c r="C705" i="7"/>
  <c r="C704" i="7"/>
  <c r="C703" i="7"/>
  <c r="C702" i="7"/>
  <c r="C701" i="7"/>
  <c r="C700" i="7"/>
  <c r="C699" i="7"/>
  <c r="C698" i="7"/>
  <c r="C697" i="7"/>
  <c r="C696" i="7"/>
  <c r="C695" i="7"/>
  <c r="C694" i="7"/>
  <c r="C693" i="7"/>
  <c r="C692" i="7"/>
  <c r="C691" i="7"/>
  <c r="C690" i="7"/>
  <c r="C689" i="7"/>
  <c r="C688" i="7"/>
  <c r="C687" i="7"/>
  <c r="C686" i="7"/>
  <c r="C685" i="7"/>
  <c r="C684" i="7"/>
  <c r="C683" i="7"/>
  <c r="C682" i="7"/>
  <c r="C681" i="7"/>
  <c r="C680" i="7"/>
  <c r="C679" i="7"/>
  <c r="C678" i="7"/>
  <c r="C677" i="7"/>
  <c r="C676" i="7"/>
  <c r="C675" i="7"/>
  <c r="C674" i="7"/>
  <c r="C673" i="7"/>
  <c r="C672" i="7"/>
  <c r="C671" i="7"/>
  <c r="C670" i="7"/>
  <c r="C669" i="7"/>
  <c r="C668" i="7"/>
  <c r="C667" i="7"/>
  <c r="C666" i="7"/>
  <c r="C665" i="7"/>
  <c r="C664" i="7"/>
  <c r="C663" i="7"/>
  <c r="C662" i="7"/>
  <c r="C661" i="7"/>
  <c r="C660" i="7"/>
  <c r="C659" i="7"/>
  <c r="C658" i="7"/>
  <c r="C657" i="7"/>
  <c r="C656" i="7"/>
  <c r="C655" i="7"/>
  <c r="C654" i="7"/>
  <c r="C653" i="7"/>
  <c r="C652" i="7"/>
  <c r="C651" i="7"/>
  <c r="C650" i="7"/>
  <c r="C649" i="7"/>
  <c r="C648" i="7"/>
  <c r="C647" i="7"/>
  <c r="C646" i="7"/>
  <c r="C645" i="7"/>
  <c r="C644" i="7"/>
  <c r="C643" i="7"/>
  <c r="C642" i="7"/>
  <c r="C641" i="7"/>
  <c r="C640" i="7"/>
  <c r="C639" i="7"/>
  <c r="C638" i="7"/>
  <c r="C637" i="7"/>
  <c r="C636" i="7"/>
  <c r="C635" i="7"/>
  <c r="C634" i="7"/>
  <c r="C633" i="7"/>
  <c r="C632" i="7"/>
  <c r="C631" i="7"/>
  <c r="C630" i="7"/>
  <c r="C629" i="7"/>
  <c r="C628" i="7"/>
  <c r="C627" i="7"/>
  <c r="C626" i="7"/>
  <c r="C625" i="7"/>
  <c r="C624" i="7"/>
  <c r="C623" i="7"/>
  <c r="C622" i="7"/>
  <c r="C621" i="7"/>
  <c r="C620" i="7"/>
  <c r="C619" i="7"/>
  <c r="C618" i="7"/>
  <c r="C617" i="7"/>
  <c r="C616" i="7"/>
  <c r="C615" i="7"/>
  <c r="C614" i="7"/>
  <c r="C613" i="7"/>
  <c r="C612" i="7"/>
  <c r="C611" i="7"/>
  <c r="C610" i="7"/>
  <c r="C609" i="7"/>
  <c r="C608" i="7"/>
  <c r="C607" i="7"/>
  <c r="C606" i="7"/>
  <c r="C605" i="7"/>
  <c r="C604" i="7"/>
  <c r="C603" i="7"/>
  <c r="C602" i="7"/>
  <c r="C601" i="7"/>
  <c r="C600" i="7"/>
  <c r="C599" i="7"/>
  <c r="C598" i="7"/>
  <c r="C597" i="7"/>
  <c r="C596" i="7"/>
  <c r="C595" i="7"/>
  <c r="C594" i="7"/>
  <c r="C593" i="7"/>
  <c r="C592" i="7"/>
  <c r="C591" i="7"/>
  <c r="C590" i="7"/>
  <c r="C589" i="7"/>
  <c r="C588" i="7"/>
  <c r="C587" i="7"/>
  <c r="C586" i="7"/>
  <c r="C585" i="7"/>
  <c r="C584" i="7"/>
  <c r="C583" i="7"/>
  <c r="C582" i="7"/>
  <c r="C581" i="7"/>
  <c r="C580" i="7"/>
  <c r="C579" i="7"/>
  <c r="C578" i="7"/>
  <c r="C577" i="7"/>
  <c r="C576" i="7"/>
  <c r="C575" i="7"/>
  <c r="C574" i="7"/>
  <c r="C573" i="7"/>
  <c r="C572" i="7"/>
  <c r="C571" i="7"/>
  <c r="C570" i="7"/>
  <c r="C569" i="7"/>
  <c r="C568" i="7"/>
  <c r="C567" i="7"/>
  <c r="C566" i="7"/>
  <c r="C565" i="7"/>
  <c r="C564" i="7"/>
  <c r="C563" i="7"/>
  <c r="C562" i="7"/>
  <c r="C561" i="7"/>
  <c r="C560" i="7"/>
  <c r="C559" i="7"/>
  <c r="C558" i="7"/>
  <c r="C557" i="7"/>
  <c r="C556" i="7"/>
  <c r="C555" i="7"/>
  <c r="C554" i="7"/>
  <c r="C553" i="7"/>
  <c r="C552" i="7"/>
  <c r="C551" i="7"/>
  <c r="C550" i="7"/>
  <c r="C549" i="7"/>
  <c r="C548" i="7"/>
  <c r="C547" i="7"/>
  <c r="C546" i="7"/>
  <c r="C545" i="7"/>
  <c r="C544" i="7"/>
  <c r="C543" i="7"/>
  <c r="C542" i="7"/>
  <c r="C541" i="7"/>
  <c r="C540" i="7"/>
  <c r="C539" i="7"/>
  <c r="C538" i="7"/>
  <c r="C537" i="7"/>
  <c r="C536" i="7"/>
  <c r="C535" i="7"/>
  <c r="C534" i="7"/>
  <c r="C533" i="7"/>
  <c r="C532" i="7"/>
  <c r="C531" i="7"/>
  <c r="C530" i="7"/>
  <c r="C529" i="7"/>
  <c r="C528" i="7"/>
  <c r="C527" i="7"/>
  <c r="C526" i="7"/>
  <c r="C525" i="7"/>
  <c r="C524" i="7"/>
  <c r="C523" i="7"/>
  <c r="C522" i="7"/>
  <c r="C521" i="7"/>
  <c r="C520" i="7"/>
  <c r="C519" i="7"/>
  <c r="C518" i="7"/>
  <c r="C517" i="7"/>
  <c r="C516" i="7"/>
  <c r="C515" i="7"/>
  <c r="C514" i="7"/>
  <c r="C513" i="7"/>
  <c r="C512" i="7"/>
  <c r="C511" i="7"/>
  <c r="C510" i="7"/>
  <c r="C509" i="7"/>
  <c r="C508" i="7"/>
  <c r="C507" i="7"/>
  <c r="C506" i="7"/>
  <c r="C505" i="7"/>
  <c r="C504" i="7"/>
  <c r="C503" i="7"/>
  <c r="C502" i="7"/>
  <c r="C501" i="7"/>
  <c r="C500" i="7"/>
  <c r="C499" i="7"/>
  <c r="C498" i="7"/>
  <c r="C497" i="7"/>
  <c r="C496" i="7"/>
  <c r="C495" i="7"/>
  <c r="C494" i="7"/>
  <c r="C493" i="7"/>
  <c r="C492" i="7"/>
  <c r="C491" i="7"/>
  <c r="C490" i="7"/>
  <c r="C489" i="7"/>
  <c r="C488" i="7"/>
  <c r="C487" i="7"/>
  <c r="C486" i="7"/>
  <c r="C485" i="7"/>
  <c r="C484" i="7"/>
  <c r="C483" i="7"/>
  <c r="C482" i="7"/>
  <c r="C481" i="7"/>
  <c r="C480" i="7"/>
  <c r="C479" i="7"/>
  <c r="C478" i="7"/>
  <c r="C477" i="7"/>
  <c r="C476" i="7"/>
  <c r="C475" i="7"/>
  <c r="C474" i="7"/>
  <c r="C473" i="7"/>
  <c r="C472" i="7"/>
  <c r="C471" i="7"/>
  <c r="C470" i="7"/>
  <c r="C469" i="7"/>
  <c r="C468" i="7"/>
  <c r="C467" i="7"/>
  <c r="C466" i="7"/>
  <c r="C465" i="7"/>
  <c r="C464" i="7"/>
  <c r="C463" i="7"/>
  <c r="C462" i="7"/>
  <c r="C461" i="7"/>
  <c r="C460" i="7"/>
  <c r="C459" i="7"/>
  <c r="C458" i="7"/>
  <c r="C457" i="7"/>
  <c r="C456" i="7"/>
  <c r="C455" i="7"/>
  <c r="C454" i="7"/>
  <c r="C453" i="7"/>
  <c r="C452" i="7"/>
  <c r="C451" i="7"/>
  <c r="C450" i="7"/>
  <c r="C449" i="7"/>
  <c r="C448" i="7"/>
  <c r="C447" i="7"/>
  <c r="C446" i="7"/>
  <c r="C445" i="7"/>
  <c r="C444" i="7"/>
  <c r="C443" i="7"/>
  <c r="C442" i="7"/>
  <c r="C441" i="7"/>
  <c r="C440" i="7"/>
  <c r="C439" i="7"/>
  <c r="C438" i="7"/>
  <c r="C437" i="7"/>
  <c r="C436" i="7"/>
  <c r="C435" i="7"/>
  <c r="C434" i="7"/>
  <c r="C433" i="7"/>
  <c r="C432" i="7"/>
  <c r="C431" i="7"/>
  <c r="C430" i="7"/>
  <c r="C429" i="7"/>
  <c r="C428" i="7"/>
  <c r="C427" i="7"/>
  <c r="C426" i="7"/>
  <c r="C425" i="7"/>
  <c r="C424" i="7"/>
  <c r="C423" i="7"/>
  <c r="C422" i="7"/>
  <c r="C421" i="7"/>
  <c r="C420" i="7"/>
  <c r="C419" i="7"/>
  <c r="C418" i="7"/>
  <c r="C417" i="7"/>
  <c r="C416" i="7"/>
  <c r="C415" i="7"/>
  <c r="C414" i="7"/>
  <c r="C413" i="7"/>
  <c r="C412"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C359" i="7"/>
  <c r="C358" i="7"/>
  <c r="C357" i="7"/>
  <c r="C356" i="7"/>
  <c r="C355" i="7"/>
  <c r="C354" i="7"/>
  <c r="C353" i="7"/>
  <c r="C352" i="7"/>
  <c r="C351" i="7"/>
  <c r="C350" i="7"/>
  <c r="C349" i="7"/>
  <c r="C348" i="7"/>
  <c r="C347" i="7"/>
  <c r="C346" i="7"/>
  <c r="C345" i="7"/>
  <c r="C344" i="7"/>
  <c r="C343" i="7"/>
  <c r="C342" i="7"/>
  <c r="C341" i="7"/>
  <c r="C340" i="7"/>
  <c r="C339" i="7"/>
  <c r="C338" i="7"/>
  <c r="C337" i="7"/>
  <c r="C336" i="7"/>
  <c r="C335" i="7"/>
  <c r="C334" i="7"/>
  <c r="C333" i="7"/>
  <c r="C332" i="7"/>
  <c r="C331" i="7"/>
  <c r="C330" i="7"/>
  <c r="C329" i="7"/>
  <c r="C328" i="7"/>
  <c r="C327" i="7"/>
  <c r="C326" i="7"/>
  <c r="C325" i="7"/>
  <c r="C324" i="7"/>
  <c r="C323" i="7"/>
  <c r="C322" i="7"/>
  <c r="C321" i="7"/>
  <c r="C320" i="7"/>
  <c r="C319" i="7"/>
  <c r="C318" i="7"/>
  <c r="C317" i="7"/>
  <c r="C316" i="7"/>
  <c r="C315" i="7"/>
  <c r="C314" i="7"/>
  <c r="C313" i="7"/>
  <c r="C312" i="7"/>
  <c r="C311" i="7"/>
  <c r="C310" i="7"/>
  <c r="C309" i="7"/>
  <c r="C308" i="7"/>
  <c r="C307" i="7"/>
  <c r="C306" i="7"/>
  <c r="C305" i="7"/>
  <c r="C304" i="7"/>
  <c r="C303" i="7"/>
  <c r="C302" i="7"/>
  <c r="C301" i="7"/>
  <c r="C300" i="7"/>
  <c r="C299" i="7"/>
  <c r="C298" i="7"/>
  <c r="C297" i="7"/>
  <c r="C296" i="7"/>
  <c r="C295" i="7"/>
  <c r="C294" i="7"/>
  <c r="C293" i="7"/>
  <c r="C292" i="7"/>
  <c r="C291" i="7"/>
  <c r="C290" i="7"/>
  <c r="C289" i="7"/>
  <c r="C288" i="7"/>
  <c r="C287" i="7"/>
  <c r="C286" i="7"/>
  <c r="C285" i="7"/>
  <c r="C284" i="7"/>
  <c r="C283" i="7"/>
  <c r="C282" i="7"/>
  <c r="C281" i="7"/>
  <c r="C280" i="7"/>
  <c r="C279" i="7"/>
  <c r="C278" i="7"/>
  <c r="C277" i="7"/>
  <c r="C276" i="7"/>
  <c r="C275" i="7"/>
  <c r="C274" i="7"/>
  <c r="C273" i="7"/>
  <c r="C272" i="7"/>
  <c r="C271" i="7"/>
  <c r="C270" i="7"/>
  <c r="C269" i="7"/>
  <c r="C268" i="7"/>
  <c r="C267" i="7"/>
  <c r="C266" i="7"/>
  <c r="C265" i="7"/>
  <c r="C264" i="7"/>
  <c r="C263" i="7"/>
  <c r="C262" i="7"/>
  <c r="C261" i="7"/>
  <c r="C260" i="7"/>
  <c r="C259" i="7"/>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F3" i="7"/>
  <c r="C3" i="7"/>
  <c r="F2" i="7"/>
  <c r="C2" i="7"/>
  <c r="C1205" i="6"/>
  <c r="C1204" i="6"/>
  <c r="C1203" i="6"/>
  <c r="C1202" i="6"/>
  <c r="C1201" i="6"/>
  <c r="C1200" i="6"/>
  <c r="C1199" i="6"/>
  <c r="C1198" i="6"/>
  <c r="C1197" i="6"/>
  <c r="C1196" i="6"/>
  <c r="C1195" i="6"/>
  <c r="C1194" i="6"/>
  <c r="C1193" i="6"/>
  <c r="C1192" i="6"/>
  <c r="C1191" i="6"/>
  <c r="C1190" i="6"/>
  <c r="C1189" i="6"/>
  <c r="C1188" i="6"/>
  <c r="C1187" i="6"/>
  <c r="C1186" i="6"/>
  <c r="C1185" i="6"/>
  <c r="C1184" i="6"/>
  <c r="C1183" i="6"/>
  <c r="C1182" i="6"/>
  <c r="C1181" i="6"/>
  <c r="C1180" i="6"/>
  <c r="C1179" i="6"/>
  <c r="C1178" i="6"/>
  <c r="C1177" i="6"/>
  <c r="C1176" i="6"/>
  <c r="C1175" i="6"/>
  <c r="C1174" i="6"/>
  <c r="C1173" i="6"/>
  <c r="C1172" i="6"/>
  <c r="C1171" i="6"/>
  <c r="C1170" i="6"/>
  <c r="C1169" i="6"/>
  <c r="C1168" i="6"/>
  <c r="C1167" i="6"/>
  <c r="C1166" i="6"/>
  <c r="C1165" i="6"/>
  <c r="C1164" i="6"/>
  <c r="C1163" i="6"/>
  <c r="C1162" i="6"/>
  <c r="C1161" i="6"/>
  <c r="C1160" i="6"/>
  <c r="C1159" i="6"/>
  <c r="C1158" i="6"/>
  <c r="C1157" i="6"/>
  <c r="C1156" i="6"/>
  <c r="C1155" i="6"/>
  <c r="C1154" i="6"/>
  <c r="C1153" i="6"/>
  <c r="C1152" i="6"/>
  <c r="C1151" i="6"/>
  <c r="C1150" i="6"/>
  <c r="C1149" i="6"/>
  <c r="C1148" i="6"/>
  <c r="C1147" i="6"/>
  <c r="C1146" i="6"/>
  <c r="C1145" i="6"/>
  <c r="C1144" i="6"/>
  <c r="C1143" i="6"/>
  <c r="C1142" i="6"/>
  <c r="C1141" i="6"/>
  <c r="C1140" i="6"/>
  <c r="C1139" i="6"/>
  <c r="C1138" i="6"/>
  <c r="C1137" i="6"/>
  <c r="C1136" i="6"/>
  <c r="C1135" i="6"/>
  <c r="C1134" i="6"/>
  <c r="C1133" i="6"/>
  <c r="C1132" i="6"/>
  <c r="C1131" i="6"/>
  <c r="C1130" i="6"/>
  <c r="C1129" i="6"/>
  <c r="C1128" i="6"/>
  <c r="C1127" i="6"/>
  <c r="C1126" i="6"/>
  <c r="C1125" i="6"/>
  <c r="C1124" i="6"/>
  <c r="C1123" i="6"/>
  <c r="C1122" i="6"/>
  <c r="C1121" i="6"/>
  <c r="C1120" i="6"/>
  <c r="C1119" i="6"/>
  <c r="C1118" i="6"/>
  <c r="C1117" i="6"/>
  <c r="C1116" i="6"/>
  <c r="C1115" i="6"/>
  <c r="C1114" i="6"/>
  <c r="C1113" i="6"/>
  <c r="C1112" i="6"/>
  <c r="C1111" i="6"/>
  <c r="C1110" i="6"/>
  <c r="C1109" i="6"/>
  <c r="C1108" i="6"/>
  <c r="C1107" i="6"/>
  <c r="C1106" i="6"/>
  <c r="C1105" i="6"/>
  <c r="C1104" i="6"/>
  <c r="C1103" i="6"/>
  <c r="C1102" i="6"/>
  <c r="C1101" i="6"/>
  <c r="C1100" i="6"/>
  <c r="C1099" i="6"/>
  <c r="C1098" i="6"/>
  <c r="C1097" i="6"/>
  <c r="C1096" i="6"/>
  <c r="C1095" i="6"/>
  <c r="C1094" i="6"/>
  <c r="C1093" i="6"/>
  <c r="C1092" i="6"/>
  <c r="C1091" i="6"/>
  <c r="C1090" i="6"/>
  <c r="C1089" i="6"/>
  <c r="C1088" i="6"/>
  <c r="C1087" i="6"/>
  <c r="C1086" i="6"/>
  <c r="C1085" i="6"/>
  <c r="C1084" i="6"/>
  <c r="C1083" i="6"/>
  <c r="C1082" i="6"/>
  <c r="C1081" i="6"/>
  <c r="C1080" i="6"/>
  <c r="C1079" i="6"/>
  <c r="C1078" i="6"/>
  <c r="C1077" i="6"/>
  <c r="C1076" i="6"/>
  <c r="C1075" i="6"/>
  <c r="C1074" i="6"/>
  <c r="C1073" i="6"/>
  <c r="C1072" i="6"/>
  <c r="C1071" i="6"/>
  <c r="C1070" i="6"/>
  <c r="C1069" i="6"/>
  <c r="C1068" i="6"/>
  <c r="C1067" i="6"/>
  <c r="C1066" i="6"/>
  <c r="C1065" i="6"/>
  <c r="C1064" i="6"/>
  <c r="C1063" i="6"/>
  <c r="C1062" i="6"/>
  <c r="C1061" i="6"/>
  <c r="C1060" i="6"/>
  <c r="C1059" i="6"/>
  <c r="C1058" i="6"/>
  <c r="C1057" i="6"/>
  <c r="C1056" i="6"/>
  <c r="C1055" i="6"/>
  <c r="C1054" i="6"/>
  <c r="C1053" i="6"/>
  <c r="C1052" i="6"/>
  <c r="C1051" i="6"/>
  <c r="C1050" i="6"/>
  <c r="C1049" i="6"/>
  <c r="C1048" i="6"/>
  <c r="C1047" i="6"/>
  <c r="C1046" i="6"/>
  <c r="C1045" i="6"/>
  <c r="C1044" i="6"/>
  <c r="C1043" i="6"/>
  <c r="C1042" i="6"/>
  <c r="C1041" i="6"/>
  <c r="C1040" i="6"/>
  <c r="C1039" i="6"/>
  <c r="C1038" i="6"/>
  <c r="C1037" i="6"/>
  <c r="C1036" i="6"/>
  <c r="C1035" i="6"/>
  <c r="C1034" i="6"/>
  <c r="C1033" i="6"/>
  <c r="C1032" i="6"/>
  <c r="C1031" i="6"/>
  <c r="C1030" i="6"/>
  <c r="C1029" i="6"/>
  <c r="C1028" i="6"/>
  <c r="C1027" i="6"/>
  <c r="C1026" i="6"/>
  <c r="C1025" i="6"/>
  <c r="C1024" i="6"/>
  <c r="C1023" i="6"/>
  <c r="C1022" i="6"/>
  <c r="C1021" i="6"/>
  <c r="C1020" i="6"/>
  <c r="C1019" i="6"/>
  <c r="C1018" i="6"/>
  <c r="C1017" i="6"/>
  <c r="C1016" i="6"/>
  <c r="C1015" i="6"/>
  <c r="C1014" i="6"/>
  <c r="C1013" i="6"/>
  <c r="C1012" i="6"/>
  <c r="C1011" i="6"/>
  <c r="C1010" i="6"/>
  <c r="C1009" i="6"/>
  <c r="C1008" i="6"/>
  <c r="C1007" i="6"/>
  <c r="C1006" i="6"/>
  <c r="C1005" i="6"/>
  <c r="C1004" i="6"/>
  <c r="C1003" i="6"/>
  <c r="C1002" i="6"/>
  <c r="C1001" i="6"/>
  <c r="C1000" i="6"/>
  <c r="C999" i="6"/>
  <c r="C998" i="6"/>
  <c r="C997" i="6"/>
  <c r="C996" i="6"/>
  <c r="C995" i="6"/>
  <c r="C994" i="6"/>
  <c r="C993" i="6"/>
  <c r="C992" i="6"/>
  <c r="C991" i="6"/>
  <c r="C990" i="6"/>
  <c r="C989" i="6"/>
  <c r="C988" i="6"/>
  <c r="C987" i="6"/>
  <c r="C986" i="6"/>
  <c r="C985" i="6"/>
  <c r="C984" i="6"/>
  <c r="C983" i="6"/>
  <c r="C982" i="6"/>
  <c r="C981" i="6"/>
  <c r="C980" i="6"/>
  <c r="C979" i="6"/>
  <c r="C978" i="6"/>
  <c r="C977" i="6"/>
  <c r="C976" i="6"/>
  <c r="C975" i="6"/>
  <c r="C974" i="6"/>
  <c r="C973" i="6"/>
  <c r="C972" i="6"/>
  <c r="C971" i="6"/>
  <c r="C970" i="6"/>
  <c r="C969" i="6"/>
  <c r="C968" i="6"/>
  <c r="C967" i="6"/>
  <c r="C966" i="6"/>
  <c r="C965" i="6"/>
  <c r="C964" i="6"/>
  <c r="C963" i="6"/>
  <c r="C962" i="6"/>
  <c r="C961" i="6"/>
  <c r="C960" i="6"/>
  <c r="C959" i="6"/>
  <c r="C958" i="6"/>
  <c r="C957" i="6"/>
  <c r="C956" i="6"/>
  <c r="C955" i="6"/>
  <c r="C954" i="6"/>
  <c r="C953" i="6"/>
  <c r="C952" i="6"/>
  <c r="C951" i="6"/>
  <c r="C950" i="6"/>
  <c r="C949" i="6"/>
  <c r="C948" i="6"/>
  <c r="C947" i="6"/>
  <c r="C946" i="6"/>
  <c r="C945" i="6"/>
  <c r="C944" i="6"/>
  <c r="C943" i="6"/>
  <c r="C942" i="6"/>
  <c r="C941" i="6"/>
  <c r="C940" i="6"/>
  <c r="C939" i="6"/>
  <c r="C938" i="6"/>
  <c r="C937" i="6"/>
  <c r="C936" i="6"/>
  <c r="C935" i="6"/>
  <c r="C934" i="6"/>
  <c r="C933" i="6"/>
  <c r="C932" i="6"/>
  <c r="C931" i="6"/>
  <c r="C930" i="6"/>
  <c r="C929" i="6"/>
  <c r="C928" i="6"/>
  <c r="C927" i="6"/>
  <c r="C926" i="6"/>
  <c r="C925" i="6"/>
  <c r="C924" i="6"/>
  <c r="C923" i="6"/>
  <c r="C922" i="6"/>
  <c r="C921" i="6"/>
  <c r="C920" i="6"/>
  <c r="C919" i="6"/>
  <c r="C918" i="6"/>
  <c r="C917" i="6"/>
  <c r="C916" i="6"/>
  <c r="C915" i="6"/>
  <c r="C914" i="6"/>
  <c r="C913" i="6"/>
  <c r="C912" i="6"/>
  <c r="C911" i="6"/>
  <c r="C910" i="6"/>
  <c r="C909" i="6"/>
  <c r="C908" i="6"/>
  <c r="C907" i="6"/>
  <c r="C906" i="6"/>
  <c r="C905" i="6"/>
  <c r="C904" i="6"/>
  <c r="C903" i="6"/>
  <c r="C902" i="6"/>
  <c r="C901" i="6"/>
  <c r="C900" i="6"/>
  <c r="C899" i="6"/>
  <c r="C898" i="6"/>
  <c r="C897" i="6"/>
  <c r="C896" i="6"/>
  <c r="C895" i="6"/>
  <c r="C894" i="6"/>
  <c r="C893" i="6"/>
  <c r="C892" i="6"/>
  <c r="C891" i="6"/>
  <c r="C890" i="6"/>
  <c r="C889" i="6"/>
  <c r="C888" i="6"/>
  <c r="C887" i="6"/>
  <c r="C886" i="6"/>
  <c r="C885" i="6"/>
  <c r="C884" i="6"/>
  <c r="C883" i="6"/>
  <c r="C882" i="6"/>
  <c r="C881" i="6"/>
  <c r="C880" i="6"/>
  <c r="C879" i="6"/>
  <c r="C878" i="6"/>
  <c r="C877" i="6"/>
  <c r="C876" i="6"/>
  <c r="C875" i="6"/>
  <c r="C874" i="6"/>
  <c r="C873" i="6"/>
  <c r="C872" i="6"/>
  <c r="C871" i="6"/>
  <c r="C870" i="6"/>
  <c r="C869" i="6"/>
  <c r="C868" i="6"/>
  <c r="C867" i="6"/>
  <c r="C866" i="6"/>
  <c r="C865" i="6"/>
  <c r="C864" i="6"/>
  <c r="C863" i="6"/>
  <c r="C862" i="6"/>
  <c r="C861" i="6"/>
  <c r="C860" i="6"/>
  <c r="C859" i="6"/>
  <c r="C858" i="6"/>
  <c r="C857" i="6"/>
  <c r="C856" i="6"/>
  <c r="C855" i="6"/>
  <c r="C854" i="6"/>
  <c r="C853" i="6"/>
  <c r="C852" i="6"/>
  <c r="C851" i="6"/>
  <c r="C850" i="6"/>
  <c r="C849" i="6"/>
  <c r="C848" i="6"/>
  <c r="C847" i="6"/>
  <c r="C846" i="6"/>
  <c r="C845" i="6"/>
  <c r="C844" i="6"/>
  <c r="C843" i="6"/>
  <c r="C842" i="6"/>
  <c r="C841" i="6"/>
  <c r="C840" i="6"/>
  <c r="C839" i="6"/>
  <c r="C838" i="6"/>
  <c r="C837" i="6"/>
  <c r="C836" i="6"/>
  <c r="C835" i="6"/>
  <c r="C834" i="6"/>
  <c r="C833" i="6"/>
  <c r="C832" i="6"/>
  <c r="C831" i="6"/>
  <c r="C830" i="6"/>
  <c r="C829" i="6"/>
  <c r="C828" i="6"/>
  <c r="C827" i="6"/>
  <c r="C826" i="6"/>
  <c r="C825" i="6"/>
  <c r="C824" i="6"/>
  <c r="C823" i="6"/>
  <c r="C822" i="6"/>
  <c r="C821" i="6"/>
  <c r="C820" i="6"/>
  <c r="C819" i="6"/>
  <c r="C818" i="6"/>
  <c r="C817" i="6"/>
  <c r="C816" i="6"/>
  <c r="C815" i="6"/>
  <c r="C814" i="6"/>
  <c r="C813" i="6"/>
  <c r="C812" i="6"/>
  <c r="C811" i="6"/>
  <c r="C810" i="6"/>
  <c r="C809" i="6"/>
  <c r="C808" i="6"/>
  <c r="C807" i="6"/>
  <c r="C806" i="6"/>
  <c r="C805" i="6"/>
  <c r="C804" i="6"/>
  <c r="C803" i="6"/>
  <c r="C802" i="6"/>
  <c r="C801" i="6"/>
  <c r="C800" i="6"/>
  <c r="C799" i="6"/>
  <c r="C798" i="6"/>
  <c r="C797" i="6"/>
  <c r="C796" i="6"/>
  <c r="C795" i="6"/>
  <c r="C794" i="6"/>
  <c r="C793" i="6"/>
  <c r="C792" i="6"/>
  <c r="C791" i="6"/>
  <c r="C790" i="6"/>
  <c r="C789" i="6"/>
  <c r="C788" i="6"/>
  <c r="C787" i="6"/>
  <c r="C786" i="6"/>
  <c r="C785" i="6"/>
  <c r="C784" i="6"/>
  <c r="C783" i="6"/>
  <c r="C782" i="6"/>
  <c r="C781" i="6"/>
  <c r="C780" i="6"/>
  <c r="C779" i="6"/>
  <c r="C778" i="6"/>
  <c r="C777" i="6"/>
  <c r="C776" i="6"/>
  <c r="C775" i="6"/>
  <c r="C774" i="6"/>
  <c r="C773" i="6"/>
  <c r="C772" i="6"/>
  <c r="C771" i="6"/>
  <c r="C770" i="6"/>
  <c r="C769" i="6"/>
  <c r="C768" i="6"/>
  <c r="C767" i="6"/>
  <c r="C766" i="6"/>
  <c r="C765" i="6"/>
  <c r="C764" i="6"/>
  <c r="C763" i="6"/>
  <c r="C762" i="6"/>
  <c r="C761" i="6"/>
  <c r="C760" i="6"/>
  <c r="C759" i="6"/>
  <c r="C758" i="6"/>
  <c r="C757" i="6"/>
  <c r="C756" i="6"/>
  <c r="C755" i="6"/>
  <c r="C754" i="6"/>
  <c r="C753" i="6"/>
  <c r="C752" i="6"/>
  <c r="C751" i="6"/>
  <c r="C750" i="6"/>
  <c r="C749" i="6"/>
  <c r="C748" i="6"/>
  <c r="C747" i="6"/>
  <c r="C746" i="6"/>
  <c r="C745" i="6"/>
  <c r="C744" i="6"/>
  <c r="C743" i="6"/>
  <c r="C742" i="6"/>
  <c r="C741" i="6"/>
  <c r="C740" i="6"/>
  <c r="C739" i="6"/>
  <c r="C738" i="6"/>
  <c r="C737" i="6"/>
  <c r="C736" i="6"/>
  <c r="C735" i="6"/>
  <c r="C734" i="6"/>
  <c r="C733" i="6"/>
  <c r="C732" i="6"/>
  <c r="C731" i="6"/>
  <c r="C730" i="6"/>
  <c r="C729" i="6"/>
  <c r="C728" i="6"/>
  <c r="C727" i="6"/>
  <c r="C726" i="6"/>
  <c r="C725" i="6"/>
  <c r="C724" i="6"/>
  <c r="C723" i="6"/>
  <c r="C722" i="6"/>
  <c r="C721" i="6"/>
  <c r="C720" i="6"/>
  <c r="C719" i="6"/>
  <c r="C718" i="6"/>
  <c r="C717" i="6"/>
  <c r="C716" i="6"/>
  <c r="C715" i="6"/>
  <c r="C714" i="6"/>
  <c r="C713" i="6"/>
  <c r="C712" i="6"/>
  <c r="C711" i="6"/>
  <c r="C710" i="6"/>
  <c r="C709" i="6"/>
  <c r="C708" i="6"/>
  <c r="C707" i="6"/>
  <c r="C706" i="6"/>
  <c r="C705" i="6"/>
  <c r="C704" i="6"/>
  <c r="C703" i="6"/>
  <c r="C702" i="6"/>
  <c r="C701" i="6"/>
  <c r="C700" i="6"/>
  <c r="C699" i="6"/>
  <c r="C698" i="6"/>
  <c r="C697" i="6"/>
  <c r="C696" i="6"/>
  <c r="C695" i="6"/>
  <c r="C694" i="6"/>
  <c r="C693" i="6"/>
  <c r="C692" i="6"/>
  <c r="C691" i="6"/>
  <c r="C690" i="6"/>
  <c r="C689" i="6"/>
  <c r="C688" i="6"/>
  <c r="C687" i="6"/>
  <c r="C686" i="6"/>
  <c r="C685" i="6"/>
  <c r="C684" i="6"/>
  <c r="C683" i="6"/>
  <c r="C682" i="6"/>
  <c r="C681" i="6"/>
  <c r="C680" i="6"/>
  <c r="C679" i="6"/>
  <c r="C678" i="6"/>
  <c r="C677" i="6"/>
  <c r="C676" i="6"/>
  <c r="C675" i="6"/>
  <c r="C674" i="6"/>
  <c r="C673" i="6"/>
  <c r="C672" i="6"/>
  <c r="C671" i="6"/>
  <c r="C670" i="6"/>
  <c r="C669" i="6"/>
  <c r="C668" i="6"/>
  <c r="C667" i="6"/>
  <c r="C666" i="6"/>
  <c r="C665" i="6"/>
  <c r="C664" i="6"/>
  <c r="C663" i="6"/>
  <c r="C662" i="6"/>
  <c r="C661" i="6"/>
  <c r="C660" i="6"/>
  <c r="C659" i="6"/>
  <c r="C658" i="6"/>
  <c r="C657" i="6"/>
  <c r="C656" i="6"/>
  <c r="C655" i="6"/>
  <c r="C654" i="6"/>
  <c r="C653" i="6"/>
  <c r="C652" i="6"/>
  <c r="C651" i="6"/>
  <c r="C650" i="6"/>
  <c r="C649" i="6"/>
  <c r="C648" i="6"/>
  <c r="C647" i="6"/>
  <c r="C646" i="6"/>
  <c r="C645" i="6"/>
  <c r="C644" i="6"/>
  <c r="C643" i="6"/>
  <c r="C642" i="6"/>
  <c r="C641" i="6"/>
  <c r="C640" i="6"/>
  <c r="C639" i="6"/>
  <c r="C638" i="6"/>
  <c r="C637" i="6"/>
  <c r="C636" i="6"/>
  <c r="C635" i="6"/>
  <c r="C634" i="6"/>
  <c r="C633" i="6"/>
  <c r="C632" i="6"/>
  <c r="C631" i="6"/>
  <c r="C630" i="6"/>
  <c r="C629" i="6"/>
  <c r="C628" i="6"/>
  <c r="C627" i="6"/>
  <c r="C626" i="6"/>
  <c r="C625" i="6"/>
  <c r="C624" i="6"/>
  <c r="C623" i="6"/>
  <c r="C622" i="6"/>
  <c r="C621" i="6"/>
  <c r="C620" i="6"/>
  <c r="C619" i="6"/>
  <c r="C618" i="6"/>
  <c r="C617" i="6"/>
  <c r="C616" i="6"/>
  <c r="C615" i="6"/>
  <c r="C614" i="6"/>
  <c r="C613" i="6"/>
  <c r="C612" i="6"/>
  <c r="C611" i="6"/>
  <c r="C610" i="6"/>
  <c r="C609" i="6"/>
  <c r="C608" i="6"/>
  <c r="C607" i="6"/>
  <c r="C606" i="6"/>
  <c r="C605" i="6"/>
  <c r="C604" i="6"/>
  <c r="C603" i="6"/>
  <c r="C602" i="6"/>
  <c r="C601" i="6"/>
  <c r="C600" i="6"/>
  <c r="C599" i="6"/>
  <c r="C598" i="6"/>
  <c r="C597" i="6"/>
  <c r="C596" i="6"/>
  <c r="C595" i="6"/>
  <c r="C594" i="6"/>
  <c r="C593" i="6"/>
  <c r="C592" i="6"/>
  <c r="C591" i="6"/>
  <c r="C590" i="6"/>
  <c r="C589" i="6"/>
  <c r="C588" i="6"/>
  <c r="C587" i="6"/>
  <c r="C586" i="6"/>
  <c r="C585" i="6"/>
  <c r="C584" i="6"/>
  <c r="C583" i="6"/>
  <c r="C582" i="6"/>
  <c r="C581" i="6"/>
  <c r="C580" i="6"/>
  <c r="C579" i="6"/>
  <c r="C578" i="6"/>
  <c r="C577" i="6"/>
  <c r="C576" i="6"/>
  <c r="C575" i="6"/>
  <c r="C574" i="6"/>
  <c r="C573" i="6"/>
  <c r="C572" i="6"/>
  <c r="C571" i="6"/>
  <c r="C570" i="6"/>
  <c r="C569" i="6"/>
  <c r="C568" i="6"/>
  <c r="C567" i="6"/>
  <c r="C566" i="6"/>
  <c r="C565" i="6"/>
  <c r="C564" i="6"/>
  <c r="C563" i="6"/>
  <c r="C562" i="6"/>
  <c r="C561" i="6"/>
  <c r="C560" i="6"/>
  <c r="C559" i="6"/>
  <c r="C558" i="6"/>
  <c r="C557" i="6"/>
  <c r="C556" i="6"/>
  <c r="C555" i="6"/>
  <c r="C554" i="6"/>
  <c r="C553" i="6"/>
  <c r="C552" i="6"/>
  <c r="C551" i="6"/>
  <c r="C550" i="6"/>
  <c r="C549" i="6"/>
  <c r="C548" i="6"/>
  <c r="C547" i="6"/>
  <c r="C546" i="6"/>
  <c r="C545" i="6"/>
  <c r="C544" i="6"/>
  <c r="C543" i="6"/>
  <c r="C542" i="6"/>
  <c r="C541" i="6"/>
  <c r="C540" i="6"/>
  <c r="C539" i="6"/>
  <c r="C538" i="6"/>
  <c r="C537" i="6"/>
  <c r="C536" i="6"/>
  <c r="C535" i="6"/>
  <c r="C534" i="6"/>
  <c r="C533" i="6"/>
  <c r="C532" i="6"/>
  <c r="C531" i="6"/>
  <c r="C530" i="6"/>
  <c r="C529" i="6"/>
  <c r="C528" i="6"/>
  <c r="C527" i="6"/>
  <c r="C526" i="6"/>
  <c r="C525" i="6"/>
  <c r="C524" i="6"/>
  <c r="C523" i="6"/>
  <c r="C522" i="6"/>
  <c r="C521" i="6"/>
  <c r="C520" i="6"/>
  <c r="C519" i="6"/>
  <c r="C518" i="6"/>
  <c r="C517" i="6"/>
  <c r="C516" i="6"/>
  <c r="C515" i="6"/>
  <c r="C514" i="6"/>
  <c r="C513" i="6"/>
  <c r="C512" i="6"/>
  <c r="C511" i="6"/>
  <c r="C510" i="6"/>
  <c r="C509" i="6"/>
  <c r="C508" i="6"/>
  <c r="C507" i="6"/>
  <c r="C506" i="6"/>
  <c r="C505" i="6"/>
  <c r="C504" i="6"/>
  <c r="C503" i="6"/>
  <c r="C502" i="6"/>
  <c r="C501" i="6"/>
  <c r="C500" i="6"/>
  <c r="C499" i="6"/>
  <c r="C498" i="6"/>
  <c r="C497" i="6"/>
  <c r="C496" i="6"/>
  <c r="C495" i="6"/>
  <c r="C494" i="6"/>
  <c r="C493" i="6"/>
  <c r="C492" i="6"/>
  <c r="C491" i="6"/>
  <c r="C490" i="6"/>
  <c r="C489" i="6"/>
  <c r="C488" i="6"/>
  <c r="C487" i="6"/>
  <c r="C486" i="6"/>
  <c r="C485" i="6"/>
  <c r="C484" i="6"/>
  <c r="C483" i="6"/>
  <c r="C482" i="6"/>
  <c r="C481" i="6"/>
  <c r="C480" i="6"/>
  <c r="C479" i="6"/>
  <c r="C478" i="6"/>
  <c r="C477" i="6"/>
  <c r="C476" i="6"/>
  <c r="C475" i="6"/>
  <c r="C474" i="6"/>
  <c r="C473" i="6"/>
  <c r="C472" i="6"/>
  <c r="C471" i="6"/>
  <c r="C470" i="6"/>
  <c r="C469" i="6"/>
  <c r="C468" i="6"/>
  <c r="C467" i="6"/>
  <c r="C466" i="6"/>
  <c r="C465" i="6"/>
  <c r="C464" i="6"/>
  <c r="C463" i="6"/>
  <c r="C462" i="6"/>
  <c r="C461" i="6"/>
  <c r="C460" i="6"/>
  <c r="C459" i="6"/>
  <c r="C458" i="6"/>
  <c r="C457" i="6"/>
  <c r="C456" i="6"/>
  <c r="C455" i="6"/>
  <c r="C454" i="6"/>
  <c r="C453" i="6"/>
  <c r="C452" i="6"/>
  <c r="C451" i="6"/>
  <c r="C450" i="6"/>
  <c r="C449" i="6"/>
  <c r="C448" i="6"/>
  <c r="C447" i="6"/>
  <c r="C446" i="6"/>
  <c r="C445" i="6"/>
  <c r="C444" i="6"/>
  <c r="C443" i="6"/>
  <c r="C442" i="6"/>
  <c r="C441" i="6"/>
  <c r="C440" i="6"/>
  <c r="C439" i="6"/>
  <c r="C438" i="6"/>
  <c r="C437" i="6"/>
  <c r="C436" i="6"/>
  <c r="C435" i="6"/>
  <c r="C434" i="6"/>
  <c r="C433" i="6"/>
  <c r="C432" i="6"/>
  <c r="C431" i="6"/>
  <c r="C430" i="6"/>
  <c r="C429" i="6"/>
  <c r="C428" i="6"/>
  <c r="C427" i="6"/>
  <c r="C426" i="6"/>
  <c r="C425" i="6"/>
  <c r="C424" i="6"/>
  <c r="C423" i="6"/>
  <c r="C422" i="6"/>
  <c r="C421" i="6"/>
  <c r="C420" i="6"/>
  <c r="C419" i="6"/>
  <c r="C418" i="6"/>
  <c r="C417" i="6"/>
  <c r="C416" i="6"/>
  <c r="C415" i="6"/>
  <c r="C414" i="6"/>
  <c r="C413" i="6"/>
  <c r="C412" i="6"/>
  <c r="C411" i="6"/>
  <c r="C410" i="6"/>
  <c r="C409" i="6"/>
  <c r="C408" i="6"/>
  <c r="C407" i="6"/>
  <c r="C406" i="6"/>
  <c r="C405" i="6"/>
  <c r="C404" i="6"/>
  <c r="C403" i="6"/>
  <c r="C402" i="6"/>
  <c r="C401" i="6"/>
  <c r="C400" i="6"/>
  <c r="C399" i="6"/>
  <c r="C398" i="6"/>
  <c r="C397" i="6"/>
  <c r="C396" i="6"/>
  <c r="C395" i="6"/>
  <c r="C394" i="6"/>
  <c r="C393" i="6"/>
  <c r="C392" i="6"/>
  <c r="C391" i="6"/>
  <c r="C390" i="6"/>
  <c r="C389" i="6"/>
  <c r="C388" i="6"/>
  <c r="C387" i="6"/>
  <c r="C386" i="6"/>
  <c r="C385" i="6"/>
  <c r="C384" i="6"/>
  <c r="C383" i="6"/>
  <c r="C382" i="6"/>
  <c r="C381" i="6"/>
  <c r="C380" i="6"/>
  <c r="C379" i="6"/>
  <c r="C378" i="6"/>
  <c r="C377" i="6"/>
  <c r="C376" i="6"/>
  <c r="C375" i="6"/>
  <c r="C374" i="6"/>
  <c r="C373" i="6"/>
  <c r="C372" i="6"/>
  <c r="C371" i="6"/>
  <c r="C370" i="6"/>
  <c r="C369" i="6"/>
  <c r="C368" i="6"/>
  <c r="C367" i="6"/>
  <c r="C366" i="6"/>
  <c r="C365" i="6"/>
  <c r="C364" i="6"/>
  <c r="C363" i="6"/>
  <c r="C362" i="6"/>
  <c r="C361" i="6"/>
  <c r="C360" i="6"/>
  <c r="C359" i="6"/>
  <c r="C358" i="6"/>
  <c r="C357" i="6"/>
  <c r="C356" i="6"/>
  <c r="C355" i="6"/>
  <c r="C354" i="6"/>
  <c r="C353" i="6"/>
  <c r="C352" i="6"/>
  <c r="C351" i="6"/>
  <c r="C350" i="6"/>
  <c r="C349" i="6"/>
  <c r="C348" i="6"/>
  <c r="C347" i="6"/>
  <c r="C346" i="6"/>
  <c r="C345" i="6"/>
  <c r="C344" i="6"/>
  <c r="C343" i="6"/>
  <c r="C342" i="6"/>
  <c r="C341" i="6"/>
  <c r="C340" i="6"/>
  <c r="C339" i="6"/>
  <c r="C338" i="6"/>
  <c r="C337" i="6"/>
  <c r="C336" i="6"/>
  <c r="C335" i="6"/>
  <c r="C334" i="6"/>
  <c r="C333" i="6"/>
  <c r="C332" i="6"/>
  <c r="C331" i="6"/>
  <c r="C330" i="6"/>
  <c r="C329" i="6"/>
  <c r="C328" i="6"/>
  <c r="C327" i="6"/>
  <c r="C326" i="6"/>
  <c r="C325" i="6"/>
  <c r="C324" i="6"/>
  <c r="C323" i="6"/>
  <c r="C322" i="6"/>
  <c r="C321" i="6"/>
  <c r="C320" i="6"/>
  <c r="C319" i="6"/>
  <c r="C318" i="6"/>
  <c r="C317" i="6"/>
  <c r="C316" i="6"/>
  <c r="C315" i="6"/>
  <c r="C314" i="6"/>
  <c r="C313" i="6"/>
  <c r="C312" i="6"/>
  <c r="C311" i="6"/>
  <c r="C310" i="6"/>
  <c r="C309" i="6"/>
  <c r="C308" i="6"/>
  <c r="C307" i="6"/>
  <c r="C306" i="6"/>
  <c r="C305" i="6"/>
  <c r="C304" i="6"/>
  <c r="C303" i="6"/>
  <c r="C302" i="6"/>
  <c r="C301" i="6"/>
  <c r="C300" i="6"/>
  <c r="C299" i="6"/>
  <c r="C298" i="6"/>
  <c r="C297" i="6"/>
  <c r="C296" i="6"/>
  <c r="C295" i="6"/>
  <c r="C294" i="6"/>
  <c r="C293" i="6"/>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F3" i="6"/>
  <c r="C3" i="6"/>
  <c r="F2" i="6"/>
  <c r="C2" i="6"/>
  <c r="C1205" i="5"/>
  <c r="C1204" i="5"/>
  <c r="C1203" i="5"/>
  <c r="C1202" i="5"/>
  <c r="C1201" i="5"/>
  <c r="C1200" i="5"/>
  <c r="C1199" i="5"/>
  <c r="C1198" i="5"/>
  <c r="C1197" i="5"/>
  <c r="C1196" i="5"/>
  <c r="C1195" i="5"/>
  <c r="C1194" i="5"/>
  <c r="C1193" i="5"/>
  <c r="C1192" i="5"/>
  <c r="C1191" i="5"/>
  <c r="C1190" i="5"/>
  <c r="C1189" i="5"/>
  <c r="C1188" i="5"/>
  <c r="C1187" i="5"/>
  <c r="C1186" i="5"/>
  <c r="C1185" i="5"/>
  <c r="C1184" i="5"/>
  <c r="C1183" i="5"/>
  <c r="C1182" i="5"/>
  <c r="C1181" i="5"/>
  <c r="C1180" i="5"/>
  <c r="C1179" i="5"/>
  <c r="C1178" i="5"/>
  <c r="C1177" i="5"/>
  <c r="C1176" i="5"/>
  <c r="C1175" i="5"/>
  <c r="C1174" i="5"/>
  <c r="C1173" i="5"/>
  <c r="C1172" i="5"/>
  <c r="C1171" i="5"/>
  <c r="C1170" i="5"/>
  <c r="C1169" i="5"/>
  <c r="C1168" i="5"/>
  <c r="C1167" i="5"/>
  <c r="C1166" i="5"/>
  <c r="C1165" i="5"/>
  <c r="C1164" i="5"/>
  <c r="C1163" i="5"/>
  <c r="C1162" i="5"/>
  <c r="C1161" i="5"/>
  <c r="C1160" i="5"/>
  <c r="C1159" i="5"/>
  <c r="C1158" i="5"/>
  <c r="C1157" i="5"/>
  <c r="C1156" i="5"/>
  <c r="C1155" i="5"/>
  <c r="C1154" i="5"/>
  <c r="C1153" i="5"/>
  <c r="C1152" i="5"/>
  <c r="C1151" i="5"/>
  <c r="C1150" i="5"/>
  <c r="C1149" i="5"/>
  <c r="C1148" i="5"/>
  <c r="C1147" i="5"/>
  <c r="C1146" i="5"/>
  <c r="C1145" i="5"/>
  <c r="C1144" i="5"/>
  <c r="C1143" i="5"/>
  <c r="C1142" i="5"/>
  <c r="C1141" i="5"/>
  <c r="C1140" i="5"/>
  <c r="C1139" i="5"/>
  <c r="C1138" i="5"/>
  <c r="C1137" i="5"/>
  <c r="C1136" i="5"/>
  <c r="C1135" i="5"/>
  <c r="C1134" i="5"/>
  <c r="C1133" i="5"/>
  <c r="C1132" i="5"/>
  <c r="C1131" i="5"/>
  <c r="C1130" i="5"/>
  <c r="C1129" i="5"/>
  <c r="C1128" i="5"/>
  <c r="C1127" i="5"/>
  <c r="C1126" i="5"/>
  <c r="C1125" i="5"/>
  <c r="C1124" i="5"/>
  <c r="C1123" i="5"/>
  <c r="C1122" i="5"/>
  <c r="C1121" i="5"/>
  <c r="C1120" i="5"/>
  <c r="C1119" i="5"/>
  <c r="C1118" i="5"/>
  <c r="C1117" i="5"/>
  <c r="C1116" i="5"/>
  <c r="C1115" i="5"/>
  <c r="C1114" i="5"/>
  <c r="C1113" i="5"/>
  <c r="C1112" i="5"/>
  <c r="C1111" i="5"/>
  <c r="C1110" i="5"/>
  <c r="C1109" i="5"/>
  <c r="C1108" i="5"/>
  <c r="C1107" i="5"/>
  <c r="C1106" i="5"/>
  <c r="C1105" i="5"/>
  <c r="C1104" i="5"/>
  <c r="C1103" i="5"/>
  <c r="C1102" i="5"/>
  <c r="C1101" i="5"/>
  <c r="C1100" i="5"/>
  <c r="C1099" i="5"/>
  <c r="C1098" i="5"/>
  <c r="C1097" i="5"/>
  <c r="C1096" i="5"/>
  <c r="C1095" i="5"/>
  <c r="C1094" i="5"/>
  <c r="C1093" i="5"/>
  <c r="C1092" i="5"/>
  <c r="C1091" i="5"/>
  <c r="C1090" i="5"/>
  <c r="C1089" i="5"/>
  <c r="C1088" i="5"/>
  <c r="C1087" i="5"/>
  <c r="C1086" i="5"/>
  <c r="C1085" i="5"/>
  <c r="C1084" i="5"/>
  <c r="C1083" i="5"/>
  <c r="C1082" i="5"/>
  <c r="C1081" i="5"/>
  <c r="C1080" i="5"/>
  <c r="C1079" i="5"/>
  <c r="C1078" i="5"/>
  <c r="C1077" i="5"/>
  <c r="C1076" i="5"/>
  <c r="C1075" i="5"/>
  <c r="C1074" i="5"/>
  <c r="C1073" i="5"/>
  <c r="C1072" i="5"/>
  <c r="C1071" i="5"/>
  <c r="C1070" i="5"/>
  <c r="C1069" i="5"/>
  <c r="C1068" i="5"/>
  <c r="C1067" i="5"/>
  <c r="C1066" i="5"/>
  <c r="C1065" i="5"/>
  <c r="C1064" i="5"/>
  <c r="C1063" i="5"/>
  <c r="C1062" i="5"/>
  <c r="C1061" i="5"/>
  <c r="C1060" i="5"/>
  <c r="C1059" i="5"/>
  <c r="C1058" i="5"/>
  <c r="C1057" i="5"/>
  <c r="C1056" i="5"/>
  <c r="C1055" i="5"/>
  <c r="C1054" i="5"/>
  <c r="C1053" i="5"/>
  <c r="C1052" i="5"/>
  <c r="C1051" i="5"/>
  <c r="C1050" i="5"/>
  <c r="C1049" i="5"/>
  <c r="C1048" i="5"/>
  <c r="C1047" i="5"/>
  <c r="C1046" i="5"/>
  <c r="C1045" i="5"/>
  <c r="C1044" i="5"/>
  <c r="C1043" i="5"/>
  <c r="C1042" i="5"/>
  <c r="C1041" i="5"/>
  <c r="C1040" i="5"/>
  <c r="C1039" i="5"/>
  <c r="C1038" i="5"/>
  <c r="C1037" i="5"/>
  <c r="C1036" i="5"/>
  <c r="C1035" i="5"/>
  <c r="C1034" i="5"/>
  <c r="C1033" i="5"/>
  <c r="C1032" i="5"/>
  <c r="C1031" i="5"/>
  <c r="C1030" i="5"/>
  <c r="C1029" i="5"/>
  <c r="C1028" i="5"/>
  <c r="C1027" i="5"/>
  <c r="C1026" i="5"/>
  <c r="C1025" i="5"/>
  <c r="C1024" i="5"/>
  <c r="C1023" i="5"/>
  <c r="C1022" i="5"/>
  <c r="C1021" i="5"/>
  <c r="C1020" i="5"/>
  <c r="C1019" i="5"/>
  <c r="C1018" i="5"/>
  <c r="C1017" i="5"/>
  <c r="C1016" i="5"/>
  <c r="C1015" i="5"/>
  <c r="C1014" i="5"/>
  <c r="C1013" i="5"/>
  <c r="C1012" i="5"/>
  <c r="C1011" i="5"/>
  <c r="C1010" i="5"/>
  <c r="C1009" i="5"/>
  <c r="C1008" i="5"/>
  <c r="C1007" i="5"/>
  <c r="C1006" i="5"/>
  <c r="C1005" i="5"/>
  <c r="C1004" i="5"/>
  <c r="C1003" i="5"/>
  <c r="C1002" i="5"/>
  <c r="C1001" i="5"/>
  <c r="C1000" i="5"/>
  <c r="C999" i="5"/>
  <c r="C998" i="5"/>
  <c r="C997" i="5"/>
  <c r="C996" i="5"/>
  <c r="C995" i="5"/>
  <c r="C994" i="5"/>
  <c r="C993" i="5"/>
  <c r="C992" i="5"/>
  <c r="C991" i="5"/>
  <c r="C990" i="5"/>
  <c r="C989" i="5"/>
  <c r="C988" i="5"/>
  <c r="C987" i="5"/>
  <c r="C986" i="5"/>
  <c r="C985" i="5"/>
  <c r="C984" i="5"/>
  <c r="C983" i="5"/>
  <c r="C982" i="5"/>
  <c r="C981" i="5"/>
  <c r="C980" i="5"/>
  <c r="C979" i="5"/>
  <c r="C978" i="5"/>
  <c r="C977" i="5"/>
  <c r="C976" i="5"/>
  <c r="C975" i="5"/>
  <c r="C974" i="5"/>
  <c r="C973" i="5"/>
  <c r="C972" i="5"/>
  <c r="C971" i="5"/>
  <c r="C970" i="5"/>
  <c r="C969" i="5"/>
  <c r="C968" i="5"/>
  <c r="C967" i="5"/>
  <c r="C966" i="5"/>
  <c r="C965" i="5"/>
  <c r="C964" i="5"/>
  <c r="C963" i="5"/>
  <c r="C962" i="5"/>
  <c r="C961" i="5"/>
  <c r="C960" i="5"/>
  <c r="C959" i="5"/>
  <c r="C958" i="5"/>
  <c r="C957" i="5"/>
  <c r="C956" i="5"/>
  <c r="C955" i="5"/>
  <c r="C954" i="5"/>
  <c r="C953" i="5"/>
  <c r="C952" i="5"/>
  <c r="C951" i="5"/>
  <c r="C950" i="5"/>
  <c r="C949" i="5"/>
  <c r="C948" i="5"/>
  <c r="C947" i="5"/>
  <c r="C946" i="5"/>
  <c r="C945" i="5"/>
  <c r="C944" i="5"/>
  <c r="C943" i="5"/>
  <c r="C942" i="5"/>
  <c r="C941" i="5"/>
  <c r="C940" i="5"/>
  <c r="C939" i="5"/>
  <c r="C938" i="5"/>
  <c r="C937" i="5"/>
  <c r="C936" i="5"/>
  <c r="C935" i="5"/>
  <c r="C934" i="5"/>
  <c r="C933" i="5"/>
  <c r="C932" i="5"/>
  <c r="C931" i="5"/>
  <c r="C930" i="5"/>
  <c r="C929" i="5"/>
  <c r="C928" i="5"/>
  <c r="C927" i="5"/>
  <c r="C926" i="5"/>
  <c r="C925" i="5"/>
  <c r="C924" i="5"/>
  <c r="C923" i="5"/>
  <c r="C922" i="5"/>
  <c r="C921" i="5"/>
  <c r="C920" i="5"/>
  <c r="C919" i="5"/>
  <c r="C918" i="5"/>
  <c r="C917" i="5"/>
  <c r="C916" i="5"/>
  <c r="C915" i="5"/>
  <c r="C914" i="5"/>
  <c r="C913" i="5"/>
  <c r="C912" i="5"/>
  <c r="C911" i="5"/>
  <c r="C910" i="5"/>
  <c r="C909" i="5"/>
  <c r="C908" i="5"/>
  <c r="C907" i="5"/>
  <c r="C906" i="5"/>
  <c r="C905" i="5"/>
  <c r="C904" i="5"/>
  <c r="C903" i="5"/>
  <c r="C902" i="5"/>
  <c r="C901" i="5"/>
  <c r="C900" i="5"/>
  <c r="C899" i="5"/>
  <c r="C898" i="5"/>
  <c r="C897" i="5"/>
  <c r="C896" i="5"/>
  <c r="C895" i="5"/>
  <c r="C894" i="5"/>
  <c r="C893" i="5"/>
  <c r="C892" i="5"/>
  <c r="C891" i="5"/>
  <c r="C890" i="5"/>
  <c r="C889" i="5"/>
  <c r="C888" i="5"/>
  <c r="C887" i="5"/>
  <c r="C886" i="5"/>
  <c r="C885" i="5"/>
  <c r="C884" i="5"/>
  <c r="C883" i="5"/>
  <c r="C882" i="5"/>
  <c r="C881" i="5"/>
  <c r="C880" i="5"/>
  <c r="C879" i="5"/>
  <c r="C878" i="5"/>
  <c r="C877" i="5"/>
  <c r="C876" i="5"/>
  <c r="C875" i="5"/>
  <c r="C874" i="5"/>
  <c r="C873" i="5"/>
  <c r="C872" i="5"/>
  <c r="C871" i="5"/>
  <c r="C870" i="5"/>
  <c r="C869" i="5"/>
  <c r="C868" i="5"/>
  <c r="C867" i="5"/>
  <c r="C866" i="5"/>
  <c r="C865" i="5"/>
  <c r="C864" i="5"/>
  <c r="C863" i="5"/>
  <c r="C862" i="5"/>
  <c r="C861" i="5"/>
  <c r="C860" i="5"/>
  <c r="C859" i="5"/>
  <c r="C858" i="5"/>
  <c r="C857" i="5"/>
  <c r="C856" i="5"/>
  <c r="C855" i="5"/>
  <c r="C854" i="5"/>
  <c r="C853" i="5"/>
  <c r="C852" i="5"/>
  <c r="C851" i="5"/>
  <c r="C850" i="5"/>
  <c r="C849" i="5"/>
  <c r="C848" i="5"/>
  <c r="C847" i="5"/>
  <c r="C846" i="5"/>
  <c r="C845" i="5"/>
  <c r="C844" i="5"/>
  <c r="C843" i="5"/>
  <c r="C842" i="5"/>
  <c r="C841" i="5"/>
  <c r="C840" i="5"/>
  <c r="C839" i="5"/>
  <c r="C838" i="5"/>
  <c r="C837" i="5"/>
  <c r="C836" i="5"/>
  <c r="C835" i="5"/>
  <c r="C834" i="5"/>
  <c r="C833" i="5"/>
  <c r="C832" i="5"/>
  <c r="C831" i="5"/>
  <c r="C830" i="5"/>
  <c r="C829" i="5"/>
  <c r="C828" i="5"/>
  <c r="C827" i="5"/>
  <c r="C826" i="5"/>
  <c r="C825" i="5"/>
  <c r="C824" i="5"/>
  <c r="C823" i="5"/>
  <c r="C822" i="5"/>
  <c r="C821" i="5"/>
  <c r="C820" i="5"/>
  <c r="C819" i="5"/>
  <c r="C818" i="5"/>
  <c r="C817" i="5"/>
  <c r="C816" i="5"/>
  <c r="C815" i="5"/>
  <c r="C814" i="5"/>
  <c r="C813" i="5"/>
  <c r="C812" i="5"/>
  <c r="C811" i="5"/>
  <c r="C810" i="5"/>
  <c r="C809" i="5"/>
  <c r="C808" i="5"/>
  <c r="C807" i="5"/>
  <c r="C806" i="5"/>
  <c r="C805" i="5"/>
  <c r="C804" i="5"/>
  <c r="C803" i="5"/>
  <c r="C802" i="5"/>
  <c r="C801" i="5"/>
  <c r="C800" i="5"/>
  <c r="C799" i="5"/>
  <c r="C798" i="5"/>
  <c r="C797" i="5"/>
  <c r="C796" i="5"/>
  <c r="C795" i="5"/>
  <c r="C794" i="5"/>
  <c r="C793" i="5"/>
  <c r="C792" i="5"/>
  <c r="C791" i="5"/>
  <c r="C790" i="5"/>
  <c r="C789" i="5"/>
  <c r="C788" i="5"/>
  <c r="C787" i="5"/>
  <c r="C786" i="5"/>
  <c r="C785" i="5"/>
  <c r="C784" i="5"/>
  <c r="C783" i="5"/>
  <c r="C782" i="5"/>
  <c r="C781" i="5"/>
  <c r="C780" i="5"/>
  <c r="C779" i="5"/>
  <c r="C778" i="5"/>
  <c r="C777" i="5"/>
  <c r="C776" i="5"/>
  <c r="C775" i="5"/>
  <c r="C774" i="5"/>
  <c r="C773" i="5"/>
  <c r="C772" i="5"/>
  <c r="C771" i="5"/>
  <c r="C770" i="5"/>
  <c r="C769" i="5"/>
  <c r="C768" i="5"/>
  <c r="C767" i="5"/>
  <c r="C766" i="5"/>
  <c r="C765" i="5"/>
  <c r="C764" i="5"/>
  <c r="C763" i="5"/>
  <c r="C762" i="5"/>
  <c r="C761" i="5"/>
  <c r="C760" i="5"/>
  <c r="C759" i="5"/>
  <c r="C758" i="5"/>
  <c r="C757" i="5"/>
  <c r="C756" i="5"/>
  <c r="C755" i="5"/>
  <c r="C754" i="5"/>
  <c r="C753" i="5"/>
  <c r="C752" i="5"/>
  <c r="C751" i="5"/>
  <c r="C750" i="5"/>
  <c r="C749" i="5"/>
  <c r="C748" i="5"/>
  <c r="C747" i="5"/>
  <c r="C746" i="5"/>
  <c r="C745" i="5"/>
  <c r="C744" i="5"/>
  <c r="C743" i="5"/>
  <c r="C742" i="5"/>
  <c r="C741" i="5"/>
  <c r="C740" i="5"/>
  <c r="C739" i="5"/>
  <c r="C738" i="5"/>
  <c r="C737" i="5"/>
  <c r="C736" i="5"/>
  <c r="C735" i="5"/>
  <c r="C734" i="5"/>
  <c r="C733" i="5"/>
  <c r="C732" i="5"/>
  <c r="C731" i="5"/>
  <c r="C730" i="5"/>
  <c r="C729" i="5"/>
  <c r="C728" i="5"/>
  <c r="C727" i="5"/>
  <c r="C726" i="5"/>
  <c r="C725" i="5"/>
  <c r="C724" i="5"/>
  <c r="C723" i="5"/>
  <c r="C722" i="5"/>
  <c r="C721" i="5"/>
  <c r="C720" i="5"/>
  <c r="C719" i="5"/>
  <c r="C718" i="5"/>
  <c r="C717" i="5"/>
  <c r="C716" i="5"/>
  <c r="C715" i="5"/>
  <c r="C714" i="5"/>
  <c r="C713" i="5"/>
  <c r="C712" i="5"/>
  <c r="C711" i="5"/>
  <c r="C710" i="5"/>
  <c r="C709" i="5"/>
  <c r="C708" i="5"/>
  <c r="C707" i="5"/>
  <c r="C706" i="5"/>
  <c r="C705" i="5"/>
  <c r="C704" i="5"/>
  <c r="C703" i="5"/>
  <c r="C702" i="5"/>
  <c r="C701" i="5"/>
  <c r="C700" i="5"/>
  <c r="C699" i="5"/>
  <c r="C698" i="5"/>
  <c r="C697" i="5"/>
  <c r="C696" i="5"/>
  <c r="C695" i="5"/>
  <c r="C694" i="5"/>
  <c r="C693" i="5"/>
  <c r="C692" i="5"/>
  <c r="C691" i="5"/>
  <c r="C690" i="5"/>
  <c r="C689" i="5"/>
  <c r="C688" i="5"/>
  <c r="C687" i="5"/>
  <c r="C686" i="5"/>
  <c r="C685" i="5"/>
  <c r="C684" i="5"/>
  <c r="C683" i="5"/>
  <c r="C682" i="5"/>
  <c r="C681" i="5"/>
  <c r="C680" i="5"/>
  <c r="C679" i="5"/>
  <c r="C678" i="5"/>
  <c r="C677" i="5"/>
  <c r="C676" i="5"/>
  <c r="C675" i="5"/>
  <c r="C674" i="5"/>
  <c r="C673" i="5"/>
  <c r="C672" i="5"/>
  <c r="C671" i="5"/>
  <c r="C670" i="5"/>
  <c r="C669" i="5"/>
  <c r="C668" i="5"/>
  <c r="C667" i="5"/>
  <c r="C666" i="5"/>
  <c r="C665" i="5"/>
  <c r="C664" i="5"/>
  <c r="C663" i="5"/>
  <c r="C662" i="5"/>
  <c r="C661" i="5"/>
  <c r="C660" i="5"/>
  <c r="C659" i="5"/>
  <c r="C658" i="5"/>
  <c r="C657" i="5"/>
  <c r="C656" i="5"/>
  <c r="C655" i="5"/>
  <c r="C654" i="5"/>
  <c r="C653" i="5"/>
  <c r="C652" i="5"/>
  <c r="C651" i="5"/>
  <c r="C650" i="5"/>
  <c r="C649" i="5"/>
  <c r="C648" i="5"/>
  <c r="C647" i="5"/>
  <c r="C646" i="5"/>
  <c r="C645" i="5"/>
  <c r="C644" i="5"/>
  <c r="C643" i="5"/>
  <c r="C642" i="5"/>
  <c r="C641" i="5"/>
  <c r="C640" i="5"/>
  <c r="C639" i="5"/>
  <c r="C638" i="5"/>
  <c r="C637" i="5"/>
  <c r="C636" i="5"/>
  <c r="C635" i="5"/>
  <c r="C634" i="5"/>
  <c r="C633" i="5"/>
  <c r="C632" i="5"/>
  <c r="C631" i="5"/>
  <c r="C630" i="5"/>
  <c r="C629" i="5"/>
  <c r="C628" i="5"/>
  <c r="C627" i="5"/>
  <c r="C626" i="5"/>
  <c r="C625" i="5"/>
  <c r="C624" i="5"/>
  <c r="C623" i="5"/>
  <c r="C622" i="5"/>
  <c r="C621" i="5"/>
  <c r="C620" i="5"/>
  <c r="C619" i="5"/>
  <c r="C618" i="5"/>
  <c r="C617" i="5"/>
  <c r="C616" i="5"/>
  <c r="C615" i="5"/>
  <c r="C614" i="5"/>
  <c r="C613" i="5"/>
  <c r="C612" i="5"/>
  <c r="C611" i="5"/>
  <c r="C610" i="5"/>
  <c r="C609" i="5"/>
  <c r="C608" i="5"/>
  <c r="C607" i="5"/>
  <c r="C606" i="5"/>
  <c r="C605" i="5"/>
  <c r="C604" i="5"/>
  <c r="C603" i="5"/>
  <c r="C602" i="5"/>
  <c r="C601" i="5"/>
  <c r="C600" i="5"/>
  <c r="C599" i="5"/>
  <c r="C598" i="5"/>
  <c r="C597" i="5"/>
  <c r="C596" i="5"/>
  <c r="C595" i="5"/>
  <c r="C594" i="5"/>
  <c r="C593" i="5"/>
  <c r="C592" i="5"/>
  <c r="C591" i="5"/>
  <c r="C590" i="5"/>
  <c r="C589" i="5"/>
  <c r="C588" i="5"/>
  <c r="C587" i="5"/>
  <c r="C586" i="5"/>
  <c r="C585" i="5"/>
  <c r="C584" i="5"/>
  <c r="C583" i="5"/>
  <c r="C582" i="5"/>
  <c r="C581" i="5"/>
  <c r="C580" i="5"/>
  <c r="C579" i="5"/>
  <c r="C578" i="5"/>
  <c r="C577" i="5"/>
  <c r="C576" i="5"/>
  <c r="C575" i="5"/>
  <c r="C574" i="5"/>
  <c r="C573" i="5"/>
  <c r="C572" i="5"/>
  <c r="C571" i="5"/>
  <c r="C570" i="5"/>
  <c r="C569" i="5"/>
  <c r="C568" i="5"/>
  <c r="C567" i="5"/>
  <c r="C566" i="5"/>
  <c r="C565" i="5"/>
  <c r="C564" i="5"/>
  <c r="C563" i="5"/>
  <c r="C562" i="5"/>
  <c r="C561" i="5"/>
  <c r="C560" i="5"/>
  <c r="C559" i="5"/>
  <c r="C558" i="5"/>
  <c r="C557" i="5"/>
  <c r="C556" i="5"/>
  <c r="C555" i="5"/>
  <c r="C554" i="5"/>
  <c r="C553" i="5"/>
  <c r="C552" i="5"/>
  <c r="C551" i="5"/>
  <c r="C550" i="5"/>
  <c r="C549" i="5"/>
  <c r="C548" i="5"/>
  <c r="C547" i="5"/>
  <c r="C546" i="5"/>
  <c r="C545" i="5"/>
  <c r="C544" i="5"/>
  <c r="C543" i="5"/>
  <c r="C542" i="5"/>
  <c r="C541" i="5"/>
  <c r="C540" i="5"/>
  <c r="C539" i="5"/>
  <c r="C538" i="5"/>
  <c r="C537" i="5"/>
  <c r="C536" i="5"/>
  <c r="C535" i="5"/>
  <c r="C534" i="5"/>
  <c r="C533" i="5"/>
  <c r="C532" i="5"/>
  <c r="C531" i="5"/>
  <c r="C530" i="5"/>
  <c r="C529" i="5"/>
  <c r="C528" i="5"/>
  <c r="C527" i="5"/>
  <c r="C526" i="5"/>
  <c r="C525" i="5"/>
  <c r="C524"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C433" i="5"/>
  <c r="C432" i="5"/>
  <c r="C431" i="5"/>
  <c r="C430" i="5"/>
  <c r="C429" i="5"/>
  <c r="C428" i="5"/>
  <c r="C427" i="5"/>
  <c r="C426" i="5"/>
  <c r="C425" i="5"/>
  <c r="C424" i="5"/>
  <c r="C423" i="5"/>
  <c r="C422" i="5"/>
  <c r="C421" i="5"/>
  <c r="C420" i="5"/>
  <c r="C419" i="5"/>
  <c r="C418" i="5"/>
  <c r="C417" i="5"/>
  <c r="C416" i="5"/>
  <c r="C415" i="5"/>
  <c r="C414" i="5"/>
  <c r="C413" i="5"/>
  <c r="C412" i="5"/>
  <c r="C411" i="5"/>
  <c r="C410" i="5"/>
  <c r="C409" i="5"/>
  <c r="C408" i="5"/>
  <c r="C407" i="5"/>
  <c r="C406" i="5"/>
  <c r="C405" i="5"/>
  <c r="C404" i="5"/>
  <c r="C403" i="5"/>
  <c r="C402" i="5"/>
  <c r="C401" i="5"/>
  <c r="C400" i="5"/>
  <c r="C399" i="5"/>
  <c r="C398" i="5"/>
  <c r="C397" i="5"/>
  <c r="C396" i="5"/>
  <c r="C395" i="5"/>
  <c r="C394" i="5"/>
  <c r="C393" i="5"/>
  <c r="C392" i="5"/>
  <c r="C391" i="5"/>
  <c r="C390" i="5"/>
  <c r="C389" i="5"/>
  <c r="C388" i="5"/>
  <c r="C387" i="5"/>
  <c r="C386" i="5"/>
  <c r="C385" i="5"/>
  <c r="C384" i="5"/>
  <c r="C383" i="5"/>
  <c r="C382" i="5"/>
  <c r="C381" i="5"/>
  <c r="C380" i="5"/>
  <c r="C379" i="5"/>
  <c r="C378" i="5"/>
  <c r="C377" i="5"/>
  <c r="C376" i="5"/>
  <c r="C375" i="5"/>
  <c r="C374" i="5"/>
  <c r="C373" i="5"/>
  <c r="C372" i="5"/>
  <c r="C371" i="5"/>
  <c r="C370" i="5"/>
  <c r="C369" i="5"/>
  <c r="C368" i="5"/>
  <c r="C367" i="5"/>
  <c r="C366" i="5"/>
  <c r="C365" i="5"/>
  <c r="C364" i="5"/>
  <c r="C363" i="5"/>
  <c r="C362" i="5"/>
  <c r="C361" i="5"/>
  <c r="C360" i="5"/>
  <c r="C359" i="5"/>
  <c r="C358" i="5"/>
  <c r="C357" i="5"/>
  <c r="C356" i="5"/>
  <c r="C355" i="5"/>
  <c r="C354" i="5"/>
  <c r="C353" i="5"/>
  <c r="C35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F3" i="5"/>
  <c r="C3" i="5"/>
  <c r="F2" i="5"/>
  <c r="C2" i="5"/>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F3" i="4"/>
  <c r="C3" i="4"/>
  <c r="F2" i="4"/>
  <c r="C2" i="4"/>
  <c r="H1206" i="2"/>
  <c r="F1206" i="2"/>
  <c r="D1206" i="2"/>
  <c r="B1206" i="2"/>
  <c r="A1206" i="2"/>
  <c r="H1205" i="2"/>
  <c r="I1205" i="2" s="1"/>
  <c r="F1205" i="2"/>
  <c r="G1205" i="2" s="1"/>
  <c r="D1205" i="2"/>
  <c r="E1205" i="2" s="1"/>
  <c r="B1205" i="2"/>
  <c r="C1205" i="2" s="1"/>
  <c r="A1205" i="2"/>
  <c r="H1204" i="2"/>
  <c r="I1204" i="2" s="1"/>
  <c r="F1204" i="2"/>
  <c r="G1204" i="2" s="1"/>
  <c r="D1204" i="2"/>
  <c r="E1204" i="2" s="1"/>
  <c r="B1204" i="2"/>
  <c r="C1204" i="2" s="1"/>
  <c r="A1204" i="2"/>
  <c r="H1203" i="2"/>
  <c r="I1203" i="2" s="1"/>
  <c r="F1203" i="2"/>
  <c r="G1203" i="2" s="1"/>
  <c r="D1203" i="2"/>
  <c r="E1203" i="2" s="1"/>
  <c r="B1203" i="2"/>
  <c r="C1203" i="2" s="1"/>
  <c r="A1203" i="2"/>
  <c r="H1202" i="2"/>
  <c r="I1202" i="2" s="1"/>
  <c r="F1202" i="2"/>
  <c r="G1202" i="2" s="1"/>
  <c r="D1202" i="2"/>
  <c r="E1202" i="2" s="1"/>
  <c r="B1202" i="2"/>
  <c r="C1202" i="2" s="1"/>
  <c r="A1202" i="2"/>
  <c r="H1201" i="2"/>
  <c r="I1201" i="2" s="1"/>
  <c r="F1201" i="2"/>
  <c r="G1201" i="2" s="1"/>
  <c r="D1201" i="2"/>
  <c r="E1201" i="2" s="1"/>
  <c r="B1201" i="2"/>
  <c r="C1201" i="2" s="1"/>
  <c r="A1201" i="2"/>
  <c r="H1200" i="2"/>
  <c r="I1200" i="2" s="1"/>
  <c r="F1200" i="2"/>
  <c r="G1200" i="2" s="1"/>
  <c r="D1200" i="2"/>
  <c r="E1200" i="2" s="1"/>
  <c r="B1200" i="2"/>
  <c r="C1200" i="2" s="1"/>
  <c r="A1200" i="2"/>
  <c r="H1199" i="2"/>
  <c r="I1199" i="2" s="1"/>
  <c r="F1199" i="2"/>
  <c r="G1199" i="2" s="1"/>
  <c r="D1199" i="2"/>
  <c r="E1199" i="2" s="1"/>
  <c r="B1199" i="2"/>
  <c r="C1199" i="2" s="1"/>
  <c r="A1199" i="2"/>
  <c r="H1198" i="2"/>
  <c r="I1198" i="2" s="1"/>
  <c r="F1198" i="2"/>
  <c r="G1198" i="2" s="1"/>
  <c r="D1198" i="2"/>
  <c r="E1198" i="2" s="1"/>
  <c r="B1198" i="2"/>
  <c r="C1198" i="2" s="1"/>
  <c r="A1198" i="2"/>
  <c r="H1197" i="2"/>
  <c r="I1197" i="2" s="1"/>
  <c r="F1197" i="2"/>
  <c r="G1197" i="2" s="1"/>
  <c r="D1197" i="2"/>
  <c r="E1197" i="2" s="1"/>
  <c r="B1197" i="2"/>
  <c r="C1197" i="2" s="1"/>
  <c r="A1197" i="2"/>
  <c r="H1196" i="2"/>
  <c r="I1196" i="2" s="1"/>
  <c r="F1196" i="2"/>
  <c r="G1196" i="2" s="1"/>
  <c r="D1196" i="2"/>
  <c r="E1196" i="2" s="1"/>
  <c r="B1196" i="2"/>
  <c r="C1196" i="2" s="1"/>
  <c r="A1196" i="2"/>
  <c r="H1195" i="2"/>
  <c r="I1195" i="2" s="1"/>
  <c r="F1195" i="2"/>
  <c r="G1195" i="2" s="1"/>
  <c r="D1195" i="2"/>
  <c r="E1195" i="2" s="1"/>
  <c r="B1195" i="2"/>
  <c r="C1195" i="2" s="1"/>
  <c r="A1195" i="2"/>
  <c r="H1194" i="2"/>
  <c r="I1194" i="2" s="1"/>
  <c r="F1194" i="2"/>
  <c r="G1194" i="2" s="1"/>
  <c r="D1194" i="2"/>
  <c r="E1194" i="2" s="1"/>
  <c r="B1194" i="2"/>
  <c r="C1194" i="2" s="1"/>
  <c r="A1194" i="2"/>
  <c r="H1193" i="2"/>
  <c r="I1193" i="2" s="1"/>
  <c r="F1193" i="2"/>
  <c r="G1193" i="2" s="1"/>
  <c r="D1193" i="2"/>
  <c r="E1193" i="2" s="1"/>
  <c r="B1193" i="2"/>
  <c r="C1193" i="2" s="1"/>
  <c r="A1193" i="2"/>
  <c r="H1192" i="2"/>
  <c r="I1192" i="2" s="1"/>
  <c r="F1192" i="2"/>
  <c r="G1192" i="2" s="1"/>
  <c r="D1192" i="2"/>
  <c r="E1192" i="2" s="1"/>
  <c r="B1192" i="2"/>
  <c r="C1192" i="2" s="1"/>
  <c r="A1192" i="2"/>
  <c r="H1191" i="2"/>
  <c r="I1191" i="2" s="1"/>
  <c r="F1191" i="2"/>
  <c r="G1191" i="2" s="1"/>
  <c r="D1191" i="2"/>
  <c r="E1191" i="2" s="1"/>
  <c r="B1191" i="2"/>
  <c r="C1191" i="2" s="1"/>
  <c r="A1191" i="2"/>
  <c r="H1190" i="2"/>
  <c r="I1190" i="2" s="1"/>
  <c r="F1190" i="2"/>
  <c r="G1190" i="2" s="1"/>
  <c r="D1190" i="2"/>
  <c r="E1190" i="2" s="1"/>
  <c r="B1190" i="2"/>
  <c r="C1190" i="2" s="1"/>
  <c r="A1190" i="2"/>
  <c r="H1189" i="2"/>
  <c r="I1189" i="2" s="1"/>
  <c r="F1189" i="2"/>
  <c r="G1189" i="2" s="1"/>
  <c r="D1189" i="2"/>
  <c r="E1189" i="2" s="1"/>
  <c r="B1189" i="2"/>
  <c r="C1189" i="2" s="1"/>
  <c r="A1189" i="2"/>
  <c r="H1188" i="2"/>
  <c r="I1188" i="2" s="1"/>
  <c r="F1188" i="2"/>
  <c r="G1188" i="2" s="1"/>
  <c r="D1188" i="2"/>
  <c r="E1188" i="2" s="1"/>
  <c r="B1188" i="2"/>
  <c r="C1188" i="2" s="1"/>
  <c r="A1188" i="2"/>
  <c r="H1187" i="2"/>
  <c r="I1187" i="2" s="1"/>
  <c r="F1187" i="2"/>
  <c r="G1187" i="2" s="1"/>
  <c r="D1187" i="2"/>
  <c r="E1187" i="2" s="1"/>
  <c r="B1187" i="2"/>
  <c r="C1187" i="2" s="1"/>
  <c r="A1187" i="2"/>
  <c r="H1186" i="2"/>
  <c r="I1186" i="2" s="1"/>
  <c r="F1186" i="2"/>
  <c r="G1186" i="2" s="1"/>
  <c r="D1186" i="2"/>
  <c r="E1186" i="2" s="1"/>
  <c r="B1186" i="2"/>
  <c r="C1186" i="2" s="1"/>
  <c r="A1186" i="2"/>
  <c r="H1185" i="2"/>
  <c r="I1185" i="2" s="1"/>
  <c r="F1185" i="2"/>
  <c r="G1185" i="2" s="1"/>
  <c r="D1185" i="2"/>
  <c r="E1185" i="2" s="1"/>
  <c r="B1185" i="2"/>
  <c r="C1185" i="2" s="1"/>
  <c r="A1185" i="2"/>
  <c r="H1184" i="2"/>
  <c r="I1184" i="2" s="1"/>
  <c r="F1184" i="2"/>
  <c r="G1184" i="2" s="1"/>
  <c r="D1184" i="2"/>
  <c r="E1184" i="2" s="1"/>
  <c r="B1184" i="2"/>
  <c r="C1184" i="2" s="1"/>
  <c r="A1184" i="2"/>
  <c r="H1183" i="2"/>
  <c r="I1183" i="2" s="1"/>
  <c r="F1183" i="2"/>
  <c r="G1183" i="2" s="1"/>
  <c r="D1183" i="2"/>
  <c r="E1183" i="2" s="1"/>
  <c r="B1183" i="2"/>
  <c r="C1183" i="2" s="1"/>
  <c r="A1183" i="2"/>
  <c r="H1182" i="2"/>
  <c r="I1182" i="2" s="1"/>
  <c r="F1182" i="2"/>
  <c r="G1182" i="2" s="1"/>
  <c r="D1182" i="2"/>
  <c r="E1182" i="2" s="1"/>
  <c r="B1182" i="2"/>
  <c r="C1182" i="2" s="1"/>
  <c r="A1182" i="2"/>
  <c r="H1181" i="2"/>
  <c r="I1181" i="2" s="1"/>
  <c r="F1181" i="2"/>
  <c r="G1181" i="2" s="1"/>
  <c r="D1181" i="2"/>
  <c r="E1181" i="2" s="1"/>
  <c r="B1181" i="2"/>
  <c r="C1181" i="2" s="1"/>
  <c r="A1181" i="2"/>
  <c r="H1180" i="2"/>
  <c r="I1180" i="2" s="1"/>
  <c r="F1180" i="2"/>
  <c r="G1180" i="2" s="1"/>
  <c r="D1180" i="2"/>
  <c r="E1180" i="2" s="1"/>
  <c r="B1180" i="2"/>
  <c r="C1180" i="2" s="1"/>
  <c r="A1180" i="2"/>
  <c r="H1179" i="2"/>
  <c r="I1179" i="2" s="1"/>
  <c r="F1179" i="2"/>
  <c r="G1179" i="2" s="1"/>
  <c r="D1179" i="2"/>
  <c r="E1179" i="2" s="1"/>
  <c r="B1179" i="2"/>
  <c r="C1179" i="2" s="1"/>
  <c r="A1179" i="2"/>
  <c r="H1178" i="2"/>
  <c r="I1178" i="2" s="1"/>
  <c r="F1178" i="2"/>
  <c r="G1178" i="2" s="1"/>
  <c r="D1178" i="2"/>
  <c r="E1178" i="2" s="1"/>
  <c r="B1178" i="2"/>
  <c r="C1178" i="2" s="1"/>
  <c r="A1178" i="2"/>
  <c r="H1177" i="2"/>
  <c r="I1177" i="2" s="1"/>
  <c r="F1177" i="2"/>
  <c r="G1177" i="2" s="1"/>
  <c r="D1177" i="2"/>
  <c r="E1177" i="2" s="1"/>
  <c r="B1177" i="2"/>
  <c r="C1177" i="2" s="1"/>
  <c r="A1177" i="2"/>
  <c r="H1176" i="2"/>
  <c r="I1176" i="2" s="1"/>
  <c r="F1176" i="2"/>
  <c r="G1176" i="2" s="1"/>
  <c r="D1176" i="2"/>
  <c r="E1176" i="2" s="1"/>
  <c r="B1176" i="2"/>
  <c r="C1176" i="2" s="1"/>
  <c r="A1176" i="2"/>
  <c r="H1175" i="2"/>
  <c r="I1175" i="2" s="1"/>
  <c r="F1175" i="2"/>
  <c r="G1175" i="2" s="1"/>
  <c r="D1175" i="2"/>
  <c r="E1175" i="2" s="1"/>
  <c r="B1175" i="2"/>
  <c r="C1175" i="2" s="1"/>
  <c r="A1175" i="2"/>
  <c r="H1174" i="2"/>
  <c r="I1174" i="2" s="1"/>
  <c r="F1174" i="2"/>
  <c r="G1174" i="2" s="1"/>
  <c r="D1174" i="2"/>
  <c r="E1174" i="2" s="1"/>
  <c r="B1174" i="2"/>
  <c r="C1174" i="2" s="1"/>
  <c r="A1174" i="2"/>
  <c r="H1173" i="2"/>
  <c r="I1173" i="2" s="1"/>
  <c r="F1173" i="2"/>
  <c r="G1173" i="2" s="1"/>
  <c r="D1173" i="2"/>
  <c r="E1173" i="2" s="1"/>
  <c r="B1173" i="2"/>
  <c r="C1173" i="2" s="1"/>
  <c r="A1173" i="2"/>
  <c r="H1172" i="2"/>
  <c r="I1172" i="2" s="1"/>
  <c r="F1172" i="2"/>
  <c r="G1172" i="2" s="1"/>
  <c r="D1172" i="2"/>
  <c r="E1172" i="2" s="1"/>
  <c r="B1172" i="2"/>
  <c r="C1172" i="2" s="1"/>
  <c r="A1172" i="2"/>
  <c r="H1171" i="2"/>
  <c r="I1171" i="2" s="1"/>
  <c r="F1171" i="2"/>
  <c r="G1171" i="2" s="1"/>
  <c r="D1171" i="2"/>
  <c r="E1171" i="2" s="1"/>
  <c r="B1171" i="2"/>
  <c r="C1171" i="2" s="1"/>
  <c r="A1171" i="2"/>
  <c r="H1170" i="2"/>
  <c r="I1170" i="2" s="1"/>
  <c r="F1170" i="2"/>
  <c r="G1170" i="2" s="1"/>
  <c r="D1170" i="2"/>
  <c r="E1170" i="2" s="1"/>
  <c r="B1170" i="2"/>
  <c r="C1170" i="2" s="1"/>
  <c r="A1170" i="2"/>
  <c r="H1169" i="2"/>
  <c r="I1169" i="2" s="1"/>
  <c r="F1169" i="2"/>
  <c r="G1169" i="2" s="1"/>
  <c r="D1169" i="2"/>
  <c r="E1169" i="2" s="1"/>
  <c r="B1169" i="2"/>
  <c r="C1169" i="2" s="1"/>
  <c r="A1169" i="2"/>
  <c r="H1168" i="2"/>
  <c r="I1168" i="2" s="1"/>
  <c r="F1168" i="2"/>
  <c r="G1168" i="2" s="1"/>
  <c r="D1168" i="2"/>
  <c r="E1168" i="2" s="1"/>
  <c r="B1168" i="2"/>
  <c r="C1168" i="2" s="1"/>
  <c r="A1168" i="2"/>
  <c r="H1167" i="2"/>
  <c r="I1167" i="2" s="1"/>
  <c r="F1167" i="2"/>
  <c r="G1167" i="2" s="1"/>
  <c r="D1167" i="2"/>
  <c r="E1167" i="2" s="1"/>
  <c r="B1167" i="2"/>
  <c r="C1167" i="2" s="1"/>
  <c r="A1167" i="2"/>
  <c r="H1166" i="2"/>
  <c r="I1166" i="2" s="1"/>
  <c r="F1166" i="2"/>
  <c r="G1166" i="2" s="1"/>
  <c r="D1166" i="2"/>
  <c r="E1166" i="2" s="1"/>
  <c r="B1166" i="2"/>
  <c r="C1166" i="2" s="1"/>
  <c r="A1166" i="2"/>
  <c r="H1165" i="2"/>
  <c r="I1165" i="2" s="1"/>
  <c r="F1165" i="2"/>
  <c r="G1165" i="2" s="1"/>
  <c r="D1165" i="2"/>
  <c r="E1165" i="2" s="1"/>
  <c r="B1165" i="2"/>
  <c r="C1165" i="2" s="1"/>
  <c r="A1165" i="2"/>
  <c r="H1164" i="2"/>
  <c r="I1164" i="2" s="1"/>
  <c r="F1164" i="2"/>
  <c r="G1164" i="2" s="1"/>
  <c r="D1164" i="2"/>
  <c r="E1164" i="2" s="1"/>
  <c r="B1164" i="2"/>
  <c r="C1164" i="2" s="1"/>
  <c r="A1164" i="2"/>
  <c r="H1163" i="2"/>
  <c r="I1163" i="2" s="1"/>
  <c r="F1163" i="2"/>
  <c r="G1163" i="2" s="1"/>
  <c r="D1163" i="2"/>
  <c r="E1163" i="2" s="1"/>
  <c r="B1163" i="2"/>
  <c r="C1163" i="2" s="1"/>
  <c r="A1163" i="2"/>
  <c r="H1162" i="2"/>
  <c r="I1162" i="2" s="1"/>
  <c r="F1162" i="2"/>
  <c r="G1162" i="2" s="1"/>
  <c r="D1162" i="2"/>
  <c r="E1162" i="2" s="1"/>
  <c r="B1162" i="2"/>
  <c r="C1162" i="2" s="1"/>
  <c r="A1162" i="2"/>
  <c r="H1161" i="2"/>
  <c r="I1161" i="2" s="1"/>
  <c r="F1161" i="2"/>
  <c r="G1161" i="2" s="1"/>
  <c r="D1161" i="2"/>
  <c r="E1161" i="2" s="1"/>
  <c r="B1161" i="2"/>
  <c r="C1161" i="2" s="1"/>
  <c r="A1161" i="2"/>
  <c r="H1160" i="2"/>
  <c r="I1160" i="2" s="1"/>
  <c r="F1160" i="2"/>
  <c r="G1160" i="2" s="1"/>
  <c r="D1160" i="2"/>
  <c r="E1160" i="2" s="1"/>
  <c r="B1160" i="2"/>
  <c r="C1160" i="2" s="1"/>
  <c r="A1160" i="2"/>
  <c r="H1159" i="2"/>
  <c r="I1159" i="2" s="1"/>
  <c r="F1159" i="2"/>
  <c r="G1159" i="2" s="1"/>
  <c r="D1159" i="2"/>
  <c r="E1159" i="2" s="1"/>
  <c r="B1159" i="2"/>
  <c r="C1159" i="2" s="1"/>
  <c r="A1159" i="2"/>
  <c r="H1158" i="2"/>
  <c r="I1158" i="2" s="1"/>
  <c r="F1158" i="2"/>
  <c r="G1158" i="2" s="1"/>
  <c r="D1158" i="2"/>
  <c r="E1158" i="2" s="1"/>
  <c r="B1158" i="2"/>
  <c r="C1158" i="2" s="1"/>
  <c r="A1158" i="2"/>
  <c r="H1157" i="2"/>
  <c r="I1157" i="2" s="1"/>
  <c r="F1157" i="2"/>
  <c r="G1157" i="2" s="1"/>
  <c r="D1157" i="2"/>
  <c r="E1157" i="2" s="1"/>
  <c r="B1157" i="2"/>
  <c r="C1157" i="2" s="1"/>
  <c r="A1157" i="2"/>
  <c r="H1156" i="2"/>
  <c r="I1156" i="2" s="1"/>
  <c r="F1156" i="2"/>
  <c r="G1156" i="2" s="1"/>
  <c r="D1156" i="2"/>
  <c r="E1156" i="2" s="1"/>
  <c r="B1156" i="2"/>
  <c r="C1156" i="2" s="1"/>
  <c r="A1156" i="2"/>
  <c r="H1155" i="2"/>
  <c r="I1155" i="2" s="1"/>
  <c r="F1155" i="2"/>
  <c r="G1155" i="2" s="1"/>
  <c r="D1155" i="2"/>
  <c r="E1155" i="2" s="1"/>
  <c r="B1155" i="2"/>
  <c r="C1155" i="2" s="1"/>
  <c r="A1155" i="2"/>
  <c r="H1154" i="2"/>
  <c r="I1154" i="2" s="1"/>
  <c r="F1154" i="2"/>
  <c r="G1154" i="2" s="1"/>
  <c r="D1154" i="2"/>
  <c r="E1154" i="2" s="1"/>
  <c r="B1154" i="2"/>
  <c r="C1154" i="2" s="1"/>
  <c r="A1154" i="2"/>
  <c r="H1153" i="2"/>
  <c r="I1153" i="2" s="1"/>
  <c r="F1153" i="2"/>
  <c r="G1153" i="2" s="1"/>
  <c r="D1153" i="2"/>
  <c r="E1153" i="2" s="1"/>
  <c r="C1153" i="2"/>
  <c r="B1153" i="2"/>
  <c r="A1153" i="2"/>
  <c r="H1152" i="2"/>
  <c r="I1152" i="2" s="1"/>
  <c r="F1152" i="2"/>
  <c r="G1152" i="2" s="1"/>
  <c r="D1152" i="2"/>
  <c r="E1152" i="2" s="1"/>
  <c r="B1152" i="2"/>
  <c r="C1152" i="2" s="1"/>
  <c r="A1152" i="2"/>
  <c r="H1151" i="2"/>
  <c r="I1151" i="2" s="1"/>
  <c r="F1151" i="2"/>
  <c r="G1151" i="2" s="1"/>
  <c r="D1151" i="2"/>
  <c r="E1151" i="2" s="1"/>
  <c r="B1151" i="2"/>
  <c r="C1151" i="2" s="1"/>
  <c r="A1151" i="2"/>
  <c r="H1150" i="2"/>
  <c r="I1150" i="2" s="1"/>
  <c r="G1150" i="2"/>
  <c r="F1150" i="2"/>
  <c r="D1150" i="2"/>
  <c r="E1150" i="2" s="1"/>
  <c r="B1150" i="2"/>
  <c r="C1150" i="2" s="1"/>
  <c r="A1150" i="2"/>
  <c r="H1149" i="2"/>
  <c r="I1149" i="2" s="1"/>
  <c r="F1149" i="2"/>
  <c r="G1149" i="2" s="1"/>
  <c r="D1149" i="2"/>
  <c r="E1149" i="2" s="1"/>
  <c r="B1149" i="2"/>
  <c r="C1149" i="2" s="1"/>
  <c r="A1149" i="2"/>
  <c r="H1148" i="2"/>
  <c r="I1148" i="2" s="1"/>
  <c r="F1148" i="2"/>
  <c r="G1148" i="2" s="1"/>
  <c r="D1148" i="2"/>
  <c r="E1148" i="2" s="1"/>
  <c r="B1148" i="2"/>
  <c r="C1148" i="2" s="1"/>
  <c r="A1148" i="2"/>
  <c r="H1147" i="2"/>
  <c r="I1147" i="2" s="1"/>
  <c r="F1147" i="2"/>
  <c r="G1147" i="2" s="1"/>
  <c r="D1147" i="2"/>
  <c r="E1147" i="2" s="1"/>
  <c r="B1147" i="2"/>
  <c r="C1147" i="2" s="1"/>
  <c r="A1147" i="2"/>
  <c r="H1146" i="2"/>
  <c r="I1146" i="2" s="1"/>
  <c r="F1146" i="2"/>
  <c r="G1146" i="2" s="1"/>
  <c r="D1146" i="2"/>
  <c r="E1146" i="2" s="1"/>
  <c r="B1146" i="2"/>
  <c r="C1146" i="2" s="1"/>
  <c r="A1146" i="2"/>
  <c r="H1145" i="2"/>
  <c r="I1145" i="2" s="1"/>
  <c r="F1145" i="2"/>
  <c r="G1145" i="2" s="1"/>
  <c r="D1145" i="2"/>
  <c r="E1145" i="2" s="1"/>
  <c r="B1145" i="2"/>
  <c r="C1145" i="2" s="1"/>
  <c r="A1145" i="2"/>
  <c r="H1144" i="2"/>
  <c r="I1144" i="2" s="1"/>
  <c r="F1144" i="2"/>
  <c r="G1144" i="2" s="1"/>
  <c r="D1144" i="2"/>
  <c r="E1144" i="2" s="1"/>
  <c r="B1144" i="2"/>
  <c r="C1144" i="2" s="1"/>
  <c r="A1144" i="2"/>
  <c r="H1143" i="2"/>
  <c r="I1143" i="2" s="1"/>
  <c r="F1143" i="2"/>
  <c r="G1143" i="2" s="1"/>
  <c r="D1143" i="2"/>
  <c r="E1143" i="2" s="1"/>
  <c r="B1143" i="2"/>
  <c r="C1143" i="2" s="1"/>
  <c r="A1143" i="2"/>
  <c r="H1142" i="2"/>
  <c r="I1142" i="2" s="1"/>
  <c r="F1142" i="2"/>
  <c r="G1142" i="2" s="1"/>
  <c r="D1142" i="2"/>
  <c r="E1142" i="2" s="1"/>
  <c r="B1142" i="2"/>
  <c r="C1142" i="2" s="1"/>
  <c r="A1142" i="2"/>
  <c r="H1141" i="2"/>
  <c r="I1141" i="2" s="1"/>
  <c r="F1141" i="2"/>
  <c r="G1141" i="2" s="1"/>
  <c r="D1141" i="2"/>
  <c r="E1141" i="2" s="1"/>
  <c r="B1141" i="2"/>
  <c r="C1141" i="2" s="1"/>
  <c r="A1141" i="2"/>
  <c r="H1140" i="2"/>
  <c r="I1140" i="2" s="1"/>
  <c r="F1140" i="2"/>
  <c r="G1140" i="2" s="1"/>
  <c r="D1140" i="2"/>
  <c r="E1140" i="2" s="1"/>
  <c r="B1140" i="2"/>
  <c r="C1140" i="2" s="1"/>
  <c r="A1140" i="2"/>
  <c r="H1139" i="2"/>
  <c r="I1139" i="2" s="1"/>
  <c r="F1139" i="2"/>
  <c r="G1139" i="2" s="1"/>
  <c r="D1139" i="2"/>
  <c r="E1139" i="2" s="1"/>
  <c r="B1139" i="2"/>
  <c r="C1139" i="2" s="1"/>
  <c r="A1139" i="2"/>
  <c r="H1138" i="2"/>
  <c r="I1138" i="2" s="1"/>
  <c r="F1138" i="2"/>
  <c r="G1138" i="2" s="1"/>
  <c r="D1138" i="2"/>
  <c r="E1138" i="2" s="1"/>
  <c r="B1138" i="2"/>
  <c r="C1138" i="2" s="1"/>
  <c r="A1138" i="2"/>
  <c r="H1137" i="2"/>
  <c r="I1137" i="2" s="1"/>
  <c r="F1137" i="2"/>
  <c r="G1137" i="2" s="1"/>
  <c r="D1137" i="2"/>
  <c r="E1137" i="2" s="1"/>
  <c r="B1137" i="2"/>
  <c r="C1137" i="2" s="1"/>
  <c r="A1137" i="2"/>
  <c r="H1136" i="2"/>
  <c r="I1136" i="2" s="1"/>
  <c r="F1136" i="2"/>
  <c r="G1136" i="2" s="1"/>
  <c r="D1136" i="2"/>
  <c r="E1136" i="2" s="1"/>
  <c r="B1136" i="2"/>
  <c r="C1136" i="2" s="1"/>
  <c r="A1136" i="2"/>
  <c r="H1135" i="2"/>
  <c r="I1135" i="2" s="1"/>
  <c r="F1135" i="2"/>
  <c r="G1135" i="2" s="1"/>
  <c r="D1135" i="2"/>
  <c r="E1135" i="2" s="1"/>
  <c r="B1135" i="2"/>
  <c r="C1135" i="2" s="1"/>
  <c r="A1135" i="2"/>
  <c r="H1134" i="2"/>
  <c r="I1134" i="2" s="1"/>
  <c r="F1134" i="2"/>
  <c r="G1134" i="2" s="1"/>
  <c r="D1134" i="2"/>
  <c r="E1134" i="2" s="1"/>
  <c r="B1134" i="2"/>
  <c r="C1134" i="2" s="1"/>
  <c r="A1134" i="2"/>
  <c r="H1133" i="2"/>
  <c r="I1133" i="2" s="1"/>
  <c r="F1133" i="2"/>
  <c r="G1133" i="2" s="1"/>
  <c r="D1133" i="2"/>
  <c r="E1133" i="2" s="1"/>
  <c r="B1133" i="2"/>
  <c r="C1133" i="2" s="1"/>
  <c r="A1133" i="2"/>
  <c r="H1132" i="2"/>
  <c r="I1132" i="2" s="1"/>
  <c r="F1132" i="2"/>
  <c r="G1132" i="2" s="1"/>
  <c r="D1132" i="2"/>
  <c r="E1132" i="2" s="1"/>
  <c r="B1132" i="2"/>
  <c r="C1132" i="2" s="1"/>
  <c r="A1132" i="2"/>
  <c r="H1131" i="2"/>
  <c r="I1131" i="2" s="1"/>
  <c r="F1131" i="2"/>
  <c r="G1131" i="2" s="1"/>
  <c r="D1131" i="2"/>
  <c r="E1131" i="2" s="1"/>
  <c r="B1131" i="2"/>
  <c r="C1131" i="2" s="1"/>
  <c r="A1131" i="2"/>
  <c r="H1130" i="2"/>
  <c r="I1130" i="2" s="1"/>
  <c r="F1130" i="2"/>
  <c r="G1130" i="2" s="1"/>
  <c r="D1130" i="2"/>
  <c r="E1130" i="2" s="1"/>
  <c r="B1130" i="2"/>
  <c r="C1130" i="2" s="1"/>
  <c r="A1130" i="2"/>
  <c r="H1129" i="2"/>
  <c r="I1129" i="2" s="1"/>
  <c r="F1129" i="2"/>
  <c r="G1129" i="2" s="1"/>
  <c r="D1129" i="2"/>
  <c r="E1129" i="2" s="1"/>
  <c r="B1129" i="2"/>
  <c r="C1129" i="2" s="1"/>
  <c r="A1129" i="2"/>
  <c r="H1128" i="2"/>
  <c r="I1128" i="2" s="1"/>
  <c r="F1128" i="2"/>
  <c r="G1128" i="2" s="1"/>
  <c r="D1128" i="2"/>
  <c r="E1128" i="2" s="1"/>
  <c r="B1128" i="2"/>
  <c r="C1128" i="2" s="1"/>
  <c r="A1128" i="2"/>
  <c r="H1127" i="2"/>
  <c r="I1127" i="2" s="1"/>
  <c r="F1127" i="2"/>
  <c r="G1127" i="2" s="1"/>
  <c r="D1127" i="2"/>
  <c r="E1127" i="2" s="1"/>
  <c r="B1127" i="2"/>
  <c r="C1127" i="2" s="1"/>
  <c r="A1127" i="2"/>
  <c r="H1126" i="2"/>
  <c r="I1126" i="2" s="1"/>
  <c r="F1126" i="2"/>
  <c r="G1126" i="2" s="1"/>
  <c r="D1126" i="2"/>
  <c r="E1126" i="2" s="1"/>
  <c r="B1126" i="2"/>
  <c r="C1126" i="2" s="1"/>
  <c r="A1126" i="2"/>
  <c r="H1125" i="2"/>
  <c r="I1125" i="2" s="1"/>
  <c r="F1125" i="2"/>
  <c r="G1125" i="2" s="1"/>
  <c r="D1125" i="2"/>
  <c r="E1125" i="2" s="1"/>
  <c r="B1125" i="2"/>
  <c r="C1125" i="2" s="1"/>
  <c r="A1125" i="2"/>
  <c r="H1124" i="2"/>
  <c r="I1124" i="2" s="1"/>
  <c r="F1124" i="2"/>
  <c r="G1124" i="2" s="1"/>
  <c r="D1124" i="2"/>
  <c r="E1124" i="2" s="1"/>
  <c r="B1124" i="2"/>
  <c r="C1124" i="2" s="1"/>
  <c r="A1124" i="2"/>
  <c r="H1123" i="2"/>
  <c r="I1123" i="2" s="1"/>
  <c r="F1123" i="2"/>
  <c r="G1123" i="2" s="1"/>
  <c r="D1123" i="2"/>
  <c r="E1123" i="2" s="1"/>
  <c r="B1123" i="2"/>
  <c r="C1123" i="2" s="1"/>
  <c r="A1123" i="2"/>
  <c r="H1122" i="2"/>
  <c r="I1122" i="2" s="1"/>
  <c r="F1122" i="2"/>
  <c r="G1122" i="2" s="1"/>
  <c r="D1122" i="2"/>
  <c r="E1122" i="2" s="1"/>
  <c r="B1122" i="2"/>
  <c r="C1122" i="2" s="1"/>
  <c r="A1122" i="2"/>
  <c r="H1121" i="2"/>
  <c r="I1121" i="2" s="1"/>
  <c r="F1121" i="2"/>
  <c r="G1121" i="2" s="1"/>
  <c r="D1121" i="2"/>
  <c r="E1121" i="2" s="1"/>
  <c r="B1121" i="2"/>
  <c r="C1121" i="2" s="1"/>
  <c r="A1121" i="2"/>
  <c r="H1120" i="2"/>
  <c r="I1120" i="2" s="1"/>
  <c r="F1120" i="2"/>
  <c r="G1120" i="2" s="1"/>
  <c r="D1120" i="2"/>
  <c r="E1120" i="2" s="1"/>
  <c r="B1120" i="2"/>
  <c r="C1120" i="2" s="1"/>
  <c r="A1120" i="2"/>
  <c r="H1119" i="2"/>
  <c r="I1119" i="2" s="1"/>
  <c r="F1119" i="2"/>
  <c r="G1119" i="2" s="1"/>
  <c r="D1119" i="2"/>
  <c r="E1119" i="2" s="1"/>
  <c r="B1119" i="2"/>
  <c r="C1119" i="2" s="1"/>
  <c r="A1119" i="2"/>
  <c r="H1118" i="2"/>
  <c r="I1118" i="2" s="1"/>
  <c r="F1118" i="2"/>
  <c r="G1118" i="2" s="1"/>
  <c r="D1118" i="2"/>
  <c r="E1118" i="2" s="1"/>
  <c r="B1118" i="2"/>
  <c r="C1118" i="2" s="1"/>
  <c r="A1118" i="2"/>
  <c r="H1117" i="2"/>
  <c r="I1117" i="2" s="1"/>
  <c r="F1117" i="2"/>
  <c r="G1117" i="2" s="1"/>
  <c r="D1117" i="2"/>
  <c r="E1117" i="2" s="1"/>
  <c r="B1117" i="2"/>
  <c r="C1117" i="2" s="1"/>
  <c r="A1117" i="2"/>
  <c r="H1116" i="2"/>
  <c r="I1116" i="2" s="1"/>
  <c r="F1116" i="2"/>
  <c r="G1116" i="2" s="1"/>
  <c r="D1116" i="2"/>
  <c r="E1116" i="2" s="1"/>
  <c r="B1116" i="2"/>
  <c r="C1116" i="2" s="1"/>
  <c r="A1116" i="2"/>
  <c r="H1115" i="2"/>
  <c r="I1115" i="2" s="1"/>
  <c r="F1115" i="2"/>
  <c r="G1115" i="2" s="1"/>
  <c r="D1115" i="2"/>
  <c r="E1115" i="2" s="1"/>
  <c r="B1115" i="2"/>
  <c r="C1115" i="2" s="1"/>
  <c r="A1115" i="2"/>
  <c r="H1114" i="2"/>
  <c r="I1114" i="2" s="1"/>
  <c r="F1114" i="2"/>
  <c r="G1114" i="2" s="1"/>
  <c r="D1114" i="2"/>
  <c r="E1114" i="2" s="1"/>
  <c r="B1114" i="2"/>
  <c r="C1114" i="2" s="1"/>
  <c r="A1114" i="2"/>
  <c r="H1113" i="2"/>
  <c r="I1113" i="2" s="1"/>
  <c r="F1113" i="2"/>
  <c r="G1113" i="2" s="1"/>
  <c r="D1113" i="2"/>
  <c r="E1113" i="2" s="1"/>
  <c r="B1113" i="2"/>
  <c r="C1113" i="2" s="1"/>
  <c r="A1113" i="2"/>
  <c r="H1112" i="2"/>
  <c r="I1112" i="2" s="1"/>
  <c r="F1112" i="2"/>
  <c r="G1112" i="2" s="1"/>
  <c r="D1112" i="2"/>
  <c r="E1112" i="2" s="1"/>
  <c r="B1112" i="2"/>
  <c r="C1112" i="2" s="1"/>
  <c r="A1112" i="2"/>
  <c r="H1111" i="2"/>
  <c r="I1111" i="2" s="1"/>
  <c r="F1111" i="2"/>
  <c r="G1111" i="2" s="1"/>
  <c r="D1111" i="2"/>
  <c r="E1111" i="2" s="1"/>
  <c r="B1111" i="2"/>
  <c r="C1111" i="2" s="1"/>
  <c r="A1111" i="2"/>
  <c r="H1110" i="2"/>
  <c r="I1110" i="2" s="1"/>
  <c r="F1110" i="2"/>
  <c r="G1110" i="2" s="1"/>
  <c r="D1110" i="2"/>
  <c r="E1110" i="2" s="1"/>
  <c r="B1110" i="2"/>
  <c r="C1110" i="2" s="1"/>
  <c r="A1110" i="2"/>
  <c r="H1109" i="2"/>
  <c r="I1109" i="2" s="1"/>
  <c r="F1109" i="2"/>
  <c r="G1109" i="2" s="1"/>
  <c r="D1109" i="2"/>
  <c r="E1109" i="2" s="1"/>
  <c r="B1109" i="2"/>
  <c r="C1109" i="2" s="1"/>
  <c r="A1109" i="2"/>
  <c r="H1108" i="2"/>
  <c r="I1108" i="2" s="1"/>
  <c r="F1108" i="2"/>
  <c r="G1108" i="2" s="1"/>
  <c r="D1108" i="2"/>
  <c r="E1108" i="2" s="1"/>
  <c r="B1108" i="2"/>
  <c r="C1108" i="2" s="1"/>
  <c r="A1108" i="2"/>
  <c r="H1107" i="2"/>
  <c r="I1107" i="2" s="1"/>
  <c r="F1107" i="2"/>
  <c r="G1107" i="2" s="1"/>
  <c r="D1107" i="2"/>
  <c r="E1107" i="2" s="1"/>
  <c r="B1107" i="2"/>
  <c r="C1107" i="2" s="1"/>
  <c r="A1107" i="2"/>
  <c r="H1106" i="2"/>
  <c r="I1106" i="2" s="1"/>
  <c r="F1106" i="2"/>
  <c r="G1106" i="2" s="1"/>
  <c r="D1106" i="2"/>
  <c r="E1106" i="2" s="1"/>
  <c r="B1106" i="2"/>
  <c r="C1106" i="2" s="1"/>
  <c r="A1106" i="2"/>
  <c r="H1105" i="2"/>
  <c r="I1105" i="2" s="1"/>
  <c r="F1105" i="2"/>
  <c r="G1105" i="2" s="1"/>
  <c r="D1105" i="2"/>
  <c r="E1105" i="2" s="1"/>
  <c r="B1105" i="2"/>
  <c r="C1105" i="2" s="1"/>
  <c r="A1105" i="2"/>
  <c r="H1104" i="2"/>
  <c r="I1104" i="2" s="1"/>
  <c r="F1104" i="2"/>
  <c r="G1104" i="2" s="1"/>
  <c r="D1104" i="2"/>
  <c r="E1104" i="2" s="1"/>
  <c r="B1104" i="2"/>
  <c r="C1104" i="2" s="1"/>
  <c r="A1104" i="2"/>
  <c r="H1103" i="2"/>
  <c r="I1103" i="2" s="1"/>
  <c r="F1103" i="2"/>
  <c r="G1103" i="2" s="1"/>
  <c r="D1103" i="2"/>
  <c r="E1103" i="2" s="1"/>
  <c r="B1103" i="2"/>
  <c r="C1103" i="2" s="1"/>
  <c r="A1103" i="2"/>
  <c r="H1102" i="2"/>
  <c r="I1102" i="2" s="1"/>
  <c r="F1102" i="2"/>
  <c r="G1102" i="2" s="1"/>
  <c r="D1102" i="2"/>
  <c r="E1102" i="2" s="1"/>
  <c r="B1102" i="2"/>
  <c r="C1102" i="2" s="1"/>
  <c r="A1102" i="2"/>
  <c r="H1101" i="2"/>
  <c r="I1101" i="2" s="1"/>
  <c r="F1101" i="2"/>
  <c r="G1101" i="2" s="1"/>
  <c r="D1101" i="2"/>
  <c r="E1101" i="2" s="1"/>
  <c r="B1101" i="2"/>
  <c r="C1101" i="2" s="1"/>
  <c r="A1101" i="2"/>
  <c r="H1100" i="2"/>
  <c r="I1100" i="2" s="1"/>
  <c r="F1100" i="2"/>
  <c r="G1100" i="2" s="1"/>
  <c r="D1100" i="2"/>
  <c r="E1100" i="2" s="1"/>
  <c r="B1100" i="2"/>
  <c r="C1100" i="2" s="1"/>
  <c r="A1100" i="2"/>
  <c r="H1099" i="2"/>
  <c r="I1099" i="2" s="1"/>
  <c r="F1099" i="2"/>
  <c r="G1099" i="2" s="1"/>
  <c r="D1099" i="2"/>
  <c r="E1099" i="2" s="1"/>
  <c r="B1099" i="2"/>
  <c r="C1099" i="2" s="1"/>
  <c r="A1099" i="2"/>
  <c r="H1098" i="2"/>
  <c r="I1098" i="2" s="1"/>
  <c r="F1098" i="2"/>
  <c r="G1098" i="2" s="1"/>
  <c r="D1098" i="2"/>
  <c r="E1098" i="2" s="1"/>
  <c r="B1098" i="2"/>
  <c r="C1098" i="2" s="1"/>
  <c r="A1098" i="2"/>
  <c r="H1097" i="2"/>
  <c r="I1097" i="2" s="1"/>
  <c r="F1097" i="2"/>
  <c r="G1097" i="2" s="1"/>
  <c r="D1097" i="2"/>
  <c r="E1097" i="2" s="1"/>
  <c r="B1097" i="2"/>
  <c r="C1097" i="2" s="1"/>
  <c r="A1097" i="2"/>
  <c r="H1096" i="2"/>
  <c r="I1096" i="2" s="1"/>
  <c r="F1096" i="2"/>
  <c r="G1096" i="2" s="1"/>
  <c r="D1096" i="2"/>
  <c r="E1096" i="2" s="1"/>
  <c r="B1096" i="2"/>
  <c r="C1096" i="2" s="1"/>
  <c r="A1096" i="2"/>
  <c r="H1095" i="2"/>
  <c r="I1095" i="2" s="1"/>
  <c r="F1095" i="2"/>
  <c r="G1095" i="2" s="1"/>
  <c r="D1095" i="2"/>
  <c r="E1095" i="2" s="1"/>
  <c r="B1095" i="2"/>
  <c r="C1095" i="2" s="1"/>
  <c r="A1095" i="2"/>
  <c r="H1094" i="2"/>
  <c r="I1094" i="2" s="1"/>
  <c r="F1094" i="2"/>
  <c r="G1094" i="2" s="1"/>
  <c r="D1094" i="2"/>
  <c r="E1094" i="2" s="1"/>
  <c r="B1094" i="2"/>
  <c r="C1094" i="2" s="1"/>
  <c r="A1094" i="2"/>
  <c r="H1093" i="2"/>
  <c r="I1093" i="2" s="1"/>
  <c r="F1093" i="2"/>
  <c r="G1093" i="2" s="1"/>
  <c r="D1093" i="2"/>
  <c r="E1093" i="2" s="1"/>
  <c r="B1093" i="2"/>
  <c r="C1093" i="2" s="1"/>
  <c r="A1093" i="2"/>
  <c r="H1092" i="2"/>
  <c r="I1092" i="2" s="1"/>
  <c r="F1092" i="2"/>
  <c r="G1092" i="2" s="1"/>
  <c r="D1092" i="2"/>
  <c r="E1092" i="2" s="1"/>
  <c r="B1092" i="2"/>
  <c r="C1092" i="2" s="1"/>
  <c r="A1092" i="2"/>
  <c r="H1091" i="2"/>
  <c r="I1091" i="2" s="1"/>
  <c r="F1091" i="2"/>
  <c r="G1091" i="2" s="1"/>
  <c r="D1091" i="2"/>
  <c r="E1091" i="2" s="1"/>
  <c r="B1091" i="2"/>
  <c r="C1091" i="2" s="1"/>
  <c r="A1091" i="2"/>
  <c r="H1090" i="2"/>
  <c r="I1090" i="2" s="1"/>
  <c r="F1090" i="2"/>
  <c r="G1090" i="2" s="1"/>
  <c r="D1090" i="2"/>
  <c r="E1090" i="2" s="1"/>
  <c r="B1090" i="2"/>
  <c r="C1090" i="2" s="1"/>
  <c r="A1090" i="2"/>
  <c r="H1089" i="2"/>
  <c r="I1089" i="2" s="1"/>
  <c r="F1089" i="2"/>
  <c r="G1089" i="2" s="1"/>
  <c r="D1089" i="2"/>
  <c r="E1089" i="2" s="1"/>
  <c r="B1089" i="2"/>
  <c r="C1089" i="2" s="1"/>
  <c r="A1089" i="2"/>
  <c r="H1088" i="2"/>
  <c r="I1088" i="2" s="1"/>
  <c r="F1088" i="2"/>
  <c r="G1088" i="2" s="1"/>
  <c r="D1088" i="2"/>
  <c r="E1088" i="2" s="1"/>
  <c r="B1088" i="2"/>
  <c r="C1088" i="2" s="1"/>
  <c r="A1088" i="2"/>
  <c r="H1087" i="2"/>
  <c r="I1087" i="2" s="1"/>
  <c r="F1087" i="2"/>
  <c r="G1087" i="2" s="1"/>
  <c r="D1087" i="2"/>
  <c r="E1087" i="2" s="1"/>
  <c r="B1087" i="2"/>
  <c r="C1087" i="2" s="1"/>
  <c r="A1087" i="2"/>
  <c r="H1086" i="2"/>
  <c r="I1086" i="2" s="1"/>
  <c r="F1086" i="2"/>
  <c r="G1086" i="2" s="1"/>
  <c r="D1086" i="2"/>
  <c r="E1086" i="2" s="1"/>
  <c r="B1086" i="2"/>
  <c r="C1086" i="2" s="1"/>
  <c r="A1086" i="2"/>
  <c r="H1085" i="2"/>
  <c r="I1085" i="2" s="1"/>
  <c r="F1085" i="2"/>
  <c r="G1085" i="2" s="1"/>
  <c r="D1085" i="2"/>
  <c r="E1085" i="2" s="1"/>
  <c r="B1085" i="2"/>
  <c r="C1085" i="2" s="1"/>
  <c r="A1085" i="2"/>
  <c r="H1084" i="2"/>
  <c r="I1084" i="2" s="1"/>
  <c r="F1084" i="2"/>
  <c r="G1084" i="2" s="1"/>
  <c r="D1084" i="2"/>
  <c r="E1084" i="2" s="1"/>
  <c r="B1084" i="2"/>
  <c r="C1084" i="2" s="1"/>
  <c r="A1084" i="2"/>
  <c r="H1083" i="2"/>
  <c r="I1083" i="2" s="1"/>
  <c r="F1083" i="2"/>
  <c r="G1083" i="2" s="1"/>
  <c r="D1083" i="2"/>
  <c r="E1083" i="2" s="1"/>
  <c r="B1083" i="2"/>
  <c r="C1083" i="2" s="1"/>
  <c r="A1083" i="2"/>
  <c r="H1082" i="2"/>
  <c r="I1082" i="2" s="1"/>
  <c r="F1082" i="2"/>
  <c r="G1082" i="2" s="1"/>
  <c r="D1082" i="2"/>
  <c r="E1082" i="2" s="1"/>
  <c r="B1082" i="2"/>
  <c r="C1082" i="2" s="1"/>
  <c r="A1082" i="2"/>
  <c r="H1081" i="2"/>
  <c r="I1081" i="2" s="1"/>
  <c r="F1081" i="2"/>
  <c r="G1081" i="2" s="1"/>
  <c r="D1081" i="2"/>
  <c r="E1081" i="2" s="1"/>
  <c r="B1081" i="2"/>
  <c r="C1081" i="2" s="1"/>
  <c r="A1081" i="2"/>
  <c r="H1080" i="2"/>
  <c r="I1080" i="2" s="1"/>
  <c r="F1080" i="2"/>
  <c r="G1080" i="2" s="1"/>
  <c r="D1080" i="2"/>
  <c r="E1080" i="2" s="1"/>
  <c r="B1080" i="2"/>
  <c r="C1080" i="2" s="1"/>
  <c r="A1080" i="2"/>
  <c r="H1079" i="2"/>
  <c r="I1079" i="2" s="1"/>
  <c r="F1079" i="2"/>
  <c r="G1079" i="2" s="1"/>
  <c r="D1079" i="2"/>
  <c r="E1079" i="2" s="1"/>
  <c r="B1079" i="2"/>
  <c r="C1079" i="2" s="1"/>
  <c r="A1079" i="2"/>
  <c r="H1078" i="2"/>
  <c r="I1078" i="2" s="1"/>
  <c r="F1078" i="2"/>
  <c r="G1078" i="2" s="1"/>
  <c r="D1078" i="2"/>
  <c r="E1078" i="2" s="1"/>
  <c r="B1078" i="2"/>
  <c r="C1078" i="2" s="1"/>
  <c r="A1078" i="2"/>
  <c r="H1077" i="2"/>
  <c r="I1077" i="2" s="1"/>
  <c r="F1077" i="2"/>
  <c r="G1077" i="2" s="1"/>
  <c r="D1077" i="2"/>
  <c r="E1077" i="2" s="1"/>
  <c r="B1077" i="2"/>
  <c r="C1077" i="2" s="1"/>
  <c r="A1077" i="2"/>
  <c r="H1076" i="2"/>
  <c r="I1076" i="2" s="1"/>
  <c r="F1076" i="2"/>
  <c r="G1076" i="2" s="1"/>
  <c r="D1076" i="2"/>
  <c r="E1076" i="2" s="1"/>
  <c r="B1076" i="2"/>
  <c r="C1076" i="2" s="1"/>
  <c r="A1076" i="2"/>
  <c r="H1075" i="2"/>
  <c r="I1075" i="2" s="1"/>
  <c r="F1075" i="2"/>
  <c r="G1075" i="2" s="1"/>
  <c r="D1075" i="2"/>
  <c r="E1075" i="2" s="1"/>
  <c r="B1075" i="2"/>
  <c r="C1075" i="2" s="1"/>
  <c r="A1075" i="2"/>
  <c r="H1074" i="2"/>
  <c r="I1074" i="2" s="1"/>
  <c r="F1074" i="2"/>
  <c r="G1074" i="2" s="1"/>
  <c r="D1074" i="2"/>
  <c r="E1074" i="2" s="1"/>
  <c r="B1074" i="2"/>
  <c r="C1074" i="2" s="1"/>
  <c r="A1074" i="2"/>
  <c r="H1073" i="2"/>
  <c r="I1073" i="2" s="1"/>
  <c r="F1073" i="2"/>
  <c r="G1073" i="2" s="1"/>
  <c r="D1073" i="2"/>
  <c r="E1073" i="2" s="1"/>
  <c r="B1073" i="2"/>
  <c r="C1073" i="2" s="1"/>
  <c r="A1073" i="2"/>
  <c r="H1072" i="2"/>
  <c r="I1072" i="2" s="1"/>
  <c r="F1072" i="2"/>
  <c r="G1072" i="2" s="1"/>
  <c r="D1072" i="2"/>
  <c r="E1072" i="2" s="1"/>
  <c r="B1072" i="2"/>
  <c r="C1072" i="2" s="1"/>
  <c r="A1072" i="2"/>
  <c r="H1071" i="2"/>
  <c r="I1071" i="2" s="1"/>
  <c r="F1071" i="2"/>
  <c r="G1071" i="2" s="1"/>
  <c r="D1071" i="2"/>
  <c r="E1071" i="2" s="1"/>
  <c r="B1071" i="2"/>
  <c r="C1071" i="2" s="1"/>
  <c r="A1071" i="2"/>
  <c r="H1070" i="2"/>
  <c r="I1070" i="2" s="1"/>
  <c r="F1070" i="2"/>
  <c r="G1070" i="2" s="1"/>
  <c r="D1070" i="2"/>
  <c r="E1070" i="2" s="1"/>
  <c r="B1070" i="2"/>
  <c r="C1070" i="2" s="1"/>
  <c r="A1070" i="2"/>
  <c r="H1069" i="2"/>
  <c r="I1069" i="2" s="1"/>
  <c r="F1069" i="2"/>
  <c r="G1069" i="2" s="1"/>
  <c r="D1069" i="2"/>
  <c r="E1069" i="2" s="1"/>
  <c r="B1069" i="2"/>
  <c r="C1069" i="2" s="1"/>
  <c r="A1069" i="2"/>
  <c r="H1068" i="2"/>
  <c r="I1068" i="2" s="1"/>
  <c r="F1068" i="2"/>
  <c r="G1068" i="2" s="1"/>
  <c r="D1068" i="2"/>
  <c r="E1068" i="2" s="1"/>
  <c r="B1068" i="2"/>
  <c r="C1068" i="2" s="1"/>
  <c r="A1068" i="2"/>
  <c r="H1067" i="2"/>
  <c r="I1067" i="2" s="1"/>
  <c r="F1067" i="2"/>
  <c r="G1067" i="2" s="1"/>
  <c r="D1067" i="2"/>
  <c r="E1067" i="2" s="1"/>
  <c r="B1067" i="2"/>
  <c r="C1067" i="2" s="1"/>
  <c r="A1067" i="2"/>
  <c r="H1066" i="2"/>
  <c r="I1066" i="2" s="1"/>
  <c r="F1066" i="2"/>
  <c r="G1066" i="2" s="1"/>
  <c r="D1066" i="2"/>
  <c r="E1066" i="2" s="1"/>
  <c r="B1066" i="2"/>
  <c r="C1066" i="2" s="1"/>
  <c r="A1066" i="2"/>
  <c r="H1065" i="2"/>
  <c r="I1065" i="2" s="1"/>
  <c r="F1065" i="2"/>
  <c r="G1065" i="2" s="1"/>
  <c r="D1065" i="2"/>
  <c r="E1065" i="2" s="1"/>
  <c r="B1065" i="2"/>
  <c r="C1065" i="2" s="1"/>
  <c r="A1065" i="2"/>
  <c r="H1064" i="2"/>
  <c r="I1064" i="2" s="1"/>
  <c r="F1064" i="2"/>
  <c r="G1064" i="2" s="1"/>
  <c r="D1064" i="2"/>
  <c r="E1064" i="2" s="1"/>
  <c r="B1064" i="2"/>
  <c r="C1064" i="2" s="1"/>
  <c r="A1064" i="2"/>
  <c r="H1063" i="2"/>
  <c r="I1063" i="2" s="1"/>
  <c r="F1063" i="2"/>
  <c r="G1063" i="2" s="1"/>
  <c r="D1063" i="2"/>
  <c r="E1063" i="2" s="1"/>
  <c r="B1063" i="2"/>
  <c r="C1063" i="2" s="1"/>
  <c r="A1063" i="2"/>
  <c r="H1062" i="2"/>
  <c r="I1062" i="2" s="1"/>
  <c r="F1062" i="2"/>
  <c r="G1062" i="2" s="1"/>
  <c r="D1062" i="2"/>
  <c r="E1062" i="2" s="1"/>
  <c r="B1062" i="2"/>
  <c r="C1062" i="2" s="1"/>
  <c r="A1062" i="2"/>
  <c r="H1061" i="2"/>
  <c r="I1061" i="2" s="1"/>
  <c r="F1061" i="2"/>
  <c r="G1061" i="2" s="1"/>
  <c r="D1061" i="2"/>
  <c r="E1061" i="2" s="1"/>
  <c r="B1061" i="2"/>
  <c r="C1061" i="2" s="1"/>
  <c r="A1061" i="2"/>
  <c r="H1060" i="2"/>
  <c r="I1060" i="2" s="1"/>
  <c r="F1060" i="2"/>
  <c r="G1060" i="2" s="1"/>
  <c r="D1060" i="2"/>
  <c r="E1060" i="2" s="1"/>
  <c r="B1060" i="2"/>
  <c r="C1060" i="2" s="1"/>
  <c r="A1060" i="2"/>
  <c r="H1059" i="2"/>
  <c r="I1059" i="2" s="1"/>
  <c r="F1059" i="2"/>
  <c r="G1059" i="2" s="1"/>
  <c r="D1059" i="2"/>
  <c r="E1059" i="2" s="1"/>
  <c r="B1059" i="2"/>
  <c r="C1059" i="2" s="1"/>
  <c r="A1059" i="2"/>
  <c r="H1058" i="2"/>
  <c r="I1058" i="2" s="1"/>
  <c r="F1058" i="2"/>
  <c r="G1058" i="2" s="1"/>
  <c r="D1058" i="2"/>
  <c r="E1058" i="2" s="1"/>
  <c r="B1058" i="2"/>
  <c r="C1058" i="2" s="1"/>
  <c r="A1058" i="2"/>
  <c r="H1057" i="2"/>
  <c r="I1057" i="2" s="1"/>
  <c r="F1057" i="2"/>
  <c r="G1057" i="2" s="1"/>
  <c r="D1057" i="2"/>
  <c r="E1057" i="2" s="1"/>
  <c r="B1057" i="2"/>
  <c r="C1057" i="2" s="1"/>
  <c r="A1057" i="2"/>
  <c r="H1056" i="2"/>
  <c r="I1056" i="2" s="1"/>
  <c r="F1056" i="2"/>
  <c r="G1056" i="2" s="1"/>
  <c r="D1056" i="2"/>
  <c r="E1056" i="2" s="1"/>
  <c r="B1056" i="2"/>
  <c r="C1056" i="2" s="1"/>
  <c r="A1056" i="2"/>
  <c r="H1055" i="2"/>
  <c r="I1055" i="2" s="1"/>
  <c r="F1055" i="2"/>
  <c r="G1055" i="2" s="1"/>
  <c r="D1055" i="2"/>
  <c r="E1055" i="2" s="1"/>
  <c r="B1055" i="2"/>
  <c r="C1055" i="2" s="1"/>
  <c r="A1055" i="2"/>
  <c r="H1054" i="2"/>
  <c r="I1054" i="2" s="1"/>
  <c r="F1054" i="2"/>
  <c r="G1054" i="2" s="1"/>
  <c r="D1054" i="2"/>
  <c r="E1054" i="2" s="1"/>
  <c r="B1054" i="2"/>
  <c r="C1054" i="2" s="1"/>
  <c r="A1054" i="2"/>
  <c r="H1053" i="2"/>
  <c r="I1053" i="2" s="1"/>
  <c r="F1053" i="2"/>
  <c r="G1053" i="2" s="1"/>
  <c r="D1053" i="2"/>
  <c r="E1053" i="2" s="1"/>
  <c r="B1053" i="2"/>
  <c r="C1053" i="2" s="1"/>
  <c r="A1053" i="2"/>
  <c r="H1052" i="2"/>
  <c r="I1052" i="2" s="1"/>
  <c r="F1052" i="2"/>
  <c r="G1052" i="2" s="1"/>
  <c r="D1052" i="2"/>
  <c r="E1052" i="2" s="1"/>
  <c r="B1052" i="2"/>
  <c r="C1052" i="2" s="1"/>
  <c r="A1052" i="2"/>
  <c r="H1051" i="2"/>
  <c r="I1051" i="2" s="1"/>
  <c r="F1051" i="2"/>
  <c r="G1051" i="2" s="1"/>
  <c r="D1051" i="2"/>
  <c r="E1051" i="2" s="1"/>
  <c r="B1051" i="2"/>
  <c r="C1051" i="2" s="1"/>
  <c r="A1051" i="2"/>
  <c r="H1050" i="2"/>
  <c r="I1050" i="2" s="1"/>
  <c r="F1050" i="2"/>
  <c r="G1050" i="2" s="1"/>
  <c r="D1050" i="2"/>
  <c r="E1050" i="2" s="1"/>
  <c r="B1050" i="2"/>
  <c r="C1050" i="2" s="1"/>
  <c r="A1050" i="2"/>
  <c r="H1049" i="2"/>
  <c r="I1049" i="2" s="1"/>
  <c r="F1049" i="2"/>
  <c r="G1049" i="2" s="1"/>
  <c r="D1049" i="2"/>
  <c r="E1049" i="2" s="1"/>
  <c r="B1049" i="2"/>
  <c r="C1049" i="2" s="1"/>
  <c r="A1049" i="2"/>
  <c r="H1048" i="2"/>
  <c r="I1048" i="2" s="1"/>
  <c r="F1048" i="2"/>
  <c r="G1048" i="2" s="1"/>
  <c r="D1048" i="2"/>
  <c r="E1048" i="2" s="1"/>
  <c r="B1048" i="2"/>
  <c r="C1048" i="2" s="1"/>
  <c r="A1048" i="2"/>
  <c r="H1047" i="2"/>
  <c r="I1047" i="2" s="1"/>
  <c r="F1047" i="2"/>
  <c r="G1047" i="2" s="1"/>
  <c r="D1047" i="2"/>
  <c r="E1047" i="2" s="1"/>
  <c r="B1047" i="2"/>
  <c r="C1047" i="2" s="1"/>
  <c r="A1047" i="2"/>
  <c r="H1046" i="2"/>
  <c r="I1046" i="2" s="1"/>
  <c r="F1046" i="2"/>
  <c r="G1046" i="2" s="1"/>
  <c r="D1046" i="2"/>
  <c r="E1046" i="2" s="1"/>
  <c r="B1046" i="2"/>
  <c r="C1046" i="2" s="1"/>
  <c r="A1046" i="2"/>
  <c r="H1045" i="2"/>
  <c r="I1045" i="2" s="1"/>
  <c r="F1045" i="2"/>
  <c r="G1045" i="2" s="1"/>
  <c r="D1045" i="2"/>
  <c r="E1045" i="2" s="1"/>
  <c r="B1045" i="2"/>
  <c r="C1045" i="2" s="1"/>
  <c r="A1045" i="2"/>
  <c r="H1044" i="2"/>
  <c r="I1044" i="2" s="1"/>
  <c r="F1044" i="2"/>
  <c r="G1044" i="2" s="1"/>
  <c r="D1044" i="2"/>
  <c r="E1044" i="2" s="1"/>
  <c r="B1044" i="2"/>
  <c r="C1044" i="2" s="1"/>
  <c r="A1044" i="2"/>
  <c r="H1043" i="2"/>
  <c r="I1043" i="2" s="1"/>
  <c r="F1043" i="2"/>
  <c r="G1043" i="2" s="1"/>
  <c r="D1043" i="2"/>
  <c r="E1043" i="2" s="1"/>
  <c r="B1043" i="2"/>
  <c r="C1043" i="2" s="1"/>
  <c r="A1043" i="2"/>
  <c r="H1042" i="2"/>
  <c r="I1042" i="2" s="1"/>
  <c r="F1042" i="2"/>
  <c r="G1042" i="2" s="1"/>
  <c r="D1042" i="2"/>
  <c r="E1042" i="2" s="1"/>
  <c r="B1042" i="2"/>
  <c r="C1042" i="2" s="1"/>
  <c r="A1042" i="2"/>
  <c r="H1041" i="2"/>
  <c r="I1041" i="2" s="1"/>
  <c r="F1041" i="2"/>
  <c r="G1041" i="2" s="1"/>
  <c r="D1041" i="2"/>
  <c r="E1041" i="2" s="1"/>
  <c r="B1041" i="2"/>
  <c r="C1041" i="2" s="1"/>
  <c r="A1041" i="2"/>
  <c r="H1040" i="2"/>
  <c r="I1040" i="2" s="1"/>
  <c r="F1040" i="2"/>
  <c r="G1040" i="2" s="1"/>
  <c r="D1040" i="2"/>
  <c r="E1040" i="2" s="1"/>
  <c r="B1040" i="2"/>
  <c r="C1040" i="2" s="1"/>
  <c r="A1040" i="2"/>
  <c r="H1039" i="2"/>
  <c r="I1039" i="2" s="1"/>
  <c r="F1039" i="2"/>
  <c r="G1039" i="2" s="1"/>
  <c r="D1039" i="2"/>
  <c r="E1039" i="2" s="1"/>
  <c r="B1039" i="2"/>
  <c r="C1039" i="2" s="1"/>
  <c r="A1039" i="2"/>
  <c r="H1038" i="2"/>
  <c r="I1038" i="2" s="1"/>
  <c r="F1038" i="2"/>
  <c r="G1038" i="2" s="1"/>
  <c r="D1038" i="2"/>
  <c r="E1038" i="2" s="1"/>
  <c r="B1038" i="2"/>
  <c r="C1038" i="2" s="1"/>
  <c r="A1038" i="2"/>
  <c r="H1037" i="2"/>
  <c r="I1037" i="2" s="1"/>
  <c r="F1037" i="2"/>
  <c r="G1037" i="2" s="1"/>
  <c r="D1037" i="2"/>
  <c r="E1037" i="2" s="1"/>
  <c r="B1037" i="2"/>
  <c r="C1037" i="2" s="1"/>
  <c r="A1037" i="2"/>
  <c r="H1036" i="2"/>
  <c r="I1036" i="2" s="1"/>
  <c r="F1036" i="2"/>
  <c r="G1036" i="2" s="1"/>
  <c r="D1036" i="2"/>
  <c r="E1036" i="2" s="1"/>
  <c r="B1036" i="2"/>
  <c r="C1036" i="2" s="1"/>
  <c r="A1036" i="2"/>
  <c r="H1035" i="2"/>
  <c r="I1035" i="2" s="1"/>
  <c r="F1035" i="2"/>
  <c r="G1035" i="2" s="1"/>
  <c r="D1035" i="2"/>
  <c r="E1035" i="2" s="1"/>
  <c r="B1035" i="2"/>
  <c r="C1035" i="2" s="1"/>
  <c r="A1035" i="2"/>
  <c r="H1034" i="2"/>
  <c r="I1034" i="2" s="1"/>
  <c r="F1034" i="2"/>
  <c r="G1034" i="2" s="1"/>
  <c r="D1034" i="2"/>
  <c r="E1034" i="2" s="1"/>
  <c r="B1034" i="2"/>
  <c r="C1034" i="2" s="1"/>
  <c r="A1034" i="2"/>
  <c r="H1033" i="2"/>
  <c r="I1033" i="2" s="1"/>
  <c r="F1033" i="2"/>
  <c r="G1033" i="2" s="1"/>
  <c r="D1033" i="2"/>
  <c r="E1033" i="2" s="1"/>
  <c r="B1033" i="2"/>
  <c r="C1033" i="2" s="1"/>
  <c r="A1033" i="2"/>
  <c r="H1032" i="2"/>
  <c r="I1032" i="2" s="1"/>
  <c r="F1032" i="2"/>
  <c r="G1032" i="2" s="1"/>
  <c r="D1032" i="2"/>
  <c r="E1032" i="2" s="1"/>
  <c r="B1032" i="2"/>
  <c r="C1032" i="2" s="1"/>
  <c r="A1032" i="2"/>
  <c r="H1031" i="2"/>
  <c r="I1031" i="2" s="1"/>
  <c r="F1031" i="2"/>
  <c r="G1031" i="2" s="1"/>
  <c r="D1031" i="2"/>
  <c r="E1031" i="2" s="1"/>
  <c r="B1031" i="2"/>
  <c r="C1031" i="2" s="1"/>
  <c r="A1031" i="2"/>
  <c r="H1030" i="2"/>
  <c r="I1030" i="2" s="1"/>
  <c r="F1030" i="2"/>
  <c r="G1030" i="2" s="1"/>
  <c r="D1030" i="2"/>
  <c r="E1030" i="2" s="1"/>
  <c r="B1030" i="2"/>
  <c r="C1030" i="2" s="1"/>
  <c r="A1030" i="2"/>
  <c r="H1029" i="2"/>
  <c r="I1029" i="2" s="1"/>
  <c r="F1029" i="2"/>
  <c r="G1029" i="2" s="1"/>
  <c r="D1029" i="2"/>
  <c r="E1029" i="2" s="1"/>
  <c r="B1029" i="2"/>
  <c r="C1029" i="2" s="1"/>
  <c r="A1029" i="2"/>
  <c r="H1028" i="2"/>
  <c r="I1028" i="2" s="1"/>
  <c r="F1028" i="2"/>
  <c r="G1028" i="2" s="1"/>
  <c r="D1028" i="2"/>
  <c r="E1028" i="2" s="1"/>
  <c r="B1028" i="2"/>
  <c r="C1028" i="2" s="1"/>
  <c r="A1028" i="2"/>
  <c r="H1027" i="2"/>
  <c r="I1027" i="2" s="1"/>
  <c r="F1027" i="2"/>
  <c r="G1027" i="2" s="1"/>
  <c r="D1027" i="2"/>
  <c r="E1027" i="2" s="1"/>
  <c r="B1027" i="2"/>
  <c r="C1027" i="2" s="1"/>
  <c r="A1027" i="2"/>
  <c r="H1026" i="2"/>
  <c r="I1026" i="2" s="1"/>
  <c r="F1026" i="2"/>
  <c r="G1026" i="2" s="1"/>
  <c r="D1026" i="2"/>
  <c r="E1026" i="2" s="1"/>
  <c r="B1026" i="2"/>
  <c r="C1026" i="2" s="1"/>
  <c r="A1026" i="2"/>
  <c r="H1025" i="2"/>
  <c r="I1025" i="2" s="1"/>
  <c r="F1025" i="2"/>
  <c r="G1025" i="2" s="1"/>
  <c r="D1025" i="2"/>
  <c r="E1025" i="2" s="1"/>
  <c r="B1025" i="2"/>
  <c r="C1025" i="2" s="1"/>
  <c r="A1025" i="2"/>
  <c r="H1024" i="2"/>
  <c r="I1024" i="2" s="1"/>
  <c r="F1024" i="2"/>
  <c r="G1024" i="2" s="1"/>
  <c r="D1024" i="2"/>
  <c r="E1024" i="2" s="1"/>
  <c r="B1024" i="2"/>
  <c r="C1024" i="2" s="1"/>
  <c r="A1024" i="2"/>
  <c r="H1023" i="2"/>
  <c r="I1023" i="2" s="1"/>
  <c r="F1023" i="2"/>
  <c r="G1023" i="2" s="1"/>
  <c r="D1023" i="2"/>
  <c r="E1023" i="2" s="1"/>
  <c r="B1023" i="2"/>
  <c r="C1023" i="2" s="1"/>
  <c r="A1023" i="2"/>
  <c r="H1022" i="2"/>
  <c r="I1022" i="2" s="1"/>
  <c r="F1022" i="2"/>
  <c r="G1022" i="2" s="1"/>
  <c r="D1022" i="2"/>
  <c r="E1022" i="2" s="1"/>
  <c r="B1022" i="2"/>
  <c r="C1022" i="2" s="1"/>
  <c r="A1022" i="2"/>
  <c r="H1021" i="2"/>
  <c r="I1021" i="2" s="1"/>
  <c r="F1021" i="2"/>
  <c r="G1021" i="2" s="1"/>
  <c r="D1021" i="2"/>
  <c r="E1021" i="2" s="1"/>
  <c r="B1021" i="2"/>
  <c r="C1021" i="2" s="1"/>
  <c r="A1021" i="2"/>
  <c r="H1020" i="2"/>
  <c r="I1020" i="2" s="1"/>
  <c r="F1020" i="2"/>
  <c r="G1020" i="2" s="1"/>
  <c r="D1020" i="2"/>
  <c r="E1020" i="2" s="1"/>
  <c r="B1020" i="2"/>
  <c r="C1020" i="2" s="1"/>
  <c r="A1020" i="2"/>
  <c r="H1019" i="2"/>
  <c r="I1019" i="2" s="1"/>
  <c r="F1019" i="2"/>
  <c r="G1019" i="2" s="1"/>
  <c r="D1019" i="2"/>
  <c r="E1019" i="2" s="1"/>
  <c r="B1019" i="2"/>
  <c r="C1019" i="2" s="1"/>
  <c r="A1019" i="2"/>
  <c r="H1018" i="2"/>
  <c r="I1018" i="2" s="1"/>
  <c r="F1018" i="2"/>
  <c r="G1018" i="2" s="1"/>
  <c r="D1018" i="2"/>
  <c r="E1018" i="2" s="1"/>
  <c r="B1018" i="2"/>
  <c r="C1018" i="2" s="1"/>
  <c r="A1018" i="2"/>
  <c r="H1017" i="2"/>
  <c r="I1017" i="2" s="1"/>
  <c r="F1017" i="2"/>
  <c r="G1017" i="2" s="1"/>
  <c r="D1017" i="2"/>
  <c r="E1017" i="2" s="1"/>
  <c r="B1017" i="2"/>
  <c r="C1017" i="2" s="1"/>
  <c r="A1017" i="2"/>
  <c r="H1016" i="2"/>
  <c r="I1016" i="2" s="1"/>
  <c r="F1016" i="2"/>
  <c r="G1016" i="2" s="1"/>
  <c r="D1016" i="2"/>
  <c r="E1016" i="2" s="1"/>
  <c r="B1016" i="2"/>
  <c r="C1016" i="2" s="1"/>
  <c r="A1016" i="2"/>
  <c r="H1015" i="2"/>
  <c r="I1015" i="2" s="1"/>
  <c r="F1015" i="2"/>
  <c r="G1015" i="2" s="1"/>
  <c r="D1015" i="2"/>
  <c r="E1015" i="2" s="1"/>
  <c r="B1015" i="2"/>
  <c r="C1015" i="2" s="1"/>
  <c r="A1015" i="2"/>
  <c r="H1014" i="2"/>
  <c r="I1014" i="2" s="1"/>
  <c r="F1014" i="2"/>
  <c r="G1014" i="2" s="1"/>
  <c r="D1014" i="2"/>
  <c r="E1014" i="2" s="1"/>
  <c r="B1014" i="2"/>
  <c r="C1014" i="2" s="1"/>
  <c r="A1014" i="2"/>
  <c r="H1013" i="2"/>
  <c r="I1013" i="2" s="1"/>
  <c r="F1013" i="2"/>
  <c r="G1013" i="2" s="1"/>
  <c r="D1013" i="2"/>
  <c r="E1013" i="2" s="1"/>
  <c r="B1013" i="2"/>
  <c r="C1013" i="2" s="1"/>
  <c r="A1013" i="2"/>
  <c r="H1012" i="2"/>
  <c r="I1012" i="2" s="1"/>
  <c r="F1012" i="2"/>
  <c r="G1012" i="2" s="1"/>
  <c r="D1012" i="2"/>
  <c r="E1012" i="2" s="1"/>
  <c r="B1012" i="2"/>
  <c r="C1012" i="2" s="1"/>
  <c r="A1012" i="2"/>
  <c r="H1011" i="2"/>
  <c r="I1011" i="2" s="1"/>
  <c r="F1011" i="2"/>
  <c r="G1011" i="2" s="1"/>
  <c r="D1011" i="2"/>
  <c r="E1011" i="2" s="1"/>
  <c r="B1011" i="2"/>
  <c r="C1011" i="2" s="1"/>
  <c r="A1011" i="2"/>
  <c r="H1010" i="2"/>
  <c r="I1010" i="2" s="1"/>
  <c r="F1010" i="2"/>
  <c r="G1010" i="2" s="1"/>
  <c r="D1010" i="2"/>
  <c r="E1010" i="2" s="1"/>
  <c r="B1010" i="2"/>
  <c r="C1010" i="2" s="1"/>
  <c r="A1010" i="2"/>
  <c r="H1009" i="2"/>
  <c r="I1009" i="2" s="1"/>
  <c r="F1009" i="2"/>
  <c r="G1009" i="2" s="1"/>
  <c r="D1009" i="2"/>
  <c r="E1009" i="2" s="1"/>
  <c r="B1009" i="2"/>
  <c r="C1009" i="2" s="1"/>
  <c r="A1009" i="2"/>
  <c r="H1008" i="2"/>
  <c r="I1008" i="2" s="1"/>
  <c r="F1008" i="2"/>
  <c r="G1008" i="2" s="1"/>
  <c r="D1008" i="2"/>
  <c r="E1008" i="2" s="1"/>
  <c r="B1008" i="2"/>
  <c r="C1008" i="2" s="1"/>
  <c r="A1008" i="2"/>
  <c r="H1007" i="2"/>
  <c r="I1007" i="2" s="1"/>
  <c r="F1007" i="2"/>
  <c r="G1007" i="2" s="1"/>
  <c r="D1007" i="2"/>
  <c r="E1007" i="2" s="1"/>
  <c r="B1007" i="2"/>
  <c r="C1007" i="2" s="1"/>
  <c r="A1007" i="2"/>
  <c r="H1006" i="2"/>
  <c r="I1006" i="2" s="1"/>
  <c r="F1006" i="2"/>
  <c r="G1006" i="2" s="1"/>
  <c r="D1006" i="2"/>
  <c r="E1006" i="2" s="1"/>
  <c r="B1006" i="2"/>
  <c r="C1006" i="2" s="1"/>
  <c r="A1006" i="2"/>
  <c r="H1005" i="2"/>
  <c r="I1005" i="2" s="1"/>
  <c r="F1005" i="2"/>
  <c r="G1005" i="2" s="1"/>
  <c r="D1005" i="2"/>
  <c r="E1005" i="2" s="1"/>
  <c r="B1005" i="2"/>
  <c r="C1005" i="2" s="1"/>
  <c r="A1005" i="2"/>
  <c r="H1004" i="2"/>
  <c r="I1004" i="2" s="1"/>
  <c r="F1004" i="2"/>
  <c r="G1004" i="2" s="1"/>
  <c r="D1004" i="2"/>
  <c r="E1004" i="2" s="1"/>
  <c r="B1004" i="2"/>
  <c r="C1004" i="2" s="1"/>
  <c r="A1004" i="2"/>
  <c r="H1003" i="2"/>
  <c r="I1003" i="2" s="1"/>
  <c r="F1003" i="2"/>
  <c r="G1003" i="2" s="1"/>
  <c r="D1003" i="2"/>
  <c r="E1003" i="2" s="1"/>
  <c r="B1003" i="2"/>
  <c r="C1003" i="2" s="1"/>
  <c r="A1003" i="2"/>
  <c r="H1002" i="2"/>
  <c r="I1002" i="2" s="1"/>
  <c r="F1002" i="2"/>
  <c r="G1002" i="2" s="1"/>
  <c r="D1002" i="2"/>
  <c r="E1002" i="2" s="1"/>
  <c r="B1002" i="2"/>
  <c r="C1002" i="2" s="1"/>
  <c r="A1002" i="2"/>
  <c r="H1001" i="2"/>
  <c r="I1001" i="2" s="1"/>
  <c r="F1001" i="2"/>
  <c r="G1001" i="2" s="1"/>
  <c r="D1001" i="2"/>
  <c r="E1001" i="2" s="1"/>
  <c r="B1001" i="2"/>
  <c r="C1001" i="2" s="1"/>
  <c r="A1001" i="2"/>
  <c r="H1000" i="2"/>
  <c r="I1000" i="2" s="1"/>
  <c r="F1000" i="2"/>
  <c r="G1000" i="2" s="1"/>
  <c r="D1000" i="2"/>
  <c r="E1000" i="2" s="1"/>
  <c r="B1000" i="2"/>
  <c r="C1000" i="2" s="1"/>
  <c r="A1000" i="2"/>
  <c r="H999" i="2"/>
  <c r="I999" i="2" s="1"/>
  <c r="F999" i="2"/>
  <c r="G999" i="2" s="1"/>
  <c r="D999" i="2"/>
  <c r="E999" i="2" s="1"/>
  <c r="B999" i="2"/>
  <c r="C999" i="2" s="1"/>
  <c r="A999" i="2"/>
  <c r="H998" i="2"/>
  <c r="I998" i="2" s="1"/>
  <c r="F998" i="2"/>
  <c r="G998" i="2" s="1"/>
  <c r="D998" i="2"/>
  <c r="E998" i="2" s="1"/>
  <c r="B998" i="2"/>
  <c r="C998" i="2" s="1"/>
  <c r="A998" i="2"/>
  <c r="H997" i="2"/>
  <c r="I997" i="2" s="1"/>
  <c r="F997" i="2"/>
  <c r="G997" i="2" s="1"/>
  <c r="D997" i="2"/>
  <c r="E997" i="2" s="1"/>
  <c r="B997" i="2"/>
  <c r="C997" i="2" s="1"/>
  <c r="A997" i="2"/>
  <c r="H996" i="2"/>
  <c r="I996" i="2" s="1"/>
  <c r="F996" i="2"/>
  <c r="G996" i="2" s="1"/>
  <c r="D996" i="2"/>
  <c r="E996" i="2" s="1"/>
  <c r="B996" i="2"/>
  <c r="C996" i="2" s="1"/>
  <c r="A996" i="2"/>
  <c r="H995" i="2"/>
  <c r="I995" i="2" s="1"/>
  <c r="F995" i="2"/>
  <c r="G995" i="2" s="1"/>
  <c r="D995" i="2"/>
  <c r="E995" i="2" s="1"/>
  <c r="B995" i="2"/>
  <c r="C995" i="2" s="1"/>
  <c r="A995" i="2"/>
  <c r="H994" i="2"/>
  <c r="I994" i="2" s="1"/>
  <c r="F994" i="2"/>
  <c r="G994" i="2" s="1"/>
  <c r="D994" i="2"/>
  <c r="E994" i="2" s="1"/>
  <c r="B994" i="2"/>
  <c r="C994" i="2" s="1"/>
  <c r="A994" i="2"/>
  <c r="H993" i="2"/>
  <c r="I993" i="2" s="1"/>
  <c r="F993" i="2"/>
  <c r="G993" i="2" s="1"/>
  <c r="D993" i="2"/>
  <c r="E993" i="2" s="1"/>
  <c r="B993" i="2"/>
  <c r="C993" i="2" s="1"/>
  <c r="A993" i="2"/>
  <c r="H992" i="2"/>
  <c r="I992" i="2" s="1"/>
  <c r="F992" i="2"/>
  <c r="G992" i="2" s="1"/>
  <c r="D992" i="2"/>
  <c r="E992" i="2" s="1"/>
  <c r="B992" i="2"/>
  <c r="C992" i="2" s="1"/>
  <c r="A992" i="2"/>
  <c r="H991" i="2"/>
  <c r="I991" i="2" s="1"/>
  <c r="F991" i="2"/>
  <c r="G991" i="2" s="1"/>
  <c r="D991" i="2"/>
  <c r="E991" i="2" s="1"/>
  <c r="B991" i="2"/>
  <c r="C991" i="2" s="1"/>
  <c r="A991" i="2"/>
  <c r="H990" i="2"/>
  <c r="I990" i="2" s="1"/>
  <c r="F990" i="2"/>
  <c r="G990" i="2" s="1"/>
  <c r="D990" i="2"/>
  <c r="E990" i="2" s="1"/>
  <c r="B990" i="2"/>
  <c r="C990" i="2" s="1"/>
  <c r="A990" i="2"/>
  <c r="H989" i="2"/>
  <c r="I989" i="2" s="1"/>
  <c r="F989" i="2"/>
  <c r="G989" i="2" s="1"/>
  <c r="D989" i="2"/>
  <c r="E989" i="2" s="1"/>
  <c r="B989" i="2"/>
  <c r="C989" i="2" s="1"/>
  <c r="A989" i="2"/>
  <c r="H988" i="2"/>
  <c r="I988" i="2" s="1"/>
  <c r="F988" i="2"/>
  <c r="G988" i="2" s="1"/>
  <c r="D988" i="2"/>
  <c r="E988" i="2" s="1"/>
  <c r="B988" i="2"/>
  <c r="C988" i="2" s="1"/>
  <c r="A988" i="2"/>
  <c r="H987" i="2"/>
  <c r="I987" i="2" s="1"/>
  <c r="F987" i="2"/>
  <c r="G987" i="2" s="1"/>
  <c r="D987" i="2"/>
  <c r="E987" i="2" s="1"/>
  <c r="B987" i="2"/>
  <c r="C987" i="2" s="1"/>
  <c r="A987" i="2"/>
  <c r="H986" i="2"/>
  <c r="I986" i="2" s="1"/>
  <c r="F986" i="2"/>
  <c r="G986" i="2" s="1"/>
  <c r="D986" i="2"/>
  <c r="E986" i="2" s="1"/>
  <c r="B986" i="2"/>
  <c r="C986" i="2" s="1"/>
  <c r="A986" i="2"/>
  <c r="H985" i="2"/>
  <c r="I985" i="2" s="1"/>
  <c r="F985" i="2"/>
  <c r="G985" i="2" s="1"/>
  <c r="D985" i="2"/>
  <c r="E985" i="2" s="1"/>
  <c r="B985" i="2"/>
  <c r="C985" i="2" s="1"/>
  <c r="A985" i="2"/>
  <c r="H984" i="2"/>
  <c r="I984" i="2" s="1"/>
  <c r="F984" i="2"/>
  <c r="G984" i="2" s="1"/>
  <c r="D984" i="2"/>
  <c r="E984" i="2" s="1"/>
  <c r="B984" i="2"/>
  <c r="C984" i="2" s="1"/>
  <c r="A984" i="2"/>
  <c r="H983" i="2"/>
  <c r="I983" i="2" s="1"/>
  <c r="F983" i="2"/>
  <c r="G983" i="2" s="1"/>
  <c r="D983" i="2"/>
  <c r="E983" i="2" s="1"/>
  <c r="B983" i="2"/>
  <c r="C983" i="2" s="1"/>
  <c r="A983" i="2"/>
  <c r="H982" i="2"/>
  <c r="I982" i="2" s="1"/>
  <c r="F982" i="2"/>
  <c r="G982" i="2" s="1"/>
  <c r="D982" i="2"/>
  <c r="E982" i="2" s="1"/>
  <c r="B982" i="2"/>
  <c r="C982" i="2" s="1"/>
  <c r="A982" i="2"/>
  <c r="H981" i="2"/>
  <c r="I981" i="2" s="1"/>
  <c r="F981" i="2"/>
  <c r="G981" i="2" s="1"/>
  <c r="D981" i="2"/>
  <c r="E981" i="2" s="1"/>
  <c r="B981" i="2"/>
  <c r="C981" i="2" s="1"/>
  <c r="A981" i="2"/>
  <c r="H980" i="2"/>
  <c r="I980" i="2" s="1"/>
  <c r="F980" i="2"/>
  <c r="G980" i="2" s="1"/>
  <c r="D980" i="2"/>
  <c r="E980" i="2" s="1"/>
  <c r="B980" i="2"/>
  <c r="C980" i="2" s="1"/>
  <c r="A980" i="2"/>
  <c r="H979" i="2"/>
  <c r="I979" i="2" s="1"/>
  <c r="F979" i="2"/>
  <c r="G979" i="2" s="1"/>
  <c r="D979" i="2"/>
  <c r="E979" i="2" s="1"/>
  <c r="B979" i="2"/>
  <c r="C979" i="2" s="1"/>
  <c r="A979" i="2"/>
  <c r="H978" i="2"/>
  <c r="I978" i="2" s="1"/>
  <c r="F978" i="2"/>
  <c r="G978" i="2" s="1"/>
  <c r="D978" i="2"/>
  <c r="E978" i="2" s="1"/>
  <c r="B978" i="2"/>
  <c r="C978" i="2" s="1"/>
  <c r="A978" i="2"/>
  <c r="H977" i="2"/>
  <c r="I977" i="2" s="1"/>
  <c r="F977" i="2"/>
  <c r="G977" i="2" s="1"/>
  <c r="D977" i="2"/>
  <c r="E977" i="2" s="1"/>
  <c r="B977" i="2"/>
  <c r="C977" i="2" s="1"/>
  <c r="A977" i="2"/>
  <c r="H976" i="2"/>
  <c r="I976" i="2" s="1"/>
  <c r="F976" i="2"/>
  <c r="G976" i="2" s="1"/>
  <c r="D976" i="2"/>
  <c r="E976" i="2" s="1"/>
  <c r="B976" i="2"/>
  <c r="C976" i="2" s="1"/>
  <c r="A976" i="2"/>
  <c r="H975" i="2"/>
  <c r="I975" i="2" s="1"/>
  <c r="F975" i="2"/>
  <c r="G975" i="2" s="1"/>
  <c r="D975" i="2"/>
  <c r="E975" i="2" s="1"/>
  <c r="B975" i="2"/>
  <c r="C975" i="2" s="1"/>
  <c r="A975" i="2"/>
  <c r="H974" i="2"/>
  <c r="I974" i="2" s="1"/>
  <c r="F974" i="2"/>
  <c r="G974" i="2" s="1"/>
  <c r="D974" i="2"/>
  <c r="E974" i="2" s="1"/>
  <c r="B974" i="2"/>
  <c r="C974" i="2" s="1"/>
  <c r="A974" i="2"/>
  <c r="H973" i="2"/>
  <c r="I973" i="2" s="1"/>
  <c r="F973" i="2"/>
  <c r="G973" i="2" s="1"/>
  <c r="D973" i="2"/>
  <c r="E973" i="2" s="1"/>
  <c r="B973" i="2"/>
  <c r="C973" i="2" s="1"/>
  <c r="A973" i="2"/>
  <c r="H972" i="2"/>
  <c r="I972" i="2" s="1"/>
  <c r="F972" i="2"/>
  <c r="G972" i="2" s="1"/>
  <c r="D972" i="2"/>
  <c r="E972" i="2" s="1"/>
  <c r="B972" i="2"/>
  <c r="C972" i="2" s="1"/>
  <c r="A972" i="2"/>
  <c r="H971" i="2"/>
  <c r="I971" i="2" s="1"/>
  <c r="F971" i="2"/>
  <c r="G971" i="2" s="1"/>
  <c r="D971" i="2"/>
  <c r="E971" i="2" s="1"/>
  <c r="B971" i="2"/>
  <c r="C971" i="2" s="1"/>
  <c r="A971" i="2"/>
  <c r="H970" i="2"/>
  <c r="I970" i="2" s="1"/>
  <c r="F970" i="2"/>
  <c r="G970" i="2" s="1"/>
  <c r="D970" i="2"/>
  <c r="E970" i="2" s="1"/>
  <c r="B970" i="2"/>
  <c r="C970" i="2" s="1"/>
  <c r="A970" i="2"/>
  <c r="H969" i="2"/>
  <c r="I969" i="2" s="1"/>
  <c r="F969" i="2"/>
  <c r="G969" i="2" s="1"/>
  <c r="D969" i="2"/>
  <c r="E969" i="2" s="1"/>
  <c r="B969" i="2"/>
  <c r="C969" i="2" s="1"/>
  <c r="A969" i="2"/>
  <c r="H968" i="2"/>
  <c r="I968" i="2" s="1"/>
  <c r="F968" i="2"/>
  <c r="G968" i="2" s="1"/>
  <c r="D968" i="2"/>
  <c r="E968" i="2" s="1"/>
  <c r="B968" i="2"/>
  <c r="C968" i="2" s="1"/>
  <c r="A968" i="2"/>
  <c r="H967" i="2"/>
  <c r="I967" i="2" s="1"/>
  <c r="F967" i="2"/>
  <c r="G967" i="2" s="1"/>
  <c r="D967" i="2"/>
  <c r="E967" i="2" s="1"/>
  <c r="B967" i="2"/>
  <c r="C967" i="2" s="1"/>
  <c r="A967" i="2"/>
  <c r="H966" i="2"/>
  <c r="I966" i="2" s="1"/>
  <c r="F966" i="2"/>
  <c r="G966" i="2" s="1"/>
  <c r="D966" i="2"/>
  <c r="E966" i="2" s="1"/>
  <c r="B966" i="2"/>
  <c r="C966" i="2" s="1"/>
  <c r="A966" i="2"/>
  <c r="H965" i="2"/>
  <c r="I965" i="2" s="1"/>
  <c r="F965" i="2"/>
  <c r="G965" i="2" s="1"/>
  <c r="D965" i="2"/>
  <c r="E965" i="2" s="1"/>
  <c r="B965" i="2"/>
  <c r="C965" i="2" s="1"/>
  <c r="A965" i="2"/>
  <c r="H964" i="2"/>
  <c r="I964" i="2" s="1"/>
  <c r="F964" i="2"/>
  <c r="G964" i="2" s="1"/>
  <c r="D964" i="2"/>
  <c r="E964" i="2" s="1"/>
  <c r="B964" i="2"/>
  <c r="C964" i="2" s="1"/>
  <c r="A964" i="2"/>
  <c r="H963" i="2"/>
  <c r="I963" i="2" s="1"/>
  <c r="F963" i="2"/>
  <c r="G963" i="2" s="1"/>
  <c r="D963" i="2"/>
  <c r="E963" i="2" s="1"/>
  <c r="B963" i="2"/>
  <c r="C963" i="2" s="1"/>
  <c r="A963" i="2"/>
  <c r="H962" i="2"/>
  <c r="I962" i="2" s="1"/>
  <c r="F962" i="2"/>
  <c r="G962" i="2" s="1"/>
  <c r="D962" i="2"/>
  <c r="E962" i="2" s="1"/>
  <c r="B962" i="2"/>
  <c r="C962" i="2" s="1"/>
  <c r="A962" i="2"/>
  <c r="H961" i="2"/>
  <c r="I961" i="2" s="1"/>
  <c r="F961" i="2"/>
  <c r="G961" i="2" s="1"/>
  <c r="D961" i="2"/>
  <c r="E961" i="2" s="1"/>
  <c r="B961" i="2"/>
  <c r="C961" i="2" s="1"/>
  <c r="A961" i="2"/>
  <c r="H960" i="2"/>
  <c r="I960" i="2" s="1"/>
  <c r="F960" i="2"/>
  <c r="G960" i="2" s="1"/>
  <c r="D960" i="2"/>
  <c r="E960" i="2" s="1"/>
  <c r="B960" i="2"/>
  <c r="C960" i="2" s="1"/>
  <c r="A960" i="2"/>
  <c r="H959" i="2"/>
  <c r="I959" i="2" s="1"/>
  <c r="F959" i="2"/>
  <c r="G959" i="2" s="1"/>
  <c r="D959" i="2"/>
  <c r="E959" i="2" s="1"/>
  <c r="B959" i="2"/>
  <c r="C959" i="2" s="1"/>
  <c r="A959" i="2"/>
  <c r="H958" i="2"/>
  <c r="I958" i="2" s="1"/>
  <c r="F958" i="2"/>
  <c r="G958" i="2" s="1"/>
  <c r="D958" i="2"/>
  <c r="E958" i="2" s="1"/>
  <c r="B958" i="2"/>
  <c r="C958" i="2" s="1"/>
  <c r="A958" i="2"/>
  <c r="H957" i="2"/>
  <c r="I957" i="2" s="1"/>
  <c r="F957" i="2"/>
  <c r="G957" i="2" s="1"/>
  <c r="D957" i="2"/>
  <c r="E957" i="2" s="1"/>
  <c r="B957" i="2"/>
  <c r="C957" i="2" s="1"/>
  <c r="A957" i="2"/>
  <c r="H956" i="2"/>
  <c r="I956" i="2" s="1"/>
  <c r="F956" i="2"/>
  <c r="G956" i="2" s="1"/>
  <c r="D956" i="2"/>
  <c r="E956" i="2" s="1"/>
  <c r="B956" i="2"/>
  <c r="C956" i="2" s="1"/>
  <c r="A956" i="2"/>
  <c r="H955" i="2"/>
  <c r="I955" i="2" s="1"/>
  <c r="F955" i="2"/>
  <c r="G955" i="2" s="1"/>
  <c r="D955" i="2"/>
  <c r="E955" i="2" s="1"/>
  <c r="B955" i="2"/>
  <c r="C955" i="2" s="1"/>
  <c r="A955" i="2"/>
  <c r="H954" i="2"/>
  <c r="I954" i="2" s="1"/>
  <c r="F954" i="2"/>
  <c r="G954" i="2" s="1"/>
  <c r="D954" i="2"/>
  <c r="E954" i="2" s="1"/>
  <c r="B954" i="2"/>
  <c r="C954" i="2" s="1"/>
  <c r="A954" i="2"/>
  <c r="H953" i="2"/>
  <c r="I953" i="2" s="1"/>
  <c r="F953" i="2"/>
  <c r="G953" i="2" s="1"/>
  <c r="D953" i="2"/>
  <c r="E953" i="2" s="1"/>
  <c r="B953" i="2"/>
  <c r="C953" i="2" s="1"/>
  <c r="A953" i="2"/>
  <c r="H952" i="2"/>
  <c r="I952" i="2" s="1"/>
  <c r="F952" i="2"/>
  <c r="G952" i="2" s="1"/>
  <c r="D952" i="2"/>
  <c r="E952" i="2" s="1"/>
  <c r="B952" i="2"/>
  <c r="C952" i="2" s="1"/>
  <c r="A952" i="2"/>
  <c r="H951" i="2"/>
  <c r="I951" i="2" s="1"/>
  <c r="F951" i="2"/>
  <c r="G951" i="2" s="1"/>
  <c r="D951" i="2"/>
  <c r="E951" i="2" s="1"/>
  <c r="B951" i="2"/>
  <c r="C951" i="2" s="1"/>
  <c r="A951" i="2"/>
  <c r="H950" i="2"/>
  <c r="I950" i="2" s="1"/>
  <c r="F950" i="2"/>
  <c r="G950" i="2" s="1"/>
  <c r="D950" i="2"/>
  <c r="E950" i="2" s="1"/>
  <c r="B950" i="2"/>
  <c r="C950" i="2" s="1"/>
  <c r="A950" i="2"/>
  <c r="H949" i="2"/>
  <c r="I949" i="2" s="1"/>
  <c r="F949" i="2"/>
  <c r="G949" i="2" s="1"/>
  <c r="D949" i="2"/>
  <c r="E949" i="2" s="1"/>
  <c r="B949" i="2"/>
  <c r="C949" i="2" s="1"/>
  <c r="A949" i="2"/>
  <c r="H948" i="2"/>
  <c r="I948" i="2" s="1"/>
  <c r="F948" i="2"/>
  <c r="G948" i="2" s="1"/>
  <c r="D948" i="2"/>
  <c r="E948" i="2" s="1"/>
  <c r="B948" i="2"/>
  <c r="C948" i="2" s="1"/>
  <c r="A948" i="2"/>
  <c r="H947" i="2"/>
  <c r="I947" i="2" s="1"/>
  <c r="F947" i="2"/>
  <c r="G947" i="2" s="1"/>
  <c r="D947" i="2"/>
  <c r="E947" i="2" s="1"/>
  <c r="B947" i="2"/>
  <c r="C947" i="2" s="1"/>
  <c r="A947" i="2"/>
  <c r="H946" i="2"/>
  <c r="I946" i="2" s="1"/>
  <c r="F946" i="2"/>
  <c r="G946" i="2" s="1"/>
  <c r="D946" i="2"/>
  <c r="E946" i="2" s="1"/>
  <c r="B946" i="2"/>
  <c r="C946" i="2" s="1"/>
  <c r="A946" i="2"/>
  <c r="H945" i="2"/>
  <c r="I945" i="2" s="1"/>
  <c r="F945" i="2"/>
  <c r="G945" i="2" s="1"/>
  <c r="D945" i="2"/>
  <c r="E945" i="2" s="1"/>
  <c r="B945" i="2"/>
  <c r="C945" i="2" s="1"/>
  <c r="A945" i="2"/>
  <c r="H944" i="2"/>
  <c r="I944" i="2" s="1"/>
  <c r="F944" i="2"/>
  <c r="G944" i="2" s="1"/>
  <c r="D944" i="2"/>
  <c r="E944" i="2" s="1"/>
  <c r="B944" i="2"/>
  <c r="C944" i="2" s="1"/>
  <c r="A944" i="2"/>
  <c r="H943" i="2"/>
  <c r="I943" i="2" s="1"/>
  <c r="F943" i="2"/>
  <c r="G943" i="2" s="1"/>
  <c r="D943" i="2"/>
  <c r="E943" i="2" s="1"/>
  <c r="B943" i="2"/>
  <c r="C943" i="2" s="1"/>
  <c r="A943" i="2"/>
  <c r="H942" i="2"/>
  <c r="I942" i="2" s="1"/>
  <c r="F942" i="2"/>
  <c r="G942" i="2" s="1"/>
  <c r="D942" i="2"/>
  <c r="E942" i="2" s="1"/>
  <c r="B942" i="2"/>
  <c r="C942" i="2" s="1"/>
  <c r="A942" i="2"/>
  <c r="H941" i="2"/>
  <c r="I941" i="2" s="1"/>
  <c r="F941" i="2"/>
  <c r="G941" i="2" s="1"/>
  <c r="D941" i="2"/>
  <c r="E941" i="2" s="1"/>
  <c r="B941" i="2"/>
  <c r="C941" i="2" s="1"/>
  <c r="A941" i="2"/>
  <c r="H940" i="2"/>
  <c r="I940" i="2" s="1"/>
  <c r="F940" i="2"/>
  <c r="G940" i="2" s="1"/>
  <c r="D940" i="2"/>
  <c r="E940" i="2" s="1"/>
  <c r="B940" i="2"/>
  <c r="C940" i="2" s="1"/>
  <c r="A940" i="2"/>
  <c r="H939" i="2"/>
  <c r="I939" i="2" s="1"/>
  <c r="F939" i="2"/>
  <c r="G939" i="2" s="1"/>
  <c r="D939" i="2"/>
  <c r="E939" i="2" s="1"/>
  <c r="B939" i="2"/>
  <c r="C939" i="2" s="1"/>
  <c r="A939" i="2"/>
  <c r="H938" i="2"/>
  <c r="I938" i="2" s="1"/>
  <c r="F938" i="2"/>
  <c r="G938" i="2" s="1"/>
  <c r="D938" i="2"/>
  <c r="E938" i="2" s="1"/>
  <c r="B938" i="2"/>
  <c r="C938" i="2" s="1"/>
  <c r="A938" i="2"/>
  <c r="H937" i="2"/>
  <c r="I937" i="2" s="1"/>
  <c r="F937" i="2"/>
  <c r="G937" i="2" s="1"/>
  <c r="D937" i="2"/>
  <c r="E937" i="2" s="1"/>
  <c r="B937" i="2"/>
  <c r="C937" i="2" s="1"/>
  <c r="A937" i="2"/>
  <c r="H936" i="2"/>
  <c r="I936" i="2" s="1"/>
  <c r="F936" i="2"/>
  <c r="G936" i="2" s="1"/>
  <c r="D936" i="2"/>
  <c r="E936" i="2" s="1"/>
  <c r="B936" i="2"/>
  <c r="C936" i="2" s="1"/>
  <c r="A936" i="2"/>
  <c r="H935" i="2"/>
  <c r="I935" i="2" s="1"/>
  <c r="F935" i="2"/>
  <c r="G935" i="2" s="1"/>
  <c r="D935" i="2"/>
  <c r="E935" i="2" s="1"/>
  <c r="B935" i="2"/>
  <c r="C935" i="2" s="1"/>
  <c r="A935" i="2"/>
  <c r="H934" i="2"/>
  <c r="I934" i="2" s="1"/>
  <c r="F934" i="2"/>
  <c r="G934" i="2" s="1"/>
  <c r="D934" i="2"/>
  <c r="E934" i="2" s="1"/>
  <c r="B934" i="2"/>
  <c r="C934" i="2" s="1"/>
  <c r="A934" i="2"/>
  <c r="H933" i="2"/>
  <c r="I933" i="2" s="1"/>
  <c r="F933" i="2"/>
  <c r="G933" i="2" s="1"/>
  <c r="D933" i="2"/>
  <c r="E933" i="2" s="1"/>
  <c r="B933" i="2"/>
  <c r="C933" i="2" s="1"/>
  <c r="A933" i="2"/>
  <c r="H932" i="2"/>
  <c r="I932" i="2" s="1"/>
  <c r="F932" i="2"/>
  <c r="G932" i="2" s="1"/>
  <c r="D932" i="2"/>
  <c r="E932" i="2" s="1"/>
  <c r="B932" i="2"/>
  <c r="C932" i="2" s="1"/>
  <c r="A932" i="2"/>
  <c r="H931" i="2"/>
  <c r="I931" i="2" s="1"/>
  <c r="F931" i="2"/>
  <c r="G931" i="2" s="1"/>
  <c r="D931" i="2"/>
  <c r="E931" i="2" s="1"/>
  <c r="B931" i="2"/>
  <c r="C931" i="2" s="1"/>
  <c r="A931" i="2"/>
  <c r="H930" i="2"/>
  <c r="I930" i="2" s="1"/>
  <c r="F930" i="2"/>
  <c r="G930" i="2" s="1"/>
  <c r="D930" i="2"/>
  <c r="E930" i="2" s="1"/>
  <c r="B930" i="2"/>
  <c r="C930" i="2" s="1"/>
  <c r="A930" i="2"/>
  <c r="H929" i="2"/>
  <c r="I929" i="2" s="1"/>
  <c r="F929" i="2"/>
  <c r="G929" i="2" s="1"/>
  <c r="D929" i="2"/>
  <c r="E929" i="2" s="1"/>
  <c r="B929" i="2"/>
  <c r="C929" i="2" s="1"/>
  <c r="A929" i="2"/>
  <c r="H928" i="2"/>
  <c r="I928" i="2" s="1"/>
  <c r="F928" i="2"/>
  <c r="G928" i="2" s="1"/>
  <c r="D928" i="2"/>
  <c r="E928" i="2" s="1"/>
  <c r="B928" i="2"/>
  <c r="C928" i="2" s="1"/>
  <c r="A928" i="2"/>
  <c r="H927" i="2"/>
  <c r="I927" i="2" s="1"/>
  <c r="F927" i="2"/>
  <c r="G927" i="2" s="1"/>
  <c r="D927" i="2"/>
  <c r="E927" i="2" s="1"/>
  <c r="B927" i="2"/>
  <c r="C927" i="2" s="1"/>
  <c r="A927" i="2"/>
  <c r="H926" i="2"/>
  <c r="I926" i="2" s="1"/>
  <c r="F926" i="2"/>
  <c r="G926" i="2" s="1"/>
  <c r="D926" i="2"/>
  <c r="E926" i="2" s="1"/>
  <c r="B926" i="2"/>
  <c r="C926" i="2" s="1"/>
  <c r="A926" i="2"/>
  <c r="H925" i="2"/>
  <c r="I925" i="2" s="1"/>
  <c r="F925" i="2"/>
  <c r="G925" i="2" s="1"/>
  <c r="D925" i="2"/>
  <c r="E925" i="2" s="1"/>
  <c r="B925" i="2"/>
  <c r="C925" i="2" s="1"/>
  <c r="A925" i="2"/>
  <c r="H924" i="2"/>
  <c r="I924" i="2" s="1"/>
  <c r="F924" i="2"/>
  <c r="G924" i="2" s="1"/>
  <c r="D924" i="2"/>
  <c r="E924" i="2" s="1"/>
  <c r="B924" i="2"/>
  <c r="C924" i="2" s="1"/>
  <c r="A924" i="2"/>
  <c r="H923" i="2"/>
  <c r="I923" i="2" s="1"/>
  <c r="F923" i="2"/>
  <c r="G923" i="2" s="1"/>
  <c r="D923" i="2"/>
  <c r="E923" i="2" s="1"/>
  <c r="B923" i="2"/>
  <c r="C923" i="2" s="1"/>
  <c r="A923" i="2"/>
  <c r="H922" i="2"/>
  <c r="I922" i="2" s="1"/>
  <c r="F922" i="2"/>
  <c r="G922" i="2" s="1"/>
  <c r="D922" i="2"/>
  <c r="E922" i="2" s="1"/>
  <c r="B922" i="2"/>
  <c r="C922" i="2" s="1"/>
  <c r="A922" i="2"/>
  <c r="H921" i="2"/>
  <c r="I921" i="2" s="1"/>
  <c r="F921" i="2"/>
  <c r="G921" i="2" s="1"/>
  <c r="D921" i="2"/>
  <c r="E921" i="2" s="1"/>
  <c r="B921" i="2"/>
  <c r="C921" i="2" s="1"/>
  <c r="A921" i="2"/>
  <c r="H920" i="2"/>
  <c r="I920" i="2" s="1"/>
  <c r="F920" i="2"/>
  <c r="G920" i="2" s="1"/>
  <c r="D920" i="2"/>
  <c r="E920" i="2" s="1"/>
  <c r="B920" i="2"/>
  <c r="C920" i="2" s="1"/>
  <c r="A920" i="2"/>
  <c r="H919" i="2"/>
  <c r="I919" i="2" s="1"/>
  <c r="F919" i="2"/>
  <c r="G919" i="2" s="1"/>
  <c r="D919" i="2"/>
  <c r="E919" i="2" s="1"/>
  <c r="B919" i="2"/>
  <c r="C919" i="2" s="1"/>
  <c r="A919" i="2"/>
  <c r="H918" i="2"/>
  <c r="I918" i="2" s="1"/>
  <c r="F918" i="2"/>
  <c r="G918" i="2" s="1"/>
  <c r="D918" i="2"/>
  <c r="E918" i="2" s="1"/>
  <c r="B918" i="2"/>
  <c r="C918" i="2" s="1"/>
  <c r="A918" i="2"/>
  <c r="H917" i="2"/>
  <c r="I917" i="2" s="1"/>
  <c r="F917" i="2"/>
  <c r="G917" i="2" s="1"/>
  <c r="D917" i="2"/>
  <c r="E917" i="2" s="1"/>
  <c r="B917" i="2"/>
  <c r="C917" i="2" s="1"/>
  <c r="A917" i="2"/>
  <c r="H916" i="2"/>
  <c r="I916" i="2" s="1"/>
  <c r="F916" i="2"/>
  <c r="G916" i="2" s="1"/>
  <c r="D916" i="2"/>
  <c r="E916" i="2" s="1"/>
  <c r="B916" i="2"/>
  <c r="C916" i="2" s="1"/>
  <c r="A916" i="2"/>
  <c r="H915" i="2"/>
  <c r="I915" i="2" s="1"/>
  <c r="F915" i="2"/>
  <c r="G915" i="2" s="1"/>
  <c r="D915" i="2"/>
  <c r="E915" i="2" s="1"/>
  <c r="B915" i="2"/>
  <c r="C915" i="2" s="1"/>
  <c r="A915" i="2"/>
  <c r="H914" i="2"/>
  <c r="I914" i="2" s="1"/>
  <c r="F914" i="2"/>
  <c r="G914" i="2" s="1"/>
  <c r="D914" i="2"/>
  <c r="E914" i="2" s="1"/>
  <c r="B914" i="2"/>
  <c r="C914" i="2" s="1"/>
  <c r="A914" i="2"/>
  <c r="H913" i="2"/>
  <c r="I913" i="2" s="1"/>
  <c r="F913" i="2"/>
  <c r="G913" i="2" s="1"/>
  <c r="D913" i="2"/>
  <c r="E913" i="2" s="1"/>
  <c r="B913" i="2"/>
  <c r="C913" i="2" s="1"/>
  <c r="A913" i="2"/>
  <c r="H912" i="2"/>
  <c r="I912" i="2" s="1"/>
  <c r="F912" i="2"/>
  <c r="G912" i="2" s="1"/>
  <c r="D912" i="2"/>
  <c r="E912" i="2" s="1"/>
  <c r="B912" i="2"/>
  <c r="C912" i="2" s="1"/>
  <c r="A912" i="2"/>
  <c r="H911" i="2"/>
  <c r="I911" i="2" s="1"/>
  <c r="F911" i="2"/>
  <c r="G911" i="2" s="1"/>
  <c r="D911" i="2"/>
  <c r="E911" i="2" s="1"/>
  <c r="B911" i="2"/>
  <c r="C911" i="2" s="1"/>
  <c r="A911" i="2"/>
  <c r="H910" i="2"/>
  <c r="I910" i="2" s="1"/>
  <c r="F910" i="2"/>
  <c r="G910" i="2" s="1"/>
  <c r="D910" i="2"/>
  <c r="E910" i="2" s="1"/>
  <c r="B910" i="2"/>
  <c r="C910" i="2" s="1"/>
  <c r="A910" i="2"/>
  <c r="H909" i="2"/>
  <c r="I909" i="2" s="1"/>
  <c r="F909" i="2"/>
  <c r="G909" i="2" s="1"/>
  <c r="D909" i="2"/>
  <c r="E909" i="2" s="1"/>
  <c r="B909" i="2"/>
  <c r="C909" i="2" s="1"/>
  <c r="A909" i="2"/>
  <c r="H908" i="2"/>
  <c r="I908" i="2" s="1"/>
  <c r="F908" i="2"/>
  <c r="G908" i="2" s="1"/>
  <c r="D908" i="2"/>
  <c r="E908" i="2" s="1"/>
  <c r="B908" i="2"/>
  <c r="C908" i="2" s="1"/>
  <c r="A908" i="2"/>
  <c r="H907" i="2"/>
  <c r="I907" i="2" s="1"/>
  <c r="F907" i="2"/>
  <c r="G907" i="2" s="1"/>
  <c r="D907" i="2"/>
  <c r="E907" i="2" s="1"/>
  <c r="B907" i="2"/>
  <c r="C907" i="2" s="1"/>
  <c r="A907" i="2"/>
  <c r="H906" i="2"/>
  <c r="I906" i="2" s="1"/>
  <c r="F906" i="2"/>
  <c r="G906" i="2" s="1"/>
  <c r="D906" i="2"/>
  <c r="E906" i="2" s="1"/>
  <c r="B906" i="2"/>
  <c r="C906" i="2" s="1"/>
  <c r="A906" i="2"/>
  <c r="H905" i="2"/>
  <c r="I905" i="2" s="1"/>
  <c r="F905" i="2"/>
  <c r="G905" i="2" s="1"/>
  <c r="D905" i="2"/>
  <c r="E905" i="2" s="1"/>
  <c r="B905" i="2"/>
  <c r="C905" i="2" s="1"/>
  <c r="A905" i="2"/>
  <c r="H904" i="2"/>
  <c r="I904" i="2" s="1"/>
  <c r="F904" i="2"/>
  <c r="G904" i="2" s="1"/>
  <c r="D904" i="2"/>
  <c r="E904" i="2" s="1"/>
  <c r="B904" i="2"/>
  <c r="C904" i="2" s="1"/>
  <c r="A904" i="2"/>
  <c r="H903" i="2"/>
  <c r="I903" i="2" s="1"/>
  <c r="F903" i="2"/>
  <c r="G903" i="2" s="1"/>
  <c r="D903" i="2"/>
  <c r="E903" i="2" s="1"/>
  <c r="B903" i="2"/>
  <c r="C903" i="2" s="1"/>
  <c r="A903" i="2"/>
  <c r="H902" i="2"/>
  <c r="I902" i="2" s="1"/>
  <c r="F902" i="2"/>
  <c r="G902" i="2" s="1"/>
  <c r="D902" i="2"/>
  <c r="E902" i="2" s="1"/>
  <c r="B902" i="2"/>
  <c r="C902" i="2" s="1"/>
  <c r="A902" i="2"/>
  <c r="H901" i="2"/>
  <c r="I901" i="2" s="1"/>
  <c r="F901" i="2"/>
  <c r="G901" i="2" s="1"/>
  <c r="D901" i="2"/>
  <c r="E901" i="2" s="1"/>
  <c r="B901" i="2"/>
  <c r="C901" i="2" s="1"/>
  <c r="A901" i="2"/>
  <c r="H900" i="2"/>
  <c r="I900" i="2" s="1"/>
  <c r="F900" i="2"/>
  <c r="G900" i="2" s="1"/>
  <c r="D900" i="2"/>
  <c r="E900" i="2" s="1"/>
  <c r="B900" i="2"/>
  <c r="C900" i="2" s="1"/>
  <c r="A900" i="2"/>
  <c r="H899" i="2"/>
  <c r="I899" i="2" s="1"/>
  <c r="F899" i="2"/>
  <c r="G899" i="2" s="1"/>
  <c r="D899" i="2"/>
  <c r="E899" i="2" s="1"/>
  <c r="B899" i="2"/>
  <c r="C899" i="2" s="1"/>
  <c r="A899" i="2"/>
  <c r="H898" i="2"/>
  <c r="I898" i="2" s="1"/>
  <c r="F898" i="2"/>
  <c r="G898" i="2" s="1"/>
  <c r="D898" i="2"/>
  <c r="E898" i="2" s="1"/>
  <c r="B898" i="2"/>
  <c r="C898" i="2" s="1"/>
  <c r="A898" i="2"/>
  <c r="H897" i="2"/>
  <c r="I897" i="2" s="1"/>
  <c r="F897" i="2"/>
  <c r="G897" i="2" s="1"/>
  <c r="D897" i="2"/>
  <c r="E897" i="2" s="1"/>
  <c r="B897" i="2"/>
  <c r="C897" i="2" s="1"/>
  <c r="A897" i="2"/>
  <c r="H896" i="2"/>
  <c r="I896" i="2" s="1"/>
  <c r="F896" i="2"/>
  <c r="G896" i="2" s="1"/>
  <c r="D896" i="2"/>
  <c r="E896" i="2" s="1"/>
  <c r="B896" i="2"/>
  <c r="C896" i="2" s="1"/>
  <c r="A896" i="2"/>
  <c r="H895" i="2"/>
  <c r="I895" i="2" s="1"/>
  <c r="F895" i="2"/>
  <c r="G895" i="2" s="1"/>
  <c r="D895" i="2"/>
  <c r="E895" i="2" s="1"/>
  <c r="B895" i="2"/>
  <c r="C895" i="2" s="1"/>
  <c r="A895" i="2"/>
  <c r="H894" i="2"/>
  <c r="I894" i="2" s="1"/>
  <c r="F894" i="2"/>
  <c r="G894" i="2" s="1"/>
  <c r="D894" i="2"/>
  <c r="E894" i="2" s="1"/>
  <c r="B894" i="2"/>
  <c r="C894" i="2" s="1"/>
  <c r="A894" i="2"/>
  <c r="H893" i="2"/>
  <c r="I893" i="2" s="1"/>
  <c r="F893" i="2"/>
  <c r="G893" i="2" s="1"/>
  <c r="D893" i="2"/>
  <c r="E893" i="2" s="1"/>
  <c r="B893" i="2"/>
  <c r="C893" i="2" s="1"/>
  <c r="A893" i="2"/>
  <c r="H892" i="2"/>
  <c r="I892" i="2" s="1"/>
  <c r="F892" i="2"/>
  <c r="G892" i="2" s="1"/>
  <c r="D892" i="2"/>
  <c r="E892" i="2" s="1"/>
  <c r="B892" i="2"/>
  <c r="C892" i="2" s="1"/>
  <c r="A892" i="2"/>
  <c r="H891" i="2"/>
  <c r="I891" i="2" s="1"/>
  <c r="F891" i="2"/>
  <c r="G891" i="2" s="1"/>
  <c r="D891" i="2"/>
  <c r="E891" i="2" s="1"/>
  <c r="B891" i="2"/>
  <c r="C891" i="2" s="1"/>
  <c r="A891" i="2"/>
  <c r="H890" i="2"/>
  <c r="I890" i="2" s="1"/>
  <c r="F890" i="2"/>
  <c r="G890" i="2" s="1"/>
  <c r="D890" i="2"/>
  <c r="E890" i="2" s="1"/>
  <c r="B890" i="2"/>
  <c r="C890" i="2" s="1"/>
  <c r="A890" i="2"/>
  <c r="H889" i="2"/>
  <c r="I889" i="2" s="1"/>
  <c r="F889" i="2"/>
  <c r="G889" i="2" s="1"/>
  <c r="D889" i="2"/>
  <c r="E889" i="2" s="1"/>
  <c r="B889" i="2"/>
  <c r="C889" i="2" s="1"/>
  <c r="A889" i="2"/>
  <c r="H888" i="2"/>
  <c r="I888" i="2" s="1"/>
  <c r="F888" i="2"/>
  <c r="G888" i="2" s="1"/>
  <c r="D888" i="2"/>
  <c r="E888" i="2" s="1"/>
  <c r="B888" i="2"/>
  <c r="C888" i="2" s="1"/>
  <c r="A888" i="2"/>
  <c r="H887" i="2"/>
  <c r="I887" i="2" s="1"/>
  <c r="F887" i="2"/>
  <c r="G887" i="2" s="1"/>
  <c r="D887" i="2"/>
  <c r="E887" i="2" s="1"/>
  <c r="B887" i="2"/>
  <c r="C887" i="2" s="1"/>
  <c r="A887" i="2"/>
  <c r="H886" i="2"/>
  <c r="I886" i="2" s="1"/>
  <c r="F886" i="2"/>
  <c r="G886" i="2" s="1"/>
  <c r="D886" i="2"/>
  <c r="E886" i="2" s="1"/>
  <c r="B886" i="2"/>
  <c r="C886" i="2" s="1"/>
  <c r="A886" i="2"/>
  <c r="H885" i="2"/>
  <c r="I885" i="2" s="1"/>
  <c r="F885" i="2"/>
  <c r="G885" i="2" s="1"/>
  <c r="D885" i="2"/>
  <c r="E885" i="2" s="1"/>
  <c r="B885" i="2"/>
  <c r="C885" i="2" s="1"/>
  <c r="A885" i="2"/>
  <c r="H884" i="2"/>
  <c r="I884" i="2" s="1"/>
  <c r="F884" i="2"/>
  <c r="G884" i="2" s="1"/>
  <c r="D884" i="2"/>
  <c r="E884" i="2" s="1"/>
  <c r="B884" i="2"/>
  <c r="C884" i="2" s="1"/>
  <c r="A884" i="2"/>
  <c r="H883" i="2"/>
  <c r="I883" i="2" s="1"/>
  <c r="F883" i="2"/>
  <c r="G883" i="2" s="1"/>
  <c r="D883" i="2"/>
  <c r="E883" i="2" s="1"/>
  <c r="B883" i="2"/>
  <c r="C883" i="2" s="1"/>
  <c r="A883" i="2"/>
  <c r="H882" i="2"/>
  <c r="I882" i="2" s="1"/>
  <c r="F882" i="2"/>
  <c r="G882" i="2" s="1"/>
  <c r="D882" i="2"/>
  <c r="E882" i="2" s="1"/>
  <c r="B882" i="2"/>
  <c r="C882" i="2" s="1"/>
  <c r="A882" i="2"/>
  <c r="H881" i="2"/>
  <c r="I881" i="2" s="1"/>
  <c r="F881" i="2"/>
  <c r="G881" i="2" s="1"/>
  <c r="D881" i="2"/>
  <c r="E881" i="2" s="1"/>
  <c r="B881" i="2"/>
  <c r="C881" i="2" s="1"/>
  <c r="A881" i="2"/>
  <c r="H880" i="2"/>
  <c r="I880" i="2" s="1"/>
  <c r="F880" i="2"/>
  <c r="G880" i="2" s="1"/>
  <c r="D880" i="2"/>
  <c r="E880" i="2" s="1"/>
  <c r="B880" i="2"/>
  <c r="C880" i="2" s="1"/>
  <c r="A880" i="2"/>
  <c r="H879" i="2"/>
  <c r="I879" i="2" s="1"/>
  <c r="F879" i="2"/>
  <c r="G879" i="2" s="1"/>
  <c r="D879" i="2"/>
  <c r="E879" i="2" s="1"/>
  <c r="B879" i="2"/>
  <c r="C879" i="2" s="1"/>
  <c r="A879" i="2"/>
  <c r="H878" i="2"/>
  <c r="I878" i="2" s="1"/>
  <c r="F878" i="2"/>
  <c r="G878" i="2" s="1"/>
  <c r="D878" i="2"/>
  <c r="E878" i="2" s="1"/>
  <c r="B878" i="2"/>
  <c r="C878" i="2" s="1"/>
  <c r="A878" i="2"/>
  <c r="H877" i="2"/>
  <c r="I877" i="2" s="1"/>
  <c r="F877" i="2"/>
  <c r="G877" i="2" s="1"/>
  <c r="D877" i="2"/>
  <c r="E877" i="2" s="1"/>
  <c r="B877" i="2"/>
  <c r="C877" i="2" s="1"/>
  <c r="A877" i="2"/>
  <c r="H876" i="2"/>
  <c r="I876" i="2" s="1"/>
  <c r="F876" i="2"/>
  <c r="G876" i="2" s="1"/>
  <c r="D876" i="2"/>
  <c r="E876" i="2" s="1"/>
  <c r="B876" i="2"/>
  <c r="C876" i="2" s="1"/>
  <c r="A876" i="2"/>
  <c r="H875" i="2"/>
  <c r="I875" i="2" s="1"/>
  <c r="F875" i="2"/>
  <c r="G875" i="2" s="1"/>
  <c r="D875" i="2"/>
  <c r="E875" i="2" s="1"/>
  <c r="B875" i="2"/>
  <c r="C875" i="2" s="1"/>
  <c r="A875" i="2"/>
  <c r="H874" i="2"/>
  <c r="I874" i="2" s="1"/>
  <c r="F874" i="2"/>
  <c r="G874" i="2" s="1"/>
  <c r="D874" i="2"/>
  <c r="E874" i="2" s="1"/>
  <c r="B874" i="2"/>
  <c r="C874" i="2" s="1"/>
  <c r="A874" i="2"/>
  <c r="H873" i="2"/>
  <c r="I873" i="2" s="1"/>
  <c r="F873" i="2"/>
  <c r="G873" i="2" s="1"/>
  <c r="D873" i="2"/>
  <c r="E873" i="2" s="1"/>
  <c r="B873" i="2"/>
  <c r="C873" i="2" s="1"/>
  <c r="A873" i="2"/>
  <c r="H872" i="2"/>
  <c r="I872" i="2" s="1"/>
  <c r="F872" i="2"/>
  <c r="G872" i="2" s="1"/>
  <c r="D872" i="2"/>
  <c r="E872" i="2" s="1"/>
  <c r="B872" i="2"/>
  <c r="C872" i="2" s="1"/>
  <c r="A872" i="2"/>
  <c r="H871" i="2"/>
  <c r="I871" i="2" s="1"/>
  <c r="F871" i="2"/>
  <c r="G871" i="2" s="1"/>
  <c r="D871" i="2"/>
  <c r="E871" i="2" s="1"/>
  <c r="B871" i="2"/>
  <c r="C871" i="2" s="1"/>
  <c r="A871" i="2"/>
  <c r="H870" i="2"/>
  <c r="I870" i="2" s="1"/>
  <c r="F870" i="2"/>
  <c r="G870" i="2" s="1"/>
  <c r="D870" i="2"/>
  <c r="E870" i="2" s="1"/>
  <c r="B870" i="2"/>
  <c r="C870" i="2" s="1"/>
  <c r="A870" i="2"/>
  <c r="H869" i="2"/>
  <c r="I869" i="2" s="1"/>
  <c r="F869" i="2"/>
  <c r="G869" i="2" s="1"/>
  <c r="D869" i="2"/>
  <c r="E869" i="2" s="1"/>
  <c r="B869" i="2"/>
  <c r="C869" i="2" s="1"/>
  <c r="A869" i="2"/>
  <c r="H868" i="2"/>
  <c r="I868" i="2" s="1"/>
  <c r="F868" i="2"/>
  <c r="G868" i="2" s="1"/>
  <c r="D868" i="2"/>
  <c r="E868" i="2" s="1"/>
  <c r="B868" i="2"/>
  <c r="C868" i="2" s="1"/>
  <c r="A868" i="2"/>
  <c r="H867" i="2"/>
  <c r="I867" i="2" s="1"/>
  <c r="F867" i="2"/>
  <c r="G867" i="2" s="1"/>
  <c r="D867" i="2"/>
  <c r="E867" i="2" s="1"/>
  <c r="B867" i="2"/>
  <c r="C867" i="2" s="1"/>
  <c r="A867" i="2"/>
  <c r="H866" i="2"/>
  <c r="I866" i="2" s="1"/>
  <c r="F866" i="2"/>
  <c r="G866" i="2" s="1"/>
  <c r="D866" i="2"/>
  <c r="E866" i="2" s="1"/>
  <c r="B866" i="2"/>
  <c r="C866" i="2" s="1"/>
  <c r="A866" i="2"/>
  <c r="H865" i="2"/>
  <c r="I865" i="2" s="1"/>
  <c r="F865" i="2"/>
  <c r="G865" i="2" s="1"/>
  <c r="D865" i="2"/>
  <c r="E865" i="2" s="1"/>
  <c r="B865" i="2"/>
  <c r="C865" i="2" s="1"/>
  <c r="A865" i="2"/>
  <c r="H864" i="2"/>
  <c r="I864" i="2" s="1"/>
  <c r="F864" i="2"/>
  <c r="G864" i="2" s="1"/>
  <c r="D864" i="2"/>
  <c r="E864" i="2" s="1"/>
  <c r="B864" i="2"/>
  <c r="C864" i="2" s="1"/>
  <c r="A864" i="2"/>
  <c r="H863" i="2"/>
  <c r="I863" i="2" s="1"/>
  <c r="F863" i="2"/>
  <c r="G863" i="2" s="1"/>
  <c r="D863" i="2"/>
  <c r="E863" i="2" s="1"/>
  <c r="B863" i="2"/>
  <c r="C863" i="2" s="1"/>
  <c r="A863" i="2"/>
  <c r="H862" i="2"/>
  <c r="I862" i="2" s="1"/>
  <c r="F862" i="2"/>
  <c r="G862" i="2" s="1"/>
  <c r="D862" i="2"/>
  <c r="E862" i="2" s="1"/>
  <c r="B862" i="2"/>
  <c r="C862" i="2" s="1"/>
  <c r="A862" i="2"/>
  <c r="H861" i="2"/>
  <c r="I861" i="2" s="1"/>
  <c r="F861" i="2"/>
  <c r="G861" i="2" s="1"/>
  <c r="D861" i="2"/>
  <c r="E861" i="2" s="1"/>
  <c r="B861" i="2"/>
  <c r="C861" i="2" s="1"/>
  <c r="A861" i="2"/>
  <c r="H860" i="2"/>
  <c r="I860" i="2" s="1"/>
  <c r="F860" i="2"/>
  <c r="G860" i="2" s="1"/>
  <c r="D860" i="2"/>
  <c r="E860" i="2" s="1"/>
  <c r="B860" i="2"/>
  <c r="C860" i="2" s="1"/>
  <c r="A860" i="2"/>
  <c r="H859" i="2"/>
  <c r="I859" i="2" s="1"/>
  <c r="F859" i="2"/>
  <c r="G859" i="2" s="1"/>
  <c r="D859" i="2"/>
  <c r="E859" i="2" s="1"/>
  <c r="B859" i="2"/>
  <c r="C859" i="2" s="1"/>
  <c r="A859" i="2"/>
  <c r="H858" i="2"/>
  <c r="I858" i="2" s="1"/>
  <c r="F858" i="2"/>
  <c r="G858" i="2" s="1"/>
  <c r="D858" i="2"/>
  <c r="E858" i="2" s="1"/>
  <c r="B858" i="2"/>
  <c r="C858" i="2" s="1"/>
  <c r="A858" i="2"/>
  <c r="H857" i="2"/>
  <c r="I857" i="2" s="1"/>
  <c r="F857" i="2"/>
  <c r="G857" i="2" s="1"/>
  <c r="D857" i="2"/>
  <c r="E857" i="2" s="1"/>
  <c r="B857" i="2"/>
  <c r="C857" i="2" s="1"/>
  <c r="A857" i="2"/>
  <c r="H856" i="2"/>
  <c r="I856" i="2" s="1"/>
  <c r="F856" i="2"/>
  <c r="G856" i="2" s="1"/>
  <c r="D856" i="2"/>
  <c r="E856" i="2" s="1"/>
  <c r="B856" i="2"/>
  <c r="C856" i="2" s="1"/>
  <c r="A856" i="2"/>
  <c r="H855" i="2"/>
  <c r="I855" i="2" s="1"/>
  <c r="F855" i="2"/>
  <c r="G855" i="2" s="1"/>
  <c r="D855" i="2"/>
  <c r="E855" i="2" s="1"/>
  <c r="B855" i="2"/>
  <c r="C855" i="2" s="1"/>
  <c r="A855" i="2"/>
  <c r="H854" i="2"/>
  <c r="I854" i="2" s="1"/>
  <c r="F854" i="2"/>
  <c r="G854" i="2" s="1"/>
  <c r="D854" i="2"/>
  <c r="E854" i="2" s="1"/>
  <c r="B854" i="2"/>
  <c r="C854" i="2" s="1"/>
  <c r="A854" i="2"/>
  <c r="H853" i="2"/>
  <c r="I853" i="2" s="1"/>
  <c r="F853" i="2"/>
  <c r="G853" i="2" s="1"/>
  <c r="D853" i="2"/>
  <c r="E853" i="2" s="1"/>
  <c r="B853" i="2"/>
  <c r="C853" i="2" s="1"/>
  <c r="A853" i="2"/>
  <c r="H852" i="2"/>
  <c r="I852" i="2" s="1"/>
  <c r="F852" i="2"/>
  <c r="G852" i="2" s="1"/>
  <c r="D852" i="2"/>
  <c r="E852" i="2" s="1"/>
  <c r="B852" i="2"/>
  <c r="C852" i="2" s="1"/>
  <c r="A852" i="2"/>
  <c r="H851" i="2"/>
  <c r="I851" i="2" s="1"/>
  <c r="F851" i="2"/>
  <c r="G851" i="2" s="1"/>
  <c r="D851" i="2"/>
  <c r="E851" i="2" s="1"/>
  <c r="B851" i="2"/>
  <c r="C851" i="2" s="1"/>
  <c r="A851" i="2"/>
  <c r="H850" i="2"/>
  <c r="I850" i="2" s="1"/>
  <c r="F850" i="2"/>
  <c r="G850" i="2" s="1"/>
  <c r="D850" i="2"/>
  <c r="E850" i="2" s="1"/>
  <c r="B850" i="2"/>
  <c r="C850" i="2" s="1"/>
  <c r="A850" i="2"/>
  <c r="H849" i="2"/>
  <c r="I849" i="2" s="1"/>
  <c r="F849" i="2"/>
  <c r="G849" i="2" s="1"/>
  <c r="D849" i="2"/>
  <c r="E849" i="2" s="1"/>
  <c r="B849" i="2"/>
  <c r="C849" i="2" s="1"/>
  <c r="A849" i="2"/>
  <c r="H848" i="2"/>
  <c r="I848" i="2" s="1"/>
  <c r="F848" i="2"/>
  <c r="G848" i="2" s="1"/>
  <c r="D848" i="2"/>
  <c r="E848" i="2" s="1"/>
  <c r="B848" i="2"/>
  <c r="C848" i="2" s="1"/>
  <c r="A848" i="2"/>
  <c r="H847" i="2"/>
  <c r="I847" i="2" s="1"/>
  <c r="F847" i="2"/>
  <c r="G847" i="2" s="1"/>
  <c r="D847" i="2"/>
  <c r="E847" i="2" s="1"/>
  <c r="B847" i="2"/>
  <c r="C847" i="2" s="1"/>
  <c r="A847" i="2"/>
  <c r="H846" i="2"/>
  <c r="I846" i="2" s="1"/>
  <c r="F846" i="2"/>
  <c r="G846" i="2" s="1"/>
  <c r="D846" i="2"/>
  <c r="E846" i="2" s="1"/>
  <c r="B846" i="2"/>
  <c r="C846" i="2" s="1"/>
  <c r="A846" i="2"/>
  <c r="H845" i="2"/>
  <c r="I845" i="2" s="1"/>
  <c r="F845" i="2"/>
  <c r="G845" i="2" s="1"/>
  <c r="D845" i="2"/>
  <c r="E845" i="2" s="1"/>
  <c r="B845" i="2"/>
  <c r="C845" i="2" s="1"/>
  <c r="A845" i="2"/>
  <c r="H844" i="2"/>
  <c r="I844" i="2" s="1"/>
  <c r="F844" i="2"/>
  <c r="G844" i="2" s="1"/>
  <c r="D844" i="2"/>
  <c r="E844" i="2" s="1"/>
  <c r="B844" i="2"/>
  <c r="C844" i="2" s="1"/>
  <c r="A844" i="2"/>
  <c r="H843" i="2"/>
  <c r="I843" i="2" s="1"/>
  <c r="F843" i="2"/>
  <c r="G843" i="2" s="1"/>
  <c r="D843" i="2"/>
  <c r="E843" i="2" s="1"/>
  <c r="B843" i="2"/>
  <c r="C843" i="2" s="1"/>
  <c r="A843" i="2"/>
  <c r="H842" i="2"/>
  <c r="I842" i="2" s="1"/>
  <c r="F842" i="2"/>
  <c r="G842" i="2" s="1"/>
  <c r="D842" i="2"/>
  <c r="E842" i="2" s="1"/>
  <c r="B842" i="2"/>
  <c r="C842" i="2" s="1"/>
  <c r="A842" i="2"/>
  <c r="H841" i="2"/>
  <c r="I841" i="2" s="1"/>
  <c r="F841" i="2"/>
  <c r="G841" i="2" s="1"/>
  <c r="D841" i="2"/>
  <c r="E841" i="2" s="1"/>
  <c r="B841" i="2"/>
  <c r="C841" i="2" s="1"/>
  <c r="A841" i="2"/>
  <c r="H840" i="2"/>
  <c r="I840" i="2" s="1"/>
  <c r="F840" i="2"/>
  <c r="G840" i="2" s="1"/>
  <c r="D840" i="2"/>
  <c r="E840" i="2" s="1"/>
  <c r="B840" i="2"/>
  <c r="C840" i="2" s="1"/>
  <c r="A840" i="2"/>
  <c r="H839" i="2"/>
  <c r="I839" i="2" s="1"/>
  <c r="F839" i="2"/>
  <c r="G839" i="2" s="1"/>
  <c r="D839" i="2"/>
  <c r="E839" i="2" s="1"/>
  <c r="B839" i="2"/>
  <c r="C839" i="2" s="1"/>
  <c r="A839" i="2"/>
  <c r="H838" i="2"/>
  <c r="I838" i="2" s="1"/>
  <c r="F838" i="2"/>
  <c r="G838" i="2" s="1"/>
  <c r="D838" i="2"/>
  <c r="E838" i="2" s="1"/>
  <c r="B838" i="2"/>
  <c r="C838" i="2" s="1"/>
  <c r="A838" i="2"/>
  <c r="H837" i="2"/>
  <c r="I837" i="2" s="1"/>
  <c r="F837" i="2"/>
  <c r="G837" i="2" s="1"/>
  <c r="D837" i="2"/>
  <c r="E837" i="2" s="1"/>
  <c r="B837" i="2"/>
  <c r="C837" i="2" s="1"/>
  <c r="A837" i="2"/>
  <c r="H836" i="2"/>
  <c r="I836" i="2" s="1"/>
  <c r="F836" i="2"/>
  <c r="G836" i="2" s="1"/>
  <c r="D836" i="2"/>
  <c r="E836" i="2" s="1"/>
  <c r="B836" i="2"/>
  <c r="C836" i="2" s="1"/>
  <c r="A836" i="2"/>
  <c r="H835" i="2"/>
  <c r="I835" i="2" s="1"/>
  <c r="F835" i="2"/>
  <c r="G835" i="2" s="1"/>
  <c r="D835" i="2"/>
  <c r="E835" i="2" s="1"/>
  <c r="B835" i="2"/>
  <c r="C835" i="2" s="1"/>
  <c r="A835" i="2"/>
  <c r="H834" i="2"/>
  <c r="I834" i="2" s="1"/>
  <c r="F834" i="2"/>
  <c r="G834" i="2" s="1"/>
  <c r="D834" i="2"/>
  <c r="E834" i="2" s="1"/>
  <c r="B834" i="2"/>
  <c r="C834" i="2" s="1"/>
  <c r="A834" i="2"/>
  <c r="H833" i="2"/>
  <c r="I833" i="2" s="1"/>
  <c r="F833" i="2"/>
  <c r="G833" i="2" s="1"/>
  <c r="D833" i="2"/>
  <c r="E833" i="2" s="1"/>
  <c r="B833" i="2"/>
  <c r="C833" i="2" s="1"/>
  <c r="A833" i="2"/>
  <c r="H832" i="2"/>
  <c r="I832" i="2" s="1"/>
  <c r="F832" i="2"/>
  <c r="G832" i="2" s="1"/>
  <c r="D832" i="2"/>
  <c r="E832" i="2" s="1"/>
  <c r="B832" i="2"/>
  <c r="C832" i="2" s="1"/>
  <c r="A832" i="2"/>
  <c r="H831" i="2"/>
  <c r="I831" i="2" s="1"/>
  <c r="F831" i="2"/>
  <c r="G831" i="2" s="1"/>
  <c r="D831" i="2"/>
  <c r="E831" i="2" s="1"/>
  <c r="B831" i="2"/>
  <c r="C831" i="2" s="1"/>
  <c r="A831" i="2"/>
  <c r="H830" i="2"/>
  <c r="I830" i="2" s="1"/>
  <c r="F830" i="2"/>
  <c r="G830" i="2" s="1"/>
  <c r="D830" i="2"/>
  <c r="E830" i="2" s="1"/>
  <c r="B830" i="2"/>
  <c r="C830" i="2" s="1"/>
  <c r="A830" i="2"/>
  <c r="H829" i="2"/>
  <c r="I829" i="2" s="1"/>
  <c r="F829" i="2"/>
  <c r="G829" i="2" s="1"/>
  <c r="D829" i="2"/>
  <c r="E829" i="2" s="1"/>
  <c r="B829" i="2"/>
  <c r="C829" i="2" s="1"/>
  <c r="A829" i="2"/>
  <c r="H828" i="2"/>
  <c r="I828" i="2" s="1"/>
  <c r="F828" i="2"/>
  <c r="G828" i="2" s="1"/>
  <c r="D828" i="2"/>
  <c r="E828" i="2" s="1"/>
  <c r="B828" i="2"/>
  <c r="C828" i="2" s="1"/>
  <c r="A828" i="2"/>
  <c r="H827" i="2"/>
  <c r="I827" i="2" s="1"/>
  <c r="F827" i="2"/>
  <c r="G827" i="2" s="1"/>
  <c r="D827" i="2"/>
  <c r="E827" i="2" s="1"/>
  <c r="B827" i="2"/>
  <c r="C827" i="2" s="1"/>
  <c r="A827" i="2"/>
  <c r="H826" i="2"/>
  <c r="I826" i="2" s="1"/>
  <c r="F826" i="2"/>
  <c r="G826" i="2" s="1"/>
  <c r="D826" i="2"/>
  <c r="E826" i="2" s="1"/>
  <c r="B826" i="2"/>
  <c r="C826" i="2" s="1"/>
  <c r="A826" i="2"/>
  <c r="H825" i="2"/>
  <c r="I825" i="2" s="1"/>
  <c r="F825" i="2"/>
  <c r="G825" i="2" s="1"/>
  <c r="D825" i="2"/>
  <c r="E825" i="2" s="1"/>
  <c r="B825" i="2"/>
  <c r="C825" i="2" s="1"/>
  <c r="A825" i="2"/>
  <c r="H824" i="2"/>
  <c r="I824" i="2" s="1"/>
  <c r="F824" i="2"/>
  <c r="G824" i="2" s="1"/>
  <c r="D824" i="2"/>
  <c r="E824" i="2" s="1"/>
  <c r="B824" i="2"/>
  <c r="C824" i="2" s="1"/>
  <c r="A824" i="2"/>
  <c r="H823" i="2"/>
  <c r="I823" i="2" s="1"/>
  <c r="F823" i="2"/>
  <c r="G823" i="2" s="1"/>
  <c r="D823" i="2"/>
  <c r="E823" i="2" s="1"/>
  <c r="B823" i="2"/>
  <c r="C823" i="2" s="1"/>
  <c r="A823" i="2"/>
  <c r="H822" i="2"/>
  <c r="I822" i="2" s="1"/>
  <c r="F822" i="2"/>
  <c r="G822" i="2" s="1"/>
  <c r="D822" i="2"/>
  <c r="E822" i="2" s="1"/>
  <c r="B822" i="2"/>
  <c r="C822" i="2" s="1"/>
  <c r="A822" i="2"/>
  <c r="H821" i="2"/>
  <c r="I821" i="2" s="1"/>
  <c r="F821" i="2"/>
  <c r="G821" i="2" s="1"/>
  <c r="D821" i="2"/>
  <c r="E821" i="2" s="1"/>
  <c r="B821" i="2"/>
  <c r="C821" i="2" s="1"/>
  <c r="A821" i="2"/>
  <c r="H820" i="2"/>
  <c r="I820" i="2" s="1"/>
  <c r="F820" i="2"/>
  <c r="G820" i="2" s="1"/>
  <c r="D820" i="2"/>
  <c r="E820" i="2" s="1"/>
  <c r="B820" i="2"/>
  <c r="C820" i="2" s="1"/>
  <c r="A820" i="2"/>
  <c r="H819" i="2"/>
  <c r="I819" i="2" s="1"/>
  <c r="F819" i="2"/>
  <c r="G819" i="2" s="1"/>
  <c r="D819" i="2"/>
  <c r="E819" i="2" s="1"/>
  <c r="B819" i="2"/>
  <c r="C819" i="2" s="1"/>
  <c r="A819" i="2"/>
  <c r="H818" i="2"/>
  <c r="I818" i="2" s="1"/>
  <c r="F818" i="2"/>
  <c r="G818" i="2" s="1"/>
  <c r="D818" i="2"/>
  <c r="E818" i="2" s="1"/>
  <c r="B818" i="2"/>
  <c r="C818" i="2" s="1"/>
  <c r="A818" i="2"/>
  <c r="H817" i="2"/>
  <c r="I817" i="2" s="1"/>
  <c r="F817" i="2"/>
  <c r="G817" i="2" s="1"/>
  <c r="D817" i="2"/>
  <c r="E817" i="2" s="1"/>
  <c r="B817" i="2"/>
  <c r="C817" i="2" s="1"/>
  <c r="A817" i="2"/>
  <c r="H816" i="2"/>
  <c r="I816" i="2" s="1"/>
  <c r="F816" i="2"/>
  <c r="G816" i="2" s="1"/>
  <c r="D816" i="2"/>
  <c r="E816" i="2" s="1"/>
  <c r="B816" i="2"/>
  <c r="C816" i="2" s="1"/>
  <c r="A816" i="2"/>
  <c r="H815" i="2"/>
  <c r="I815" i="2" s="1"/>
  <c r="F815" i="2"/>
  <c r="G815" i="2" s="1"/>
  <c r="D815" i="2"/>
  <c r="E815" i="2" s="1"/>
  <c r="B815" i="2"/>
  <c r="C815" i="2" s="1"/>
  <c r="A815" i="2"/>
  <c r="H814" i="2"/>
  <c r="I814" i="2" s="1"/>
  <c r="F814" i="2"/>
  <c r="G814" i="2" s="1"/>
  <c r="D814" i="2"/>
  <c r="E814" i="2" s="1"/>
  <c r="B814" i="2"/>
  <c r="C814" i="2" s="1"/>
  <c r="A814" i="2"/>
  <c r="H813" i="2"/>
  <c r="I813" i="2" s="1"/>
  <c r="F813" i="2"/>
  <c r="G813" i="2" s="1"/>
  <c r="D813" i="2"/>
  <c r="E813" i="2" s="1"/>
  <c r="B813" i="2"/>
  <c r="C813" i="2" s="1"/>
  <c r="A813" i="2"/>
  <c r="H812" i="2"/>
  <c r="I812" i="2" s="1"/>
  <c r="F812" i="2"/>
  <c r="G812" i="2" s="1"/>
  <c r="D812" i="2"/>
  <c r="E812" i="2" s="1"/>
  <c r="B812" i="2"/>
  <c r="C812" i="2" s="1"/>
  <c r="A812" i="2"/>
  <c r="H811" i="2"/>
  <c r="I811" i="2" s="1"/>
  <c r="F811" i="2"/>
  <c r="G811" i="2" s="1"/>
  <c r="D811" i="2"/>
  <c r="E811" i="2" s="1"/>
  <c r="B811" i="2"/>
  <c r="C811" i="2" s="1"/>
  <c r="A811" i="2"/>
  <c r="H810" i="2"/>
  <c r="I810" i="2" s="1"/>
  <c r="F810" i="2"/>
  <c r="G810" i="2" s="1"/>
  <c r="D810" i="2"/>
  <c r="E810" i="2" s="1"/>
  <c r="B810" i="2"/>
  <c r="C810" i="2" s="1"/>
  <c r="A810" i="2"/>
  <c r="H809" i="2"/>
  <c r="I809" i="2" s="1"/>
  <c r="F809" i="2"/>
  <c r="G809" i="2" s="1"/>
  <c r="D809" i="2"/>
  <c r="E809" i="2" s="1"/>
  <c r="B809" i="2"/>
  <c r="C809" i="2" s="1"/>
  <c r="A809" i="2"/>
  <c r="H808" i="2"/>
  <c r="I808" i="2" s="1"/>
  <c r="F808" i="2"/>
  <c r="G808" i="2" s="1"/>
  <c r="D808" i="2"/>
  <c r="E808" i="2" s="1"/>
  <c r="B808" i="2"/>
  <c r="C808" i="2" s="1"/>
  <c r="A808" i="2"/>
  <c r="H807" i="2"/>
  <c r="I807" i="2" s="1"/>
  <c r="F807" i="2"/>
  <c r="G807" i="2" s="1"/>
  <c r="D807" i="2"/>
  <c r="E807" i="2" s="1"/>
  <c r="B807" i="2"/>
  <c r="C807" i="2" s="1"/>
  <c r="A807" i="2"/>
  <c r="H806" i="2"/>
  <c r="I806" i="2" s="1"/>
  <c r="F806" i="2"/>
  <c r="G806" i="2" s="1"/>
  <c r="D806" i="2"/>
  <c r="E806" i="2" s="1"/>
  <c r="B806" i="2"/>
  <c r="C806" i="2" s="1"/>
  <c r="A806" i="2"/>
  <c r="H805" i="2"/>
  <c r="I805" i="2" s="1"/>
  <c r="F805" i="2"/>
  <c r="G805" i="2" s="1"/>
  <c r="D805" i="2"/>
  <c r="E805" i="2" s="1"/>
  <c r="B805" i="2"/>
  <c r="C805" i="2" s="1"/>
  <c r="A805" i="2"/>
  <c r="H804" i="2"/>
  <c r="I804" i="2" s="1"/>
  <c r="F804" i="2"/>
  <c r="G804" i="2" s="1"/>
  <c r="D804" i="2"/>
  <c r="E804" i="2" s="1"/>
  <c r="B804" i="2"/>
  <c r="C804" i="2" s="1"/>
  <c r="A804" i="2"/>
  <c r="H803" i="2"/>
  <c r="I803" i="2" s="1"/>
  <c r="F803" i="2"/>
  <c r="G803" i="2" s="1"/>
  <c r="D803" i="2"/>
  <c r="E803" i="2" s="1"/>
  <c r="B803" i="2"/>
  <c r="C803" i="2" s="1"/>
  <c r="A803" i="2"/>
  <c r="H802" i="2"/>
  <c r="I802" i="2" s="1"/>
  <c r="F802" i="2"/>
  <c r="G802" i="2" s="1"/>
  <c r="D802" i="2"/>
  <c r="E802" i="2" s="1"/>
  <c r="B802" i="2"/>
  <c r="C802" i="2" s="1"/>
  <c r="A802" i="2"/>
  <c r="H801" i="2"/>
  <c r="I801" i="2" s="1"/>
  <c r="F801" i="2"/>
  <c r="G801" i="2" s="1"/>
  <c r="D801" i="2"/>
  <c r="E801" i="2" s="1"/>
  <c r="B801" i="2"/>
  <c r="C801" i="2" s="1"/>
  <c r="A801" i="2"/>
  <c r="H800" i="2"/>
  <c r="I800" i="2" s="1"/>
  <c r="F800" i="2"/>
  <c r="G800" i="2" s="1"/>
  <c r="D800" i="2"/>
  <c r="E800" i="2" s="1"/>
  <c r="B800" i="2"/>
  <c r="C800" i="2" s="1"/>
  <c r="A800" i="2"/>
  <c r="H799" i="2"/>
  <c r="I799" i="2" s="1"/>
  <c r="F799" i="2"/>
  <c r="G799" i="2" s="1"/>
  <c r="D799" i="2"/>
  <c r="E799" i="2" s="1"/>
  <c r="B799" i="2"/>
  <c r="C799" i="2" s="1"/>
  <c r="A799" i="2"/>
  <c r="H798" i="2"/>
  <c r="I798" i="2" s="1"/>
  <c r="F798" i="2"/>
  <c r="G798" i="2" s="1"/>
  <c r="D798" i="2"/>
  <c r="E798" i="2" s="1"/>
  <c r="B798" i="2"/>
  <c r="C798" i="2" s="1"/>
  <c r="A798" i="2"/>
  <c r="H797" i="2"/>
  <c r="I797" i="2" s="1"/>
  <c r="F797" i="2"/>
  <c r="G797" i="2" s="1"/>
  <c r="D797" i="2"/>
  <c r="E797" i="2" s="1"/>
  <c r="B797" i="2"/>
  <c r="C797" i="2" s="1"/>
  <c r="A797" i="2"/>
  <c r="H796" i="2"/>
  <c r="I796" i="2" s="1"/>
  <c r="F796" i="2"/>
  <c r="G796" i="2" s="1"/>
  <c r="D796" i="2"/>
  <c r="E796" i="2" s="1"/>
  <c r="B796" i="2"/>
  <c r="C796" i="2" s="1"/>
  <c r="A796" i="2"/>
  <c r="H795" i="2"/>
  <c r="I795" i="2" s="1"/>
  <c r="F795" i="2"/>
  <c r="G795" i="2" s="1"/>
  <c r="D795" i="2"/>
  <c r="E795" i="2" s="1"/>
  <c r="B795" i="2"/>
  <c r="C795" i="2" s="1"/>
  <c r="A795" i="2"/>
  <c r="H794" i="2"/>
  <c r="I794" i="2" s="1"/>
  <c r="F794" i="2"/>
  <c r="G794" i="2" s="1"/>
  <c r="D794" i="2"/>
  <c r="E794" i="2" s="1"/>
  <c r="B794" i="2"/>
  <c r="C794" i="2" s="1"/>
  <c r="A794" i="2"/>
  <c r="H793" i="2"/>
  <c r="I793" i="2" s="1"/>
  <c r="F793" i="2"/>
  <c r="G793" i="2" s="1"/>
  <c r="D793" i="2"/>
  <c r="E793" i="2" s="1"/>
  <c r="B793" i="2"/>
  <c r="C793" i="2" s="1"/>
  <c r="A793" i="2"/>
  <c r="H792" i="2"/>
  <c r="I792" i="2" s="1"/>
  <c r="F792" i="2"/>
  <c r="G792" i="2" s="1"/>
  <c r="D792" i="2"/>
  <c r="E792" i="2" s="1"/>
  <c r="B792" i="2"/>
  <c r="C792" i="2" s="1"/>
  <c r="A792" i="2"/>
  <c r="H791" i="2"/>
  <c r="I791" i="2" s="1"/>
  <c r="F791" i="2"/>
  <c r="G791" i="2" s="1"/>
  <c r="D791" i="2"/>
  <c r="E791" i="2" s="1"/>
  <c r="B791" i="2"/>
  <c r="C791" i="2" s="1"/>
  <c r="A791" i="2"/>
  <c r="H790" i="2"/>
  <c r="I790" i="2" s="1"/>
  <c r="F790" i="2"/>
  <c r="G790" i="2" s="1"/>
  <c r="D790" i="2"/>
  <c r="E790" i="2" s="1"/>
  <c r="B790" i="2"/>
  <c r="C790" i="2" s="1"/>
  <c r="A790" i="2"/>
  <c r="H789" i="2"/>
  <c r="I789" i="2" s="1"/>
  <c r="F789" i="2"/>
  <c r="G789" i="2" s="1"/>
  <c r="D789" i="2"/>
  <c r="E789" i="2" s="1"/>
  <c r="B789" i="2"/>
  <c r="C789" i="2" s="1"/>
  <c r="A789" i="2"/>
  <c r="H788" i="2"/>
  <c r="I788" i="2" s="1"/>
  <c r="F788" i="2"/>
  <c r="G788" i="2" s="1"/>
  <c r="D788" i="2"/>
  <c r="E788" i="2" s="1"/>
  <c r="B788" i="2"/>
  <c r="C788" i="2" s="1"/>
  <c r="A788" i="2"/>
  <c r="H787" i="2"/>
  <c r="I787" i="2" s="1"/>
  <c r="F787" i="2"/>
  <c r="G787" i="2" s="1"/>
  <c r="D787" i="2"/>
  <c r="E787" i="2" s="1"/>
  <c r="B787" i="2"/>
  <c r="C787" i="2" s="1"/>
  <c r="A787" i="2"/>
  <c r="H786" i="2"/>
  <c r="I786" i="2" s="1"/>
  <c r="F786" i="2"/>
  <c r="G786" i="2" s="1"/>
  <c r="D786" i="2"/>
  <c r="E786" i="2" s="1"/>
  <c r="B786" i="2"/>
  <c r="C786" i="2" s="1"/>
  <c r="A786" i="2"/>
  <c r="H785" i="2"/>
  <c r="I785" i="2" s="1"/>
  <c r="F785" i="2"/>
  <c r="G785" i="2" s="1"/>
  <c r="D785" i="2"/>
  <c r="E785" i="2" s="1"/>
  <c r="B785" i="2"/>
  <c r="C785" i="2" s="1"/>
  <c r="A785" i="2"/>
  <c r="H784" i="2"/>
  <c r="I784" i="2" s="1"/>
  <c r="F784" i="2"/>
  <c r="G784" i="2" s="1"/>
  <c r="D784" i="2"/>
  <c r="E784" i="2" s="1"/>
  <c r="B784" i="2"/>
  <c r="C784" i="2" s="1"/>
  <c r="A784" i="2"/>
  <c r="H783" i="2"/>
  <c r="I783" i="2" s="1"/>
  <c r="F783" i="2"/>
  <c r="G783" i="2" s="1"/>
  <c r="D783" i="2"/>
  <c r="E783" i="2" s="1"/>
  <c r="B783" i="2"/>
  <c r="C783" i="2" s="1"/>
  <c r="A783" i="2"/>
  <c r="H782" i="2"/>
  <c r="I782" i="2" s="1"/>
  <c r="F782" i="2"/>
  <c r="G782" i="2" s="1"/>
  <c r="D782" i="2"/>
  <c r="E782" i="2" s="1"/>
  <c r="B782" i="2"/>
  <c r="C782" i="2" s="1"/>
  <c r="A782" i="2"/>
  <c r="H781" i="2"/>
  <c r="I781" i="2" s="1"/>
  <c r="F781" i="2"/>
  <c r="G781" i="2" s="1"/>
  <c r="D781" i="2"/>
  <c r="E781" i="2" s="1"/>
  <c r="B781" i="2"/>
  <c r="C781" i="2" s="1"/>
  <c r="A781" i="2"/>
  <c r="H780" i="2"/>
  <c r="I780" i="2" s="1"/>
  <c r="F780" i="2"/>
  <c r="G780" i="2" s="1"/>
  <c r="D780" i="2"/>
  <c r="E780" i="2" s="1"/>
  <c r="B780" i="2"/>
  <c r="C780" i="2" s="1"/>
  <c r="A780" i="2"/>
  <c r="H779" i="2"/>
  <c r="I779" i="2" s="1"/>
  <c r="F779" i="2"/>
  <c r="G779" i="2" s="1"/>
  <c r="D779" i="2"/>
  <c r="E779" i="2" s="1"/>
  <c r="B779" i="2"/>
  <c r="C779" i="2" s="1"/>
  <c r="A779" i="2"/>
  <c r="H778" i="2"/>
  <c r="I778" i="2" s="1"/>
  <c r="F778" i="2"/>
  <c r="G778" i="2" s="1"/>
  <c r="D778" i="2"/>
  <c r="E778" i="2" s="1"/>
  <c r="B778" i="2"/>
  <c r="C778" i="2" s="1"/>
  <c r="A778" i="2"/>
  <c r="H777" i="2"/>
  <c r="I777" i="2" s="1"/>
  <c r="F777" i="2"/>
  <c r="G777" i="2" s="1"/>
  <c r="D777" i="2"/>
  <c r="E777" i="2" s="1"/>
  <c r="B777" i="2"/>
  <c r="C777" i="2" s="1"/>
  <c r="A777" i="2"/>
  <c r="H776" i="2"/>
  <c r="I776" i="2" s="1"/>
  <c r="F776" i="2"/>
  <c r="G776" i="2" s="1"/>
  <c r="D776" i="2"/>
  <c r="E776" i="2" s="1"/>
  <c r="B776" i="2"/>
  <c r="C776" i="2" s="1"/>
  <c r="A776" i="2"/>
  <c r="H775" i="2"/>
  <c r="I775" i="2" s="1"/>
  <c r="F775" i="2"/>
  <c r="G775" i="2" s="1"/>
  <c r="D775" i="2"/>
  <c r="E775" i="2" s="1"/>
  <c r="B775" i="2"/>
  <c r="C775" i="2" s="1"/>
  <c r="A775" i="2"/>
  <c r="H774" i="2"/>
  <c r="I774" i="2" s="1"/>
  <c r="F774" i="2"/>
  <c r="G774" i="2" s="1"/>
  <c r="D774" i="2"/>
  <c r="E774" i="2" s="1"/>
  <c r="B774" i="2"/>
  <c r="C774" i="2" s="1"/>
  <c r="A774" i="2"/>
  <c r="H773" i="2"/>
  <c r="I773" i="2" s="1"/>
  <c r="F773" i="2"/>
  <c r="G773" i="2" s="1"/>
  <c r="D773" i="2"/>
  <c r="E773" i="2" s="1"/>
  <c r="B773" i="2"/>
  <c r="C773" i="2" s="1"/>
  <c r="A773" i="2"/>
  <c r="H772" i="2"/>
  <c r="I772" i="2" s="1"/>
  <c r="F772" i="2"/>
  <c r="G772" i="2" s="1"/>
  <c r="D772" i="2"/>
  <c r="E772" i="2" s="1"/>
  <c r="B772" i="2"/>
  <c r="C772" i="2" s="1"/>
  <c r="A772" i="2"/>
  <c r="H771" i="2"/>
  <c r="I771" i="2" s="1"/>
  <c r="F771" i="2"/>
  <c r="G771" i="2" s="1"/>
  <c r="D771" i="2"/>
  <c r="E771" i="2" s="1"/>
  <c r="B771" i="2"/>
  <c r="C771" i="2" s="1"/>
  <c r="A771" i="2"/>
  <c r="H770" i="2"/>
  <c r="I770" i="2" s="1"/>
  <c r="F770" i="2"/>
  <c r="G770" i="2" s="1"/>
  <c r="D770" i="2"/>
  <c r="E770" i="2" s="1"/>
  <c r="B770" i="2"/>
  <c r="C770" i="2" s="1"/>
  <c r="A770" i="2"/>
  <c r="H769" i="2"/>
  <c r="I769" i="2" s="1"/>
  <c r="F769" i="2"/>
  <c r="G769" i="2" s="1"/>
  <c r="D769" i="2"/>
  <c r="E769" i="2" s="1"/>
  <c r="B769" i="2"/>
  <c r="C769" i="2" s="1"/>
  <c r="A769" i="2"/>
  <c r="H768" i="2"/>
  <c r="I768" i="2" s="1"/>
  <c r="F768" i="2"/>
  <c r="G768" i="2" s="1"/>
  <c r="D768" i="2"/>
  <c r="E768" i="2" s="1"/>
  <c r="B768" i="2"/>
  <c r="C768" i="2" s="1"/>
  <c r="A768" i="2"/>
  <c r="H767" i="2"/>
  <c r="I767" i="2" s="1"/>
  <c r="F767" i="2"/>
  <c r="G767" i="2" s="1"/>
  <c r="D767" i="2"/>
  <c r="E767" i="2" s="1"/>
  <c r="B767" i="2"/>
  <c r="C767" i="2" s="1"/>
  <c r="A767" i="2"/>
  <c r="H766" i="2"/>
  <c r="I766" i="2" s="1"/>
  <c r="F766" i="2"/>
  <c r="G766" i="2" s="1"/>
  <c r="D766" i="2"/>
  <c r="E766" i="2" s="1"/>
  <c r="B766" i="2"/>
  <c r="C766" i="2" s="1"/>
  <c r="A766" i="2"/>
  <c r="H765" i="2"/>
  <c r="I765" i="2" s="1"/>
  <c r="F765" i="2"/>
  <c r="G765" i="2" s="1"/>
  <c r="D765" i="2"/>
  <c r="E765" i="2" s="1"/>
  <c r="B765" i="2"/>
  <c r="C765" i="2" s="1"/>
  <c r="A765" i="2"/>
  <c r="H764" i="2"/>
  <c r="I764" i="2" s="1"/>
  <c r="F764" i="2"/>
  <c r="G764" i="2" s="1"/>
  <c r="D764" i="2"/>
  <c r="E764" i="2" s="1"/>
  <c r="B764" i="2"/>
  <c r="C764" i="2" s="1"/>
  <c r="A764" i="2"/>
  <c r="H763" i="2"/>
  <c r="I763" i="2" s="1"/>
  <c r="F763" i="2"/>
  <c r="G763" i="2" s="1"/>
  <c r="D763" i="2"/>
  <c r="E763" i="2" s="1"/>
  <c r="B763" i="2"/>
  <c r="C763" i="2" s="1"/>
  <c r="A763" i="2"/>
  <c r="H762" i="2"/>
  <c r="I762" i="2" s="1"/>
  <c r="F762" i="2"/>
  <c r="G762" i="2" s="1"/>
  <c r="D762" i="2"/>
  <c r="E762" i="2" s="1"/>
  <c r="B762" i="2"/>
  <c r="C762" i="2" s="1"/>
  <c r="A762" i="2"/>
  <c r="H761" i="2"/>
  <c r="I761" i="2" s="1"/>
  <c r="F761" i="2"/>
  <c r="G761" i="2" s="1"/>
  <c r="D761" i="2"/>
  <c r="E761" i="2" s="1"/>
  <c r="B761" i="2"/>
  <c r="C761" i="2" s="1"/>
  <c r="A761" i="2"/>
  <c r="H760" i="2"/>
  <c r="I760" i="2" s="1"/>
  <c r="F760" i="2"/>
  <c r="G760" i="2" s="1"/>
  <c r="D760" i="2"/>
  <c r="E760" i="2" s="1"/>
  <c r="B760" i="2"/>
  <c r="C760" i="2" s="1"/>
  <c r="A760" i="2"/>
  <c r="H759" i="2"/>
  <c r="I759" i="2" s="1"/>
  <c r="F759" i="2"/>
  <c r="G759" i="2" s="1"/>
  <c r="D759" i="2"/>
  <c r="E759" i="2" s="1"/>
  <c r="B759" i="2"/>
  <c r="C759" i="2" s="1"/>
  <c r="A759" i="2"/>
  <c r="H758" i="2"/>
  <c r="I758" i="2" s="1"/>
  <c r="F758" i="2"/>
  <c r="G758" i="2" s="1"/>
  <c r="D758" i="2"/>
  <c r="E758" i="2" s="1"/>
  <c r="B758" i="2"/>
  <c r="C758" i="2" s="1"/>
  <c r="A758" i="2"/>
  <c r="H757" i="2"/>
  <c r="I757" i="2" s="1"/>
  <c r="F757" i="2"/>
  <c r="G757" i="2" s="1"/>
  <c r="D757" i="2"/>
  <c r="E757" i="2" s="1"/>
  <c r="B757" i="2"/>
  <c r="C757" i="2" s="1"/>
  <c r="A757" i="2"/>
  <c r="H756" i="2"/>
  <c r="I756" i="2" s="1"/>
  <c r="F756" i="2"/>
  <c r="G756" i="2" s="1"/>
  <c r="D756" i="2"/>
  <c r="E756" i="2" s="1"/>
  <c r="B756" i="2"/>
  <c r="C756" i="2" s="1"/>
  <c r="A756" i="2"/>
  <c r="H755" i="2"/>
  <c r="I755" i="2" s="1"/>
  <c r="F755" i="2"/>
  <c r="G755" i="2" s="1"/>
  <c r="D755" i="2"/>
  <c r="E755" i="2" s="1"/>
  <c r="B755" i="2"/>
  <c r="C755" i="2" s="1"/>
  <c r="A755" i="2"/>
  <c r="H754" i="2"/>
  <c r="I754" i="2" s="1"/>
  <c r="F754" i="2"/>
  <c r="G754" i="2" s="1"/>
  <c r="D754" i="2"/>
  <c r="E754" i="2" s="1"/>
  <c r="B754" i="2"/>
  <c r="C754" i="2" s="1"/>
  <c r="A754" i="2"/>
  <c r="H753" i="2"/>
  <c r="I753" i="2" s="1"/>
  <c r="F753" i="2"/>
  <c r="G753" i="2" s="1"/>
  <c r="D753" i="2"/>
  <c r="E753" i="2" s="1"/>
  <c r="B753" i="2"/>
  <c r="C753" i="2" s="1"/>
  <c r="A753" i="2"/>
  <c r="H752" i="2"/>
  <c r="I752" i="2" s="1"/>
  <c r="F752" i="2"/>
  <c r="G752" i="2" s="1"/>
  <c r="D752" i="2"/>
  <c r="E752" i="2" s="1"/>
  <c r="B752" i="2"/>
  <c r="C752" i="2" s="1"/>
  <c r="A752" i="2"/>
  <c r="H751" i="2"/>
  <c r="I751" i="2" s="1"/>
  <c r="F751" i="2"/>
  <c r="G751" i="2" s="1"/>
  <c r="D751" i="2"/>
  <c r="E751" i="2" s="1"/>
  <c r="B751" i="2"/>
  <c r="C751" i="2" s="1"/>
  <c r="A751" i="2"/>
  <c r="H750" i="2"/>
  <c r="I750" i="2" s="1"/>
  <c r="F750" i="2"/>
  <c r="G750" i="2" s="1"/>
  <c r="D750" i="2"/>
  <c r="E750" i="2" s="1"/>
  <c r="B750" i="2"/>
  <c r="C750" i="2" s="1"/>
  <c r="A750" i="2"/>
  <c r="H749" i="2"/>
  <c r="I749" i="2" s="1"/>
  <c r="F749" i="2"/>
  <c r="G749" i="2" s="1"/>
  <c r="D749" i="2"/>
  <c r="E749" i="2" s="1"/>
  <c r="B749" i="2"/>
  <c r="C749" i="2" s="1"/>
  <c r="A749" i="2"/>
  <c r="H748" i="2"/>
  <c r="I748" i="2" s="1"/>
  <c r="F748" i="2"/>
  <c r="G748" i="2" s="1"/>
  <c r="D748" i="2"/>
  <c r="E748" i="2" s="1"/>
  <c r="B748" i="2"/>
  <c r="C748" i="2" s="1"/>
  <c r="A748" i="2"/>
  <c r="H747" i="2"/>
  <c r="I747" i="2" s="1"/>
  <c r="F747" i="2"/>
  <c r="G747" i="2" s="1"/>
  <c r="D747" i="2"/>
  <c r="E747" i="2" s="1"/>
  <c r="B747" i="2"/>
  <c r="C747" i="2" s="1"/>
  <c r="A747" i="2"/>
  <c r="H746" i="2"/>
  <c r="I746" i="2" s="1"/>
  <c r="F746" i="2"/>
  <c r="G746" i="2" s="1"/>
  <c r="D746" i="2"/>
  <c r="E746" i="2" s="1"/>
  <c r="B746" i="2"/>
  <c r="C746" i="2" s="1"/>
  <c r="A746" i="2"/>
  <c r="H745" i="2"/>
  <c r="I745" i="2" s="1"/>
  <c r="F745" i="2"/>
  <c r="G745" i="2" s="1"/>
  <c r="D745" i="2"/>
  <c r="E745" i="2" s="1"/>
  <c r="B745" i="2"/>
  <c r="C745" i="2" s="1"/>
  <c r="A745" i="2"/>
  <c r="H744" i="2"/>
  <c r="I744" i="2" s="1"/>
  <c r="F744" i="2"/>
  <c r="G744" i="2" s="1"/>
  <c r="D744" i="2"/>
  <c r="E744" i="2" s="1"/>
  <c r="B744" i="2"/>
  <c r="C744" i="2" s="1"/>
  <c r="A744" i="2"/>
  <c r="H743" i="2"/>
  <c r="I743" i="2" s="1"/>
  <c r="F743" i="2"/>
  <c r="G743" i="2" s="1"/>
  <c r="D743" i="2"/>
  <c r="E743" i="2" s="1"/>
  <c r="B743" i="2"/>
  <c r="C743" i="2" s="1"/>
  <c r="A743" i="2"/>
  <c r="H742" i="2"/>
  <c r="I742" i="2" s="1"/>
  <c r="F742" i="2"/>
  <c r="G742" i="2" s="1"/>
  <c r="D742" i="2"/>
  <c r="E742" i="2" s="1"/>
  <c r="B742" i="2"/>
  <c r="C742" i="2" s="1"/>
  <c r="A742" i="2"/>
  <c r="H741" i="2"/>
  <c r="I741" i="2" s="1"/>
  <c r="F741" i="2"/>
  <c r="G741" i="2" s="1"/>
  <c r="D741" i="2"/>
  <c r="E741" i="2" s="1"/>
  <c r="B741" i="2"/>
  <c r="C741" i="2" s="1"/>
  <c r="A741" i="2"/>
  <c r="H740" i="2"/>
  <c r="I740" i="2" s="1"/>
  <c r="F740" i="2"/>
  <c r="G740" i="2" s="1"/>
  <c r="D740" i="2"/>
  <c r="E740" i="2" s="1"/>
  <c r="B740" i="2"/>
  <c r="C740" i="2" s="1"/>
  <c r="A740" i="2"/>
  <c r="H739" i="2"/>
  <c r="I739" i="2" s="1"/>
  <c r="F739" i="2"/>
  <c r="G739" i="2" s="1"/>
  <c r="D739" i="2"/>
  <c r="E739" i="2" s="1"/>
  <c r="B739" i="2"/>
  <c r="C739" i="2" s="1"/>
  <c r="A739" i="2"/>
  <c r="H738" i="2"/>
  <c r="I738" i="2" s="1"/>
  <c r="F738" i="2"/>
  <c r="G738" i="2" s="1"/>
  <c r="D738" i="2"/>
  <c r="E738" i="2" s="1"/>
  <c r="B738" i="2"/>
  <c r="C738" i="2" s="1"/>
  <c r="A738" i="2"/>
  <c r="H737" i="2"/>
  <c r="I737" i="2" s="1"/>
  <c r="F737" i="2"/>
  <c r="G737" i="2" s="1"/>
  <c r="D737" i="2"/>
  <c r="E737" i="2" s="1"/>
  <c r="B737" i="2"/>
  <c r="C737" i="2" s="1"/>
  <c r="A737" i="2"/>
  <c r="H736" i="2"/>
  <c r="I736" i="2" s="1"/>
  <c r="F736" i="2"/>
  <c r="G736" i="2" s="1"/>
  <c r="D736" i="2"/>
  <c r="E736" i="2" s="1"/>
  <c r="B736" i="2"/>
  <c r="C736" i="2" s="1"/>
  <c r="A736" i="2"/>
  <c r="H735" i="2"/>
  <c r="I735" i="2" s="1"/>
  <c r="F735" i="2"/>
  <c r="G735" i="2" s="1"/>
  <c r="D735" i="2"/>
  <c r="E735" i="2" s="1"/>
  <c r="B735" i="2"/>
  <c r="C735" i="2" s="1"/>
  <c r="A735" i="2"/>
  <c r="H734" i="2"/>
  <c r="I734" i="2" s="1"/>
  <c r="F734" i="2"/>
  <c r="G734" i="2" s="1"/>
  <c r="D734" i="2"/>
  <c r="E734" i="2" s="1"/>
  <c r="B734" i="2"/>
  <c r="C734" i="2" s="1"/>
  <c r="A734" i="2"/>
  <c r="H733" i="2"/>
  <c r="I733" i="2" s="1"/>
  <c r="F733" i="2"/>
  <c r="G733" i="2" s="1"/>
  <c r="D733" i="2"/>
  <c r="E733" i="2" s="1"/>
  <c r="B733" i="2"/>
  <c r="C733" i="2" s="1"/>
  <c r="A733" i="2"/>
  <c r="H732" i="2"/>
  <c r="I732" i="2" s="1"/>
  <c r="F732" i="2"/>
  <c r="G732" i="2" s="1"/>
  <c r="D732" i="2"/>
  <c r="E732" i="2" s="1"/>
  <c r="B732" i="2"/>
  <c r="C732" i="2" s="1"/>
  <c r="A732" i="2"/>
  <c r="H731" i="2"/>
  <c r="I731" i="2" s="1"/>
  <c r="F731" i="2"/>
  <c r="G731" i="2" s="1"/>
  <c r="D731" i="2"/>
  <c r="E731" i="2" s="1"/>
  <c r="B731" i="2"/>
  <c r="C731" i="2" s="1"/>
  <c r="A731" i="2"/>
  <c r="H730" i="2"/>
  <c r="I730" i="2" s="1"/>
  <c r="F730" i="2"/>
  <c r="G730" i="2" s="1"/>
  <c r="D730" i="2"/>
  <c r="E730" i="2" s="1"/>
  <c r="B730" i="2"/>
  <c r="C730" i="2" s="1"/>
  <c r="A730" i="2"/>
  <c r="I729" i="2"/>
  <c r="H729" i="2"/>
  <c r="F729" i="2"/>
  <c r="G729" i="2" s="1"/>
  <c r="D729" i="2"/>
  <c r="E729" i="2" s="1"/>
  <c r="B729" i="2"/>
  <c r="C729" i="2" s="1"/>
  <c r="A729" i="2"/>
  <c r="H728" i="2"/>
  <c r="I728" i="2" s="1"/>
  <c r="F728" i="2"/>
  <c r="G728" i="2" s="1"/>
  <c r="D728" i="2"/>
  <c r="E728" i="2" s="1"/>
  <c r="B728" i="2"/>
  <c r="C728" i="2" s="1"/>
  <c r="A728" i="2"/>
  <c r="H727" i="2"/>
  <c r="I727" i="2" s="1"/>
  <c r="F727" i="2"/>
  <c r="G727" i="2" s="1"/>
  <c r="D727" i="2"/>
  <c r="E727" i="2" s="1"/>
  <c r="B727" i="2"/>
  <c r="C727" i="2" s="1"/>
  <c r="A727" i="2"/>
  <c r="I726" i="2"/>
  <c r="H726" i="2"/>
  <c r="F726" i="2"/>
  <c r="G726" i="2" s="1"/>
  <c r="D726" i="2"/>
  <c r="E726" i="2" s="1"/>
  <c r="B726" i="2"/>
  <c r="C726" i="2" s="1"/>
  <c r="A726" i="2"/>
  <c r="H725" i="2"/>
  <c r="I725" i="2" s="1"/>
  <c r="F725" i="2"/>
  <c r="G725" i="2" s="1"/>
  <c r="D725" i="2"/>
  <c r="E725" i="2" s="1"/>
  <c r="B725" i="2"/>
  <c r="C725" i="2" s="1"/>
  <c r="A725" i="2"/>
  <c r="H724" i="2"/>
  <c r="I724" i="2" s="1"/>
  <c r="F724" i="2"/>
  <c r="G724" i="2" s="1"/>
  <c r="D724" i="2"/>
  <c r="E724" i="2" s="1"/>
  <c r="B724" i="2"/>
  <c r="C724" i="2" s="1"/>
  <c r="A724" i="2"/>
  <c r="H723" i="2"/>
  <c r="I723" i="2" s="1"/>
  <c r="F723" i="2"/>
  <c r="G723" i="2" s="1"/>
  <c r="D723" i="2"/>
  <c r="E723" i="2" s="1"/>
  <c r="B723" i="2"/>
  <c r="C723" i="2" s="1"/>
  <c r="A723" i="2"/>
  <c r="H722" i="2"/>
  <c r="I722" i="2" s="1"/>
  <c r="F722" i="2"/>
  <c r="G722" i="2" s="1"/>
  <c r="D722" i="2"/>
  <c r="E722" i="2" s="1"/>
  <c r="B722" i="2"/>
  <c r="C722" i="2" s="1"/>
  <c r="A722" i="2"/>
  <c r="H721" i="2"/>
  <c r="I721" i="2" s="1"/>
  <c r="F721" i="2"/>
  <c r="G721" i="2" s="1"/>
  <c r="D721" i="2"/>
  <c r="E721" i="2" s="1"/>
  <c r="B721" i="2"/>
  <c r="C721" i="2" s="1"/>
  <c r="A721" i="2"/>
  <c r="H720" i="2"/>
  <c r="I720" i="2" s="1"/>
  <c r="F720" i="2"/>
  <c r="G720" i="2" s="1"/>
  <c r="D720" i="2"/>
  <c r="E720" i="2" s="1"/>
  <c r="B720" i="2"/>
  <c r="C720" i="2" s="1"/>
  <c r="A720" i="2"/>
  <c r="H719" i="2"/>
  <c r="I719" i="2" s="1"/>
  <c r="F719" i="2"/>
  <c r="G719" i="2" s="1"/>
  <c r="D719" i="2"/>
  <c r="E719" i="2" s="1"/>
  <c r="B719" i="2"/>
  <c r="C719" i="2" s="1"/>
  <c r="A719" i="2"/>
  <c r="H718" i="2"/>
  <c r="I718" i="2" s="1"/>
  <c r="F718" i="2"/>
  <c r="G718" i="2" s="1"/>
  <c r="D718" i="2"/>
  <c r="E718" i="2" s="1"/>
  <c r="B718" i="2"/>
  <c r="C718" i="2" s="1"/>
  <c r="A718" i="2"/>
  <c r="H717" i="2"/>
  <c r="I717" i="2" s="1"/>
  <c r="F717" i="2"/>
  <c r="G717" i="2" s="1"/>
  <c r="D717" i="2"/>
  <c r="E717" i="2" s="1"/>
  <c r="B717" i="2"/>
  <c r="C717" i="2" s="1"/>
  <c r="A717" i="2"/>
  <c r="H716" i="2"/>
  <c r="I716" i="2" s="1"/>
  <c r="F716" i="2"/>
  <c r="G716" i="2" s="1"/>
  <c r="D716" i="2"/>
  <c r="E716" i="2" s="1"/>
  <c r="B716" i="2"/>
  <c r="C716" i="2" s="1"/>
  <c r="A716" i="2"/>
  <c r="H715" i="2"/>
  <c r="I715" i="2" s="1"/>
  <c r="F715" i="2"/>
  <c r="G715" i="2" s="1"/>
  <c r="D715" i="2"/>
  <c r="E715" i="2" s="1"/>
  <c r="B715" i="2"/>
  <c r="C715" i="2" s="1"/>
  <c r="A715" i="2"/>
  <c r="H714" i="2"/>
  <c r="I714" i="2" s="1"/>
  <c r="F714" i="2"/>
  <c r="G714" i="2" s="1"/>
  <c r="D714" i="2"/>
  <c r="E714" i="2" s="1"/>
  <c r="B714" i="2"/>
  <c r="C714" i="2" s="1"/>
  <c r="A714" i="2"/>
  <c r="H713" i="2"/>
  <c r="I713" i="2" s="1"/>
  <c r="F713" i="2"/>
  <c r="G713" i="2" s="1"/>
  <c r="D713" i="2"/>
  <c r="E713" i="2" s="1"/>
  <c r="B713" i="2"/>
  <c r="C713" i="2" s="1"/>
  <c r="A713" i="2"/>
  <c r="H712" i="2"/>
  <c r="I712" i="2" s="1"/>
  <c r="F712" i="2"/>
  <c r="G712" i="2" s="1"/>
  <c r="D712" i="2"/>
  <c r="E712" i="2" s="1"/>
  <c r="B712" i="2"/>
  <c r="C712" i="2" s="1"/>
  <c r="A712" i="2"/>
  <c r="H711" i="2"/>
  <c r="I711" i="2" s="1"/>
  <c r="F711" i="2"/>
  <c r="G711" i="2" s="1"/>
  <c r="D711" i="2"/>
  <c r="E711" i="2" s="1"/>
  <c r="B711" i="2"/>
  <c r="C711" i="2" s="1"/>
  <c r="A711" i="2"/>
  <c r="H710" i="2"/>
  <c r="I710" i="2" s="1"/>
  <c r="F710" i="2"/>
  <c r="G710" i="2" s="1"/>
  <c r="D710" i="2"/>
  <c r="E710" i="2" s="1"/>
  <c r="B710" i="2"/>
  <c r="C710" i="2" s="1"/>
  <c r="A710" i="2"/>
  <c r="H709" i="2"/>
  <c r="I709" i="2" s="1"/>
  <c r="F709" i="2"/>
  <c r="G709" i="2" s="1"/>
  <c r="D709" i="2"/>
  <c r="E709" i="2" s="1"/>
  <c r="B709" i="2"/>
  <c r="C709" i="2" s="1"/>
  <c r="A709" i="2"/>
  <c r="H708" i="2"/>
  <c r="I708" i="2" s="1"/>
  <c r="F708" i="2"/>
  <c r="G708" i="2" s="1"/>
  <c r="D708" i="2"/>
  <c r="E708" i="2" s="1"/>
  <c r="B708" i="2"/>
  <c r="C708" i="2" s="1"/>
  <c r="A708" i="2"/>
  <c r="H707" i="2"/>
  <c r="I707" i="2" s="1"/>
  <c r="F707" i="2"/>
  <c r="G707" i="2" s="1"/>
  <c r="D707" i="2"/>
  <c r="E707" i="2" s="1"/>
  <c r="B707" i="2"/>
  <c r="C707" i="2" s="1"/>
  <c r="A707" i="2"/>
  <c r="H706" i="2"/>
  <c r="I706" i="2" s="1"/>
  <c r="F706" i="2"/>
  <c r="G706" i="2" s="1"/>
  <c r="D706" i="2"/>
  <c r="E706" i="2" s="1"/>
  <c r="B706" i="2"/>
  <c r="C706" i="2" s="1"/>
  <c r="A706" i="2"/>
  <c r="H705" i="2"/>
  <c r="I705" i="2" s="1"/>
  <c r="F705" i="2"/>
  <c r="G705" i="2" s="1"/>
  <c r="D705" i="2"/>
  <c r="E705" i="2" s="1"/>
  <c r="B705" i="2"/>
  <c r="C705" i="2" s="1"/>
  <c r="A705" i="2"/>
  <c r="H704" i="2"/>
  <c r="I704" i="2" s="1"/>
  <c r="F704" i="2"/>
  <c r="G704" i="2" s="1"/>
  <c r="D704" i="2"/>
  <c r="E704" i="2" s="1"/>
  <c r="B704" i="2"/>
  <c r="C704" i="2" s="1"/>
  <c r="A704" i="2"/>
  <c r="H703" i="2"/>
  <c r="I703" i="2" s="1"/>
  <c r="F703" i="2"/>
  <c r="G703" i="2" s="1"/>
  <c r="D703" i="2"/>
  <c r="E703" i="2" s="1"/>
  <c r="B703" i="2"/>
  <c r="C703" i="2" s="1"/>
  <c r="A703" i="2"/>
  <c r="H702" i="2"/>
  <c r="I702" i="2" s="1"/>
  <c r="F702" i="2"/>
  <c r="G702" i="2" s="1"/>
  <c r="D702" i="2"/>
  <c r="E702" i="2" s="1"/>
  <c r="B702" i="2"/>
  <c r="C702" i="2" s="1"/>
  <c r="A702" i="2"/>
  <c r="H701" i="2"/>
  <c r="I701" i="2" s="1"/>
  <c r="F701" i="2"/>
  <c r="G701" i="2" s="1"/>
  <c r="D701" i="2"/>
  <c r="E701" i="2" s="1"/>
  <c r="B701" i="2"/>
  <c r="C701" i="2" s="1"/>
  <c r="A701" i="2"/>
  <c r="H700" i="2"/>
  <c r="I700" i="2" s="1"/>
  <c r="F700" i="2"/>
  <c r="G700" i="2" s="1"/>
  <c r="D700" i="2"/>
  <c r="E700" i="2" s="1"/>
  <c r="B700" i="2"/>
  <c r="C700" i="2" s="1"/>
  <c r="A700" i="2"/>
  <c r="H699" i="2"/>
  <c r="I699" i="2" s="1"/>
  <c r="F699" i="2"/>
  <c r="G699" i="2" s="1"/>
  <c r="D699" i="2"/>
  <c r="E699" i="2" s="1"/>
  <c r="B699" i="2"/>
  <c r="C699" i="2" s="1"/>
  <c r="A699" i="2"/>
  <c r="H698" i="2"/>
  <c r="I698" i="2" s="1"/>
  <c r="F698" i="2"/>
  <c r="G698" i="2" s="1"/>
  <c r="D698" i="2"/>
  <c r="E698" i="2" s="1"/>
  <c r="B698" i="2"/>
  <c r="C698" i="2" s="1"/>
  <c r="A698" i="2"/>
  <c r="H697" i="2"/>
  <c r="I697" i="2" s="1"/>
  <c r="F697" i="2"/>
  <c r="G697" i="2" s="1"/>
  <c r="D697" i="2"/>
  <c r="E697" i="2" s="1"/>
  <c r="B697" i="2"/>
  <c r="C697" i="2" s="1"/>
  <c r="A697" i="2"/>
  <c r="H696" i="2"/>
  <c r="I696" i="2" s="1"/>
  <c r="F696" i="2"/>
  <c r="G696" i="2" s="1"/>
  <c r="D696" i="2"/>
  <c r="E696" i="2" s="1"/>
  <c r="B696" i="2"/>
  <c r="C696" i="2" s="1"/>
  <c r="A696" i="2"/>
  <c r="H695" i="2"/>
  <c r="I695" i="2" s="1"/>
  <c r="F695" i="2"/>
  <c r="G695" i="2" s="1"/>
  <c r="D695" i="2"/>
  <c r="E695" i="2" s="1"/>
  <c r="B695" i="2"/>
  <c r="C695" i="2" s="1"/>
  <c r="A695" i="2"/>
  <c r="H694" i="2"/>
  <c r="I694" i="2" s="1"/>
  <c r="F694" i="2"/>
  <c r="G694" i="2" s="1"/>
  <c r="D694" i="2"/>
  <c r="E694" i="2" s="1"/>
  <c r="B694" i="2"/>
  <c r="C694" i="2" s="1"/>
  <c r="A694" i="2"/>
  <c r="H693" i="2"/>
  <c r="I693" i="2" s="1"/>
  <c r="F693" i="2"/>
  <c r="G693" i="2" s="1"/>
  <c r="D693" i="2"/>
  <c r="E693" i="2" s="1"/>
  <c r="B693" i="2"/>
  <c r="C693" i="2" s="1"/>
  <c r="A693" i="2"/>
  <c r="H692" i="2"/>
  <c r="I692" i="2" s="1"/>
  <c r="F692" i="2"/>
  <c r="G692" i="2" s="1"/>
  <c r="D692" i="2"/>
  <c r="E692" i="2" s="1"/>
  <c r="B692" i="2"/>
  <c r="C692" i="2" s="1"/>
  <c r="A692" i="2"/>
  <c r="H691" i="2"/>
  <c r="I691" i="2" s="1"/>
  <c r="F691" i="2"/>
  <c r="G691" i="2" s="1"/>
  <c r="D691" i="2"/>
  <c r="E691" i="2" s="1"/>
  <c r="B691" i="2"/>
  <c r="C691" i="2" s="1"/>
  <c r="A691" i="2"/>
  <c r="H690" i="2"/>
  <c r="I690" i="2" s="1"/>
  <c r="F690" i="2"/>
  <c r="G690" i="2" s="1"/>
  <c r="D690" i="2"/>
  <c r="E690" i="2" s="1"/>
  <c r="B690" i="2"/>
  <c r="C690" i="2" s="1"/>
  <c r="A690" i="2"/>
  <c r="H689" i="2"/>
  <c r="I689" i="2" s="1"/>
  <c r="F689" i="2"/>
  <c r="G689" i="2" s="1"/>
  <c r="D689" i="2"/>
  <c r="E689" i="2" s="1"/>
  <c r="B689" i="2"/>
  <c r="C689" i="2" s="1"/>
  <c r="A689" i="2"/>
  <c r="H688" i="2"/>
  <c r="I688" i="2" s="1"/>
  <c r="F688" i="2"/>
  <c r="G688" i="2" s="1"/>
  <c r="D688" i="2"/>
  <c r="E688" i="2" s="1"/>
  <c r="B688" i="2"/>
  <c r="C688" i="2" s="1"/>
  <c r="A688" i="2"/>
  <c r="H687" i="2"/>
  <c r="I687" i="2" s="1"/>
  <c r="F687" i="2"/>
  <c r="G687" i="2" s="1"/>
  <c r="D687" i="2"/>
  <c r="E687" i="2" s="1"/>
  <c r="B687" i="2"/>
  <c r="C687" i="2" s="1"/>
  <c r="A687" i="2"/>
  <c r="H686" i="2"/>
  <c r="I686" i="2" s="1"/>
  <c r="F686" i="2"/>
  <c r="G686" i="2" s="1"/>
  <c r="D686" i="2"/>
  <c r="E686" i="2" s="1"/>
  <c r="B686" i="2"/>
  <c r="C686" i="2" s="1"/>
  <c r="A686" i="2"/>
  <c r="H685" i="2"/>
  <c r="I685" i="2" s="1"/>
  <c r="F685" i="2"/>
  <c r="G685" i="2" s="1"/>
  <c r="D685" i="2"/>
  <c r="E685" i="2" s="1"/>
  <c r="B685" i="2"/>
  <c r="C685" i="2" s="1"/>
  <c r="A685" i="2"/>
  <c r="H684" i="2"/>
  <c r="I684" i="2" s="1"/>
  <c r="F684" i="2"/>
  <c r="G684" i="2" s="1"/>
  <c r="D684" i="2"/>
  <c r="E684" i="2" s="1"/>
  <c r="B684" i="2"/>
  <c r="C684" i="2" s="1"/>
  <c r="A684" i="2"/>
  <c r="H683" i="2"/>
  <c r="I683" i="2" s="1"/>
  <c r="F683" i="2"/>
  <c r="G683" i="2" s="1"/>
  <c r="D683" i="2"/>
  <c r="E683" i="2" s="1"/>
  <c r="B683" i="2"/>
  <c r="C683" i="2" s="1"/>
  <c r="A683" i="2"/>
  <c r="H682" i="2"/>
  <c r="I682" i="2" s="1"/>
  <c r="F682" i="2"/>
  <c r="G682" i="2" s="1"/>
  <c r="D682" i="2"/>
  <c r="E682" i="2" s="1"/>
  <c r="B682" i="2"/>
  <c r="C682" i="2" s="1"/>
  <c r="A682" i="2"/>
  <c r="I681" i="2"/>
  <c r="H681" i="2"/>
  <c r="G681" i="2"/>
  <c r="F681" i="2"/>
  <c r="D681" i="2"/>
  <c r="E681" i="2" s="1"/>
  <c r="B681" i="2"/>
  <c r="C681" i="2" s="1"/>
  <c r="A681" i="2"/>
  <c r="H680" i="2"/>
  <c r="I680" i="2" s="1"/>
  <c r="F680" i="2"/>
  <c r="G680" i="2" s="1"/>
  <c r="D680" i="2"/>
  <c r="E680" i="2" s="1"/>
  <c r="B680" i="2"/>
  <c r="C680" i="2" s="1"/>
  <c r="A680" i="2"/>
  <c r="H679" i="2"/>
  <c r="I679" i="2" s="1"/>
  <c r="F679" i="2"/>
  <c r="G679" i="2" s="1"/>
  <c r="D679" i="2"/>
  <c r="E679" i="2" s="1"/>
  <c r="B679" i="2"/>
  <c r="C679" i="2" s="1"/>
  <c r="A679" i="2"/>
  <c r="H678" i="2"/>
  <c r="I678" i="2" s="1"/>
  <c r="F678" i="2"/>
  <c r="G678" i="2" s="1"/>
  <c r="D678" i="2"/>
  <c r="E678" i="2" s="1"/>
  <c r="B678" i="2"/>
  <c r="C678" i="2" s="1"/>
  <c r="A678" i="2"/>
  <c r="H677" i="2"/>
  <c r="I677" i="2" s="1"/>
  <c r="G677" i="2"/>
  <c r="F677" i="2"/>
  <c r="D677" i="2"/>
  <c r="E677" i="2" s="1"/>
  <c r="B677" i="2"/>
  <c r="C677" i="2" s="1"/>
  <c r="A677" i="2"/>
  <c r="H676" i="2"/>
  <c r="I676" i="2" s="1"/>
  <c r="F676" i="2"/>
  <c r="G676" i="2" s="1"/>
  <c r="D676" i="2"/>
  <c r="E676" i="2" s="1"/>
  <c r="B676" i="2"/>
  <c r="C676" i="2" s="1"/>
  <c r="A676" i="2"/>
  <c r="H675" i="2"/>
  <c r="I675" i="2" s="1"/>
  <c r="F675" i="2"/>
  <c r="G675" i="2" s="1"/>
  <c r="D675" i="2"/>
  <c r="E675" i="2" s="1"/>
  <c r="B675" i="2"/>
  <c r="C675" i="2" s="1"/>
  <c r="A675" i="2"/>
  <c r="H674" i="2"/>
  <c r="I674" i="2" s="1"/>
  <c r="F674" i="2"/>
  <c r="G674" i="2" s="1"/>
  <c r="D674" i="2"/>
  <c r="E674" i="2" s="1"/>
  <c r="B674" i="2"/>
  <c r="C674" i="2" s="1"/>
  <c r="A674" i="2"/>
  <c r="H673" i="2"/>
  <c r="I673" i="2" s="1"/>
  <c r="F673" i="2"/>
  <c r="G673" i="2" s="1"/>
  <c r="D673" i="2"/>
  <c r="E673" i="2" s="1"/>
  <c r="B673" i="2"/>
  <c r="C673" i="2" s="1"/>
  <c r="A673" i="2"/>
  <c r="H672" i="2"/>
  <c r="I672" i="2" s="1"/>
  <c r="F672" i="2"/>
  <c r="G672" i="2" s="1"/>
  <c r="D672" i="2"/>
  <c r="E672" i="2" s="1"/>
  <c r="B672" i="2"/>
  <c r="C672" i="2" s="1"/>
  <c r="A672" i="2"/>
  <c r="H671" i="2"/>
  <c r="I671" i="2" s="1"/>
  <c r="F671" i="2"/>
  <c r="G671" i="2" s="1"/>
  <c r="D671" i="2"/>
  <c r="E671" i="2" s="1"/>
  <c r="B671" i="2"/>
  <c r="C671" i="2" s="1"/>
  <c r="A671" i="2"/>
  <c r="H670" i="2"/>
  <c r="I670" i="2" s="1"/>
  <c r="F670" i="2"/>
  <c r="G670" i="2" s="1"/>
  <c r="D670" i="2"/>
  <c r="E670" i="2" s="1"/>
  <c r="B670" i="2"/>
  <c r="C670" i="2" s="1"/>
  <c r="A670" i="2"/>
  <c r="H669" i="2"/>
  <c r="I669" i="2" s="1"/>
  <c r="F669" i="2"/>
  <c r="G669" i="2" s="1"/>
  <c r="D669" i="2"/>
  <c r="E669" i="2" s="1"/>
  <c r="B669" i="2"/>
  <c r="C669" i="2" s="1"/>
  <c r="A669" i="2"/>
  <c r="H668" i="2"/>
  <c r="I668" i="2" s="1"/>
  <c r="F668" i="2"/>
  <c r="G668" i="2" s="1"/>
  <c r="D668" i="2"/>
  <c r="E668" i="2" s="1"/>
  <c r="B668" i="2"/>
  <c r="C668" i="2" s="1"/>
  <c r="A668" i="2"/>
  <c r="H667" i="2"/>
  <c r="I667" i="2" s="1"/>
  <c r="F667" i="2"/>
  <c r="G667" i="2" s="1"/>
  <c r="D667" i="2"/>
  <c r="E667" i="2" s="1"/>
  <c r="B667" i="2"/>
  <c r="C667" i="2" s="1"/>
  <c r="A667" i="2"/>
  <c r="H666" i="2"/>
  <c r="I666" i="2" s="1"/>
  <c r="F666" i="2"/>
  <c r="G666" i="2" s="1"/>
  <c r="D666" i="2"/>
  <c r="E666" i="2" s="1"/>
  <c r="B666" i="2"/>
  <c r="C666" i="2" s="1"/>
  <c r="A666" i="2"/>
  <c r="H665" i="2"/>
  <c r="I665" i="2" s="1"/>
  <c r="F665" i="2"/>
  <c r="G665" i="2" s="1"/>
  <c r="D665" i="2"/>
  <c r="E665" i="2" s="1"/>
  <c r="B665" i="2"/>
  <c r="C665" i="2" s="1"/>
  <c r="A665" i="2"/>
  <c r="H664" i="2"/>
  <c r="I664" i="2" s="1"/>
  <c r="F664" i="2"/>
  <c r="G664" i="2" s="1"/>
  <c r="D664" i="2"/>
  <c r="E664" i="2" s="1"/>
  <c r="B664" i="2"/>
  <c r="C664" i="2" s="1"/>
  <c r="A664" i="2"/>
  <c r="H663" i="2"/>
  <c r="I663" i="2" s="1"/>
  <c r="F663" i="2"/>
  <c r="G663" i="2" s="1"/>
  <c r="D663" i="2"/>
  <c r="E663" i="2" s="1"/>
  <c r="B663" i="2"/>
  <c r="C663" i="2" s="1"/>
  <c r="A663" i="2"/>
  <c r="H662" i="2"/>
  <c r="I662" i="2" s="1"/>
  <c r="F662" i="2"/>
  <c r="G662" i="2" s="1"/>
  <c r="D662" i="2"/>
  <c r="E662" i="2" s="1"/>
  <c r="B662" i="2"/>
  <c r="C662" i="2" s="1"/>
  <c r="A662" i="2"/>
  <c r="H661" i="2"/>
  <c r="I661" i="2" s="1"/>
  <c r="F661" i="2"/>
  <c r="G661" i="2" s="1"/>
  <c r="D661" i="2"/>
  <c r="E661" i="2" s="1"/>
  <c r="B661" i="2"/>
  <c r="C661" i="2" s="1"/>
  <c r="A661" i="2"/>
  <c r="H660" i="2"/>
  <c r="I660" i="2" s="1"/>
  <c r="F660" i="2"/>
  <c r="G660" i="2" s="1"/>
  <c r="D660" i="2"/>
  <c r="E660" i="2" s="1"/>
  <c r="B660" i="2"/>
  <c r="C660" i="2" s="1"/>
  <c r="A660" i="2"/>
  <c r="H659" i="2"/>
  <c r="I659" i="2" s="1"/>
  <c r="F659" i="2"/>
  <c r="G659" i="2" s="1"/>
  <c r="D659" i="2"/>
  <c r="E659" i="2" s="1"/>
  <c r="B659" i="2"/>
  <c r="C659" i="2" s="1"/>
  <c r="A659" i="2"/>
  <c r="H658" i="2"/>
  <c r="I658" i="2" s="1"/>
  <c r="F658" i="2"/>
  <c r="G658" i="2" s="1"/>
  <c r="D658" i="2"/>
  <c r="E658" i="2" s="1"/>
  <c r="B658" i="2"/>
  <c r="C658" i="2" s="1"/>
  <c r="A658" i="2"/>
  <c r="H657" i="2"/>
  <c r="I657" i="2" s="1"/>
  <c r="F657" i="2"/>
  <c r="G657" i="2" s="1"/>
  <c r="D657" i="2"/>
  <c r="E657" i="2" s="1"/>
  <c r="B657" i="2"/>
  <c r="C657" i="2" s="1"/>
  <c r="A657" i="2"/>
  <c r="H656" i="2"/>
  <c r="I656" i="2" s="1"/>
  <c r="F656" i="2"/>
  <c r="G656" i="2" s="1"/>
  <c r="D656" i="2"/>
  <c r="E656" i="2" s="1"/>
  <c r="B656" i="2"/>
  <c r="C656" i="2" s="1"/>
  <c r="A656" i="2"/>
  <c r="H655" i="2"/>
  <c r="I655" i="2" s="1"/>
  <c r="F655" i="2"/>
  <c r="G655" i="2" s="1"/>
  <c r="D655" i="2"/>
  <c r="E655" i="2" s="1"/>
  <c r="B655" i="2"/>
  <c r="C655" i="2" s="1"/>
  <c r="A655" i="2"/>
  <c r="H654" i="2"/>
  <c r="I654" i="2" s="1"/>
  <c r="F654" i="2"/>
  <c r="G654" i="2" s="1"/>
  <c r="D654" i="2"/>
  <c r="E654" i="2" s="1"/>
  <c r="B654" i="2"/>
  <c r="C654" i="2" s="1"/>
  <c r="A654" i="2"/>
  <c r="H653" i="2"/>
  <c r="I653" i="2" s="1"/>
  <c r="F653" i="2"/>
  <c r="G653" i="2" s="1"/>
  <c r="D653" i="2"/>
  <c r="E653" i="2" s="1"/>
  <c r="B653" i="2"/>
  <c r="C653" i="2" s="1"/>
  <c r="A653" i="2"/>
  <c r="H652" i="2"/>
  <c r="I652" i="2" s="1"/>
  <c r="F652" i="2"/>
  <c r="G652" i="2" s="1"/>
  <c r="D652" i="2"/>
  <c r="E652" i="2" s="1"/>
  <c r="B652" i="2"/>
  <c r="C652" i="2" s="1"/>
  <c r="A652" i="2"/>
  <c r="H651" i="2"/>
  <c r="I651" i="2" s="1"/>
  <c r="F651" i="2"/>
  <c r="G651" i="2" s="1"/>
  <c r="D651" i="2"/>
  <c r="E651" i="2" s="1"/>
  <c r="B651" i="2"/>
  <c r="C651" i="2" s="1"/>
  <c r="A651" i="2"/>
  <c r="H650" i="2"/>
  <c r="I650" i="2" s="1"/>
  <c r="F650" i="2"/>
  <c r="G650" i="2" s="1"/>
  <c r="D650" i="2"/>
  <c r="E650" i="2" s="1"/>
  <c r="B650" i="2"/>
  <c r="C650" i="2" s="1"/>
  <c r="A650" i="2"/>
  <c r="H649" i="2"/>
  <c r="I649" i="2" s="1"/>
  <c r="F649" i="2"/>
  <c r="G649" i="2" s="1"/>
  <c r="D649" i="2"/>
  <c r="E649" i="2" s="1"/>
  <c r="B649" i="2"/>
  <c r="C649" i="2" s="1"/>
  <c r="A649" i="2"/>
  <c r="H648" i="2"/>
  <c r="I648" i="2" s="1"/>
  <c r="F648" i="2"/>
  <c r="G648" i="2" s="1"/>
  <c r="D648" i="2"/>
  <c r="E648" i="2" s="1"/>
  <c r="B648" i="2"/>
  <c r="C648" i="2" s="1"/>
  <c r="A648" i="2"/>
  <c r="H647" i="2"/>
  <c r="I647" i="2" s="1"/>
  <c r="F647" i="2"/>
  <c r="G647" i="2" s="1"/>
  <c r="D647" i="2"/>
  <c r="E647" i="2" s="1"/>
  <c r="B647" i="2"/>
  <c r="C647" i="2" s="1"/>
  <c r="A647" i="2"/>
  <c r="H646" i="2"/>
  <c r="I646" i="2" s="1"/>
  <c r="F646" i="2"/>
  <c r="G646" i="2" s="1"/>
  <c r="D646" i="2"/>
  <c r="E646" i="2" s="1"/>
  <c r="B646" i="2"/>
  <c r="C646" i="2" s="1"/>
  <c r="A646" i="2"/>
  <c r="H645" i="2"/>
  <c r="I645" i="2" s="1"/>
  <c r="F645" i="2"/>
  <c r="G645" i="2" s="1"/>
  <c r="D645" i="2"/>
  <c r="E645" i="2" s="1"/>
  <c r="B645" i="2"/>
  <c r="C645" i="2" s="1"/>
  <c r="A645" i="2"/>
  <c r="H644" i="2"/>
  <c r="I644" i="2" s="1"/>
  <c r="F644" i="2"/>
  <c r="G644" i="2" s="1"/>
  <c r="D644" i="2"/>
  <c r="E644" i="2" s="1"/>
  <c r="B644" i="2"/>
  <c r="C644" i="2" s="1"/>
  <c r="A644" i="2"/>
  <c r="H643" i="2"/>
  <c r="I643" i="2" s="1"/>
  <c r="F643" i="2"/>
  <c r="G643" i="2" s="1"/>
  <c r="D643" i="2"/>
  <c r="E643" i="2" s="1"/>
  <c r="B643" i="2"/>
  <c r="C643" i="2" s="1"/>
  <c r="A643" i="2"/>
  <c r="H642" i="2"/>
  <c r="I642" i="2" s="1"/>
  <c r="F642" i="2"/>
  <c r="G642" i="2" s="1"/>
  <c r="D642" i="2"/>
  <c r="E642" i="2" s="1"/>
  <c r="B642" i="2"/>
  <c r="C642" i="2" s="1"/>
  <c r="A642" i="2"/>
  <c r="H641" i="2"/>
  <c r="I641" i="2" s="1"/>
  <c r="F641" i="2"/>
  <c r="G641" i="2" s="1"/>
  <c r="E641" i="2"/>
  <c r="D641" i="2"/>
  <c r="B641" i="2"/>
  <c r="C641" i="2" s="1"/>
  <c r="A641" i="2"/>
  <c r="H640" i="2"/>
  <c r="I640" i="2" s="1"/>
  <c r="F640" i="2"/>
  <c r="G640" i="2" s="1"/>
  <c r="D640" i="2"/>
  <c r="E640" i="2" s="1"/>
  <c r="B640" i="2"/>
  <c r="C640" i="2" s="1"/>
  <c r="A640" i="2"/>
  <c r="H639" i="2"/>
  <c r="I639" i="2" s="1"/>
  <c r="F639" i="2"/>
  <c r="G639" i="2" s="1"/>
  <c r="D639" i="2"/>
  <c r="E639" i="2" s="1"/>
  <c r="B639" i="2"/>
  <c r="C639" i="2" s="1"/>
  <c r="A639" i="2"/>
  <c r="H638" i="2"/>
  <c r="I638" i="2" s="1"/>
  <c r="F638" i="2"/>
  <c r="G638" i="2" s="1"/>
  <c r="D638" i="2"/>
  <c r="E638" i="2" s="1"/>
  <c r="B638" i="2"/>
  <c r="C638" i="2" s="1"/>
  <c r="A638" i="2"/>
  <c r="H637" i="2"/>
  <c r="I637" i="2" s="1"/>
  <c r="F637" i="2"/>
  <c r="G637" i="2" s="1"/>
  <c r="D637" i="2"/>
  <c r="E637" i="2" s="1"/>
  <c r="B637" i="2"/>
  <c r="C637" i="2" s="1"/>
  <c r="A637" i="2"/>
  <c r="H636" i="2"/>
  <c r="I636" i="2" s="1"/>
  <c r="F636" i="2"/>
  <c r="G636" i="2" s="1"/>
  <c r="D636" i="2"/>
  <c r="E636" i="2" s="1"/>
  <c r="B636" i="2"/>
  <c r="C636" i="2" s="1"/>
  <c r="A636" i="2"/>
  <c r="H635" i="2"/>
  <c r="I635" i="2" s="1"/>
  <c r="F635" i="2"/>
  <c r="G635" i="2" s="1"/>
  <c r="D635" i="2"/>
  <c r="E635" i="2" s="1"/>
  <c r="B635" i="2"/>
  <c r="C635" i="2" s="1"/>
  <c r="A635" i="2"/>
  <c r="H634" i="2"/>
  <c r="I634" i="2" s="1"/>
  <c r="F634" i="2"/>
  <c r="G634" i="2" s="1"/>
  <c r="D634" i="2"/>
  <c r="E634" i="2" s="1"/>
  <c r="B634" i="2"/>
  <c r="C634" i="2" s="1"/>
  <c r="A634" i="2"/>
  <c r="H633" i="2"/>
  <c r="I633" i="2" s="1"/>
  <c r="G633" i="2"/>
  <c r="F633" i="2"/>
  <c r="D633" i="2"/>
  <c r="E633" i="2" s="1"/>
  <c r="B633" i="2"/>
  <c r="C633" i="2" s="1"/>
  <c r="A633" i="2"/>
  <c r="H632" i="2"/>
  <c r="I632" i="2" s="1"/>
  <c r="F632" i="2"/>
  <c r="G632" i="2" s="1"/>
  <c r="D632" i="2"/>
  <c r="E632" i="2" s="1"/>
  <c r="B632" i="2"/>
  <c r="C632" i="2" s="1"/>
  <c r="A632" i="2"/>
  <c r="H631" i="2"/>
  <c r="I631" i="2" s="1"/>
  <c r="F631" i="2"/>
  <c r="G631" i="2" s="1"/>
  <c r="D631" i="2"/>
  <c r="E631" i="2" s="1"/>
  <c r="B631" i="2"/>
  <c r="C631" i="2" s="1"/>
  <c r="A631" i="2"/>
  <c r="H630" i="2"/>
  <c r="I630" i="2" s="1"/>
  <c r="F630" i="2"/>
  <c r="G630" i="2" s="1"/>
  <c r="D630" i="2"/>
  <c r="E630" i="2" s="1"/>
  <c r="B630" i="2"/>
  <c r="C630" i="2" s="1"/>
  <c r="A630" i="2"/>
  <c r="H629" i="2"/>
  <c r="I629" i="2" s="1"/>
  <c r="F629" i="2"/>
  <c r="G629" i="2" s="1"/>
  <c r="D629" i="2"/>
  <c r="E629" i="2" s="1"/>
  <c r="B629" i="2"/>
  <c r="C629" i="2" s="1"/>
  <c r="A629" i="2"/>
  <c r="H628" i="2"/>
  <c r="I628" i="2" s="1"/>
  <c r="F628" i="2"/>
  <c r="G628" i="2" s="1"/>
  <c r="D628" i="2"/>
  <c r="E628" i="2" s="1"/>
  <c r="B628" i="2"/>
  <c r="C628" i="2" s="1"/>
  <c r="A628" i="2"/>
  <c r="H627" i="2"/>
  <c r="I627" i="2" s="1"/>
  <c r="F627" i="2"/>
  <c r="G627" i="2" s="1"/>
  <c r="D627" i="2"/>
  <c r="E627" i="2" s="1"/>
  <c r="B627" i="2"/>
  <c r="C627" i="2" s="1"/>
  <c r="A627" i="2"/>
  <c r="H626" i="2"/>
  <c r="I626" i="2" s="1"/>
  <c r="F626" i="2"/>
  <c r="G626" i="2" s="1"/>
  <c r="D626" i="2"/>
  <c r="E626" i="2" s="1"/>
  <c r="B626" i="2"/>
  <c r="C626" i="2" s="1"/>
  <c r="A626" i="2"/>
  <c r="H625" i="2"/>
  <c r="I625" i="2" s="1"/>
  <c r="F625" i="2"/>
  <c r="G625" i="2" s="1"/>
  <c r="D625" i="2"/>
  <c r="E625" i="2" s="1"/>
  <c r="B625" i="2"/>
  <c r="C625" i="2" s="1"/>
  <c r="A625" i="2"/>
  <c r="H624" i="2"/>
  <c r="I624" i="2" s="1"/>
  <c r="F624" i="2"/>
  <c r="G624" i="2" s="1"/>
  <c r="D624" i="2"/>
  <c r="E624" i="2" s="1"/>
  <c r="B624" i="2"/>
  <c r="C624" i="2" s="1"/>
  <c r="A624" i="2"/>
  <c r="H623" i="2"/>
  <c r="I623" i="2" s="1"/>
  <c r="G623" i="2"/>
  <c r="F623" i="2"/>
  <c r="D623" i="2"/>
  <c r="E623" i="2" s="1"/>
  <c r="B623" i="2"/>
  <c r="C623" i="2" s="1"/>
  <c r="A623" i="2"/>
  <c r="H622" i="2"/>
  <c r="I622" i="2" s="1"/>
  <c r="F622" i="2"/>
  <c r="G622" i="2" s="1"/>
  <c r="D622" i="2"/>
  <c r="E622" i="2" s="1"/>
  <c r="B622" i="2"/>
  <c r="C622" i="2" s="1"/>
  <c r="A622" i="2"/>
  <c r="H621" i="2"/>
  <c r="I621" i="2" s="1"/>
  <c r="F621" i="2"/>
  <c r="G621" i="2" s="1"/>
  <c r="D621" i="2"/>
  <c r="E621" i="2" s="1"/>
  <c r="B621" i="2"/>
  <c r="C621" i="2" s="1"/>
  <c r="A621" i="2"/>
  <c r="H620" i="2"/>
  <c r="I620" i="2" s="1"/>
  <c r="F620" i="2"/>
  <c r="G620" i="2" s="1"/>
  <c r="D620" i="2"/>
  <c r="E620" i="2" s="1"/>
  <c r="B620" i="2"/>
  <c r="C620" i="2" s="1"/>
  <c r="A620" i="2"/>
  <c r="H619" i="2"/>
  <c r="I619" i="2" s="1"/>
  <c r="F619" i="2"/>
  <c r="G619" i="2" s="1"/>
  <c r="D619" i="2"/>
  <c r="E619" i="2" s="1"/>
  <c r="B619" i="2"/>
  <c r="C619" i="2" s="1"/>
  <c r="A619" i="2"/>
  <c r="H618" i="2"/>
  <c r="I618" i="2" s="1"/>
  <c r="F618" i="2"/>
  <c r="G618" i="2" s="1"/>
  <c r="D618" i="2"/>
  <c r="E618" i="2" s="1"/>
  <c r="B618" i="2"/>
  <c r="C618" i="2" s="1"/>
  <c r="A618" i="2"/>
  <c r="H617" i="2"/>
  <c r="I617" i="2" s="1"/>
  <c r="F617" i="2"/>
  <c r="G617" i="2" s="1"/>
  <c r="D617" i="2"/>
  <c r="E617" i="2" s="1"/>
  <c r="B617" i="2"/>
  <c r="C617" i="2" s="1"/>
  <c r="A617" i="2"/>
  <c r="H616" i="2"/>
  <c r="I616" i="2" s="1"/>
  <c r="F616" i="2"/>
  <c r="G616" i="2" s="1"/>
  <c r="D616" i="2"/>
  <c r="E616" i="2" s="1"/>
  <c r="B616" i="2"/>
  <c r="C616" i="2" s="1"/>
  <c r="A616" i="2"/>
  <c r="H615" i="2"/>
  <c r="I615" i="2" s="1"/>
  <c r="F615" i="2"/>
  <c r="G615" i="2" s="1"/>
  <c r="D615" i="2"/>
  <c r="E615" i="2" s="1"/>
  <c r="B615" i="2"/>
  <c r="C615" i="2" s="1"/>
  <c r="A615" i="2"/>
  <c r="H614" i="2"/>
  <c r="I614" i="2" s="1"/>
  <c r="F614" i="2"/>
  <c r="G614" i="2" s="1"/>
  <c r="D614" i="2"/>
  <c r="E614" i="2" s="1"/>
  <c r="B614" i="2"/>
  <c r="C614" i="2" s="1"/>
  <c r="A614" i="2"/>
  <c r="H613" i="2"/>
  <c r="I613" i="2" s="1"/>
  <c r="F613" i="2"/>
  <c r="G613" i="2" s="1"/>
  <c r="D613" i="2"/>
  <c r="E613" i="2" s="1"/>
  <c r="B613" i="2"/>
  <c r="C613" i="2" s="1"/>
  <c r="A613" i="2"/>
  <c r="H612" i="2"/>
  <c r="I612" i="2" s="1"/>
  <c r="F612" i="2"/>
  <c r="G612" i="2" s="1"/>
  <c r="D612" i="2"/>
  <c r="E612" i="2" s="1"/>
  <c r="B612" i="2"/>
  <c r="C612" i="2" s="1"/>
  <c r="A612" i="2"/>
  <c r="H611" i="2"/>
  <c r="I611" i="2" s="1"/>
  <c r="F611" i="2"/>
  <c r="G611" i="2" s="1"/>
  <c r="D611" i="2"/>
  <c r="E611" i="2" s="1"/>
  <c r="B611" i="2"/>
  <c r="C611" i="2" s="1"/>
  <c r="A611" i="2"/>
  <c r="H610" i="2"/>
  <c r="I610" i="2" s="1"/>
  <c r="F610" i="2"/>
  <c r="G610" i="2" s="1"/>
  <c r="D610" i="2"/>
  <c r="E610" i="2" s="1"/>
  <c r="B610" i="2"/>
  <c r="C610" i="2" s="1"/>
  <c r="A610" i="2"/>
  <c r="H609" i="2"/>
  <c r="I609" i="2" s="1"/>
  <c r="F609" i="2"/>
  <c r="G609" i="2" s="1"/>
  <c r="D609" i="2"/>
  <c r="E609" i="2" s="1"/>
  <c r="B609" i="2"/>
  <c r="C609" i="2" s="1"/>
  <c r="A609" i="2"/>
  <c r="H608" i="2"/>
  <c r="I608" i="2" s="1"/>
  <c r="F608" i="2"/>
  <c r="G608" i="2" s="1"/>
  <c r="D608" i="2"/>
  <c r="E608" i="2" s="1"/>
  <c r="B608" i="2"/>
  <c r="C608" i="2" s="1"/>
  <c r="A608" i="2"/>
  <c r="H607" i="2"/>
  <c r="I607" i="2" s="1"/>
  <c r="F607" i="2"/>
  <c r="G607" i="2" s="1"/>
  <c r="D607" i="2"/>
  <c r="E607" i="2" s="1"/>
  <c r="B607" i="2"/>
  <c r="C607" i="2" s="1"/>
  <c r="A607" i="2"/>
  <c r="H606" i="2"/>
  <c r="I606" i="2" s="1"/>
  <c r="F606" i="2"/>
  <c r="G606" i="2" s="1"/>
  <c r="D606" i="2"/>
  <c r="E606" i="2" s="1"/>
  <c r="B606" i="2"/>
  <c r="C606" i="2" s="1"/>
  <c r="A606" i="2"/>
  <c r="H605" i="2"/>
  <c r="I605" i="2" s="1"/>
  <c r="F605" i="2"/>
  <c r="G605" i="2" s="1"/>
  <c r="D605" i="2"/>
  <c r="E605" i="2" s="1"/>
  <c r="B605" i="2"/>
  <c r="C605" i="2" s="1"/>
  <c r="A605" i="2"/>
  <c r="H604" i="2"/>
  <c r="I604" i="2" s="1"/>
  <c r="F604" i="2"/>
  <c r="G604" i="2" s="1"/>
  <c r="D604" i="2"/>
  <c r="E604" i="2" s="1"/>
  <c r="B604" i="2"/>
  <c r="C604" i="2" s="1"/>
  <c r="A604" i="2"/>
  <c r="H603" i="2"/>
  <c r="I603" i="2" s="1"/>
  <c r="F603" i="2"/>
  <c r="G603" i="2" s="1"/>
  <c r="D603" i="2"/>
  <c r="E603" i="2" s="1"/>
  <c r="B603" i="2"/>
  <c r="C603" i="2" s="1"/>
  <c r="A603" i="2"/>
  <c r="H602" i="2"/>
  <c r="I602" i="2" s="1"/>
  <c r="F602" i="2"/>
  <c r="G602" i="2" s="1"/>
  <c r="D602" i="2"/>
  <c r="E602" i="2" s="1"/>
  <c r="B602" i="2"/>
  <c r="C602" i="2" s="1"/>
  <c r="A602" i="2"/>
  <c r="H601" i="2"/>
  <c r="I601" i="2" s="1"/>
  <c r="F601" i="2"/>
  <c r="G601" i="2" s="1"/>
  <c r="D601" i="2"/>
  <c r="E601" i="2" s="1"/>
  <c r="B601" i="2"/>
  <c r="C601" i="2" s="1"/>
  <c r="A601" i="2"/>
  <c r="H600" i="2"/>
  <c r="I600" i="2" s="1"/>
  <c r="G600" i="2"/>
  <c r="F600" i="2"/>
  <c r="D600" i="2"/>
  <c r="E600" i="2" s="1"/>
  <c r="B600" i="2"/>
  <c r="C600" i="2" s="1"/>
  <c r="A600" i="2"/>
  <c r="H599" i="2"/>
  <c r="I599" i="2" s="1"/>
  <c r="F599" i="2"/>
  <c r="G599" i="2" s="1"/>
  <c r="D599" i="2"/>
  <c r="E599" i="2" s="1"/>
  <c r="B599" i="2"/>
  <c r="C599" i="2" s="1"/>
  <c r="A599" i="2"/>
  <c r="H598" i="2"/>
  <c r="I598" i="2" s="1"/>
  <c r="F598" i="2"/>
  <c r="G598" i="2" s="1"/>
  <c r="D598" i="2"/>
  <c r="E598" i="2" s="1"/>
  <c r="B598" i="2"/>
  <c r="C598" i="2" s="1"/>
  <c r="A598" i="2"/>
  <c r="H597" i="2"/>
  <c r="I597" i="2" s="1"/>
  <c r="F597" i="2"/>
  <c r="G597" i="2" s="1"/>
  <c r="D597" i="2"/>
  <c r="E597" i="2" s="1"/>
  <c r="B597" i="2"/>
  <c r="C597" i="2" s="1"/>
  <c r="A597" i="2"/>
  <c r="H596" i="2"/>
  <c r="I596" i="2" s="1"/>
  <c r="F596" i="2"/>
  <c r="G596" i="2" s="1"/>
  <c r="D596" i="2"/>
  <c r="E596" i="2" s="1"/>
  <c r="B596" i="2"/>
  <c r="C596" i="2" s="1"/>
  <c r="A596" i="2"/>
  <c r="H595" i="2"/>
  <c r="I595" i="2" s="1"/>
  <c r="F595" i="2"/>
  <c r="G595" i="2" s="1"/>
  <c r="D595" i="2"/>
  <c r="E595" i="2" s="1"/>
  <c r="B595" i="2"/>
  <c r="C595" i="2" s="1"/>
  <c r="A595" i="2"/>
  <c r="H594" i="2"/>
  <c r="I594" i="2" s="1"/>
  <c r="F594" i="2"/>
  <c r="G594" i="2" s="1"/>
  <c r="D594" i="2"/>
  <c r="E594" i="2" s="1"/>
  <c r="B594" i="2"/>
  <c r="C594" i="2" s="1"/>
  <c r="A594" i="2"/>
  <c r="H593" i="2"/>
  <c r="I593" i="2" s="1"/>
  <c r="F593" i="2"/>
  <c r="G593" i="2" s="1"/>
  <c r="D593" i="2"/>
  <c r="E593" i="2" s="1"/>
  <c r="B593" i="2"/>
  <c r="C593" i="2" s="1"/>
  <c r="A593" i="2"/>
  <c r="H592" i="2"/>
  <c r="I592" i="2" s="1"/>
  <c r="F592" i="2"/>
  <c r="G592" i="2" s="1"/>
  <c r="D592" i="2"/>
  <c r="E592" i="2" s="1"/>
  <c r="B592" i="2"/>
  <c r="C592" i="2" s="1"/>
  <c r="A592" i="2"/>
  <c r="H591" i="2"/>
  <c r="I591" i="2" s="1"/>
  <c r="F591" i="2"/>
  <c r="G591" i="2" s="1"/>
  <c r="D591" i="2"/>
  <c r="E591" i="2" s="1"/>
  <c r="B591" i="2"/>
  <c r="C591" i="2" s="1"/>
  <c r="A591" i="2"/>
  <c r="H590" i="2"/>
  <c r="I590" i="2" s="1"/>
  <c r="F590" i="2"/>
  <c r="G590" i="2" s="1"/>
  <c r="D590" i="2"/>
  <c r="E590" i="2" s="1"/>
  <c r="B590" i="2"/>
  <c r="C590" i="2" s="1"/>
  <c r="A590" i="2"/>
  <c r="H589" i="2"/>
  <c r="I589" i="2" s="1"/>
  <c r="F589" i="2"/>
  <c r="G589" i="2" s="1"/>
  <c r="D589" i="2"/>
  <c r="E589" i="2" s="1"/>
  <c r="B589" i="2"/>
  <c r="C589" i="2" s="1"/>
  <c r="A589" i="2"/>
  <c r="H588" i="2"/>
  <c r="I588" i="2" s="1"/>
  <c r="F588" i="2"/>
  <c r="G588" i="2" s="1"/>
  <c r="D588" i="2"/>
  <c r="E588" i="2" s="1"/>
  <c r="B588" i="2"/>
  <c r="C588" i="2" s="1"/>
  <c r="A588" i="2"/>
  <c r="H587" i="2"/>
  <c r="I587" i="2" s="1"/>
  <c r="F587" i="2"/>
  <c r="G587" i="2" s="1"/>
  <c r="D587" i="2"/>
  <c r="E587" i="2" s="1"/>
  <c r="B587" i="2"/>
  <c r="C587" i="2" s="1"/>
  <c r="A587" i="2"/>
  <c r="H586" i="2"/>
  <c r="I586" i="2" s="1"/>
  <c r="F586" i="2"/>
  <c r="G586" i="2" s="1"/>
  <c r="D586" i="2"/>
  <c r="E586" i="2" s="1"/>
  <c r="B586" i="2"/>
  <c r="C586" i="2" s="1"/>
  <c r="A586" i="2"/>
  <c r="H585" i="2"/>
  <c r="I585" i="2" s="1"/>
  <c r="F585" i="2"/>
  <c r="G585" i="2" s="1"/>
  <c r="D585" i="2"/>
  <c r="E585" i="2" s="1"/>
  <c r="B585" i="2"/>
  <c r="C585" i="2" s="1"/>
  <c r="A585" i="2"/>
  <c r="H584" i="2"/>
  <c r="I584" i="2" s="1"/>
  <c r="F584" i="2"/>
  <c r="G584" i="2" s="1"/>
  <c r="D584" i="2"/>
  <c r="E584" i="2" s="1"/>
  <c r="B584" i="2"/>
  <c r="C584" i="2" s="1"/>
  <c r="A584" i="2"/>
  <c r="H583" i="2"/>
  <c r="I583" i="2" s="1"/>
  <c r="F583" i="2"/>
  <c r="G583" i="2" s="1"/>
  <c r="D583" i="2"/>
  <c r="E583" i="2" s="1"/>
  <c r="B583" i="2"/>
  <c r="C583" i="2" s="1"/>
  <c r="A583" i="2"/>
  <c r="H582" i="2"/>
  <c r="I582" i="2" s="1"/>
  <c r="F582" i="2"/>
  <c r="G582" i="2" s="1"/>
  <c r="D582" i="2"/>
  <c r="E582" i="2" s="1"/>
  <c r="B582" i="2"/>
  <c r="C582" i="2" s="1"/>
  <c r="A582" i="2"/>
  <c r="H581" i="2"/>
  <c r="I581" i="2" s="1"/>
  <c r="F581" i="2"/>
  <c r="G581" i="2" s="1"/>
  <c r="D581" i="2"/>
  <c r="E581" i="2" s="1"/>
  <c r="B581" i="2"/>
  <c r="C581" i="2" s="1"/>
  <c r="A581" i="2"/>
  <c r="H580" i="2"/>
  <c r="I580" i="2" s="1"/>
  <c r="F580" i="2"/>
  <c r="G580" i="2" s="1"/>
  <c r="D580" i="2"/>
  <c r="E580" i="2" s="1"/>
  <c r="B580" i="2"/>
  <c r="C580" i="2" s="1"/>
  <c r="A580" i="2"/>
  <c r="H579" i="2"/>
  <c r="I579" i="2" s="1"/>
  <c r="F579" i="2"/>
  <c r="G579" i="2" s="1"/>
  <c r="D579" i="2"/>
  <c r="E579" i="2" s="1"/>
  <c r="B579" i="2"/>
  <c r="C579" i="2" s="1"/>
  <c r="A579" i="2"/>
  <c r="H578" i="2"/>
  <c r="I578" i="2" s="1"/>
  <c r="F578" i="2"/>
  <c r="G578" i="2" s="1"/>
  <c r="D578" i="2"/>
  <c r="E578" i="2" s="1"/>
  <c r="B578" i="2"/>
  <c r="C578" i="2" s="1"/>
  <c r="A578" i="2"/>
  <c r="H577" i="2"/>
  <c r="I577" i="2" s="1"/>
  <c r="F577" i="2"/>
  <c r="G577" i="2" s="1"/>
  <c r="D577" i="2"/>
  <c r="E577" i="2" s="1"/>
  <c r="B577" i="2"/>
  <c r="C577" i="2" s="1"/>
  <c r="A577" i="2"/>
  <c r="H576" i="2"/>
  <c r="I576" i="2" s="1"/>
  <c r="F576" i="2"/>
  <c r="G576" i="2" s="1"/>
  <c r="D576" i="2"/>
  <c r="E576" i="2" s="1"/>
  <c r="B576" i="2"/>
  <c r="C576" i="2" s="1"/>
  <c r="A576" i="2"/>
  <c r="H575" i="2"/>
  <c r="I575" i="2" s="1"/>
  <c r="F575" i="2"/>
  <c r="G575" i="2" s="1"/>
  <c r="D575" i="2"/>
  <c r="E575" i="2" s="1"/>
  <c r="B575" i="2"/>
  <c r="C575" i="2" s="1"/>
  <c r="A575" i="2"/>
  <c r="H574" i="2"/>
  <c r="I574" i="2" s="1"/>
  <c r="F574" i="2"/>
  <c r="G574" i="2" s="1"/>
  <c r="D574" i="2"/>
  <c r="E574" i="2" s="1"/>
  <c r="B574" i="2"/>
  <c r="C574" i="2" s="1"/>
  <c r="A574" i="2"/>
  <c r="H573" i="2"/>
  <c r="I573" i="2" s="1"/>
  <c r="F573" i="2"/>
  <c r="G573" i="2" s="1"/>
  <c r="D573" i="2"/>
  <c r="E573" i="2" s="1"/>
  <c r="B573" i="2"/>
  <c r="C573" i="2" s="1"/>
  <c r="A573" i="2"/>
  <c r="H572" i="2"/>
  <c r="I572" i="2" s="1"/>
  <c r="F572" i="2"/>
  <c r="G572" i="2" s="1"/>
  <c r="D572" i="2"/>
  <c r="E572" i="2" s="1"/>
  <c r="B572" i="2"/>
  <c r="C572" i="2" s="1"/>
  <c r="A572" i="2"/>
  <c r="H571" i="2"/>
  <c r="I571" i="2" s="1"/>
  <c r="F571" i="2"/>
  <c r="G571" i="2" s="1"/>
  <c r="D571" i="2"/>
  <c r="E571" i="2" s="1"/>
  <c r="B571" i="2"/>
  <c r="C571" i="2" s="1"/>
  <c r="A571" i="2"/>
  <c r="H570" i="2"/>
  <c r="I570" i="2" s="1"/>
  <c r="F570" i="2"/>
  <c r="G570" i="2" s="1"/>
  <c r="D570" i="2"/>
  <c r="E570" i="2" s="1"/>
  <c r="B570" i="2"/>
  <c r="C570" i="2" s="1"/>
  <c r="A570" i="2"/>
  <c r="H569" i="2"/>
  <c r="I569" i="2" s="1"/>
  <c r="F569" i="2"/>
  <c r="G569" i="2" s="1"/>
  <c r="D569" i="2"/>
  <c r="E569" i="2" s="1"/>
  <c r="B569" i="2"/>
  <c r="C569" i="2" s="1"/>
  <c r="A569" i="2"/>
  <c r="H568" i="2"/>
  <c r="I568" i="2" s="1"/>
  <c r="F568" i="2"/>
  <c r="G568" i="2" s="1"/>
  <c r="D568" i="2"/>
  <c r="E568" i="2" s="1"/>
  <c r="B568" i="2"/>
  <c r="C568" i="2" s="1"/>
  <c r="A568" i="2"/>
  <c r="H567" i="2"/>
  <c r="I567" i="2" s="1"/>
  <c r="F567" i="2"/>
  <c r="G567" i="2" s="1"/>
  <c r="D567" i="2"/>
  <c r="E567" i="2" s="1"/>
  <c r="B567" i="2"/>
  <c r="C567" i="2" s="1"/>
  <c r="A567" i="2"/>
  <c r="H566" i="2"/>
  <c r="I566" i="2" s="1"/>
  <c r="F566" i="2"/>
  <c r="G566" i="2" s="1"/>
  <c r="D566" i="2"/>
  <c r="E566" i="2" s="1"/>
  <c r="B566" i="2"/>
  <c r="C566" i="2" s="1"/>
  <c r="A566" i="2"/>
  <c r="H565" i="2"/>
  <c r="I565" i="2" s="1"/>
  <c r="F565" i="2"/>
  <c r="G565" i="2" s="1"/>
  <c r="D565" i="2"/>
  <c r="E565" i="2" s="1"/>
  <c r="B565" i="2"/>
  <c r="C565" i="2" s="1"/>
  <c r="A565" i="2"/>
  <c r="H564" i="2"/>
  <c r="I564" i="2" s="1"/>
  <c r="F564" i="2"/>
  <c r="G564" i="2" s="1"/>
  <c r="D564" i="2"/>
  <c r="E564" i="2" s="1"/>
  <c r="B564" i="2"/>
  <c r="C564" i="2" s="1"/>
  <c r="A564" i="2"/>
  <c r="H563" i="2"/>
  <c r="I563" i="2" s="1"/>
  <c r="F563" i="2"/>
  <c r="G563" i="2" s="1"/>
  <c r="D563" i="2"/>
  <c r="E563" i="2" s="1"/>
  <c r="B563" i="2"/>
  <c r="C563" i="2" s="1"/>
  <c r="A563" i="2"/>
  <c r="H562" i="2"/>
  <c r="I562" i="2" s="1"/>
  <c r="F562" i="2"/>
  <c r="G562" i="2" s="1"/>
  <c r="D562" i="2"/>
  <c r="E562" i="2" s="1"/>
  <c r="B562" i="2"/>
  <c r="C562" i="2" s="1"/>
  <c r="A562" i="2"/>
  <c r="H561" i="2"/>
  <c r="I561" i="2" s="1"/>
  <c r="F561" i="2"/>
  <c r="G561" i="2" s="1"/>
  <c r="D561" i="2"/>
  <c r="E561" i="2" s="1"/>
  <c r="B561" i="2"/>
  <c r="C561" i="2" s="1"/>
  <c r="A561" i="2"/>
  <c r="H560" i="2"/>
  <c r="I560" i="2" s="1"/>
  <c r="F560" i="2"/>
  <c r="G560" i="2" s="1"/>
  <c r="D560" i="2"/>
  <c r="E560" i="2" s="1"/>
  <c r="B560" i="2"/>
  <c r="C560" i="2" s="1"/>
  <c r="A560" i="2"/>
  <c r="H559" i="2"/>
  <c r="I559" i="2" s="1"/>
  <c r="F559" i="2"/>
  <c r="G559" i="2" s="1"/>
  <c r="D559" i="2"/>
  <c r="E559" i="2" s="1"/>
  <c r="B559" i="2"/>
  <c r="C559" i="2" s="1"/>
  <c r="A559" i="2"/>
  <c r="H558" i="2"/>
  <c r="I558" i="2" s="1"/>
  <c r="F558" i="2"/>
  <c r="G558" i="2" s="1"/>
  <c r="D558" i="2"/>
  <c r="E558" i="2" s="1"/>
  <c r="B558" i="2"/>
  <c r="C558" i="2" s="1"/>
  <c r="A558" i="2"/>
  <c r="H557" i="2"/>
  <c r="I557" i="2" s="1"/>
  <c r="F557" i="2"/>
  <c r="G557" i="2" s="1"/>
  <c r="D557" i="2"/>
  <c r="E557" i="2" s="1"/>
  <c r="B557" i="2"/>
  <c r="C557" i="2" s="1"/>
  <c r="A557" i="2"/>
  <c r="H556" i="2"/>
  <c r="I556" i="2" s="1"/>
  <c r="F556" i="2"/>
  <c r="G556" i="2" s="1"/>
  <c r="D556" i="2"/>
  <c r="E556" i="2" s="1"/>
  <c r="B556" i="2"/>
  <c r="C556" i="2" s="1"/>
  <c r="A556" i="2"/>
  <c r="H555" i="2"/>
  <c r="I555" i="2" s="1"/>
  <c r="F555" i="2"/>
  <c r="G555" i="2" s="1"/>
  <c r="D555" i="2"/>
  <c r="E555" i="2" s="1"/>
  <c r="B555" i="2"/>
  <c r="C555" i="2" s="1"/>
  <c r="A555" i="2"/>
  <c r="H554" i="2"/>
  <c r="I554" i="2" s="1"/>
  <c r="F554" i="2"/>
  <c r="G554" i="2" s="1"/>
  <c r="D554" i="2"/>
  <c r="E554" i="2" s="1"/>
  <c r="B554" i="2"/>
  <c r="C554" i="2" s="1"/>
  <c r="A554" i="2"/>
  <c r="H553" i="2"/>
  <c r="I553" i="2" s="1"/>
  <c r="F553" i="2"/>
  <c r="G553" i="2" s="1"/>
  <c r="D553" i="2"/>
  <c r="E553" i="2" s="1"/>
  <c r="B553" i="2"/>
  <c r="C553" i="2" s="1"/>
  <c r="A553" i="2"/>
  <c r="H552" i="2"/>
  <c r="I552" i="2" s="1"/>
  <c r="F552" i="2"/>
  <c r="G552" i="2" s="1"/>
  <c r="D552" i="2"/>
  <c r="E552" i="2" s="1"/>
  <c r="B552" i="2"/>
  <c r="C552" i="2" s="1"/>
  <c r="A552" i="2"/>
  <c r="H551" i="2"/>
  <c r="I551" i="2" s="1"/>
  <c r="F551" i="2"/>
  <c r="G551" i="2" s="1"/>
  <c r="D551" i="2"/>
  <c r="E551" i="2" s="1"/>
  <c r="B551" i="2"/>
  <c r="C551" i="2" s="1"/>
  <c r="A551" i="2"/>
  <c r="H550" i="2"/>
  <c r="I550" i="2" s="1"/>
  <c r="F550" i="2"/>
  <c r="G550" i="2" s="1"/>
  <c r="D550" i="2"/>
  <c r="E550" i="2" s="1"/>
  <c r="B550" i="2"/>
  <c r="C550" i="2" s="1"/>
  <c r="A550" i="2"/>
  <c r="H549" i="2"/>
  <c r="I549" i="2" s="1"/>
  <c r="F549" i="2"/>
  <c r="G549" i="2" s="1"/>
  <c r="D549" i="2"/>
  <c r="E549" i="2" s="1"/>
  <c r="B549" i="2"/>
  <c r="C549" i="2" s="1"/>
  <c r="A549" i="2"/>
  <c r="H548" i="2"/>
  <c r="I548" i="2" s="1"/>
  <c r="F548" i="2"/>
  <c r="G548" i="2" s="1"/>
  <c r="D548" i="2"/>
  <c r="E548" i="2" s="1"/>
  <c r="B548" i="2"/>
  <c r="C548" i="2" s="1"/>
  <c r="A548" i="2"/>
  <c r="H547" i="2"/>
  <c r="I547" i="2" s="1"/>
  <c r="F547" i="2"/>
  <c r="G547" i="2" s="1"/>
  <c r="D547" i="2"/>
  <c r="E547" i="2" s="1"/>
  <c r="B547" i="2"/>
  <c r="C547" i="2" s="1"/>
  <c r="A547" i="2"/>
  <c r="H546" i="2"/>
  <c r="I546" i="2" s="1"/>
  <c r="F546" i="2"/>
  <c r="G546" i="2" s="1"/>
  <c r="D546" i="2"/>
  <c r="E546" i="2" s="1"/>
  <c r="B546" i="2"/>
  <c r="C546" i="2" s="1"/>
  <c r="A546" i="2"/>
  <c r="H545" i="2"/>
  <c r="I545" i="2" s="1"/>
  <c r="F545" i="2"/>
  <c r="G545" i="2" s="1"/>
  <c r="D545" i="2"/>
  <c r="E545" i="2" s="1"/>
  <c r="B545" i="2"/>
  <c r="C545" i="2" s="1"/>
  <c r="A545" i="2"/>
  <c r="H544" i="2"/>
  <c r="I544" i="2" s="1"/>
  <c r="F544" i="2"/>
  <c r="G544" i="2" s="1"/>
  <c r="D544" i="2"/>
  <c r="E544" i="2" s="1"/>
  <c r="B544" i="2"/>
  <c r="C544" i="2" s="1"/>
  <c r="A544" i="2"/>
  <c r="H543" i="2"/>
  <c r="I543" i="2" s="1"/>
  <c r="F543" i="2"/>
  <c r="G543" i="2" s="1"/>
  <c r="D543" i="2"/>
  <c r="E543" i="2" s="1"/>
  <c r="B543" i="2"/>
  <c r="C543" i="2" s="1"/>
  <c r="A543" i="2"/>
  <c r="H542" i="2"/>
  <c r="I542" i="2" s="1"/>
  <c r="F542" i="2"/>
  <c r="G542" i="2" s="1"/>
  <c r="D542" i="2"/>
  <c r="E542" i="2" s="1"/>
  <c r="B542" i="2"/>
  <c r="C542" i="2" s="1"/>
  <c r="A542" i="2"/>
  <c r="H541" i="2"/>
  <c r="I541" i="2" s="1"/>
  <c r="F541" i="2"/>
  <c r="G541" i="2" s="1"/>
  <c r="D541" i="2"/>
  <c r="E541" i="2" s="1"/>
  <c r="B541" i="2"/>
  <c r="C541" i="2" s="1"/>
  <c r="A541" i="2"/>
  <c r="H540" i="2"/>
  <c r="I540" i="2" s="1"/>
  <c r="F540" i="2"/>
  <c r="G540" i="2" s="1"/>
  <c r="D540" i="2"/>
  <c r="E540" i="2" s="1"/>
  <c r="B540" i="2"/>
  <c r="C540" i="2" s="1"/>
  <c r="A540" i="2"/>
  <c r="H539" i="2"/>
  <c r="I539" i="2" s="1"/>
  <c r="F539" i="2"/>
  <c r="G539" i="2" s="1"/>
  <c r="D539" i="2"/>
  <c r="E539" i="2" s="1"/>
  <c r="B539" i="2"/>
  <c r="C539" i="2" s="1"/>
  <c r="A539" i="2"/>
  <c r="H538" i="2"/>
  <c r="I538" i="2" s="1"/>
  <c r="F538" i="2"/>
  <c r="G538" i="2" s="1"/>
  <c r="D538" i="2"/>
  <c r="E538" i="2" s="1"/>
  <c r="B538" i="2"/>
  <c r="C538" i="2" s="1"/>
  <c r="A538" i="2"/>
  <c r="H537" i="2"/>
  <c r="I537" i="2" s="1"/>
  <c r="F537" i="2"/>
  <c r="G537" i="2" s="1"/>
  <c r="D537" i="2"/>
  <c r="E537" i="2" s="1"/>
  <c r="B537" i="2"/>
  <c r="C537" i="2" s="1"/>
  <c r="A537" i="2"/>
  <c r="H536" i="2"/>
  <c r="I536" i="2" s="1"/>
  <c r="F536" i="2"/>
  <c r="G536" i="2" s="1"/>
  <c r="D536" i="2"/>
  <c r="E536" i="2" s="1"/>
  <c r="B536" i="2"/>
  <c r="C536" i="2" s="1"/>
  <c r="A536" i="2"/>
  <c r="H535" i="2"/>
  <c r="I535" i="2" s="1"/>
  <c r="F535" i="2"/>
  <c r="G535" i="2" s="1"/>
  <c r="D535" i="2"/>
  <c r="E535" i="2" s="1"/>
  <c r="B535" i="2"/>
  <c r="C535" i="2" s="1"/>
  <c r="A535" i="2"/>
  <c r="H534" i="2"/>
  <c r="I534" i="2" s="1"/>
  <c r="F534" i="2"/>
  <c r="G534" i="2" s="1"/>
  <c r="D534" i="2"/>
  <c r="E534" i="2" s="1"/>
  <c r="B534" i="2"/>
  <c r="C534" i="2" s="1"/>
  <c r="A534" i="2"/>
  <c r="H533" i="2"/>
  <c r="I533" i="2" s="1"/>
  <c r="F533" i="2"/>
  <c r="G533" i="2" s="1"/>
  <c r="D533" i="2"/>
  <c r="E533" i="2" s="1"/>
  <c r="B533" i="2"/>
  <c r="C533" i="2" s="1"/>
  <c r="A533" i="2"/>
  <c r="H532" i="2"/>
  <c r="I532" i="2" s="1"/>
  <c r="F532" i="2"/>
  <c r="G532" i="2" s="1"/>
  <c r="D532" i="2"/>
  <c r="E532" i="2" s="1"/>
  <c r="B532" i="2"/>
  <c r="C532" i="2" s="1"/>
  <c r="A532" i="2"/>
  <c r="H531" i="2"/>
  <c r="I531" i="2" s="1"/>
  <c r="F531" i="2"/>
  <c r="G531" i="2" s="1"/>
  <c r="D531" i="2"/>
  <c r="E531" i="2" s="1"/>
  <c r="B531" i="2"/>
  <c r="C531" i="2" s="1"/>
  <c r="A531" i="2"/>
  <c r="H530" i="2"/>
  <c r="I530" i="2" s="1"/>
  <c r="F530" i="2"/>
  <c r="G530" i="2" s="1"/>
  <c r="D530" i="2"/>
  <c r="E530" i="2" s="1"/>
  <c r="B530" i="2"/>
  <c r="C530" i="2" s="1"/>
  <c r="A530" i="2"/>
  <c r="H529" i="2"/>
  <c r="I529" i="2" s="1"/>
  <c r="F529" i="2"/>
  <c r="G529" i="2" s="1"/>
  <c r="D529" i="2"/>
  <c r="E529" i="2" s="1"/>
  <c r="B529" i="2"/>
  <c r="C529" i="2" s="1"/>
  <c r="A529" i="2"/>
  <c r="H528" i="2"/>
  <c r="I528" i="2" s="1"/>
  <c r="F528" i="2"/>
  <c r="G528" i="2" s="1"/>
  <c r="D528" i="2"/>
  <c r="E528" i="2" s="1"/>
  <c r="B528" i="2"/>
  <c r="C528" i="2" s="1"/>
  <c r="A528" i="2"/>
  <c r="H527" i="2"/>
  <c r="I527" i="2" s="1"/>
  <c r="F527" i="2"/>
  <c r="G527" i="2" s="1"/>
  <c r="D527" i="2"/>
  <c r="E527" i="2" s="1"/>
  <c r="B527" i="2"/>
  <c r="C527" i="2" s="1"/>
  <c r="A527" i="2"/>
  <c r="H526" i="2"/>
  <c r="I526" i="2" s="1"/>
  <c r="F526" i="2"/>
  <c r="G526" i="2" s="1"/>
  <c r="D526" i="2"/>
  <c r="E526" i="2" s="1"/>
  <c r="B526" i="2"/>
  <c r="C526" i="2" s="1"/>
  <c r="A526" i="2"/>
  <c r="H525" i="2"/>
  <c r="I525" i="2" s="1"/>
  <c r="F525" i="2"/>
  <c r="G525" i="2" s="1"/>
  <c r="D525" i="2"/>
  <c r="E525" i="2" s="1"/>
  <c r="B525" i="2"/>
  <c r="C525" i="2" s="1"/>
  <c r="A525" i="2"/>
  <c r="H524" i="2"/>
  <c r="I524" i="2" s="1"/>
  <c r="F524" i="2"/>
  <c r="G524" i="2" s="1"/>
  <c r="D524" i="2"/>
  <c r="E524" i="2" s="1"/>
  <c r="B524" i="2"/>
  <c r="C524" i="2" s="1"/>
  <c r="A524" i="2"/>
  <c r="H523" i="2"/>
  <c r="I523" i="2" s="1"/>
  <c r="F523" i="2"/>
  <c r="G523" i="2" s="1"/>
  <c r="D523" i="2"/>
  <c r="E523" i="2" s="1"/>
  <c r="B523" i="2"/>
  <c r="C523" i="2" s="1"/>
  <c r="A523" i="2"/>
  <c r="H522" i="2"/>
  <c r="I522" i="2" s="1"/>
  <c r="F522" i="2"/>
  <c r="G522" i="2" s="1"/>
  <c r="D522" i="2"/>
  <c r="E522" i="2" s="1"/>
  <c r="B522" i="2"/>
  <c r="C522" i="2" s="1"/>
  <c r="A522" i="2"/>
  <c r="H521" i="2"/>
  <c r="I521" i="2" s="1"/>
  <c r="F521" i="2"/>
  <c r="G521" i="2" s="1"/>
  <c r="D521" i="2"/>
  <c r="E521" i="2" s="1"/>
  <c r="B521" i="2"/>
  <c r="C521" i="2" s="1"/>
  <c r="A521" i="2"/>
  <c r="H520" i="2"/>
  <c r="I520" i="2" s="1"/>
  <c r="F520" i="2"/>
  <c r="G520" i="2" s="1"/>
  <c r="D520" i="2"/>
  <c r="E520" i="2" s="1"/>
  <c r="B520" i="2"/>
  <c r="C520" i="2" s="1"/>
  <c r="A520" i="2"/>
  <c r="H519" i="2"/>
  <c r="I519" i="2" s="1"/>
  <c r="F519" i="2"/>
  <c r="G519" i="2" s="1"/>
  <c r="D519" i="2"/>
  <c r="E519" i="2" s="1"/>
  <c r="B519" i="2"/>
  <c r="C519" i="2" s="1"/>
  <c r="A519" i="2"/>
  <c r="H518" i="2"/>
  <c r="I518" i="2" s="1"/>
  <c r="F518" i="2"/>
  <c r="G518" i="2" s="1"/>
  <c r="D518" i="2"/>
  <c r="E518" i="2" s="1"/>
  <c r="B518" i="2"/>
  <c r="C518" i="2" s="1"/>
  <c r="A518" i="2"/>
  <c r="H517" i="2"/>
  <c r="I517" i="2" s="1"/>
  <c r="F517" i="2"/>
  <c r="G517" i="2" s="1"/>
  <c r="D517" i="2"/>
  <c r="E517" i="2" s="1"/>
  <c r="B517" i="2"/>
  <c r="C517" i="2" s="1"/>
  <c r="A517" i="2"/>
  <c r="H516" i="2"/>
  <c r="I516" i="2" s="1"/>
  <c r="F516" i="2"/>
  <c r="G516" i="2" s="1"/>
  <c r="D516" i="2"/>
  <c r="E516" i="2" s="1"/>
  <c r="B516" i="2"/>
  <c r="C516" i="2" s="1"/>
  <c r="A516" i="2"/>
  <c r="H515" i="2"/>
  <c r="I515" i="2" s="1"/>
  <c r="F515" i="2"/>
  <c r="G515" i="2" s="1"/>
  <c r="D515" i="2"/>
  <c r="E515" i="2" s="1"/>
  <c r="B515" i="2"/>
  <c r="C515" i="2" s="1"/>
  <c r="A515" i="2"/>
  <c r="H514" i="2"/>
  <c r="I514" i="2" s="1"/>
  <c r="F514" i="2"/>
  <c r="G514" i="2" s="1"/>
  <c r="D514" i="2"/>
  <c r="E514" i="2" s="1"/>
  <c r="B514" i="2"/>
  <c r="C514" i="2" s="1"/>
  <c r="A514" i="2"/>
  <c r="H513" i="2"/>
  <c r="I513" i="2" s="1"/>
  <c r="F513" i="2"/>
  <c r="G513" i="2" s="1"/>
  <c r="D513" i="2"/>
  <c r="E513" i="2" s="1"/>
  <c r="B513" i="2"/>
  <c r="C513" i="2" s="1"/>
  <c r="A513" i="2"/>
  <c r="H512" i="2"/>
  <c r="I512" i="2" s="1"/>
  <c r="F512" i="2"/>
  <c r="G512" i="2" s="1"/>
  <c r="D512" i="2"/>
  <c r="E512" i="2" s="1"/>
  <c r="B512" i="2"/>
  <c r="C512" i="2" s="1"/>
  <c r="A512" i="2"/>
  <c r="H511" i="2"/>
  <c r="I511" i="2" s="1"/>
  <c r="F511" i="2"/>
  <c r="G511" i="2" s="1"/>
  <c r="D511" i="2"/>
  <c r="E511" i="2" s="1"/>
  <c r="B511" i="2"/>
  <c r="C511" i="2" s="1"/>
  <c r="A511" i="2"/>
  <c r="H510" i="2"/>
  <c r="I510" i="2" s="1"/>
  <c r="F510" i="2"/>
  <c r="G510" i="2" s="1"/>
  <c r="D510" i="2"/>
  <c r="E510" i="2" s="1"/>
  <c r="B510" i="2"/>
  <c r="C510" i="2" s="1"/>
  <c r="A510" i="2"/>
  <c r="H509" i="2"/>
  <c r="I509" i="2" s="1"/>
  <c r="F509" i="2"/>
  <c r="G509" i="2" s="1"/>
  <c r="D509" i="2"/>
  <c r="E509" i="2" s="1"/>
  <c r="B509" i="2"/>
  <c r="C509" i="2" s="1"/>
  <c r="A509" i="2"/>
  <c r="H508" i="2"/>
  <c r="I508" i="2" s="1"/>
  <c r="F508" i="2"/>
  <c r="G508" i="2" s="1"/>
  <c r="D508" i="2"/>
  <c r="E508" i="2" s="1"/>
  <c r="B508" i="2"/>
  <c r="C508" i="2" s="1"/>
  <c r="A508" i="2"/>
  <c r="H507" i="2"/>
  <c r="I507" i="2" s="1"/>
  <c r="F507" i="2"/>
  <c r="G507" i="2" s="1"/>
  <c r="E507" i="2"/>
  <c r="D507" i="2"/>
  <c r="B507" i="2"/>
  <c r="C507" i="2" s="1"/>
  <c r="A507" i="2"/>
  <c r="H506" i="2"/>
  <c r="I506" i="2" s="1"/>
  <c r="F506" i="2"/>
  <c r="G506" i="2" s="1"/>
  <c r="D506" i="2"/>
  <c r="E506" i="2" s="1"/>
  <c r="B506" i="2"/>
  <c r="C506" i="2" s="1"/>
  <c r="A506" i="2"/>
  <c r="H505" i="2"/>
  <c r="I505" i="2" s="1"/>
  <c r="F505" i="2"/>
  <c r="G505" i="2" s="1"/>
  <c r="D505" i="2"/>
  <c r="E505" i="2" s="1"/>
  <c r="B505" i="2"/>
  <c r="C505" i="2" s="1"/>
  <c r="A505" i="2"/>
  <c r="H504" i="2"/>
  <c r="I504" i="2" s="1"/>
  <c r="F504" i="2"/>
  <c r="G504" i="2" s="1"/>
  <c r="D504" i="2"/>
  <c r="E504" i="2" s="1"/>
  <c r="B504" i="2"/>
  <c r="C504" i="2" s="1"/>
  <c r="A504" i="2"/>
  <c r="H503" i="2"/>
  <c r="I503" i="2" s="1"/>
  <c r="F503" i="2"/>
  <c r="G503" i="2" s="1"/>
  <c r="D503" i="2"/>
  <c r="E503" i="2" s="1"/>
  <c r="B503" i="2"/>
  <c r="C503" i="2" s="1"/>
  <c r="A503" i="2"/>
  <c r="H502" i="2"/>
  <c r="I502" i="2" s="1"/>
  <c r="F502" i="2"/>
  <c r="G502" i="2" s="1"/>
  <c r="D502" i="2"/>
  <c r="E502" i="2" s="1"/>
  <c r="B502" i="2"/>
  <c r="C502" i="2" s="1"/>
  <c r="A502" i="2"/>
  <c r="H501" i="2"/>
  <c r="I501" i="2" s="1"/>
  <c r="F501" i="2"/>
  <c r="G501" i="2" s="1"/>
  <c r="D501" i="2"/>
  <c r="E501" i="2" s="1"/>
  <c r="B501" i="2"/>
  <c r="C501" i="2" s="1"/>
  <c r="A501" i="2"/>
  <c r="H500" i="2"/>
  <c r="I500" i="2" s="1"/>
  <c r="F500" i="2"/>
  <c r="G500" i="2" s="1"/>
  <c r="D500" i="2"/>
  <c r="E500" i="2" s="1"/>
  <c r="B500" i="2"/>
  <c r="C500" i="2" s="1"/>
  <c r="A500" i="2"/>
  <c r="H499" i="2"/>
  <c r="I499" i="2" s="1"/>
  <c r="F499" i="2"/>
  <c r="G499" i="2" s="1"/>
  <c r="D499" i="2"/>
  <c r="E499" i="2" s="1"/>
  <c r="B499" i="2"/>
  <c r="C499" i="2" s="1"/>
  <c r="A499" i="2"/>
  <c r="H498" i="2"/>
  <c r="I498" i="2" s="1"/>
  <c r="F498" i="2"/>
  <c r="G498" i="2" s="1"/>
  <c r="E498" i="2"/>
  <c r="D498" i="2"/>
  <c r="B498" i="2"/>
  <c r="C498" i="2" s="1"/>
  <c r="A498" i="2"/>
  <c r="H497" i="2"/>
  <c r="I497" i="2" s="1"/>
  <c r="F497" i="2"/>
  <c r="G497" i="2" s="1"/>
  <c r="D497" i="2"/>
  <c r="E497" i="2" s="1"/>
  <c r="B497" i="2"/>
  <c r="C497" i="2" s="1"/>
  <c r="A497" i="2"/>
  <c r="H496" i="2"/>
  <c r="I496" i="2" s="1"/>
  <c r="F496" i="2"/>
  <c r="G496" i="2" s="1"/>
  <c r="D496" i="2"/>
  <c r="E496" i="2" s="1"/>
  <c r="B496" i="2"/>
  <c r="C496" i="2" s="1"/>
  <c r="A496" i="2"/>
  <c r="H495" i="2"/>
  <c r="I495" i="2" s="1"/>
  <c r="F495" i="2"/>
  <c r="G495" i="2" s="1"/>
  <c r="D495" i="2"/>
  <c r="E495" i="2" s="1"/>
  <c r="B495" i="2"/>
  <c r="C495" i="2" s="1"/>
  <c r="A495" i="2"/>
  <c r="H494" i="2"/>
  <c r="I494" i="2" s="1"/>
  <c r="F494" i="2"/>
  <c r="G494" i="2" s="1"/>
  <c r="D494" i="2"/>
  <c r="E494" i="2" s="1"/>
  <c r="B494" i="2"/>
  <c r="C494" i="2" s="1"/>
  <c r="A494" i="2"/>
  <c r="H493" i="2"/>
  <c r="I493" i="2" s="1"/>
  <c r="F493" i="2"/>
  <c r="G493" i="2" s="1"/>
  <c r="D493" i="2"/>
  <c r="E493" i="2" s="1"/>
  <c r="B493" i="2"/>
  <c r="C493" i="2" s="1"/>
  <c r="A493" i="2"/>
  <c r="H492" i="2"/>
  <c r="I492" i="2" s="1"/>
  <c r="F492" i="2"/>
  <c r="G492" i="2" s="1"/>
  <c r="D492" i="2"/>
  <c r="E492" i="2" s="1"/>
  <c r="B492" i="2"/>
  <c r="C492" i="2" s="1"/>
  <c r="A492" i="2"/>
  <c r="H491" i="2"/>
  <c r="I491" i="2" s="1"/>
  <c r="F491" i="2"/>
  <c r="G491" i="2" s="1"/>
  <c r="D491" i="2"/>
  <c r="E491" i="2" s="1"/>
  <c r="C491" i="2"/>
  <c r="B491" i="2"/>
  <c r="A491" i="2"/>
  <c r="H490" i="2"/>
  <c r="I490" i="2" s="1"/>
  <c r="F490" i="2"/>
  <c r="G490" i="2" s="1"/>
  <c r="D490" i="2"/>
  <c r="E490" i="2" s="1"/>
  <c r="B490" i="2"/>
  <c r="C490" i="2" s="1"/>
  <c r="A490" i="2"/>
  <c r="H489" i="2"/>
  <c r="I489" i="2" s="1"/>
  <c r="G489" i="2"/>
  <c r="F489" i="2"/>
  <c r="D489" i="2"/>
  <c r="E489" i="2" s="1"/>
  <c r="B489" i="2"/>
  <c r="C489" i="2" s="1"/>
  <c r="A489" i="2"/>
  <c r="H488" i="2"/>
  <c r="I488" i="2" s="1"/>
  <c r="F488" i="2"/>
  <c r="G488" i="2" s="1"/>
  <c r="D488" i="2"/>
  <c r="E488" i="2" s="1"/>
  <c r="B488" i="2"/>
  <c r="C488" i="2" s="1"/>
  <c r="A488" i="2"/>
  <c r="H487" i="2"/>
  <c r="I487" i="2" s="1"/>
  <c r="F487" i="2"/>
  <c r="G487" i="2" s="1"/>
  <c r="D487" i="2"/>
  <c r="E487" i="2" s="1"/>
  <c r="B487" i="2"/>
  <c r="C487" i="2" s="1"/>
  <c r="A487" i="2"/>
  <c r="H486" i="2"/>
  <c r="I486" i="2" s="1"/>
  <c r="G486" i="2"/>
  <c r="F486" i="2"/>
  <c r="D486" i="2"/>
  <c r="E486" i="2" s="1"/>
  <c r="B486" i="2"/>
  <c r="C486" i="2" s="1"/>
  <c r="A486" i="2"/>
  <c r="H485" i="2"/>
  <c r="I485" i="2" s="1"/>
  <c r="F485" i="2"/>
  <c r="G485" i="2" s="1"/>
  <c r="D485" i="2"/>
  <c r="E485" i="2" s="1"/>
  <c r="B485" i="2"/>
  <c r="C485" i="2" s="1"/>
  <c r="A485" i="2"/>
  <c r="H484" i="2"/>
  <c r="I484" i="2" s="1"/>
  <c r="F484" i="2"/>
  <c r="G484" i="2" s="1"/>
  <c r="D484" i="2"/>
  <c r="E484" i="2" s="1"/>
  <c r="B484" i="2"/>
  <c r="C484" i="2" s="1"/>
  <c r="A484" i="2"/>
  <c r="H483" i="2"/>
  <c r="I483" i="2" s="1"/>
  <c r="F483" i="2"/>
  <c r="G483" i="2" s="1"/>
  <c r="D483" i="2"/>
  <c r="E483" i="2" s="1"/>
  <c r="B483" i="2"/>
  <c r="C483" i="2" s="1"/>
  <c r="A483" i="2"/>
  <c r="H482" i="2"/>
  <c r="I482" i="2" s="1"/>
  <c r="F482" i="2"/>
  <c r="G482" i="2" s="1"/>
  <c r="D482" i="2"/>
  <c r="E482" i="2" s="1"/>
  <c r="B482" i="2"/>
  <c r="C482" i="2" s="1"/>
  <c r="A482" i="2"/>
  <c r="H481" i="2"/>
  <c r="I481" i="2" s="1"/>
  <c r="F481" i="2"/>
  <c r="G481" i="2" s="1"/>
  <c r="D481" i="2"/>
  <c r="E481" i="2" s="1"/>
  <c r="B481" i="2"/>
  <c r="C481" i="2" s="1"/>
  <c r="A481" i="2"/>
  <c r="H480" i="2"/>
  <c r="I480" i="2" s="1"/>
  <c r="F480" i="2"/>
  <c r="G480" i="2" s="1"/>
  <c r="D480" i="2"/>
  <c r="E480" i="2" s="1"/>
  <c r="B480" i="2"/>
  <c r="C480" i="2" s="1"/>
  <c r="A480" i="2"/>
  <c r="H479" i="2"/>
  <c r="I479" i="2" s="1"/>
  <c r="F479" i="2"/>
  <c r="G479" i="2" s="1"/>
  <c r="D479" i="2"/>
  <c r="E479" i="2" s="1"/>
  <c r="B479" i="2"/>
  <c r="C479" i="2" s="1"/>
  <c r="A479" i="2"/>
  <c r="H478" i="2"/>
  <c r="I478" i="2" s="1"/>
  <c r="F478" i="2"/>
  <c r="G478" i="2" s="1"/>
  <c r="D478" i="2"/>
  <c r="E478" i="2" s="1"/>
  <c r="B478" i="2"/>
  <c r="C478" i="2" s="1"/>
  <c r="A478" i="2"/>
  <c r="H477" i="2"/>
  <c r="I477" i="2" s="1"/>
  <c r="F477" i="2"/>
  <c r="G477" i="2" s="1"/>
  <c r="D477" i="2"/>
  <c r="E477" i="2" s="1"/>
  <c r="B477" i="2"/>
  <c r="C477" i="2" s="1"/>
  <c r="A477" i="2"/>
  <c r="H476" i="2"/>
  <c r="I476" i="2" s="1"/>
  <c r="F476" i="2"/>
  <c r="G476" i="2" s="1"/>
  <c r="D476" i="2"/>
  <c r="E476" i="2" s="1"/>
  <c r="B476" i="2"/>
  <c r="C476" i="2" s="1"/>
  <c r="A476" i="2"/>
  <c r="H475" i="2"/>
  <c r="I475" i="2" s="1"/>
  <c r="F475" i="2"/>
  <c r="G475" i="2" s="1"/>
  <c r="D475" i="2"/>
  <c r="E475" i="2" s="1"/>
  <c r="C475" i="2"/>
  <c r="B475" i="2"/>
  <c r="A475" i="2"/>
  <c r="H474" i="2"/>
  <c r="I474" i="2" s="1"/>
  <c r="F474" i="2"/>
  <c r="G474" i="2" s="1"/>
  <c r="D474" i="2"/>
  <c r="E474" i="2" s="1"/>
  <c r="B474" i="2"/>
  <c r="C474" i="2" s="1"/>
  <c r="A474" i="2"/>
  <c r="H473" i="2"/>
  <c r="I473" i="2" s="1"/>
  <c r="F473" i="2"/>
  <c r="G473" i="2" s="1"/>
  <c r="D473" i="2"/>
  <c r="E473" i="2" s="1"/>
  <c r="B473" i="2"/>
  <c r="C473" i="2" s="1"/>
  <c r="A473" i="2"/>
  <c r="I472" i="2"/>
  <c r="H472" i="2"/>
  <c r="F472" i="2"/>
  <c r="G472" i="2" s="1"/>
  <c r="D472" i="2"/>
  <c r="E472" i="2" s="1"/>
  <c r="B472" i="2"/>
  <c r="C472" i="2" s="1"/>
  <c r="A472" i="2"/>
  <c r="H471" i="2"/>
  <c r="I471" i="2" s="1"/>
  <c r="F471" i="2"/>
  <c r="G471" i="2" s="1"/>
  <c r="D471" i="2"/>
  <c r="E471" i="2" s="1"/>
  <c r="B471" i="2"/>
  <c r="C471" i="2" s="1"/>
  <c r="A471" i="2"/>
  <c r="H470" i="2"/>
  <c r="I470" i="2" s="1"/>
  <c r="F470" i="2"/>
  <c r="G470" i="2" s="1"/>
  <c r="D470" i="2"/>
  <c r="E470" i="2" s="1"/>
  <c r="B470" i="2"/>
  <c r="C470" i="2" s="1"/>
  <c r="A470" i="2"/>
  <c r="H469" i="2"/>
  <c r="I469" i="2" s="1"/>
  <c r="F469" i="2"/>
  <c r="G469" i="2" s="1"/>
  <c r="D469" i="2"/>
  <c r="E469" i="2" s="1"/>
  <c r="B469" i="2"/>
  <c r="C469" i="2" s="1"/>
  <c r="A469" i="2"/>
  <c r="H468" i="2"/>
  <c r="I468" i="2" s="1"/>
  <c r="F468" i="2"/>
  <c r="G468" i="2" s="1"/>
  <c r="D468" i="2"/>
  <c r="E468" i="2" s="1"/>
  <c r="B468" i="2"/>
  <c r="C468" i="2" s="1"/>
  <c r="A468" i="2"/>
  <c r="H467" i="2"/>
  <c r="I467" i="2" s="1"/>
  <c r="F467" i="2"/>
  <c r="G467" i="2" s="1"/>
  <c r="D467" i="2"/>
  <c r="E467" i="2" s="1"/>
  <c r="B467" i="2"/>
  <c r="C467" i="2" s="1"/>
  <c r="A467" i="2"/>
  <c r="H466" i="2"/>
  <c r="I466" i="2" s="1"/>
  <c r="F466" i="2"/>
  <c r="G466" i="2" s="1"/>
  <c r="D466" i="2"/>
  <c r="E466" i="2" s="1"/>
  <c r="B466" i="2"/>
  <c r="C466" i="2" s="1"/>
  <c r="A466" i="2"/>
  <c r="H465" i="2"/>
  <c r="I465" i="2" s="1"/>
  <c r="F465" i="2"/>
  <c r="G465" i="2" s="1"/>
  <c r="D465" i="2"/>
  <c r="E465" i="2" s="1"/>
  <c r="B465" i="2"/>
  <c r="C465" i="2" s="1"/>
  <c r="A465" i="2"/>
  <c r="H464" i="2"/>
  <c r="I464" i="2" s="1"/>
  <c r="F464" i="2"/>
  <c r="G464" i="2" s="1"/>
  <c r="D464" i="2"/>
  <c r="E464" i="2" s="1"/>
  <c r="B464" i="2"/>
  <c r="C464" i="2" s="1"/>
  <c r="A464" i="2"/>
  <c r="H463" i="2"/>
  <c r="I463" i="2" s="1"/>
  <c r="F463" i="2"/>
  <c r="G463" i="2" s="1"/>
  <c r="D463" i="2"/>
  <c r="E463" i="2" s="1"/>
  <c r="B463" i="2"/>
  <c r="C463" i="2" s="1"/>
  <c r="A463" i="2"/>
  <c r="H462" i="2"/>
  <c r="I462" i="2" s="1"/>
  <c r="F462" i="2"/>
  <c r="G462" i="2" s="1"/>
  <c r="D462" i="2"/>
  <c r="E462" i="2" s="1"/>
  <c r="B462" i="2"/>
  <c r="C462" i="2" s="1"/>
  <c r="A462" i="2"/>
  <c r="H461" i="2"/>
  <c r="I461" i="2" s="1"/>
  <c r="F461" i="2"/>
  <c r="G461" i="2" s="1"/>
  <c r="D461" i="2"/>
  <c r="E461" i="2" s="1"/>
  <c r="B461" i="2"/>
  <c r="C461" i="2" s="1"/>
  <c r="A461" i="2"/>
  <c r="H460" i="2"/>
  <c r="I460" i="2" s="1"/>
  <c r="F460" i="2"/>
  <c r="G460" i="2" s="1"/>
  <c r="D460" i="2"/>
  <c r="E460" i="2" s="1"/>
  <c r="B460" i="2"/>
  <c r="C460" i="2" s="1"/>
  <c r="A460" i="2"/>
  <c r="H459" i="2"/>
  <c r="I459" i="2" s="1"/>
  <c r="G459" i="2"/>
  <c r="F459" i="2"/>
  <c r="D459" i="2"/>
  <c r="E459" i="2" s="1"/>
  <c r="B459" i="2"/>
  <c r="C459" i="2" s="1"/>
  <c r="A459" i="2"/>
  <c r="H458" i="2"/>
  <c r="I458" i="2" s="1"/>
  <c r="F458" i="2"/>
  <c r="G458" i="2" s="1"/>
  <c r="D458" i="2"/>
  <c r="E458" i="2" s="1"/>
  <c r="B458" i="2"/>
  <c r="C458" i="2" s="1"/>
  <c r="A458" i="2"/>
  <c r="H457" i="2"/>
  <c r="I457" i="2" s="1"/>
  <c r="F457" i="2"/>
  <c r="G457" i="2" s="1"/>
  <c r="D457" i="2"/>
  <c r="E457" i="2" s="1"/>
  <c r="B457" i="2"/>
  <c r="C457" i="2" s="1"/>
  <c r="A457" i="2"/>
  <c r="H456" i="2"/>
  <c r="I456" i="2" s="1"/>
  <c r="F456" i="2"/>
  <c r="G456" i="2" s="1"/>
  <c r="D456" i="2"/>
  <c r="E456" i="2" s="1"/>
  <c r="B456" i="2"/>
  <c r="C456" i="2" s="1"/>
  <c r="A456" i="2"/>
  <c r="H455" i="2"/>
  <c r="I455" i="2" s="1"/>
  <c r="F455" i="2"/>
  <c r="G455" i="2" s="1"/>
  <c r="D455" i="2"/>
  <c r="E455" i="2" s="1"/>
  <c r="B455" i="2"/>
  <c r="C455" i="2" s="1"/>
  <c r="A455" i="2"/>
  <c r="H454" i="2"/>
  <c r="I454" i="2" s="1"/>
  <c r="F454" i="2"/>
  <c r="G454" i="2" s="1"/>
  <c r="D454" i="2"/>
  <c r="E454" i="2" s="1"/>
  <c r="B454" i="2"/>
  <c r="C454" i="2" s="1"/>
  <c r="A454" i="2"/>
  <c r="H453" i="2"/>
  <c r="I453" i="2" s="1"/>
  <c r="F453" i="2"/>
  <c r="G453" i="2" s="1"/>
  <c r="D453" i="2"/>
  <c r="E453" i="2" s="1"/>
  <c r="B453" i="2"/>
  <c r="C453" i="2" s="1"/>
  <c r="A453" i="2"/>
  <c r="H452" i="2"/>
  <c r="I452" i="2" s="1"/>
  <c r="F452" i="2"/>
  <c r="G452" i="2" s="1"/>
  <c r="D452" i="2"/>
  <c r="E452" i="2" s="1"/>
  <c r="B452" i="2"/>
  <c r="C452" i="2" s="1"/>
  <c r="A452" i="2"/>
  <c r="I451" i="2"/>
  <c r="H451" i="2"/>
  <c r="F451" i="2"/>
  <c r="G451" i="2" s="1"/>
  <c r="D451" i="2"/>
  <c r="E451" i="2" s="1"/>
  <c r="B451" i="2"/>
  <c r="C451" i="2" s="1"/>
  <c r="A451" i="2"/>
  <c r="H450" i="2"/>
  <c r="I450" i="2" s="1"/>
  <c r="F450" i="2"/>
  <c r="G450" i="2" s="1"/>
  <c r="D450" i="2"/>
  <c r="E450" i="2" s="1"/>
  <c r="B450" i="2"/>
  <c r="C450" i="2" s="1"/>
  <c r="A450" i="2"/>
  <c r="H449" i="2"/>
  <c r="I449" i="2" s="1"/>
  <c r="F449" i="2"/>
  <c r="G449" i="2" s="1"/>
  <c r="D449" i="2"/>
  <c r="E449" i="2" s="1"/>
  <c r="B449" i="2"/>
  <c r="C449" i="2" s="1"/>
  <c r="A449" i="2"/>
  <c r="H448" i="2"/>
  <c r="I448" i="2" s="1"/>
  <c r="F448" i="2"/>
  <c r="G448" i="2" s="1"/>
  <c r="D448" i="2"/>
  <c r="E448" i="2" s="1"/>
  <c r="B448" i="2"/>
  <c r="C448" i="2" s="1"/>
  <c r="A448" i="2"/>
  <c r="H447" i="2"/>
  <c r="I447" i="2" s="1"/>
  <c r="F447" i="2"/>
  <c r="G447" i="2" s="1"/>
  <c r="D447" i="2"/>
  <c r="E447" i="2" s="1"/>
  <c r="B447" i="2"/>
  <c r="C447" i="2" s="1"/>
  <c r="A447" i="2"/>
  <c r="H446" i="2"/>
  <c r="I446" i="2" s="1"/>
  <c r="F446" i="2"/>
  <c r="G446" i="2" s="1"/>
  <c r="D446" i="2"/>
  <c r="E446" i="2" s="1"/>
  <c r="B446" i="2"/>
  <c r="C446" i="2" s="1"/>
  <c r="A446" i="2"/>
  <c r="H445" i="2"/>
  <c r="I445" i="2" s="1"/>
  <c r="F445" i="2"/>
  <c r="G445" i="2" s="1"/>
  <c r="D445" i="2"/>
  <c r="E445" i="2" s="1"/>
  <c r="B445" i="2"/>
  <c r="C445" i="2" s="1"/>
  <c r="A445" i="2"/>
  <c r="H444" i="2"/>
  <c r="I444" i="2" s="1"/>
  <c r="F444" i="2"/>
  <c r="G444" i="2" s="1"/>
  <c r="D444" i="2"/>
  <c r="E444" i="2" s="1"/>
  <c r="B444" i="2"/>
  <c r="C444" i="2" s="1"/>
  <c r="A444" i="2"/>
  <c r="H443" i="2"/>
  <c r="I443" i="2" s="1"/>
  <c r="F443" i="2"/>
  <c r="G443" i="2" s="1"/>
  <c r="D443" i="2"/>
  <c r="E443" i="2" s="1"/>
  <c r="B443" i="2"/>
  <c r="C443" i="2" s="1"/>
  <c r="A443" i="2"/>
  <c r="H442" i="2"/>
  <c r="I442" i="2" s="1"/>
  <c r="F442" i="2"/>
  <c r="G442" i="2" s="1"/>
  <c r="D442" i="2"/>
  <c r="E442" i="2" s="1"/>
  <c r="B442" i="2"/>
  <c r="C442" i="2" s="1"/>
  <c r="A442" i="2"/>
  <c r="H441" i="2"/>
  <c r="I441" i="2" s="1"/>
  <c r="F441" i="2"/>
  <c r="G441" i="2" s="1"/>
  <c r="D441" i="2"/>
  <c r="E441" i="2" s="1"/>
  <c r="B441" i="2"/>
  <c r="C441" i="2" s="1"/>
  <c r="A441" i="2"/>
  <c r="H440" i="2"/>
  <c r="I440" i="2" s="1"/>
  <c r="F440" i="2"/>
  <c r="G440" i="2" s="1"/>
  <c r="D440" i="2"/>
  <c r="E440" i="2" s="1"/>
  <c r="B440" i="2"/>
  <c r="C440" i="2" s="1"/>
  <c r="A440" i="2"/>
  <c r="H439" i="2"/>
  <c r="I439" i="2" s="1"/>
  <c r="F439" i="2"/>
  <c r="G439" i="2" s="1"/>
  <c r="D439" i="2"/>
  <c r="E439" i="2" s="1"/>
  <c r="B439" i="2"/>
  <c r="C439" i="2" s="1"/>
  <c r="A439" i="2"/>
  <c r="H438" i="2"/>
  <c r="I438" i="2" s="1"/>
  <c r="F438" i="2"/>
  <c r="G438" i="2" s="1"/>
  <c r="D438" i="2"/>
  <c r="E438" i="2" s="1"/>
  <c r="B438" i="2"/>
  <c r="C438" i="2" s="1"/>
  <c r="A438" i="2"/>
  <c r="H437" i="2"/>
  <c r="I437" i="2" s="1"/>
  <c r="F437" i="2"/>
  <c r="G437" i="2" s="1"/>
  <c r="D437" i="2"/>
  <c r="E437" i="2" s="1"/>
  <c r="B437" i="2"/>
  <c r="C437" i="2" s="1"/>
  <c r="A437" i="2"/>
  <c r="H436" i="2"/>
  <c r="I436" i="2" s="1"/>
  <c r="F436" i="2"/>
  <c r="G436" i="2" s="1"/>
  <c r="D436" i="2"/>
  <c r="E436" i="2" s="1"/>
  <c r="B436" i="2"/>
  <c r="C436" i="2" s="1"/>
  <c r="A436" i="2"/>
  <c r="H435" i="2"/>
  <c r="I435" i="2" s="1"/>
  <c r="G435" i="2"/>
  <c r="F435" i="2"/>
  <c r="D435" i="2"/>
  <c r="E435" i="2" s="1"/>
  <c r="B435" i="2"/>
  <c r="C435" i="2" s="1"/>
  <c r="A435" i="2"/>
  <c r="H434" i="2"/>
  <c r="I434" i="2" s="1"/>
  <c r="G434" i="2"/>
  <c r="F434" i="2"/>
  <c r="D434" i="2"/>
  <c r="E434" i="2" s="1"/>
  <c r="B434" i="2"/>
  <c r="C434" i="2" s="1"/>
  <c r="A434" i="2"/>
  <c r="H433" i="2"/>
  <c r="I433" i="2" s="1"/>
  <c r="F433" i="2"/>
  <c r="G433" i="2" s="1"/>
  <c r="D433" i="2"/>
  <c r="E433" i="2" s="1"/>
  <c r="B433" i="2"/>
  <c r="C433" i="2" s="1"/>
  <c r="A433" i="2"/>
  <c r="H432" i="2"/>
  <c r="I432" i="2" s="1"/>
  <c r="G432" i="2"/>
  <c r="F432" i="2"/>
  <c r="D432" i="2"/>
  <c r="E432" i="2" s="1"/>
  <c r="B432" i="2"/>
  <c r="C432" i="2" s="1"/>
  <c r="A432" i="2"/>
  <c r="H431" i="2"/>
  <c r="I431" i="2" s="1"/>
  <c r="F431" i="2"/>
  <c r="G431" i="2" s="1"/>
  <c r="D431" i="2"/>
  <c r="E431" i="2" s="1"/>
  <c r="B431" i="2"/>
  <c r="C431" i="2" s="1"/>
  <c r="A431" i="2"/>
  <c r="H430" i="2"/>
  <c r="I430" i="2" s="1"/>
  <c r="F430" i="2"/>
  <c r="G430" i="2" s="1"/>
  <c r="D430" i="2"/>
  <c r="E430" i="2" s="1"/>
  <c r="B430" i="2"/>
  <c r="C430" i="2" s="1"/>
  <c r="A430" i="2"/>
  <c r="H429" i="2"/>
  <c r="I429" i="2" s="1"/>
  <c r="F429" i="2"/>
  <c r="G429" i="2" s="1"/>
  <c r="D429" i="2"/>
  <c r="E429" i="2" s="1"/>
  <c r="B429" i="2"/>
  <c r="C429" i="2" s="1"/>
  <c r="A429" i="2"/>
  <c r="H428" i="2"/>
  <c r="I428" i="2" s="1"/>
  <c r="F428" i="2"/>
  <c r="G428" i="2" s="1"/>
  <c r="D428" i="2"/>
  <c r="E428" i="2" s="1"/>
  <c r="B428" i="2"/>
  <c r="C428" i="2" s="1"/>
  <c r="A428" i="2"/>
  <c r="H427" i="2"/>
  <c r="I427" i="2" s="1"/>
  <c r="F427" i="2"/>
  <c r="G427" i="2" s="1"/>
  <c r="D427" i="2"/>
  <c r="E427" i="2" s="1"/>
  <c r="B427" i="2"/>
  <c r="C427" i="2" s="1"/>
  <c r="A427" i="2"/>
  <c r="H426" i="2"/>
  <c r="I426" i="2" s="1"/>
  <c r="F426" i="2"/>
  <c r="G426" i="2" s="1"/>
  <c r="D426" i="2"/>
  <c r="E426" i="2" s="1"/>
  <c r="B426" i="2"/>
  <c r="C426" i="2" s="1"/>
  <c r="A426" i="2"/>
  <c r="H425" i="2"/>
  <c r="I425" i="2" s="1"/>
  <c r="F425" i="2"/>
  <c r="G425" i="2" s="1"/>
  <c r="D425" i="2"/>
  <c r="E425" i="2" s="1"/>
  <c r="B425" i="2"/>
  <c r="C425" i="2" s="1"/>
  <c r="A425" i="2"/>
  <c r="H424" i="2"/>
  <c r="I424" i="2" s="1"/>
  <c r="F424" i="2"/>
  <c r="G424" i="2" s="1"/>
  <c r="D424" i="2"/>
  <c r="E424" i="2" s="1"/>
  <c r="B424" i="2"/>
  <c r="C424" i="2" s="1"/>
  <c r="A424" i="2"/>
  <c r="H423" i="2"/>
  <c r="I423" i="2" s="1"/>
  <c r="F423" i="2"/>
  <c r="G423" i="2" s="1"/>
  <c r="D423" i="2"/>
  <c r="E423" i="2" s="1"/>
  <c r="B423" i="2"/>
  <c r="C423" i="2" s="1"/>
  <c r="A423" i="2"/>
  <c r="H422" i="2"/>
  <c r="I422" i="2" s="1"/>
  <c r="F422" i="2"/>
  <c r="G422" i="2" s="1"/>
  <c r="D422" i="2"/>
  <c r="E422" i="2" s="1"/>
  <c r="B422" i="2"/>
  <c r="C422" i="2" s="1"/>
  <c r="A422" i="2"/>
  <c r="H421" i="2"/>
  <c r="I421" i="2" s="1"/>
  <c r="F421" i="2"/>
  <c r="G421" i="2" s="1"/>
  <c r="D421" i="2"/>
  <c r="E421" i="2" s="1"/>
  <c r="B421" i="2"/>
  <c r="C421" i="2" s="1"/>
  <c r="A421" i="2"/>
  <c r="H420" i="2"/>
  <c r="I420" i="2" s="1"/>
  <c r="F420" i="2"/>
  <c r="G420" i="2" s="1"/>
  <c r="D420" i="2"/>
  <c r="E420" i="2" s="1"/>
  <c r="B420" i="2"/>
  <c r="C420" i="2" s="1"/>
  <c r="A420" i="2"/>
  <c r="H419" i="2"/>
  <c r="I419" i="2" s="1"/>
  <c r="F419" i="2"/>
  <c r="G419" i="2" s="1"/>
  <c r="D419" i="2"/>
  <c r="E419" i="2" s="1"/>
  <c r="B419" i="2"/>
  <c r="C419" i="2" s="1"/>
  <c r="A419" i="2"/>
  <c r="H418" i="2"/>
  <c r="I418" i="2" s="1"/>
  <c r="F418" i="2"/>
  <c r="G418" i="2" s="1"/>
  <c r="D418" i="2"/>
  <c r="E418" i="2" s="1"/>
  <c r="B418" i="2"/>
  <c r="C418" i="2" s="1"/>
  <c r="A418" i="2"/>
  <c r="H417" i="2"/>
  <c r="I417" i="2" s="1"/>
  <c r="F417" i="2"/>
  <c r="G417" i="2" s="1"/>
  <c r="D417" i="2"/>
  <c r="E417" i="2" s="1"/>
  <c r="B417" i="2"/>
  <c r="C417" i="2" s="1"/>
  <c r="A417" i="2"/>
  <c r="H416" i="2"/>
  <c r="I416" i="2" s="1"/>
  <c r="F416" i="2"/>
  <c r="G416" i="2" s="1"/>
  <c r="D416" i="2"/>
  <c r="E416" i="2" s="1"/>
  <c r="B416" i="2"/>
  <c r="C416" i="2" s="1"/>
  <c r="A416" i="2"/>
  <c r="H415" i="2"/>
  <c r="I415" i="2" s="1"/>
  <c r="F415" i="2"/>
  <c r="G415" i="2" s="1"/>
  <c r="D415" i="2"/>
  <c r="E415" i="2" s="1"/>
  <c r="B415" i="2"/>
  <c r="C415" i="2" s="1"/>
  <c r="A415" i="2"/>
  <c r="H414" i="2"/>
  <c r="I414" i="2" s="1"/>
  <c r="F414" i="2"/>
  <c r="G414" i="2" s="1"/>
  <c r="D414" i="2"/>
  <c r="E414" i="2" s="1"/>
  <c r="B414" i="2"/>
  <c r="C414" i="2" s="1"/>
  <c r="A414" i="2"/>
  <c r="H413" i="2"/>
  <c r="I413" i="2" s="1"/>
  <c r="F413" i="2"/>
  <c r="G413" i="2" s="1"/>
  <c r="D413" i="2"/>
  <c r="E413" i="2" s="1"/>
  <c r="B413" i="2"/>
  <c r="C413" i="2" s="1"/>
  <c r="A413" i="2"/>
  <c r="H412" i="2"/>
  <c r="I412" i="2" s="1"/>
  <c r="F412" i="2"/>
  <c r="G412" i="2" s="1"/>
  <c r="D412" i="2"/>
  <c r="E412" i="2" s="1"/>
  <c r="B412" i="2"/>
  <c r="C412" i="2" s="1"/>
  <c r="A412" i="2"/>
  <c r="H411" i="2"/>
  <c r="I411" i="2" s="1"/>
  <c r="F411" i="2"/>
  <c r="G411" i="2" s="1"/>
  <c r="D411" i="2"/>
  <c r="E411" i="2" s="1"/>
  <c r="B411" i="2"/>
  <c r="C411" i="2" s="1"/>
  <c r="A411" i="2"/>
  <c r="H410" i="2"/>
  <c r="I410" i="2" s="1"/>
  <c r="F410" i="2"/>
  <c r="G410" i="2" s="1"/>
  <c r="D410" i="2"/>
  <c r="E410" i="2" s="1"/>
  <c r="B410" i="2"/>
  <c r="C410" i="2" s="1"/>
  <c r="A410" i="2"/>
  <c r="H409" i="2"/>
  <c r="I409" i="2" s="1"/>
  <c r="F409" i="2"/>
  <c r="G409" i="2" s="1"/>
  <c r="D409" i="2"/>
  <c r="E409" i="2" s="1"/>
  <c r="B409" i="2"/>
  <c r="C409" i="2" s="1"/>
  <c r="A409" i="2"/>
  <c r="H408" i="2"/>
  <c r="I408" i="2" s="1"/>
  <c r="F408" i="2"/>
  <c r="G408" i="2" s="1"/>
  <c r="D408" i="2"/>
  <c r="E408" i="2" s="1"/>
  <c r="B408" i="2"/>
  <c r="C408" i="2" s="1"/>
  <c r="A408" i="2"/>
  <c r="H407" i="2"/>
  <c r="I407" i="2" s="1"/>
  <c r="F407" i="2"/>
  <c r="G407" i="2" s="1"/>
  <c r="E407" i="2"/>
  <c r="D407" i="2"/>
  <c r="B407" i="2"/>
  <c r="C407" i="2" s="1"/>
  <c r="A407" i="2"/>
  <c r="H406" i="2"/>
  <c r="I406" i="2" s="1"/>
  <c r="F406" i="2"/>
  <c r="G406" i="2" s="1"/>
  <c r="D406" i="2"/>
  <c r="E406" i="2" s="1"/>
  <c r="B406" i="2"/>
  <c r="C406" i="2" s="1"/>
  <c r="A406" i="2"/>
  <c r="H405" i="2"/>
  <c r="I405" i="2" s="1"/>
  <c r="F405" i="2"/>
  <c r="G405" i="2" s="1"/>
  <c r="D405" i="2"/>
  <c r="E405" i="2" s="1"/>
  <c r="B405" i="2"/>
  <c r="C405" i="2" s="1"/>
  <c r="A405" i="2"/>
  <c r="H404" i="2"/>
  <c r="I404" i="2" s="1"/>
  <c r="F404" i="2"/>
  <c r="G404" i="2" s="1"/>
  <c r="D404" i="2"/>
  <c r="E404" i="2" s="1"/>
  <c r="B404" i="2"/>
  <c r="C404" i="2" s="1"/>
  <c r="A404" i="2"/>
  <c r="H403" i="2"/>
  <c r="I403" i="2" s="1"/>
  <c r="F403" i="2"/>
  <c r="G403" i="2" s="1"/>
  <c r="D403" i="2"/>
  <c r="E403" i="2" s="1"/>
  <c r="B403" i="2"/>
  <c r="C403" i="2" s="1"/>
  <c r="A403" i="2"/>
  <c r="H402" i="2"/>
  <c r="I402" i="2" s="1"/>
  <c r="F402" i="2"/>
  <c r="G402" i="2" s="1"/>
  <c r="D402" i="2"/>
  <c r="E402" i="2" s="1"/>
  <c r="B402" i="2"/>
  <c r="C402" i="2" s="1"/>
  <c r="A402" i="2"/>
  <c r="H401" i="2"/>
  <c r="I401" i="2" s="1"/>
  <c r="G401" i="2"/>
  <c r="F401" i="2"/>
  <c r="D401" i="2"/>
  <c r="E401" i="2" s="1"/>
  <c r="B401" i="2"/>
  <c r="C401" i="2" s="1"/>
  <c r="A401" i="2"/>
  <c r="H400" i="2"/>
  <c r="I400" i="2" s="1"/>
  <c r="F400" i="2"/>
  <c r="G400" i="2" s="1"/>
  <c r="D400" i="2"/>
  <c r="E400" i="2" s="1"/>
  <c r="B400" i="2"/>
  <c r="C400" i="2" s="1"/>
  <c r="A400" i="2"/>
  <c r="H399" i="2"/>
  <c r="I399" i="2" s="1"/>
  <c r="F399" i="2"/>
  <c r="G399" i="2" s="1"/>
  <c r="D399" i="2"/>
  <c r="E399" i="2" s="1"/>
  <c r="B399" i="2"/>
  <c r="C399" i="2" s="1"/>
  <c r="A399" i="2"/>
  <c r="H398" i="2"/>
  <c r="I398" i="2" s="1"/>
  <c r="F398" i="2"/>
  <c r="G398" i="2" s="1"/>
  <c r="D398" i="2"/>
  <c r="E398" i="2" s="1"/>
  <c r="B398" i="2"/>
  <c r="C398" i="2" s="1"/>
  <c r="A398" i="2"/>
  <c r="H397" i="2"/>
  <c r="I397" i="2" s="1"/>
  <c r="F397" i="2"/>
  <c r="G397" i="2" s="1"/>
  <c r="D397" i="2"/>
  <c r="E397" i="2" s="1"/>
  <c r="B397" i="2"/>
  <c r="C397" i="2" s="1"/>
  <c r="A397" i="2"/>
  <c r="H396" i="2"/>
  <c r="I396" i="2" s="1"/>
  <c r="F396" i="2"/>
  <c r="G396" i="2" s="1"/>
  <c r="D396" i="2"/>
  <c r="E396" i="2" s="1"/>
  <c r="B396" i="2"/>
  <c r="C396" i="2" s="1"/>
  <c r="A396" i="2"/>
  <c r="H395" i="2"/>
  <c r="I395" i="2" s="1"/>
  <c r="F395" i="2"/>
  <c r="G395" i="2" s="1"/>
  <c r="D395" i="2"/>
  <c r="E395" i="2" s="1"/>
  <c r="B395" i="2"/>
  <c r="C395" i="2" s="1"/>
  <c r="A395" i="2"/>
  <c r="H394" i="2"/>
  <c r="I394" i="2" s="1"/>
  <c r="F394" i="2"/>
  <c r="G394" i="2" s="1"/>
  <c r="E394" i="2"/>
  <c r="D394" i="2"/>
  <c r="B394" i="2"/>
  <c r="C394" i="2" s="1"/>
  <c r="A394" i="2"/>
  <c r="H393" i="2"/>
  <c r="I393" i="2" s="1"/>
  <c r="F393" i="2"/>
  <c r="G393" i="2" s="1"/>
  <c r="D393" i="2"/>
  <c r="E393" i="2" s="1"/>
  <c r="B393" i="2"/>
  <c r="C393" i="2" s="1"/>
  <c r="A393" i="2"/>
  <c r="I392" i="2"/>
  <c r="H392" i="2"/>
  <c r="F392" i="2"/>
  <c r="G392" i="2" s="1"/>
  <c r="D392" i="2"/>
  <c r="E392" i="2" s="1"/>
  <c r="B392" i="2"/>
  <c r="C392" i="2" s="1"/>
  <c r="A392" i="2"/>
  <c r="H391" i="2"/>
  <c r="I391" i="2" s="1"/>
  <c r="F391" i="2"/>
  <c r="G391" i="2" s="1"/>
  <c r="D391" i="2"/>
  <c r="E391" i="2" s="1"/>
  <c r="B391" i="2"/>
  <c r="C391" i="2" s="1"/>
  <c r="A391" i="2"/>
  <c r="H390" i="2"/>
  <c r="I390" i="2" s="1"/>
  <c r="F390" i="2"/>
  <c r="G390" i="2" s="1"/>
  <c r="D390" i="2"/>
  <c r="E390" i="2" s="1"/>
  <c r="B390" i="2"/>
  <c r="C390" i="2" s="1"/>
  <c r="A390" i="2"/>
  <c r="H389" i="2"/>
  <c r="I389" i="2" s="1"/>
  <c r="F389" i="2"/>
  <c r="G389" i="2" s="1"/>
  <c r="D389" i="2"/>
  <c r="E389" i="2" s="1"/>
  <c r="B389" i="2"/>
  <c r="C389" i="2" s="1"/>
  <c r="A389" i="2"/>
  <c r="H388" i="2"/>
  <c r="I388" i="2" s="1"/>
  <c r="F388" i="2"/>
  <c r="G388" i="2" s="1"/>
  <c r="D388" i="2"/>
  <c r="E388" i="2" s="1"/>
  <c r="B388" i="2"/>
  <c r="C388" i="2" s="1"/>
  <c r="A388" i="2"/>
  <c r="H387" i="2"/>
  <c r="I387" i="2" s="1"/>
  <c r="F387" i="2"/>
  <c r="G387" i="2" s="1"/>
  <c r="D387" i="2"/>
  <c r="E387" i="2" s="1"/>
  <c r="B387" i="2"/>
  <c r="C387" i="2" s="1"/>
  <c r="A387" i="2"/>
  <c r="H386" i="2"/>
  <c r="I386" i="2" s="1"/>
  <c r="F386" i="2"/>
  <c r="G386" i="2" s="1"/>
  <c r="D386" i="2"/>
  <c r="E386" i="2" s="1"/>
  <c r="B386" i="2"/>
  <c r="C386" i="2" s="1"/>
  <c r="A386" i="2"/>
  <c r="H385" i="2"/>
  <c r="I385" i="2" s="1"/>
  <c r="F385" i="2"/>
  <c r="G385" i="2" s="1"/>
  <c r="D385" i="2"/>
  <c r="E385" i="2" s="1"/>
  <c r="B385" i="2"/>
  <c r="C385" i="2" s="1"/>
  <c r="A385" i="2"/>
  <c r="I384" i="2"/>
  <c r="H384" i="2"/>
  <c r="F384" i="2"/>
  <c r="G384" i="2" s="1"/>
  <c r="D384" i="2"/>
  <c r="E384" i="2" s="1"/>
  <c r="B384" i="2"/>
  <c r="C384" i="2" s="1"/>
  <c r="A384" i="2"/>
  <c r="H383" i="2"/>
  <c r="I383" i="2" s="1"/>
  <c r="F383" i="2"/>
  <c r="G383" i="2" s="1"/>
  <c r="D383" i="2"/>
  <c r="E383" i="2" s="1"/>
  <c r="B383" i="2"/>
  <c r="C383" i="2" s="1"/>
  <c r="A383" i="2"/>
  <c r="H382" i="2"/>
  <c r="I382" i="2" s="1"/>
  <c r="F382" i="2"/>
  <c r="G382" i="2" s="1"/>
  <c r="D382" i="2"/>
  <c r="E382" i="2" s="1"/>
  <c r="B382" i="2"/>
  <c r="C382" i="2" s="1"/>
  <c r="A382" i="2"/>
  <c r="H381" i="2"/>
  <c r="I381" i="2" s="1"/>
  <c r="F381" i="2"/>
  <c r="G381" i="2" s="1"/>
  <c r="D381" i="2"/>
  <c r="E381" i="2" s="1"/>
  <c r="B381" i="2"/>
  <c r="C381" i="2" s="1"/>
  <c r="A381" i="2"/>
  <c r="H380" i="2"/>
  <c r="I380" i="2" s="1"/>
  <c r="F380" i="2"/>
  <c r="G380" i="2" s="1"/>
  <c r="D380" i="2"/>
  <c r="E380" i="2" s="1"/>
  <c r="B380" i="2"/>
  <c r="C380" i="2" s="1"/>
  <c r="A380" i="2"/>
  <c r="H379" i="2"/>
  <c r="I379" i="2" s="1"/>
  <c r="F379" i="2"/>
  <c r="G379" i="2" s="1"/>
  <c r="D379" i="2"/>
  <c r="E379" i="2" s="1"/>
  <c r="B379" i="2"/>
  <c r="C379" i="2" s="1"/>
  <c r="A379" i="2"/>
  <c r="H378" i="2"/>
  <c r="I378" i="2" s="1"/>
  <c r="F378" i="2"/>
  <c r="G378" i="2" s="1"/>
  <c r="D378" i="2"/>
  <c r="E378" i="2" s="1"/>
  <c r="B378" i="2"/>
  <c r="C378" i="2" s="1"/>
  <c r="A378" i="2"/>
  <c r="H377" i="2"/>
  <c r="I377" i="2" s="1"/>
  <c r="F377" i="2"/>
  <c r="G377" i="2" s="1"/>
  <c r="D377" i="2"/>
  <c r="E377" i="2" s="1"/>
  <c r="B377" i="2"/>
  <c r="C377" i="2" s="1"/>
  <c r="A377" i="2"/>
  <c r="H376" i="2"/>
  <c r="I376" i="2" s="1"/>
  <c r="F376" i="2"/>
  <c r="G376" i="2" s="1"/>
  <c r="D376" i="2"/>
  <c r="E376" i="2" s="1"/>
  <c r="B376" i="2"/>
  <c r="C376" i="2" s="1"/>
  <c r="A376" i="2"/>
  <c r="H375" i="2"/>
  <c r="I375" i="2" s="1"/>
  <c r="G375" i="2"/>
  <c r="F375" i="2"/>
  <c r="D375" i="2"/>
  <c r="E375" i="2" s="1"/>
  <c r="B375" i="2"/>
  <c r="C375" i="2" s="1"/>
  <c r="A375" i="2"/>
  <c r="H374" i="2"/>
  <c r="I374" i="2" s="1"/>
  <c r="F374" i="2"/>
  <c r="G374" i="2" s="1"/>
  <c r="D374" i="2"/>
  <c r="E374" i="2" s="1"/>
  <c r="B374" i="2"/>
  <c r="C374" i="2" s="1"/>
  <c r="A374" i="2"/>
  <c r="H373" i="2"/>
  <c r="I373" i="2" s="1"/>
  <c r="F373" i="2"/>
  <c r="G373" i="2" s="1"/>
  <c r="D373" i="2"/>
  <c r="E373" i="2" s="1"/>
  <c r="B373" i="2"/>
  <c r="C373" i="2" s="1"/>
  <c r="A373" i="2"/>
  <c r="H372" i="2"/>
  <c r="I372" i="2" s="1"/>
  <c r="F372" i="2"/>
  <c r="G372" i="2" s="1"/>
  <c r="D372" i="2"/>
  <c r="E372" i="2" s="1"/>
  <c r="B372" i="2"/>
  <c r="C372" i="2" s="1"/>
  <c r="A372" i="2"/>
  <c r="H371" i="2"/>
  <c r="I371" i="2" s="1"/>
  <c r="F371" i="2"/>
  <c r="G371" i="2" s="1"/>
  <c r="D371" i="2"/>
  <c r="E371" i="2" s="1"/>
  <c r="B371" i="2"/>
  <c r="C371" i="2" s="1"/>
  <c r="A371" i="2"/>
  <c r="H370" i="2"/>
  <c r="I370" i="2" s="1"/>
  <c r="F370" i="2"/>
  <c r="G370" i="2" s="1"/>
  <c r="D370" i="2"/>
  <c r="E370" i="2" s="1"/>
  <c r="B370" i="2"/>
  <c r="C370" i="2" s="1"/>
  <c r="A370" i="2"/>
  <c r="H369" i="2"/>
  <c r="I369" i="2" s="1"/>
  <c r="F369" i="2"/>
  <c r="G369" i="2" s="1"/>
  <c r="D369" i="2"/>
  <c r="E369" i="2" s="1"/>
  <c r="B369" i="2"/>
  <c r="C369" i="2" s="1"/>
  <c r="A369" i="2"/>
  <c r="H368" i="2"/>
  <c r="I368" i="2" s="1"/>
  <c r="F368" i="2"/>
  <c r="G368" i="2" s="1"/>
  <c r="D368" i="2"/>
  <c r="E368" i="2" s="1"/>
  <c r="B368" i="2"/>
  <c r="C368" i="2" s="1"/>
  <c r="A368" i="2"/>
  <c r="H367" i="2"/>
  <c r="I367" i="2" s="1"/>
  <c r="F367" i="2"/>
  <c r="G367" i="2" s="1"/>
  <c r="D367" i="2"/>
  <c r="E367" i="2" s="1"/>
  <c r="B367" i="2"/>
  <c r="C367" i="2" s="1"/>
  <c r="A367" i="2"/>
  <c r="H366" i="2"/>
  <c r="I366" i="2" s="1"/>
  <c r="F366" i="2"/>
  <c r="G366" i="2" s="1"/>
  <c r="D366" i="2"/>
  <c r="E366" i="2" s="1"/>
  <c r="B366" i="2"/>
  <c r="C366" i="2" s="1"/>
  <c r="A366" i="2"/>
  <c r="H365" i="2"/>
  <c r="I365" i="2" s="1"/>
  <c r="F365" i="2"/>
  <c r="G365" i="2" s="1"/>
  <c r="D365" i="2"/>
  <c r="E365" i="2" s="1"/>
  <c r="B365" i="2"/>
  <c r="C365" i="2" s="1"/>
  <c r="A365" i="2"/>
  <c r="H364" i="2"/>
  <c r="I364" i="2" s="1"/>
  <c r="F364" i="2"/>
  <c r="G364" i="2" s="1"/>
  <c r="D364" i="2"/>
  <c r="E364" i="2" s="1"/>
  <c r="B364" i="2"/>
  <c r="C364" i="2" s="1"/>
  <c r="A364" i="2"/>
  <c r="H363" i="2"/>
  <c r="I363" i="2" s="1"/>
  <c r="F363" i="2"/>
  <c r="G363" i="2" s="1"/>
  <c r="D363" i="2"/>
  <c r="E363" i="2" s="1"/>
  <c r="B363" i="2"/>
  <c r="C363" i="2" s="1"/>
  <c r="A363" i="2"/>
  <c r="H362" i="2"/>
  <c r="I362" i="2" s="1"/>
  <c r="F362" i="2"/>
  <c r="G362" i="2" s="1"/>
  <c r="D362" i="2"/>
  <c r="E362" i="2" s="1"/>
  <c r="B362" i="2"/>
  <c r="C362" i="2" s="1"/>
  <c r="A362" i="2"/>
  <c r="H361" i="2"/>
  <c r="I361" i="2" s="1"/>
  <c r="F361" i="2"/>
  <c r="G361" i="2" s="1"/>
  <c r="D361" i="2"/>
  <c r="E361" i="2" s="1"/>
  <c r="B361" i="2"/>
  <c r="C361" i="2" s="1"/>
  <c r="A361" i="2"/>
  <c r="H360" i="2"/>
  <c r="I360" i="2" s="1"/>
  <c r="F360" i="2"/>
  <c r="G360" i="2" s="1"/>
  <c r="D360" i="2"/>
  <c r="E360" i="2" s="1"/>
  <c r="B360" i="2"/>
  <c r="C360" i="2" s="1"/>
  <c r="A360" i="2"/>
  <c r="H359" i="2"/>
  <c r="I359" i="2" s="1"/>
  <c r="G359" i="2"/>
  <c r="F359" i="2"/>
  <c r="D359" i="2"/>
  <c r="E359" i="2" s="1"/>
  <c r="B359" i="2"/>
  <c r="C359" i="2" s="1"/>
  <c r="A359" i="2"/>
  <c r="H358" i="2"/>
  <c r="I358" i="2" s="1"/>
  <c r="F358" i="2"/>
  <c r="G358" i="2" s="1"/>
  <c r="D358" i="2"/>
  <c r="E358" i="2" s="1"/>
  <c r="B358" i="2"/>
  <c r="C358" i="2" s="1"/>
  <c r="A358" i="2"/>
  <c r="H357" i="2"/>
  <c r="I357" i="2" s="1"/>
  <c r="F357" i="2"/>
  <c r="G357" i="2" s="1"/>
  <c r="D357" i="2"/>
  <c r="E357" i="2" s="1"/>
  <c r="B357" i="2"/>
  <c r="C357" i="2" s="1"/>
  <c r="A357" i="2"/>
  <c r="H356" i="2"/>
  <c r="I356" i="2" s="1"/>
  <c r="F356" i="2"/>
  <c r="G356" i="2" s="1"/>
  <c r="D356" i="2"/>
  <c r="E356" i="2" s="1"/>
  <c r="B356" i="2"/>
  <c r="C356" i="2" s="1"/>
  <c r="A356" i="2"/>
  <c r="H355" i="2"/>
  <c r="I355" i="2" s="1"/>
  <c r="F355" i="2"/>
  <c r="G355" i="2" s="1"/>
  <c r="D355" i="2"/>
  <c r="E355" i="2" s="1"/>
  <c r="B355" i="2"/>
  <c r="C355" i="2" s="1"/>
  <c r="A355" i="2"/>
  <c r="H354" i="2"/>
  <c r="I354" i="2" s="1"/>
  <c r="F354" i="2"/>
  <c r="G354" i="2" s="1"/>
  <c r="D354" i="2"/>
  <c r="E354" i="2" s="1"/>
  <c r="B354" i="2"/>
  <c r="C354" i="2" s="1"/>
  <c r="A354" i="2"/>
  <c r="H353" i="2"/>
  <c r="I353" i="2" s="1"/>
  <c r="F353" i="2"/>
  <c r="G353" i="2" s="1"/>
  <c r="D353" i="2"/>
  <c r="E353" i="2" s="1"/>
  <c r="B353" i="2"/>
  <c r="C353" i="2" s="1"/>
  <c r="A353" i="2"/>
  <c r="H352" i="2"/>
  <c r="I352" i="2" s="1"/>
  <c r="F352" i="2"/>
  <c r="G352" i="2" s="1"/>
  <c r="D352" i="2"/>
  <c r="E352" i="2" s="1"/>
  <c r="B352" i="2"/>
  <c r="C352" i="2" s="1"/>
  <c r="A352" i="2"/>
  <c r="H351" i="2"/>
  <c r="I351" i="2" s="1"/>
  <c r="F351" i="2"/>
  <c r="G351" i="2" s="1"/>
  <c r="D351" i="2"/>
  <c r="E351" i="2" s="1"/>
  <c r="B351" i="2"/>
  <c r="C351" i="2" s="1"/>
  <c r="A351" i="2"/>
  <c r="H350" i="2"/>
  <c r="I350" i="2" s="1"/>
  <c r="F350" i="2"/>
  <c r="G350" i="2" s="1"/>
  <c r="D350" i="2"/>
  <c r="E350" i="2" s="1"/>
  <c r="B350" i="2"/>
  <c r="C350" i="2" s="1"/>
  <c r="A350" i="2"/>
  <c r="H349" i="2"/>
  <c r="I349" i="2" s="1"/>
  <c r="F349" i="2"/>
  <c r="G349" i="2" s="1"/>
  <c r="D349" i="2"/>
  <c r="E349" i="2" s="1"/>
  <c r="B349" i="2"/>
  <c r="C349" i="2" s="1"/>
  <c r="A349" i="2"/>
  <c r="H348" i="2"/>
  <c r="I348" i="2" s="1"/>
  <c r="F348" i="2"/>
  <c r="G348" i="2" s="1"/>
  <c r="D348" i="2"/>
  <c r="E348" i="2" s="1"/>
  <c r="B348" i="2"/>
  <c r="C348" i="2" s="1"/>
  <c r="A348" i="2"/>
  <c r="H347" i="2"/>
  <c r="I347" i="2" s="1"/>
  <c r="F347" i="2"/>
  <c r="G347" i="2" s="1"/>
  <c r="D347" i="2"/>
  <c r="E347" i="2" s="1"/>
  <c r="B347" i="2"/>
  <c r="C347" i="2" s="1"/>
  <c r="A347" i="2"/>
  <c r="H346" i="2"/>
  <c r="I346" i="2" s="1"/>
  <c r="F346" i="2"/>
  <c r="G346" i="2" s="1"/>
  <c r="D346" i="2"/>
  <c r="E346" i="2" s="1"/>
  <c r="B346" i="2"/>
  <c r="C346" i="2" s="1"/>
  <c r="A346" i="2"/>
  <c r="H345" i="2"/>
  <c r="I345" i="2" s="1"/>
  <c r="F345" i="2"/>
  <c r="G345" i="2" s="1"/>
  <c r="D345" i="2"/>
  <c r="E345" i="2" s="1"/>
  <c r="B345" i="2"/>
  <c r="C345" i="2" s="1"/>
  <c r="A345" i="2"/>
  <c r="H344" i="2"/>
  <c r="I344" i="2" s="1"/>
  <c r="F344" i="2"/>
  <c r="G344" i="2" s="1"/>
  <c r="D344" i="2"/>
  <c r="E344" i="2" s="1"/>
  <c r="B344" i="2"/>
  <c r="C344" i="2" s="1"/>
  <c r="A344" i="2"/>
  <c r="H343" i="2"/>
  <c r="I343" i="2" s="1"/>
  <c r="F343" i="2"/>
  <c r="G343" i="2" s="1"/>
  <c r="D343" i="2"/>
  <c r="E343" i="2" s="1"/>
  <c r="B343" i="2"/>
  <c r="C343" i="2" s="1"/>
  <c r="A343" i="2"/>
  <c r="H342" i="2"/>
  <c r="I342" i="2" s="1"/>
  <c r="F342" i="2"/>
  <c r="G342" i="2" s="1"/>
  <c r="D342" i="2"/>
  <c r="E342" i="2" s="1"/>
  <c r="B342" i="2"/>
  <c r="C342" i="2" s="1"/>
  <c r="A342" i="2"/>
  <c r="H341" i="2"/>
  <c r="I341" i="2" s="1"/>
  <c r="F341" i="2"/>
  <c r="G341" i="2" s="1"/>
  <c r="D341" i="2"/>
  <c r="E341" i="2" s="1"/>
  <c r="B341" i="2"/>
  <c r="C341" i="2" s="1"/>
  <c r="A341" i="2"/>
  <c r="H340" i="2"/>
  <c r="I340" i="2" s="1"/>
  <c r="F340" i="2"/>
  <c r="G340" i="2" s="1"/>
  <c r="D340" i="2"/>
  <c r="E340" i="2" s="1"/>
  <c r="B340" i="2"/>
  <c r="C340" i="2" s="1"/>
  <c r="A340" i="2"/>
  <c r="H339" i="2"/>
  <c r="I339" i="2" s="1"/>
  <c r="F339" i="2"/>
  <c r="G339" i="2" s="1"/>
  <c r="D339" i="2"/>
  <c r="E339" i="2" s="1"/>
  <c r="B339" i="2"/>
  <c r="C339" i="2" s="1"/>
  <c r="A339" i="2"/>
  <c r="H338" i="2"/>
  <c r="I338" i="2" s="1"/>
  <c r="F338" i="2"/>
  <c r="G338" i="2" s="1"/>
  <c r="D338" i="2"/>
  <c r="E338" i="2" s="1"/>
  <c r="B338" i="2"/>
  <c r="C338" i="2" s="1"/>
  <c r="A338" i="2"/>
  <c r="H337" i="2"/>
  <c r="I337" i="2" s="1"/>
  <c r="F337" i="2"/>
  <c r="G337" i="2" s="1"/>
  <c r="D337" i="2"/>
  <c r="E337" i="2" s="1"/>
  <c r="B337" i="2"/>
  <c r="C337" i="2" s="1"/>
  <c r="A337" i="2"/>
  <c r="H336" i="2"/>
  <c r="I336" i="2" s="1"/>
  <c r="F336" i="2"/>
  <c r="G336" i="2" s="1"/>
  <c r="D336" i="2"/>
  <c r="E336" i="2" s="1"/>
  <c r="B336" i="2"/>
  <c r="C336" i="2" s="1"/>
  <c r="A336" i="2"/>
  <c r="H335" i="2"/>
  <c r="I335" i="2" s="1"/>
  <c r="F335" i="2"/>
  <c r="G335" i="2" s="1"/>
  <c r="D335" i="2"/>
  <c r="E335" i="2" s="1"/>
  <c r="B335" i="2"/>
  <c r="C335" i="2" s="1"/>
  <c r="A335" i="2"/>
  <c r="H334" i="2"/>
  <c r="I334" i="2" s="1"/>
  <c r="F334" i="2"/>
  <c r="G334" i="2" s="1"/>
  <c r="D334" i="2"/>
  <c r="E334" i="2" s="1"/>
  <c r="B334" i="2"/>
  <c r="C334" i="2" s="1"/>
  <c r="A334" i="2"/>
  <c r="H333" i="2"/>
  <c r="I333" i="2" s="1"/>
  <c r="F333" i="2"/>
  <c r="G333" i="2" s="1"/>
  <c r="D333" i="2"/>
  <c r="E333" i="2" s="1"/>
  <c r="B333" i="2"/>
  <c r="C333" i="2" s="1"/>
  <c r="A333" i="2"/>
  <c r="H332" i="2"/>
  <c r="I332" i="2" s="1"/>
  <c r="F332" i="2"/>
  <c r="G332" i="2" s="1"/>
  <c r="D332" i="2"/>
  <c r="E332" i="2" s="1"/>
  <c r="B332" i="2"/>
  <c r="C332" i="2" s="1"/>
  <c r="A332" i="2"/>
  <c r="H331" i="2"/>
  <c r="I331" i="2" s="1"/>
  <c r="F331" i="2"/>
  <c r="G331" i="2" s="1"/>
  <c r="D331" i="2"/>
  <c r="E331" i="2" s="1"/>
  <c r="B331" i="2"/>
  <c r="C331" i="2" s="1"/>
  <c r="A331" i="2"/>
  <c r="H330" i="2"/>
  <c r="I330" i="2" s="1"/>
  <c r="F330" i="2"/>
  <c r="G330" i="2" s="1"/>
  <c r="D330" i="2"/>
  <c r="E330" i="2" s="1"/>
  <c r="B330" i="2"/>
  <c r="C330" i="2" s="1"/>
  <c r="A330" i="2"/>
  <c r="H329" i="2"/>
  <c r="I329" i="2" s="1"/>
  <c r="F329" i="2"/>
  <c r="G329" i="2" s="1"/>
  <c r="E329" i="2"/>
  <c r="D329" i="2"/>
  <c r="B329" i="2"/>
  <c r="C329" i="2" s="1"/>
  <c r="A329" i="2"/>
  <c r="H328" i="2"/>
  <c r="I328" i="2" s="1"/>
  <c r="F328" i="2"/>
  <c r="G328" i="2" s="1"/>
  <c r="D328" i="2"/>
  <c r="E328" i="2" s="1"/>
  <c r="B328" i="2"/>
  <c r="C328" i="2" s="1"/>
  <c r="A328" i="2"/>
  <c r="H327" i="2"/>
  <c r="I327" i="2" s="1"/>
  <c r="F327" i="2"/>
  <c r="G327" i="2" s="1"/>
  <c r="D327" i="2"/>
  <c r="E327" i="2" s="1"/>
  <c r="B327" i="2"/>
  <c r="C327" i="2" s="1"/>
  <c r="A327" i="2"/>
  <c r="H326" i="2"/>
  <c r="I326" i="2" s="1"/>
  <c r="F326" i="2"/>
  <c r="G326" i="2" s="1"/>
  <c r="D326" i="2"/>
  <c r="E326" i="2" s="1"/>
  <c r="B326" i="2"/>
  <c r="C326" i="2" s="1"/>
  <c r="A326" i="2"/>
  <c r="H325" i="2"/>
  <c r="I325" i="2" s="1"/>
  <c r="F325" i="2"/>
  <c r="G325" i="2" s="1"/>
  <c r="D325" i="2"/>
  <c r="E325" i="2" s="1"/>
  <c r="B325" i="2"/>
  <c r="C325" i="2" s="1"/>
  <c r="A325" i="2"/>
  <c r="H324" i="2"/>
  <c r="I324" i="2" s="1"/>
  <c r="F324" i="2"/>
  <c r="G324" i="2" s="1"/>
  <c r="D324" i="2"/>
  <c r="E324" i="2" s="1"/>
  <c r="B324" i="2"/>
  <c r="C324" i="2" s="1"/>
  <c r="A324" i="2"/>
  <c r="H323" i="2"/>
  <c r="I323" i="2" s="1"/>
  <c r="F323" i="2"/>
  <c r="G323" i="2" s="1"/>
  <c r="D323" i="2"/>
  <c r="E323" i="2" s="1"/>
  <c r="B323" i="2"/>
  <c r="C323" i="2" s="1"/>
  <c r="A323" i="2"/>
  <c r="H322" i="2"/>
  <c r="I322" i="2" s="1"/>
  <c r="F322" i="2"/>
  <c r="G322" i="2" s="1"/>
  <c r="D322" i="2"/>
  <c r="E322" i="2" s="1"/>
  <c r="B322" i="2"/>
  <c r="C322" i="2" s="1"/>
  <c r="A322" i="2"/>
  <c r="H321" i="2"/>
  <c r="I321" i="2" s="1"/>
  <c r="F321" i="2"/>
  <c r="G321" i="2" s="1"/>
  <c r="D321" i="2"/>
  <c r="E321" i="2" s="1"/>
  <c r="B321" i="2"/>
  <c r="C321" i="2" s="1"/>
  <c r="A321" i="2"/>
  <c r="H320" i="2"/>
  <c r="I320" i="2" s="1"/>
  <c r="F320" i="2"/>
  <c r="G320" i="2" s="1"/>
  <c r="D320" i="2"/>
  <c r="E320" i="2" s="1"/>
  <c r="B320" i="2"/>
  <c r="C320" i="2" s="1"/>
  <c r="A320" i="2"/>
  <c r="H319" i="2"/>
  <c r="I319" i="2" s="1"/>
  <c r="F319" i="2"/>
  <c r="G319" i="2" s="1"/>
  <c r="D319" i="2"/>
  <c r="E319" i="2" s="1"/>
  <c r="B319" i="2"/>
  <c r="C319" i="2" s="1"/>
  <c r="A319" i="2"/>
  <c r="H318" i="2"/>
  <c r="I318" i="2" s="1"/>
  <c r="F318" i="2"/>
  <c r="G318" i="2" s="1"/>
  <c r="D318" i="2"/>
  <c r="E318" i="2" s="1"/>
  <c r="B318" i="2"/>
  <c r="C318" i="2" s="1"/>
  <c r="A318" i="2"/>
  <c r="H317" i="2"/>
  <c r="I317" i="2" s="1"/>
  <c r="F317" i="2"/>
  <c r="G317" i="2" s="1"/>
  <c r="D317" i="2"/>
  <c r="E317" i="2" s="1"/>
  <c r="B317" i="2"/>
  <c r="C317" i="2" s="1"/>
  <c r="A317" i="2"/>
  <c r="H316" i="2"/>
  <c r="I316" i="2" s="1"/>
  <c r="F316" i="2"/>
  <c r="G316" i="2" s="1"/>
  <c r="D316" i="2"/>
  <c r="E316" i="2" s="1"/>
  <c r="B316" i="2"/>
  <c r="C316" i="2" s="1"/>
  <c r="A316" i="2"/>
  <c r="H315" i="2"/>
  <c r="I315" i="2" s="1"/>
  <c r="F315" i="2"/>
  <c r="G315" i="2" s="1"/>
  <c r="D315" i="2"/>
  <c r="E315" i="2" s="1"/>
  <c r="B315" i="2"/>
  <c r="C315" i="2" s="1"/>
  <c r="A315" i="2"/>
  <c r="H314" i="2"/>
  <c r="I314" i="2" s="1"/>
  <c r="F314" i="2"/>
  <c r="G314" i="2" s="1"/>
  <c r="D314" i="2"/>
  <c r="E314" i="2" s="1"/>
  <c r="B314" i="2"/>
  <c r="C314" i="2" s="1"/>
  <c r="A314" i="2"/>
  <c r="H313" i="2"/>
  <c r="I313" i="2" s="1"/>
  <c r="F313" i="2"/>
  <c r="G313" i="2" s="1"/>
  <c r="D313" i="2"/>
  <c r="E313" i="2" s="1"/>
  <c r="B313" i="2"/>
  <c r="C313" i="2" s="1"/>
  <c r="A313" i="2"/>
  <c r="H312" i="2"/>
  <c r="I312" i="2" s="1"/>
  <c r="F312" i="2"/>
  <c r="G312" i="2" s="1"/>
  <c r="D312" i="2"/>
  <c r="E312" i="2" s="1"/>
  <c r="B312" i="2"/>
  <c r="C312" i="2" s="1"/>
  <c r="A312" i="2"/>
  <c r="H311" i="2"/>
  <c r="I311" i="2" s="1"/>
  <c r="F311" i="2"/>
  <c r="G311" i="2" s="1"/>
  <c r="D311" i="2"/>
  <c r="E311" i="2" s="1"/>
  <c r="B311" i="2"/>
  <c r="C311" i="2" s="1"/>
  <c r="A311" i="2"/>
  <c r="H310" i="2"/>
  <c r="I310" i="2" s="1"/>
  <c r="F310" i="2"/>
  <c r="G310" i="2" s="1"/>
  <c r="D310" i="2"/>
  <c r="E310" i="2" s="1"/>
  <c r="B310" i="2"/>
  <c r="C310" i="2" s="1"/>
  <c r="A310" i="2"/>
  <c r="H309" i="2"/>
  <c r="I309" i="2" s="1"/>
  <c r="F309" i="2"/>
  <c r="G309" i="2" s="1"/>
  <c r="D309" i="2"/>
  <c r="E309" i="2" s="1"/>
  <c r="B309" i="2"/>
  <c r="C309" i="2" s="1"/>
  <c r="A309" i="2"/>
  <c r="H308" i="2"/>
  <c r="I308" i="2" s="1"/>
  <c r="F308" i="2"/>
  <c r="G308" i="2" s="1"/>
  <c r="D308" i="2"/>
  <c r="E308" i="2" s="1"/>
  <c r="B308" i="2"/>
  <c r="C308" i="2" s="1"/>
  <c r="A308" i="2"/>
  <c r="H307" i="2"/>
  <c r="I307" i="2" s="1"/>
  <c r="F307" i="2"/>
  <c r="G307" i="2" s="1"/>
  <c r="D307" i="2"/>
  <c r="E307" i="2" s="1"/>
  <c r="B307" i="2"/>
  <c r="C307" i="2" s="1"/>
  <c r="A307" i="2"/>
  <c r="H306" i="2"/>
  <c r="I306" i="2" s="1"/>
  <c r="F306" i="2"/>
  <c r="G306" i="2" s="1"/>
  <c r="D306" i="2"/>
  <c r="E306" i="2" s="1"/>
  <c r="B306" i="2"/>
  <c r="C306" i="2" s="1"/>
  <c r="A306" i="2"/>
  <c r="H305" i="2"/>
  <c r="I305" i="2" s="1"/>
  <c r="F305" i="2"/>
  <c r="G305" i="2" s="1"/>
  <c r="D305" i="2"/>
  <c r="E305" i="2" s="1"/>
  <c r="B305" i="2"/>
  <c r="C305" i="2" s="1"/>
  <c r="A305" i="2"/>
  <c r="H304" i="2"/>
  <c r="I304" i="2" s="1"/>
  <c r="F304" i="2"/>
  <c r="G304" i="2" s="1"/>
  <c r="D304" i="2"/>
  <c r="E304" i="2" s="1"/>
  <c r="B304" i="2"/>
  <c r="C304" i="2" s="1"/>
  <c r="A304" i="2"/>
  <c r="H303" i="2"/>
  <c r="I303" i="2" s="1"/>
  <c r="F303" i="2"/>
  <c r="G303" i="2" s="1"/>
  <c r="D303" i="2"/>
  <c r="E303" i="2" s="1"/>
  <c r="B303" i="2"/>
  <c r="C303" i="2" s="1"/>
  <c r="A303" i="2"/>
  <c r="H302" i="2"/>
  <c r="I302" i="2" s="1"/>
  <c r="F302" i="2"/>
  <c r="G302" i="2" s="1"/>
  <c r="D302" i="2"/>
  <c r="E302" i="2" s="1"/>
  <c r="B302" i="2"/>
  <c r="C302" i="2" s="1"/>
  <c r="A302" i="2"/>
  <c r="H301" i="2"/>
  <c r="I301" i="2" s="1"/>
  <c r="F301" i="2"/>
  <c r="G301" i="2" s="1"/>
  <c r="D301" i="2"/>
  <c r="E301" i="2" s="1"/>
  <c r="B301" i="2"/>
  <c r="C301" i="2" s="1"/>
  <c r="A301" i="2"/>
  <c r="H300" i="2"/>
  <c r="I300" i="2" s="1"/>
  <c r="F300" i="2"/>
  <c r="G300" i="2" s="1"/>
  <c r="D300" i="2"/>
  <c r="E300" i="2" s="1"/>
  <c r="B300" i="2"/>
  <c r="C300" i="2" s="1"/>
  <c r="A300" i="2"/>
  <c r="H299" i="2"/>
  <c r="I299" i="2" s="1"/>
  <c r="F299" i="2"/>
  <c r="G299" i="2" s="1"/>
  <c r="D299" i="2"/>
  <c r="E299" i="2" s="1"/>
  <c r="B299" i="2"/>
  <c r="C299" i="2" s="1"/>
  <c r="A299" i="2"/>
  <c r="H298" i="2"/>
  <c r="I298" i="2" s="1"/>
  <c r="F298" i="2"/>
  <c r="G298" i="2" s="1"/>
  <c r="D298" i="2"/>
  <c r="E298" i="2" s="1"/>
  <c r="B298" i="2"/>
  <c r="C298" i="2" s="1"/>
  <c r="A298" i="2"/>
  <c r="H297" i="2"/>
  <c r="I297" i="2" s="1"/>
  <c r="F297" i="2"/>
  <c r="G297" i="2" s="1"/>
  <c r="D297" i="2"/>
  <c r="E297" i="2" s="1"/>
  <c r="B297" i="2"/>
  <c r="C297" i="2" s="1"/>
  <c r="A297" i="2"/>
  <c r="H296" i="2"/>
  <c r="I296" i="2" s="1"/>
  <c r="F296" i="2"/>
  <c r="G296" i="2" s="1"/>
  <c r="D296" i="2"/>
  <c r="E296" i="2" s="1"/>
  <c r="B296" i="2"/>
  <c r="C296" i="2" s="1"/>
  <c r="A296" i="2"/>
  <c r="H295" i="2"/>
  <c r="I295" i="2" s="1"/>
  <c r="F295" i="2"/>
  <c r="G295" i="2" s="1"/>
  <c r="D295" i="2"/>
  <c r="E295" i="2" s="1"/>
  <c r="B295" i="2"/>
  <c r="C295" i="2" s="1"/>
  <c r="A295" i="2"/>
  <c r="H294" i="2"/>
  <c r="I294" i="2" s="1"/>
  <c r="F294" i="2"/>
  <c r="G294" i="2" s="1"/>
  <c r="D294" i="2"/>
  <c r="E294" i="2" s="1"/>
  <c r="B294" i="2"/>
  <c r="C294" i="2" s="1"/>
  <c r="A294" i="2"/>
  <c r="H293" i="2"/>
  <c r="I293" i="2" s="1"/>
  <c r="F293" i="2"/>
  <c r="G293" i="2" s="1"/>
  <c r="D293" i="2"/>
  <c r="E293" i="2" s="1"/>
  <c r="B293" i="2"/>
  <c r="C293" i="2" s="1"/>
  <c r="A293" i="2"/>
  <c r="H292" i="2"/>
  <c r="I292" i="2" s="1"/>
  <c r="F292" i="2"/>
  <c r="G292" i="2" s="1"/>
  <c r="D292" i="2"/>
  <c r="E292" i="2" s="1"/>
  <c r="B292" i="2"/>
  <c r="C292" i="2" s="1"/>
  <c r="A292" i="2"/>
  <c r="H291" i="2"/>
  <c r="I291" i="2" s="1"/>
  <c r="F291" i="2"/>
  <c r="G291" i="2" s="1"/>
  <c r="D291" i="2"/>
  <c r="E291" i="2" s="1"/>
  <c r="B291" i="2"/>
  <c r="C291" i="2" s="1"/>
  <c r="A291" i="2"/>
  <c r="H290" i="2"/>
  <c r="I290" i="2" s="1"/>
  <c r="F290" i="2"/>
  <c r="G290" i="2" s="1"/>
  <c r="D290" i="2"/>
  <c r="E290" i="2" s="1"/>
  <c r="B290" i="2"/>
  <c r="C290" i="2" s="1"/>
  <c r="A290" i="2"/>
  <c r="H289" i="2"/>
  <c r="I289" i="2" s="1"/>
  <c r="F289" i="2"/>
  <c r="G289" i="2" s="1"/>
  <c r="D289" i="2"/>
  <c r="E289" i="2" s="1"/>
  <c r="B289" i="2"/>
  <c r="C289" i="2" s="1"/>
  <c r="A289" i="2"/>
  <c r="H288" i="2"/>
  <c r="I288" i="2" s="1"/>
  <c r="F288" i="2"/>
  <c r="G288" i="2" s="1"/>
  <c r="D288" i="2"/>
  <c r="E288" i="2" s="1"/>
  <c r="B288" i="2"/>
  <c r="C288" i="2" s="1"/>
  <c r="A288" i="2"/>
  <c r="H287" i="2"/>
  <c r="I287" i="2" s="1"/>
  <c r="F287" i="2"/>
  <c r="G287" i="2" s="1"/>
  <c r="D287" i="2"/>
  <c r="E287" i="2" s="1"/>
  <c r="B287" i="2"/>
  <c r="C287" i="2" s="1"/>
  <c r="A287" i="2"/>
  <c r="H286" i="2"/>
  <c r="I286" i="2" s="1"/>
  <c r="F286" i="2"/>
  <c r="G286" i="2" s="1"/>
  <c r="D286" i="2"/>
  <c r="E286" i="2" s="1"/>
  <c r="B286" i="2"/>
  <c r="C286" i="2" s="1"/>
  <c r="A286" i="2"/>
  <c r="H285" i="2"/>
  <c r="I285" i="2" s="1"/>
  <c r="F285" i="2"/>
  <c r="G285" i="2" s="1"/>
  <c r="D285" i="2"/>
  <c r="E285" i="2" s="1"/>
  <c r="B285" i="2"/>
  <c r="C285" i="2" s="1"/>
  <c r="A285" i="2"/>
  <c r="H284" i="2"/>
  <c r="I284" i="2" s="1"/>
  <c r="F284" i="2"/>
  <c r="G284" i="2" s="1"/>
  <c r="D284" i="2"/>
  <c r="E284" i="2" s="1"/>
  <c r="B284" i="2"/>
  <c r="C284" i="2" s="1"/>
  <c r="A284" i="2"/>
  <c r="H283" i="2"/>
  <c r="I283" i="2" s="1"/>
  <c r="F283" i="2"/>
  <c r="G283" i="2" s="1"/>
  <c r="D283" i="2"/>
  <c r="E283" i="2" s="1"/>
  <c r="B283" i="2"/>
  <c r="C283" i="2" s="1"/>
  <c r="A283" i="2"/>
  <c r="H282" i="2"/>
  <c r="I282" i="2" s="1"/>
  <c r="F282" i="2"/>
  <c r="G282" i="2" s="1"/>
  <c r="E282" i="2"/>
  <c r="D282" i="2"/>
  <c r="B282" i="2"/>
  <c r="C282" i="2" s="1"/>
  <c r="A282" i="2"/>
  <c r="H281" i="2"/>
  <c r="I281" i="2" s="1"/>
  <c r="F281" i="2"/>
  <c r="G281" i="2" s="1"/>
  <c r="D281" i="2"/>
  <c r="E281" i="2" s="1"/>
  <c r="B281" i="2"/>
  <c r="C281" i="2" s="1"/>
  <c r="A281" i="2"/>
  <c r="H280" i="2"/>
  <c r="I280" i="2" s="1"/>
  <c r="F280" i="2"/>
  <c r="G280" i="2" s="1"/>
  <c r="D280" i="2"/>
  <c r="E280" i="2" s="1"/>
  <c r="B280" i="2"/>
  <c r="C280" i="2" s="1"/>
  <c r="A280" i="2"/>
  <c r="H279" i="2"/>
  <c r="I279" i="2" s="1"/>
  <c r="F279" i="2"/>
  <c r="G279" i="2" s="1"/>
  <c r="D279" i="2"/>
  <c r="E279" i="2" s="1"/>
  <c r="B279" i="2"/>
  <c r="C279" i="2" s="1"/>
  <c r="A279" i="2"/>
  <c r="H278" i="2"/>
  <c r="I278" i="2" s="1"/>
  <c r="F278" i="2"/>
  <c r="G278" i="2" s="1"/>
  <c r="D278" i="2"/>
  <c r="E278" i="2" s="1"/>
  <c r="B278" i="2"/>
  <c r="C278" i="2" s="1"/>
  <c r="A278" i="2"/>
  <c r="H277" i="2"/>
  <c r="I277" i="2" s="1"/>
  <c r="F277" i="2"/>
  <c r="G277" i="2" s="1"/>
  <c r="D277" i="2"/>
  <c r="E277" i="2" s="1"/>
  <c r="B277" i="2"/>
  <c r="C277" i="2" s="1"/>
  <c r="A277" i="2"/>
  <c r="H276" i="2"/>
  <c r="I276" i="2" s="1"/>
  <c r="F276" i="2"/>
  <c r="G276" i="2" s="1"/>
  <c r="D276" i="2"/>
  <c r="E276" i="2" s="1"/>
  <c r="B276" i="2"/>
  <c r="C276" i="2" s="1"/>
  <c r="A276" i="2"/>
  <c r="H275" i="2"/>
  <c r="I275" i="2" s="1"/>
  <c r="F275" i="2"/>
  <c r="G275" i="2" s="1"/>
  <c r="E275" i="2"/>
  <c r="D275" i="2"/>
  <c r="B275" i="2"/>
  <c r="C275" i="2" s="1"/>
  <c r="A275" i="2"/>
  <c r="H274" i="2"/>
  <c r="I274" i="2" s="1"/>
  <c r="F274" i="2"/>
  <c r="G274" i="2" s="1"/>
  <c r="D274" i="2"/>
  <c r="E274" i="2" s="1"/>
  <c r="B274" i="2"/>
  <c r="C274" i="2" s="1"/>
  <c r="A274" i="2"/>
  <c r="H273" i="2"/>
  <c r="I273" i="2" s="1"/>
  <c r="F273" i="2"/>
  <c r="G273" i="2" s="1"/>
  <c r="D273" i="2"/>
  <c r="E273" i="2" s="1"/>
  <c r="B273" i="2"/>
  <c r="C273" i="2" s="1"/>
  <c r="A273" i="2"/>
  <c r="H272" i="2"/>
  <c r="I272" i="2" s="1"/>
  <c r="F272" i="2"/>
  <c r="G272" i="2" s="1"/>
  <c r="D272" i="2"/>
  <c r="E272" i="2" s="1"/>
  <c r="B272" i="2"/>
  <c r="C272" i="2" s="1"/>
  <c r="A272" i="2"/>
  <c r="H271" i="2"/>
  <c r="I271" i="2" s="1"/>
  <c r="F271" i="2"/>
  <c r="G271" i="2" s="1"/>
  <c r="D271" i="2"/>
  <c r="E271" i="2" s="1"/>
  <c r="B271" i="2"/>
  <c r="C271" i="2" s="1"/>
  <c r="A271" i="2"/>
  <c r="H270" i="2"/>
  <c r="I270" i="2" s="1"/>
  <c r="F270" i="2"/>
  <c r="G270" i="2" s="1"/>
  <c r="D270" i="2"/>
  <c r="E270" i="2" s="1"/>
  <c r="B270" i="2"/>
  <c r="C270" i="2" s="1"/>
  <c r="A270" i="2"/>
  <c r="H269" i="2"/>
  <c r="I269" i="2" s="1"/>
  <c r="F269" i="2"/>
  <c r="G269" i="2" s="1"/>
  <c r="D269" i="2"/>
  <c r="E269" i="2" s="1"/>
  <c r="B269" i="2"/>
  <c r="C269" i="2" s="1"/>
  <c r="A269" i="2"/>
  <c r="H268" i="2"/>
  <c r="I268" i="2" s="1"/>
  <c r="F268" i="2"/>
  <c r="G268" i="2" s="1"/>
  <c r="D268" i="2"/>
  <c r="E268" i="2" s="1"/>
  <c r="B268" i="2"/>
  <c r="C268" i="2" s="1"/>
  <c r="A268" i="2"/>
  <c r="H267" i="2"/>
  <c r="I267" i="2" s="1"/>
  <c r="F267" i="2"/>
  <c r="G267" i="2" s="1"/>
  <c r="D267" i="2"/>
  <c r="E267" i="2" s="1"/>
  <c r="B267" i="2"/>
  <c r="C267" i="2" s="1"/>
  <c r="A267" i="2"/>
  <c r="H266" i="2"/>
  <c r="I266" i="2" s="1"/>
  <c r="F266" i="2"/>
  <c r="G266" i="2" s="1"/>
  <c r="D266" i="2"/>
  <c r="E266" i="2" s="1"/>
  <c r="B266" i="2"/>
  <c r="C266" i="2" s="1"/>
  <c r="A266" i="2"/>
  <c r="H265" i="2"/>
  <c r="I265" i="2" s="1"/>
  <c r="F265" i="2"/>
  <c r="G265" i="2" s="1"/>
  <c r="D265" i="2"/>
  <c r="E265" i="2" s="1"/>
  <c r="B265" i="2"/>
  <c r="C265" i="2" s="1"/>
  <c r="A265" i="2"/>
  <c r="H264" i="2"/>
  <c r="I264" i="2" s="1"/>
  <c r="F264" i="2"/>
  <c r="G264" i="2" s="1"/>
  <c r="D264" i="2"/>
  <c r="E264" i="2" s="1"/>
  <c r="B264" i="2"/>
  <c r="C264" i="2" s="1"/>
  <c r="A264" i="2"/>
  <c r="H263" i="2"/>
  <c r="I263" i="2" s="1"/>
  <c r="F263" i="2"/>
  <c r="G263" i="2" s="1"/>
  <c r="D263" i="2"/>
  <c r="E263" i="2" s="1"/>
  <c r="B263" i="2"/>
  <c r="C263" i="2" s="1"/>
  <c r="A263" i="2"/>
  <c r="H262" i="2"/>
  <c r="I262" i="2" s="1"/>
  <c r="F262" i="2"/>
  <c r="G262" i="2" s="1"/>
  <c r="D262" i="2"/>
  <c r="E262" i="2" s="1"/>
  <c r="B262" i="2"/>
  <c r="C262" i="2" s="1"/>
  <c r="A262" i="2"/>
  <c r="I261" i="2"/>
  <c r="H261" i="2"/>
  <c r="F261" i="2"/>
  <c r="G261" i="2" s="1"/>
  <c r="D261" i="2"/>
  <c r="E261" i="2" s="1"/>
  <c r="B261" i="2"/>
  <c r="C261" i="2" s="1"/>
  <c r="A261" i="2"/>
  <c r="H260" i="2"/>
  <c r="I260" i="2" s="1"/>
  <c r="F260" i="2"/>
  <c r="G260" i="2" s="1"/>
  <c r="D260" i="2"/>
  <c r="E260" i="2" s="1"/>
  <c r="B260" i="2"/>
  <c r="C260" i="2" s="1"/>
  <c r="A260" i="2"/>
  <c r="H259" i="2"/>
  <c r="I259" i="2" s="1"/>
  <c r="F259" i="2"/>
  <c r="G259" i="2" s="1"/>
  <c r="D259" i="2"/>
  <c r="E259" i="2" s="1"/>
  <c r="B259" i="2"/>
  <c r="C259" i="2" s="1"/>
  <c r="A259" i="2"/>
  <c r="H258" i="2"/>
  <c r="I258" i="2" s="1"/>
  <c r="G258" i="2"/>
  <c r="F258" i="2"/>
  <c r="D258" i="2"/>
  <c r="E258" i="2" s="1"/>
  <c r="B258" i="2"/>
  <c r="C258" i="2" s="1"/>
  <c r="A258" i="2"/>
  <c r="H257" i="2"/>
  <c r="I257" i="2" s="1"/>
  <c r="F257" i="2"/>
  <c r="G257" i="2" s="1"/>
  <c r="D257" i="2"/>
  <c r="E257" i="2" s="1"/>
  <c r="B257" i="2"/>
  <c r="C257" i="2" s="1"/>
  <c r="A257" i="2"/>
  <c r="H256" i="2"/>
  <c r="I256" i="2" s="1"/>
  <c r="F256" i="2"/>
  <c r="G256" i="2" s="1"/>
  <c r="D256" i="2"/>
  <c r="E256" i="2" s="1"/>
  <c r="B256" i="2"/>
  <c r="C256" i="2" s="1"/>
  <c r="A256" i="2"/>
  <c r="H255" i="2"/>
  <c r="I255" i="2" s="1"/>
  <c r="F255" i="2"/>
  <c r="G255" i="2" s="1"/>
  <c r="D255" i="2"/>
  <c r="E255" i="2" s="1"/>
  <c r="B255" i="2"/>
  <c r="C255" i="2" s="1"/>
  <c r="A255" i="2"/>
  <c r="H254" i="2"/>
  <c r="I254" i="2" s="1"/>
  <c r="F254" i="2"/>
  <c r="G254" i="2" s="1"/>
  <c r="D254" i="2"/>
  <c r="E254" i="2" s="1"/>
  <c r="B254" i="2"/>
  <c r="C254" i="2" s="1"/>
  <c r="A254" i="2"/>
  <c r="I253" i="2"/>
  <c r="H253" i="2"/>
  <c r="F253" i="2"/>
  <c r="G253" i="2" s="1"/>
  <c r="D253" i="2"/>
  <c r="E253" i="2" s="1"/>
  <c r="B253" i="2"/>
  <c r="C253" i="2" s="1"/>
  <c r="A253" i="2"/>
  <c r="H252" i="2"/>
  <c r="I252" i="2" s="1"/>
  <c r="F252" i="2"/>
  <c r="G252" i="2" s="1"/>
  <c r="D252" i="2"/>
  <c r="E252" i="2" s="1"/>
  <c r="B252" i="2"/>
  <c r="C252" i="2" s="1"/>
  <c r="A252" i="2"/>
  <c r="H251" i="2"/>
  <c r="I251" i="2" s="1"/>
  <c r="F251" i="2"/>
  <c r="G251" i="2" s="1"/>
  <c r="D251" i="2"/>
  <c r="E251" i="2" s="1"/>
  <c r="B251" i="2"/>
  <c r="C251" i="2" s="1"/>
  <c r="A251" i="2"/>
  <c r="H250" i="2"/>
  <c r="I250" i="2" s="1"/>
  <c r="F250" i="2"/>
  <c r="G250" i="2" s="1"/>
  <c r="D250" i="2"/>
  <c r="E250" i="2" s="1"/>
  <c r="B250" i="2"/>
  <c r="C250" i="2" s="1"/>
  <c r="A250" i="2"/>
  <c r="H249" i="2"/>
  <c r="I249" i="2" s="1"/>
  <c r="F249" i="2"/>
  <c r="G249" i="2" s="1"/>
  <c r="D249" i="2"/>
  <c r="E249" i="2" s="1"/>
  <c r="B249" i="2"/>
  <c r="C249" i="2" s="1"/>
  <c r="A249" i="2"/>
  <c r="H248" i="2"/>
  <c r="I248" i="2" s="1"/>
  <c r="F248" i="2"/>
  <c r="G248" i="2" s="1"/>
  <c r="D248" i="2"/>
  <c r="E248" i="2" s="1"/>
  <c r="B248" i="2"/>
  <c r="C248" i="2" s="1"/>
  <c r="A248" i="2"/>
  <c r="H247" i="2"/>
  <c r="I247" i="2" s="1"/>
  <c r="G247" i="2"/>
  <c r="F247" i="2"/>
  <c r="D247" i="2"/>
  <c r="E247" i="2" s="1"/>
  <c r="B247" i="2"/>
  <c r="C247" i="2" s="1"/>
  <c r="A247" i="2"/>
  <c r="H246" i="2"/>
  <c r="I246" i="2" s="1"/>
  <c r="F246" i="2"/>
  <c r="G246" i="2" s="1"/>
  <c r="D246" i="2"/>
  <c r="E246" i="2" s="1"/>
  <c r="B246" i="2"/>
  <c r="C246" i="2" s="1"/>
  <c r="A246" i="2"/>
  <c r="H245" i="2"/>
  <c r="I245" i="2" s="1"/>
  <c r="F245" i="2"/>
  <c r="G245" i="2" s="1"/>
  <c r="D245" i="2"/>
  <c r="E245" i="2" s="1"/>
  <c r="B245" i="2"/>
  <c r="C245" i="2" s="1"/>
  <c r="A245" i="2"/>
  <c r="H244" i="2"/>
  <c r="I244" i="2" s="1"/>
  <c r="F244" i="2"/>
  <c r="G244" i="2" s="1"/>
  <c r="D244" i="2"/>
  <c r="E244" i="2" s="1"/>
  <c r="B244" i="2"/>
  <c r="C244" i="2" s="1"/>
  <c r="A244" i="2"/>
  <c r="H243" i="2"/>
  <c r="I243" i="2" s="1"/>
  <c r="F243" i="2"/>
  <c r="G243" i="2" s="1"/>
  <c r="D243" i="2"/>
  <c r="E243" i="2" s="1"/>
  <c r="B243" i="2"/>
  <c r="C243" i="2" s="1"/>
  <c r="A243" i="2"/>
  <c r="H242" i="2"/>
  <c r="I242" i="2" s="1"/>
  <c r="F242" i="2"/>
  <c r="G242" i="2" s="1"/>
  <c r="D242" i="2"/>
  <c r="E242" i="2" s="1"/>
  <c r="B242" i="2"/>
  <c r="C242" i="2" s="1"/>
  <c r="A242" i="2"/>
  <c r="H241" i="2"/>
  <c r="I241" i="2" s="1"/>
  <c r="F241" i="2"/>
  <c r="G241" i="2" s="1"/>
  <c r="D241" i="2"/>
  <c r="E241" i="2" s="1"/>
  <c r="C241" i="2"/>
  <c r="B241" i="2"/>
  <c r="A241" i="2"/>
  <c r="H240" i="2"/>
  <c r="I240" i="2" s="1"/>
  <c r="F240" i="2"/>
  <c r="G240" i="2" s="1"/>
  <c r="D240" i="2"/>
  <c r="E240" i="2" s="1"/>
  <c r="B240" i="2"/>
  <c r="C240" i="2" s="1"/>
  <c r="A240" i="2"/>
  <c r="H239" i="2"/>
  <c r="I239" i="2" s="1"/>
  <c r="F239" i="2"/>
  <c r="G239" i="2" s="1"/>
  <c r="D239" i="2"/>
  <c r="E239" i="2" s="1"/>
  <c r="C239" i="2"/>
  <c r="B239" i="2"/>
  <c r="A239" i="2"/>
  <c r="H238" i="2"/>
  <c r="I238" i="2" s="1"/>
  <c r="F238" i="2"/>
  <c r="G238" i="2" s="1"/>
  <c r="D238" i="2"/>
  <c r="E238" i="2" s="1"/>
  <c r="B238" i="2"/>
  <c r="C238" i="2" s="1"/>
  <c r="A238" i="2"/>
  <c r="H237" i="2"/>
  <c r="I237" i="2" s="1"/>
  <c r="F237" i="2"/>
  <c r="G237" i="2" s="1"/>
  <c r="D237" i="2"/>
  <c r="E237" i="2" s="1"/>
  <c r="B237" i="2"/>
  <c r="C237" i="2" s="1"/>
  <c r="A237" i="2"/>
  <c r="H236" i="2"/>
  <c r="I236" i="2" s="1"/>
  <c r="F236" i="2"/>
  <c r="G236" i="2" s="1"/>
  <c r="D236" i="2"/>
  <c r="E236" i="2" s="1"/>
  <c r="B236" i="2"/>
  <c r="C236" i="2" s="1"/>
  <c r="A236" i="2"/>
  <c r="H235" i="2"/>
  <c r="I235" i="2" s="1"/>
  <c r="F235" i="2"/>
  <c r="G235" i="2" s="1"/>
  <c r="D235" i="2"/>
  <c r="E235" i="2" s="1"/>
  <c r="B235" i="2"/>
  <c r="C235" i="2" s="1"/>
  <c r="A235" i="2"/>
  <c r="H234" i="2"/>
  <c r="I234" i="2" s="1"/>
  <c r="F234" i="2"/>
  <c r="G234" i="2" s="1"/>
  <c r="D234" i="2"/>
  <c r="E234" i="2" s="1"/>
  <c r="B234" i="2"/>
  <c r="C234" i="2" s="1"/>
  <c r="A234" i="2"/>
  <c r="I233" i="2"/>
  <c r="H233" i="2"/>
  <c r="F233" i="2"/>
  <c r="G233" i="2" s="1"/>
  <c r="D233" i="2"/>
  <c r="E233" i="2" s="1"/>
  <c r="B233" i="2"/>
  <c r="C233" i="2" s="1"/>
  <c r="A233" i="2"/>
  <c r="H232" i="2"/>
  <c r="I232" i="2" s="1"/>
  <c r="F232" i="2"/>
  <c r="G232" i="2" s="1"/>
  <c r="D232" i="2"/>
  <c r="E232" i="2" s="1"/>
  <c r="B232" i="2"/>
  <c r="C232" i="2" s="1"/>
  <c r="A232" i="2"/>
  <c r="H231" i="2"/>
  <c r="I231" i="2" s="1"/>
  <c r="F231" i="2"/>
  <c r="G231" i="2" s="1"/>
  <c r="D231" i="2"/>
  <c r="E231" i="2" s="1"/>
  <c r="B231" i="2"/>
  <c r="C231" i="2" s="1"/>
  <c r="A231" i="2"/>
  <c r="H230" i="2"/>
  <c r="I230" i="2" s="1"/>
  <c r="F230" i="2"/>
  <c r="G230" i="2" s="1"/>
  <c r="D230" i="2"/>
  <c r="E230" i="2" s="1"/>
  <c r="B230" i="2"/>
  <c r="C230" i="2" s="1"/>
  <c r="A230" i="2"/>
  <c r="H229" i="2"/>
  <c r="I229" i="2" s="1"/>
  <c r="F229" i="2"/>
  <c r="G229" i="2" s="1"/>
  <c r="D229" i="2"/>
  <c r="E229" i="2" s="1"/>
  <c r="B229" i="2"/>
  <c r="C229" i="2" s="1"/>
  <c r="A229" i="2"/>
  <c r="H228" i="2"/>
  <c r="I228" i="2" s="1"/>
  <c r="F228" i="2"/>
  <c r="G228" i="2" s="1"/>
  <c r="D228" i="2"/>
  <c r="E228" i="2" s="1"/>
  <c r="C228" i="2"/>
  <c r="B228" i="2"/>
  <c r="A228" i="2"/>
  <c r="H227" i="2"/>
  <c r="I227" i="2" s="1"/>
  <c r="F227" i="2"/>
  <c r="G227" i="2" s="1"/>
  <c r="D227" i="2"/>
  <c r="E227" i="2" s="1"/>
  <c r="B227" i="2"/>
  <c r="C227" i="2" s="1"/>
  <c r="A227" i="2"/>
  <c r="H226" i="2"/>
  <c r="I226" i="2" s="1"/>
  <c r="F226" i="2"/>
  <c r="G226" i="2" s="1"/>
  <c r="D226" i="2"/>
  <c r="E226" i="2" s="1"/>
  <c r="B226" i="2"/>
  <c r="C226" i="2" s="1"/>
  <c r="A226" i="2"/>
  <c r="H225" i="2"/>
  <c r="I225" i="2" s="1"/>
  <c r="F225" i="2"/>
  <c r="G225" i="2" s="1"/>
  <c r="D225" i="2"/>
  <c r="E225" i="2" s="1"/>
  <c r="B225" i="2"/>
  <c r="C225" i="2" s="1"/>
  <c r="A225" i="2"/>
  <c r="H224" i="2"/>
  <c r="I224" i="2" s="1"/>
  <c r="F224" i="2"/>
  <c r="G224" i="2" s="1"/>
  <c r="D224" i="2"/>
  <c r="E224" i="2" s="1"/>
  <c r="B224" i="2"/>
  <c r="C224" i="2" s="1"/>
  <c r="A224" i="2"/>
  <c r="H223" i="2"/>
  <c r="I223" i="2" s="1"/>
  <c r="F223" i="2"/>
  <c r="G223" i="2" s="1"/>
  <c r="D223" i="2"/>
  <c r="E223" i="2" s="1"/>
  <c r="B223" i="2"/>
  <c r="C223" i="2" s="1"/>
  <c r="A223" i="2"/>
  <c r="H222" i="2"/>
  <c r="I222" i="2" s="1"/>
  <c r="F222" i="2"/>
  <c r="G222" i="2" s="1"/>
  <c r="D222" i="2"/>
  <c r="E222" i="2" s="1"/>
  <c r="B222" i="2"/>
  <c r="C222" i="2" s="1"/>
  <c r="A222" i="2"/>
  <c r="H221" i="2"/>
  <c r="I221" i="2" s="1"/>
  <c r="G221" i="2"/>
  <c r="F221" i="2"/>
  <c r="D221" i="2"/>
  <c r="E221" i="2" s="1"/>
  <c r="C221" i="2"/>
  <c r="B221" i="2"/>
  <c r="A221" i="2"/>
  <c r="H220" i="2"/>
  <c r="I220" i="2" s="1"/>
  <c r="F220" i="2"/>
  <c r="G220" i="2" s="1"/>
  <c r="D220" i="2"/>
  <c r="E220" i="2" s="1"/>
  <c r="B220" i="2"/>
  <c r="C220" i="2" s="1"/>
  <c r="A220" i="2"/>
  <c r="H219" i="2"/>
  <c r="I219" i="2" s="1"/>
  <c r="F219" i="2"/>
  <c r="G219" i="2" s="1"/>
  <c r="D219" i="2"/>
  <c r="E219" i="2" s="1"/>
  <c r="B219" i="2"/>
  <c r="C219" i="2" s="1"/>
  <c r="A219" i="2"/>
  <c r="H218" i="2"/>
  <c r="I218" i="2" s="1"/>
  <c r="F218" i="2"/>
  <c r="G218" i="2" s="1"/>
  <c r="D218" i="2"/>
  <c r="E218" i="2" s="1"/>
  <c r="B218" i="2"/>
  <c r="C218" i="2" s="1"/>
  <c r="A218" i="2"/>
  <c r="H217" i="2"/>
  <c r="I217" i="2" s="1"/>
  <c r="F217" i="2"/>
  <c r="G217" i="2" s="1"/>
  <c r="D217" i="2"/>
  <c r="E217" i="2" s="1"/>
  <c r="B217" i="2"/>
  <c r="C217" i="2" s="1"/>
  <c r="A217" i="2"/>
  <c r="H216" i="2"/>
  <c r="I216" i="2" s="1"/>
  <c r="F216" i="2"/>
  <c r="G216" i="2" s="1"/>
  <c r="D216" i="2"/>
  <c r="E216" i="2" s="1"/>
  <c r="B216" i="2"/>
  <c r="C216" i="2" s="1"/>
  <c r="A216" i="2"/>
  <c r="H215" i="2"/>
  <c r="I215" i="2" s="1"/>
  <c r="F215" i="2"/>
  <c r="G215" i="2" s="1"/>
  <c r="D215" i="2"/>
  <c r="E215" i="2" s="1"/>
  <c r="B215" i="2"/>
  <c r="C215" i="2" s="1"/>
  <c r="A215" i="2"/>
  <c r="H214" i="2"/>
  <c r="I214" i="2" s="1"/>
  <c r="F214" i="2"/>
  <c r="G214" i="2" s="1"/>
  <c r="D214" i="2"/>
  <c r="E214" i="2" s="1"/>
  <c r="B214" i="2"/>
  <c r="C214" i="2" s="1"/>
  <c r="A214" i="2"/>
  <c r="H213" i="2"/>
  <c r="I213" i="2" s="1"/>
  <c r="F213" i="2"/>
  <c r="G213" i="2" s="1"/>
  <c r="E213" i="2"/>
  <c r="D213" i="2"/>
  <c r="B213" i="2"/>
  <c r="C213" i="2" s="1"/>
  <c r="A213" i="2"/>
  <c r="H212" i="2"/>
  <c r="I212" i="2" s="1"/>
  <c r="G212" i="2"/>
  <c r="F212" i="2"/>
  <c r="E212" i="2"/>
  <c r="D212" i="2"/>
  <c r="B212" i="2"/>
  <c r="C212" i="2" s="1"/>
  <c r="A212" i="2"/>
  <c r="H211" i="2"/>
  <c r="I211" i="2" s="1"/>
  <c r="F211" i="2"/>
  <c r="G211" i="2" s="1"/>
  <c r="D211" i="2"/>
  <c r="E211" i="2" s="1"/>
  <c r="B211" i="2"/>
  <c r="C211" i="2" s="1"/>
  <c r="A211" i="2"/>
  <c r="H210" i="2"/>
  <c r="I210" i="2" s="1"/>
  <c r="F210" i="2"/>
  <c r="G210" i="2" s="1"/>
  <c r="D210" i="2"/>
  <c r="E210" i="2" s="1"/>
  <c r="B210" i="2"/>
  <c r="C210" i="2" s="1"/>
  <c r="A210" i="2"/>
  <c r="H209" i="2"/>
  <c r="I209" i="2" s="1"/>
  <c r="F209" i="2"/>
  <c r="G209" i="2" s="1"/>
  <c r="D209" i="2"/>
  <c r="E209" i="2" s="1"/>
  <c r="B209" i="2"/>
  <c r="C209" i="2" s="1"/>
  <c r="A209" i="2"/>
  <c r="H208" i="2"/>
  <c r="I208" i="2" s="1"/>
  <c r="F208" i="2"/>
  <c r="G208" i="2" s="1"/>
  <c r="D208" i="2"/>
  <c r="E208" i="2" s="1"/>
  <c r="B208" i="2"/>
  <c r="C208" i="2" s="1"/>
  <c r="A208" i="2"/>
  <c r="H207" i="2"/>
  <c r="I207" i="2" s="1"/>
  <c r="F207" i="2"/>
  <c r="G207" i="2" s="1"/>
  <c r="D207" i="2"/>
  <c r="E207" i="2" s="1"/>
  <c r="B207" i="2"/>
  <c r="C207" i="2" s="1"/>
  <c r="A207" i="2"/>
  <c r="H206" i="2"/>
  <c r="I206" i="2" s="1"/>
  <c r="F206" i="2"/>
  <c r="G206" i="2" s="1"/>
  <c r="D206" i="2"/>
  <c r="E206" i="2" s="1"/>
  <c r="B206" i="2"/>
  <c r="C206" i="2" s="1"/>
  <c r="A206" i="2"/>
  <c r="H205" i="2"/>
  <c r="I205" i="2" s="1"/>
  <c r="F205" i="2"/>
  <c r="G205" i="2" s="1"/>
  <c r="D205" i="2"/>
  <c r="E205" i="2" s="1"/>
  <c r="B205" i="2"/>
  <c r="C205" i="2" s="1"/>
  <c r="A205" i="2"/>
  <c r="H204" i="2"/>
  <c r="I204" i="2" s="1"/>
  <c r="F204" i="2"/>
  <c r="G204" i="2" s="1"/>
  <c r="D204" i="2"/>
  <c r="E204" i="2" s="1"/>
  <c r="B204" i="2"/>
  <c r="C204" i="2" s="1"/>
  <c r="A204" i="2"/>
  <c r="H203" i="2"/>
  <c r="I203" i="2" s="1"/>
  <c r="F203" i="2"/>
  <c r="G203" i="2" s="1"/>
  <c r="D203" i="2"/>
  <c r="E203" i="2" s="1"/>
  <c r="B203" i="2"/>
  <c r="C203" i="2" s="1"/>
  <c r="A203" i="2"/>
  <c r="H202" i="2"/>
  <c r="I202" i="2" s="1"/>
  <c r="F202" i="2"/>
  <c r="G202" i="2" s="1"/>
  <c r="D202" i="2"/>
  <c r="E202" i="2" s="1"/>
  <c r="B202" i="2"/>
  <c r="C202" i="2" s="1"/>
  <c r="A202" i="2"/>
  <c r="H201" i="2"/>
  <c r="I201" i="2" s="1"/>
  <c r="F201" i="2"/>
  <c r="G201" i="2" s="1"/>
  <c r="D201" i="2"/>
  <c r="E201" i="2" s="1"/>
  <c r="B201" i="2"/>
  <c r="C201" i="2" s="1"/>
  <c r="A201" i="2"/>
  <c r="H200" i="2"/>
  <c r="I200" i="2" s="1"/>
  <c r="F200" i="2"/>
  <c r="G200" i="2" s="1"/>
  <c r="D200" i="2"/>
  <c r="E200" i="2" s="1"/>
  <c r="B200" i="2"/>
  <c r="C200" i="2" s="1"/>
  <c r="A200" i="2"/>
  <c r="H199" i="2"/>
  <c r="I199" i="2" s="1"/>
  <c r="F199" i="2"/>
  <c r="G199" i="2" s="1"/>
  <c r="D199" i="2"/>
  <c r="E199" i="2" s="1"/>
  <c r="B199" i="2"/>
  <c r="C199" i="2" s="1"/>
  <c r="A199" i="2"/>
  <c r="H198" i="2"/>
  <c r="I198" i="2" s="1"/>
  <c r="F198" i="2"/>
  <c r="G198" i="2" s="1"/>
  <c r="D198" i="2"/>
  <c r="E198" i="2" s="1"/>
  <c r="B198" i="2"/>
  <c r="C198" i="2" s="1"/>
  <c r="A198" i="2"/>
  <c r="H197" i="2"/>
  <c r="I197" i="2" s="1"/>
  <c r="F197" i="2"/>
  <c r="G197" i="2" s="1"/>
  <c r="D197" i="2"/>
  <c r="E197" i="2" s="1"/>
  <c r="B197" i="2"/>
  <c r="C197" i="2" s="1"/>
  <c r="A197" i="2"/>
  <c r="H196" i="2"/>
  <c r="I196" i="2" s="1"/>
  <c r="F196" i="2"/>
  <c r="G196" i="2" s="1"/>
  <c r="D196" i="2"/>
  <c r="E196" i="2" s="1"/>
  <c r="B196" i="2"/>
  <c r="C196" i="2" s="1"/>
  <c r="A196" i="2"/>
  <c r="H195" i="2"/>
  <c r="I195" i="2" s="1"/>
  <c r="F195" i="2"/>
  <c r="G195" i="2" s="1"/>
  <c r="D195" i="2"/>
  <c r="E195" i="2" s="1"/>
  <c r="B195" i="2"/>
  <c r="C195" i="2" s="1"/>
  <c r="A195" i="2"/>
  <c r="H194" i="2"/>
  <c r="I194" i="2" s="1"/>
  <c r="F194" i="2"/>
  <c r="G194" i="2" s="1"/>
  <c r="D194" i="2"/>
  <c r="E194" i="2" s="1"/>
  <c r="B194" i="2"/>
  <c r="C194" i="2" s="1"/>
  <c r="A194" i="2"/>
  <c r="H193" i="2"/>
  <c r="I193" i="2" s="1"/>
  <c r="F193" i="2"/>
  <c r="G193" i="2" s="1"/>
  <c r="D193" i="2"/>
  <c r="E193" i="2" s="1"/>
  <c r="B193" i="2"/>
  <c r="C193" i="2" s="1"/>
  <c r="A193" i="2"/>
  <c r="H192" i="2"/>
  <c r="I192" i="2" s="1"/>
  <c r="G192" i="2"/>
  <c r="F192" i="2"/>
  <c r="D192" i="2"/>
  <c r="E192" i="2" s="1"/>
  <c r="B192" i="2"/>
  <c r="C192" i="2" s="1"/>
  <c r="A192" i="2"/>
  <c r="H191" i="2"/>
  <c r="I191" i="2" s="1"/>
  <c r="F191" i="2"/>
  <c r="G191" i="2" s="1"/>
  <c r="D191" i="2"/>
  <c r="E191" i="2" s="1"/>
  <c r="B191" i="2"/>
  <c r="C191" i="2" s="1"/>
  <c r="A191" i="2"/>
  <c r="H190" i="2"/>
  <c r="I190" i="2" s="1"/>
  <c r="F190" i="2"/>
  <c r="G190" i="2" s="1"/>
  <c r="D190" i="2"/>
  <c r="E190" i="2" s="1"/>
  <c r="B190" i="2"/>
  <c r="C190" i="2" s="1"/>
  <c r="A190" i="2"/>
  <c r="H189" i="2"/>
  <c r="I189" i="2" s="1"/>
  <c r="F189" i="2"/>
  <c r="G189" i="2" s="1"/>
  <c r="D189" i="2"/>
  <c r="E189" i="2" s="1"/>
  <c r="B189" i="2"/>
  <c r="C189" i="2" s="1"/>
  <c r="A189" i="2"/>
  <c r="H188" i="2"/>
  <c r="I188" i="2" s="1"/>
  <c r="F188" i="2"/>
  <c r="G188" i="2" s="1"/>
  <c r="D188" i="2"/>
  <c r="E188" i="2" s="1"/>
  <c r="B188" i="2"/>
  <c r="C188" i="2" s="1"/>
  <c r="A188" i="2"/>
  <c r="H187" i="2"/>
  <c r="I187" i="2" s="1"/>
  <c r="F187" i="2"/>
  <c r="G187" i="2" s="1"/>
  <c r="D187" i="2"/>
  <c r="E187" i="2" s="1"/>
  <c r="B187" i="2"/>
  <c r="C187" i="2" s="1"/>
  <c r="A187" i="2"/>
  <c r="H186" i="2"/>
  <c r="I186" i="2" s="1"/>
  <c r="F186" i="2"/>
  <c r="G186" i="2" s="1"/>
  <c r="D186" i="2"/>
  <c r="E186" i="2" s="1"/>
  <c r="B186" i="2"/>
  <c r="C186" i="2" s="1"/>
  <c r="A186" i="2"/>
  <c r="H185" i="2"/>
  <c r="I185" i="2" s="1"/>
  <c r="F185" i="2"/>
  <c r="G185" i="2" s="1"/>
  <c r="D185" i="2"/>
  <c r="E185" i="2" s="1"/>
  <c r="B185" i="2"/>
  <c r="C185" i="2" s="1"/>
  <c r="A185" i="2"/>
  <c r="H184" i="2"/>
  <c r="I184" i="2" s="1"/>
  <c r="F184" i="2"/>
  <c r="G184" i="2" s="1"/>
  <c r="D184" i="2"/>
  <c r="E184" i="2" s="1"/>
  <c r="B184" i="2"/>
  <c r="C184" i="2" s="1"/>
  <c r="A184" i="2"/>
  <c r="H183" i="2"/>
  <c r="I183" i="2" s="1"/>
  <c r="F183" i="2"/>
  <c r="G183" i="2" s="1"/>
  <c r="D183" i="2"/>
  <c r="E183" i="2" s="1"/>
  <c r="B183" i="2"/>
  <c r="C183" i="2" s="1"/>
  <c r="A183" i="2"/>
  <c r="H182" i="2"/>
  <c r="I182" i="2" s="1"/>
  <c r="F182" i="2"/>
  <c r="G182" i="2" s="1"/>
  <c r="D182" i="2"/>
  <c r="E182" i="2" s="1"/>
  <c r="B182" i="2"/>
  <c r="C182" i="2" s="1"/>
  <c r="A182" i="2"/>
  <c r="H181" i="2"/>
  <c r="I181" i="2" s="1"/>
  <c r="F181" i="2"/>
  <c r="G181" i="2" s="1"/>
  <c r="D181" i="2"/>
  <c r="E181" i="2" s="1"/>
  <c r="B181" i="2"/>
  <c r="C181" i="2" s="1"/>
  <c r="A181" i="2"/>
  <c r="H180" i="2"/>
  <c r="I180" i="2" s="1"/>
  <c r="F180" i="2"/>
  <c r="G180" i="2" s="1"/>
  <c r="D180" i="2"/>
  <c r="E180" i="2" s="1"/>
  <c r="B180" i="2"/>
  <c r="C180" i="2" s="1"/>
  <c r="A180" i="2"/>
  <c r="H179" i="2"/>
  <c r="I179" i="2" s="1"/>
  <c r="F179" i="2"/>
  <c r="G179" i="2" s="1"/>
  <c r="D179" i="2"/>
  <c r="E179" i="2" s="1"/>
  <c r="C179" i="2"/>
  <c r="B179" i="2"/>
  <c r="A179" i="2"/>
  <c r="H178" i="2"/>
  <c r="I178" i="2" s="1"/>
  <c r="F178" i="2"/>
  <c r="G178" i="2" s="1"/>
  <c r="D178" i="2"/>
  <c r="E178" i="2" s="1"/>
  <c r="B178" i="2"/>
  <c r="C178" i="2" s="1"/>
  <c r="A178" i="2"/>
  <c r="H177" i="2"/>
  <c r="I177" i="2" s="1"/>
  <c r="F177" i="2"/>
  <c r="G177" i="2" s="1"/>
  <c r="D177" i="2"/>
  <c r="E177" i="2" s="1"/>
  <c r="B177" i="2"/>
  <c r="C177" i="2" s="1"/>
  <c r="A177" i="2"/>
  <c r="H176" i="2"/>
  <c r="I176" i="2" s="1"/>
  <c r="F176" i="2"/>
  <c r="G176" i="2" s="1"/>
  <c r="D176" i="2"/>
  <c r="E176" i="2" s="1"/>
  <c r="C176" i="2"/>
  <c r="B176" i="2"/>
  <c r="A176" i="2"/>
  <c r="H175" i="2"/>
  <c r="I175" i="2" s="1"/>
  <c r="F175" i="2"/>
  <c r="G175" i="2" s="1"/>
  <c r="D175" i="2"/>
  <c r="E175" i="2" s="1"/>
  <c r="B175" i="2"/>
  <c r="C175" i="2" s="1"/>
  <c r="A175" i="2"/>
  <c r="H174" i="2"/>
  <c r="I174" i="2" s="1"/>
  <c r="F174" i="2"/>
  <c r="G174" i="2" s="1"/>
  <c r="D174" i="2"/>
  <c r="E174" i="2" s="1"/>
  <c r="B174" i="2"/>
  <c r="C174" i="2" s="1"/>
  <c r="A174" i="2"/>
  <c r="H173" i="2"/>
  <c r="I173" i="2" s="1"/>
  <c r="F173" i="2"/>
  <c r="G173" i="2" s="1"/>
  <c r="D173" i="2"/>
  <c r="E173" i="2" s="1"/>
  <c r="B173" i="2"/>
  <c r="C173" i="2" s="1"/>
  <c r="A173" i="2"/>
  <c r="H172" i="2"/>
  <c r="I172" i="2" s="1"/>
  <c r="F172" i="2"/>
  <c r="G172" i="2" s="1"/>
  <c r="D172" i="2"/>
  <c r="E172" i="2" s="1"/>
  <c r="B172" i="2"/>
  <c r="C172" i="2" s="1"/>
  <c r="A172" i="2"/>
  <c r="H171" i="2"/>
  <c r="I171" i="2" s="1"/>
  <c r="F171" i="2"/>
  <c r="G171" i="2" s="1"/>
  <c r="D171" i="2"/>
  <c r="E171" i="2" s="1"/>
  <c r="B171" i="2"/>
  <c r="C171" i="2" s="1"/>
  <c r="A171" i="2"/>
  <c r="H170" i="2"/>
  <c r="I170" i="2" s="1"/>
  <c r="F170" i="2"/>
  <c r="G170" i="2" s="1"/>
  <c r="D170" i="2"/>
  <c r="E170" i="2" s="1"/>
  <c r="B170" i="2"/>
  <c r="C170" i="2" s="1"/>
  <c r="A170" i="2"/>
  <c r="H169" i="2"/>
  <c r="I169" i="2" s="1"/>
  <c r="F169" i="2"/>
  <c r="G169" i="2" s="1"/>
  <c r="D169" i="2"/>
  <c r="E169" i="2" s="1"/>
  <c r="B169" i="2"/>
  <c r="C169" i="2" s="1"/>
  <c r="A169" i="2"/>
  <c r="H168" i="2"/>
  <c r="I168" i="2" s="1"/>
  <c r="F168" i="2"/>
  <c r="G168" i="2" s="1"/>
  <c r="D168" i="2"/>
  <c r="E168" i="2" s="1"/>
  <c r="B168" i="2"/>
  <c r="C168" i="2" s="1"/>
  <c r="A168" i="2"/>
  <c r="H167" i="2"/>
  <c r="I167" i="2" s="1"/>
  <c r="F167" i="2"/>
  <c r="G167" i="2" s="1"/>
  <c r="D167" i="2"/>
  <c r="E167" i="2" s="1"/>
  <c r="B167" i="2"/>
  <c r="C167" i="2" s="1"/>
  <c r="A167" i="2"/>
  <c r="H166" i="2"/>
  <c r="I166" i="2" s="1"/>
  <c r="F166" i="2"/>
  <c r="G166" i="2" s="1"/>
  <c r="D166" i="2"/>
  <c r="E166" i="2" s="1"/>
  <c r="B166" i="2"/>
  <c r="C166" i="2" s="1"/>
  <c r="A166" i="2"/>
  <c r="H165" i="2"/>
  <c r="I165" i="2" s="1"/>
  <c r="F165" i="2"/>
  <c r="G165" i="2" s="1"/>
  <c r="D165" i="2"/>
  <c r="E165" i="2" s="1"/>
  <c r="B165" i="2"/>
  <c r="C165" i="2" s="1"/>
  <c r="A165" i="2"/>
  <c r="H164" i="2"/>
  <c r="I164" i="2" s="1"/>
  <c r="F164" i="2"/>
  <c r="G164" i="2" s="1"/>
  <c r="D164" i="2"/>
  <c r="E164" i="2" s="1"/>
  <c r="B164" i="2"/>
  <c r="C164" i="2" s="1"/>
  <c r="A164" i="2"/>
  <c r="H163" i="2"/>
  <c r="I163" i="2" s="1"/>
  <c r="F163" i="2"/>
  <c r="G163" i="2" s="1"/>
  <c r="D163" i="2"/>
  <c r="E163" i="2" s="1"/>
  <c r="C163" i="2"/>
  <c r="B163" i="2"/>
  <c r="A163" i="2"/>
  <c r="H162" i="2"/>
  <c r="I162" i="2" s="1"/>
  <c r="F162" i="2"/>
  <c r="G162" i="2" s="1"/>
  <c r="D162" i="2"/>
  <c r="E162" i="2" s="1"/>
  <c r="B162" i="2"/>
  <c r="C162" i="2" s="1"/>
  <c r="A162" i="2"/>
  <c r="H161" i="2"/>
  <c r="I161" i="2" s="1"/>
  <c r="F161" i="2"/>
  <c r="G161" i="2" s="1"/>
  <c r="D161" i="2"/>
  <c r="E161" i="2" s="1"/>
  <c r="B161" i="2"/>
  <c r="C161" i="2" s="1"/>
  <c r="A161" i="2"/>
  <c r="H160" i="2"/>
  <c r="I160" i="2" s="1"/>
  <c r="F160" i="2"/>
  <c r="G160" i="2" s="1"/>
  <c r="D160" i="2"/>
  <c r="E160" i="2" s="1"/>
  <c r="B160" i="2"/>
  <c r="C160" i="2" s="1"/>
  <c r="A160" i="2"/>
  <c r="H159" i="2"/>
  <c r="I159" i="2" s="1"/>
  <c r="F159" i="2"/>
  <c r="G159" i="2" s="1"/>
  <c r="D159" i="2"/>
  <c r="E159" i="2" s="1"/>
  <c r="B159" i="2"/>
  <c r="C159" i="2" s="1"/>
  <c r="A159" i="2"/>
  <c r="H158" i="2"/>
  <c r="I158" i="2" s="1"/>
  <c r="F158" i="2"/>
  <c r="G158" i="2" s="1"/>
  <c r="D158" i="2"/>
  <c r="E158" i="2" s="1"/>
  <c r="C158" i="2"/>
  <c r="B158" i="2"/>
  <c r="A158" i="2"/>
  <c r="H157" i="2"/>
  <c r="I157" i="2" s="1"/>
  <c r="F157" i="2"/>
  <c r="G157" i="2" s="1"/>
  <c r="D157" i="2"/>
  <c r="E157" i="2" s="1"/>
  <c r="B157" i="2"/>
  <c r="C157" i="2" s="1"/>
  <c r="A157" i="2"/>
  <c r="H156" i="2"/>
  <c r="I156" i="2" s="1"/>
  <c r="F156" i="2"/>
  <c r="G156" i="2" s="1"/>
  <c r="D156" i="2"/>
  <c r="E156" i="2" s="1"/>
  <c r="B156" i="2"/>
  <c r="C156" i="2" s="1"/>
  <c r="A156" i="2"/>
  <c r="H155" i="2"/>
  <c r="I155" i="2" s="1"/>
  <c r="F155" i="2"/>
  <c r="G155" i="2" s="1"/>
  <c r="D155" i="2"/>
  <c r="E155" i="2" s="1"/>
  <c r="B155" i="2"/>
  <c r="C155" i="2" s="1"/>
  <c r="A155" i="2"/>
  <c r="H154" i="2"/>
  <c r="I154" i="2" s="1"/>
  <c r="F154" i="2"/>
  <c r="G154" i="2" s="1"/>
  <c r="D154" i="2"/>
  <c r="E154" i="2" s="1"/>
  <c r="B154" i="2"/>
  <c r="C154" i="2" s="1"/>
  <c r="A154" i="2"/>
  <c r="H153" i="2"/>
  <c r="I153" i="2" s="1"/>
  <c r="F153" i="2"/>
  <c r="G153" i="2" s="1"/>
  <c r="D153" i="2"/>
  <c r="E153" i="2" s="1"/>
  <c r="B153" i="2"/>
  <c r="C153" i="2" s="1"/>
  <c r="A153" i="2"/>
  <c r="H152" i="2"/>
  <c r="I152" i="2" s="1"/>
  <c r="F152" i="2"/>
  <c r="G152" i="2" s="1"/>
  <c r="D152" i="2"/>
  <c r="E152" i="2" s="1"/>
  <c r="B152" i="2"/>
  <c r="C152" i="2" s="1"/>
  <c r="A152" i="2"/>
  <c r="H151" i="2"/>
  <c r="I151" i="2" s="1"/>
  <c r="F151" i="2"/>
  <c r="G151" i="2" s="1"/>
  <c r="D151" i="2"/>
  <c r="E151" i="2" s="1"/>
  <c r="B151" i="2"/>
  <c r="C151" i="2" s="1"/>
  <c r="A151" i="2"/>
  <c r="H150" i="2"/>
  <c r="I150" i="2" s="1"/>
  <c r="F150" i="2"/>
  <c r="G150" i="2" s="1"/>
  <c r="D150" i="2"/>
  <c r="E150" i="2" s="1"/>
  <c r="B150" i="2"/>
  <c r="C150" i="2" s="1"/>
  <c r="A150" i="2"/>
  <c r="H149" i="2"/>
  <c r="I149" i="2" s="1"/>
  <c r="F149" i="2"/>
  <c r="G149" i="2" s="1"/>
  <c r="D149" i="2"/>
  <c r="E149" i="2" s="1"/>
  <c r="B149" i="2"/>
  <c r="C149" i="2" s="1"/>
  <c r="A149" i="2"/>
  <c r="H148" i="2"/>
  <c r="I148" i="2" s="1"/>
  <c r="F148" i="2"/>
  <c r="G148" i="2" s="1"/>
  <c r="D148" i="2"/>
  <c r="E148" i="2" s="1"/>
  <c r="B148" i="2"/>
  <c r="C148" i="2" s="1"/>
  <c r="A148" i="2"/>
  <c r="H147" i="2"/>
  <c r="I147" i="2" s="1"/>
  <c r="F147" i="2"/>
  <c r="G147" i="2" s="1"/>
  <c r="D147" i="2"/>
  <c r="E147" i="2" s="1"/>
  <c r="B147" i="2"/>
  <c r="C147" i="2" s="1"/>
  <c r="A147" i="2"/>
  <c r="H146" i="2"/>
  <c r="I146" i="2" s="1"/>
  <c r="F146" i="2"/>
  <c r="G146" i="2" s="1"/>
  <c r="D146" i="2"/>
  <c r="E146" i="2" s="1"/>
  <c r="B146" i="2"/>
  <c r="C146" i="2" s="1"/>
  <c r="A146" i="2"/>
  <c r="H145" i="2"/>
  <c r="I145" i="2" s="1"/>
  <c r="F145" i="2"/>
  <c r="G145" i="2" s="1"/>
  <c r="D145" i="2"/>
  <c r="E145" i="2" s="1"/>
  <c r="B145" i="2"/>
  <c r="C145" i="2" s="1"/>
  <c r="A145" i="2"/>
  <c r="H144" i="2"/>
  <c r="I144" i="2" s="1"/>
  <c r="F144" i="2"/>
  <c r="G144" i="2" s="1"/>
  <c r="D144" i="2"/>
  <c r="E144" i="2" s="1"/>
  <c r="B144" i="2"/>
  <c r="C144" i="2" s="1"/>
  <c r="A144" i="2"/>
  <c r="H143" i="2"/>
  <c r="I143" i="2" s="1"/>
  <c r="F143" i="2"/>
  <c r="G143" i="2" s="1"/>
  <c r="D143" i="2"/>
  <c r="E143" i="2" s="1"/>
  <c r="B143" i="2"/>
  <c r="C143" i="2" s="1"/>
  <c r="A143" i="2"/>
  <c r="H142" i="2"/>
  <c r="I142" i="2" s="1"/>
  <c r="F142" i="2"/>
  <c r="G142" i="2" s="1"/>
  <c r="D142" i="2"/>
  <c r="E142" i="2" s="1"/>
  <c r="B142" i="2"/>
  <c r="C142" i="2" s="1"/>
  <c r="A142" i="2"/>
  <c r="H141" i="2"/>
  <c r="I141" i="2" s="1"/>
  <c r="F141" i="2"/>
  <c r="G141" i="2" s="1"/>
  <c r="D141" i="2"/>
  <c r="E141" i="2" s="1"/>
  <c r="B141" i="2"/>
  <c r="C141" i="2" s="1"/>
  <c r="A141" i="2"/>
  <c r="H140" i="2"/>
  <c r="I140" i="2" s="1"/>
  <c r="F140" i="2"/>
  <c r="G140" i="2" s="1"/>
  <c r="D140" i="2"/>
  <c r="E140" i="2" s="1"/>
  <c r="B140" i="2"/>
  <c r="C140" i="2" s="1"/>
  <c r="A140" i="2"/>
  <c r="H139" i="2"/>
  <c r="I139" i="2" s="1"/>
  <c r="F139" i="2"/>
  <c r="G139" i="2" s="1"/>
  <c r="D139" i="2"/>
  <c r="E139" i="2" s="1"/>
  <c r="B139" i="2"/>
  <c r="C139" i="2" s="1"/>
  <c r="A139" i="2"/>
  <c r="H138" i="2"/>
  <c r="I138" i="2" s="1"/>
  <c r="F138" i="2"/>
  <c r="G138" i="2" s="1"/>
  <c r="D138" i="2"/>
  <c r="E138" i="2" s="1"/>
  <c r="B138" i="2"/>
  <c r="C138" i="2" s="1"/>
  <c r="A138" i="2"/>
  <c r="H137" i="2"/>
  <c r="I137" i="2" s="1"/>
  <c r="F137" i="2"/>
  <c r="G137" i="2" s="1"/>
  <c r="D137" i="2"/>
  <c r="E137" i="2" s="1"/>
  <c r="B137" i="2"/>
  <c r="C137" i="2" s="1"/>
  <c r="A137" i="2"/>
  <c r="H136" i="2"/>
  <c r="I136" i="2" s="1"/>
  <c r="F136" i="2"/>
  <c r="G136" i="2" s="1"/>
  <c r="D136" i="2"/>
  <c r="E136" i="2" s="1"/>
  <c r="B136" i="2"/>
  <c r="C136" i="2" s="1"/>
  <c r="A136" i="2"/>
  <c r="H135" i="2"/>
  <c r="I135" i="2" s="1"/>
  <c r="G135" i="2"/>
  <c r="F135" i="2"/>
  <c r="D135" i="2"/>
  <c r="E135" i="2" s="1"/>
  <c r="B135" i="2"/>
  <c r="C135" i="2" s="1"/>
  <c r="A135" i="2"/>
  <c r="H134" i="2"/>
  <c r="I134" i="2" s="1"/>
  <c r="F134" i="2"/>
  <c r="G134" i="2" s="1"/>
  <c r="D134" i="2"/>
  <c r="E134" i="2" s="1"/>
  <c r="B134" i="2"/>
  <c r="C134" i="2" s="1"/>
  <c r="A134" i="2"/>
  <c r="H133" i="2"/>
  <c r="I133" i="2" s="1"/>
  <c r="F133" i="2"/>
  <c r="G133" i="2" s="1"/>
  <c r="D133" i="2"/>
  <c r="E133" i="2" s="1"/>
  <c r="B133" i="2"/>
  <c r="C133" i="2" s="1"/>
  <c r="A133" i="2"/>
  <c r="H132" i="2"/>
  <c r="I132" i="2" s="1"/>
  <c r="G132" i="2"/>
  <c r="F132" i="2"/>
  <c r="D132" i="2"/>
  <c r="E132" i="2" s="1"/>
  <c r="B132" i="2"/>
  <c r="C132" i="2" s="1"/>
  <c r="A132" i="2"/>
  <c r="H131" i="2"/>
  <c r="I131" i="2" s="1"/>
  <c r="F131" i="2"/>
  <c r="G131" i="2" s="1"/>
  <c r="D131" i="2"/>
  <c r="E131" i="2" s="1"/>
  <c r="B131" i="2"/>
  <c r="C131" i="2" s="1"/>
  <c r="A131" i="2"/>
  <c r="H130" i="2"/>
  <c r="I130" i="2" s="1"/>
  <c r="F130" i="2"/>
  <c r="G130" i="2" s="1"/>
  <c r="D130" i="2"/>
  <c r="E130" i="2" s="1"/>
  <c r="B130" i="2"/>
  <c r="C130" i="2" s="1"/>
  <c r="A130" i="2"/>
  <c r="H129" i="2"/>
  <c r="I129" i="2" s="1"/>
  <c r="F129" i="2"/>
  <c r="G129" i="2" s="1"/>
  <c r="D129" i="2"/>
  <c r="E129" i="2" s="1"/>
  <c r="B129" i="2"/>
  <c r="C129" i="2" s="1"/>
  <c r="A129" i="2"/>
  <c r="H128" i="2"/>
  <c r="I128" i="2" s="1"/>
  <c r="F128" i="2"/>
  <c r="G128" i="2" s="1"/>
  <c r="D128" i="2"/>
  <c r="E128" i="2" s="1"/>
  <c r="B128" i="2"/>
  <c r="C128" i="2" s="1"/>
  <c r="A128" i="2"/>
  <c r="H127" i="2"/>
  <c r="I127" i="2" s="1"/>
  <c r="F127" i="2"/>
  <c r="G127" i="2" s="1"/>
  <c r="D127" i="2"/>
  <c r="E127" i="2" s="1"/>
  <c r="B127" i="2"/>
  <c r="C127" i="2" s="1"/>
  <c r="A127" i="2"/>
  <c r="H126" i="2"/>
  <c r="I126" i="2" s="1"/>
  <c r="F126" i="2"/>
  <c r="G126" i="2" s="1"/>
  <c r="D126" i="2"/>
  <c r="E126" i="2" s="1"/>
  <c r="B126" i="2"/>
  <c r="C126" i="2" s="1"/>
  <c r="A126" i="2"/>
  <c r="H125" i="2"/>
  <c r="I125" i="2" s="1"/>
  <c r="F125" i="2"/>
  <c r="G125" i="2" s="1"/>
  <c r="D125" i="2"/>
  <c r="E125" i="2" s="1"/>
  <c r="B125" i="2"/>
  <c r="C125" i="2" s="1"/>
  <c r="A125" i="2"/>
  <c r="H124" i="2"/>
  <c r="I124" i="2" s="1"/>
  <c r="F124" i="2"/>
  <c r="G124" i="2" s="1"/>
  <c r="D124" i="2"/>
  <c r="E124" i="2" s="1"/>
  <c r="B124" i="2"/>
  <c r="C124" i="2" s="1"/>
  <c r="A124" i="2"/>
  <c r="H123" i="2"/>
  <c r="I123" i="2" s="1"/>
  <c r="F123" i="2"/>
  <c r="G123" i="2" s="1"/>
  <c r="D123" i="2"/>
  <c r="E123" i="2" s="1"/>
  <c r="B123" i="2"/>
  <c r="C123" i="2" s="1"/>
  <c r="A123" i="2"/>
  <c r="H122" i="2"/>
  <c r="I122" i="2" s="1"/>
  <c r="F122" i="2"/>
  <c r="G122" i="2" s="1"/>
  <c r="D122" i="2"/>
  <c r="E122" i="2" s="1"/>
  <c r="B122" i="2"/>
  <c r="C122" i="2" s="1"/>
  <c r="A122" i="2"/>
  <c r="H121" i="2"/>
  <c r="I121" i="2" s="1"/>
  <c r="F121" i="2"/>
  <c r="G121" i="2" s="1"/>
  <c r="D121" i="2"/>
  <c r="E121" i="2" s="1"/>
  <c r="B121" i="2"/>
  <c r="C121" i="2" s="1"/>
  <c r="A121" i="2"/>
  <c r="H120" i="2"/>
  <c r="I120" i="2" s="1"/>
  <c r="F120" i="2"/>
  <c r="G120" i="2" s="1"/>
  <c r="D120" i="2"/>
  <c r="E120" i="2" s="1"/>
  <c r="B120" i="2"/>
  <c r="C120" i="2" s="1"/>
  <c r="A120" i="2"/>
  <c r="H119" i="2"/>
  <c r="I119" i="2" s="1"/>
  <c r="F119" i="2"/>
  <c r="G119" i="2" s="1"/>
  <c r="D119" i="2"/>
  <c r="E119" i="2" s="1"/>
  <c r="B119" i="2"/>
  <c r="C119" i="2" s="1"/>
  <c r="A119" i="2"/>
  <c r="H118" i="2"/>
  <c r="I118" i="2" s="1"/>
  <c r="F118" i="2"/>
  <c r="G118" i="2" s="1"/>
  <c r="D118" i="2"/>
  <c r="E118" i="2" s="1"/>
  <c r="B118" i="2"/>
  <c r="C118" i="2" s="1"/>
  <c r="A118" i="2"/>
  <c r="H117" i="2"/>
  <c r="I117" i="2" s="1"/>
  <c r="F117" i="2"/>
  <c r="G117" i="2" s="1"/>
  <c r="D117" i="2"/>
  <c r="E117" i="2" s="1"/>
  <c r="B117" i="2"/>
  <c r="C117" i="2" s="1"/>
  <c r="A117" i="2"/>
  <c r="H116" i="2"/>
  <c r="I116" i="2" s="1"/>
  <c r="F116" i="2"/>
  <c r="G116" i="2" s="1"/>
  <c r="D116" i="2"/>
  <c r="E116" i="2" s="1"/>
  <c r="B116" i="2"/>
  <c r="C116" i="2" s="1"/>
  <c r="A116" i="2"/>
  <c r="H115" i="2"/>
  <c r="I115" i="2" s="1"/>
  <c r="F115" i="2"/>
  <c r="G115" i="2" s="1"/>
  <c r="D115" i="2"/>
  <c r="E115" i="2" s="1"/>
  <c r="B115" i="2"/>
  <c r="C115" i="2" s="1"/>
  <c r="A115" i="2"/>
  <c r="H114" i="2"/>
  <c r="I114" i="2" s="1"/>
  <c r="F114" i="2"/>
  <c r="G114" i="2" s="1"/>
  <c r="D114" i="2"/>
  <c r="E114" i="2" s="1"/>
  <c r="B114" i="2"/>
  <c r="C114" i="2" s="1"/>
  <c r="A114" i="2"/>
  <c r="H113" i="2"/>
  <c r="I113" i="2" s="1"/>
  <c r="F113" i="2"/>
  <c r="G113" i="2" s="1"/>
  <c r="D113" i="2"/>
  <c r="E113" i="2" s="1"/>
  <c r="B113" i="2"/>
  <c r="C113" i="2" s="1"/>
  <c r="A113" i="2"/>
  <c r="H112" i="2"/>
  <c r="I112" i="2" s="1"/>
  <c r="F112" i="2"/>
  <c r="G112" i="2" s="1"/>
  <c r="D112" i="2"/>
  <c r="E112" i="2" s="1"/>
  <c r="C112" i="2"/>
  <c r="B112" i="2"/>
  <c r="A112" i="2"/>
  <c r="H111" i="2"/>
  <c r="I111" i="2" s="1"/>
  <c r="F111" i="2"/>
  <c r="G111" i="2" s="1"/>
  <c r="D111" i="2"/>
  <c r="E111" i="2" s="1"/>
  <c r="B111" i="2"/>
  <c r="C111" i="2" s="1"/>
  <c r="A111" i="2"/>
  <c r="H110" i="2"/>
  <c r="I110" i="2" s="1"/>
  <c r="F110" i="2"/>
  <c r="G110" i="2" s="1"/>
  <c r="D110" i="2"/>
  <c r="E110" i="2" s="1"/>
  <c r="B110" i="2"/>
  <c r="C110" i="2" s="1"/>
  <c r="A110" i="2"/>
  <c r="H109" i="2"/>
  <c r="I109" i="2" s="1"/>
  <c r="F109" i="2"/>
  <c r="G109" i="2" s="1"/>
  <c r="D109" i="2"/>
  <c r="E109" i="2" s="1"/>
  <c r="B109" i="2"/>
  <c r="C109" i="2" s="1"/>
  <c r="A109" i="2"/>
  <c r="H108" i="2"/>
  <c r="I108" i="2" s="1"/>
  <c r="F108" i="2"/>
  <c r="G108" i="2" s="1"/>
  <c r="D108" i="2"/>
  <c r="E108" i="2" s="1"/>
  <c r="B108" i="2"/>
  <c r="C108" i="2" s="1"/>
  <c r="A108" i="2"/>
  <c r="H107" i="2"/>
  <c r="I107" i="2" s="1"/>
  <c r="F107" i="2"/>
  <c r="G107" i="2" s="1"/>
  <c r="D107" i="2"/>
  <c r="E107" i="2" s="1"/>
  <c r="B107" i="2"/>
  <c r="C107" i="2" s="1"/>
  <c r="A107" i="2"/>
  <c r="H106" i="2"/>
  <c r="I106" i="2" s="1"/>
  <c r="F106" i="2"/>
  <c r="G106" i="2" s="1"/>
  <c r="D106" i="2"/>
  <c r="E106" i="2" s="1"/>
  <c r="B106" i="2"/>
  <c r="C106" i="2" s="1"/>
  <c r="A106" i="2"/>
  <c r="I105" i="2"/>
  <c r="H105" i="2"/>
  <c r="F105" i="2"/>
  <c r="G105" i="2" s="1"/>
  <c r="D105" i="2"/>
  <c r="E105" i="2" s="1"/>
  <c r="B105" i="2"/>
  <c r="C105" i="2" s="1"/>
  <c r="A105" i="2"/>
  <c r="H104" i="2"/>
  <c r="I104" i="2" s="1"/>
  <c r="F104" i="2"/>
  <c r="G104" i="2" s="1"/>
  <c r="D104" i="2"/>
  <c r="E104" i="2" s="1"/>
  <c r="B104" i="2"/>
  <c r="C104" i="2" s="1"/>
  <c r="A104" i="2"/>
  <c r="H103" i="2"/>
  <c r="I103" i="2" s="1"/>
  <c r="F103" i="2"/>
  <c r="G103" i="2" s="1"/>
  <c r="D103" i="2"/>
  <c r="E103" i="2" s="1"/>
  <c r="B103" i="2"/>
  <c r="C103" i="2" s="1"/>
  <c r="A103" i="2"/>
  <c r="H102" i="2"/>
  <c r="I102" i="2" s="1"/>
  <c r="F102" i="2"/>
  <c r="G102" i="2" s="1"/>
  <c r="D102" i="2"/>
  <c r="E102" i="2" s="1"/>
  <c r="B102" i="2"/>
  <c r="C102" i="2" s="1"/>
  <c r="A102" i="2"/>
  <c r="H101" i="2"/>
  <c r="I101" i="2" s="1"/>
  <c r="F101" i="2"/>
  <c r="G101" i="2" s="1"/>
  <c r="D101" i="2"/>
  <c r="E101" i="2" s="1"/>
  <c r="B101" i="2"/>
  <c r="C101" i="2" s="1"/>
  <c r="A101" i="2"/>
  <c r="H100" i="2"/>
  <c r="I100" i="2" s="1"/>
  <c r="G100" i="2"/>
  <c r="F100" i="2"/>
  <c r="D100" i="2"/>
  <c r="E100" i="2" s="1"/>
  <c r="B100" i="2"/>
  <c r="C100" i="2" s="1"/>
  <c r="A100" i="2"/>
  <c r="H99" i="2"/>
  <c r="I99" i="2" s="1"/>
  <c r="F99" i="2"/>
  <c r="G99" i="2" s="1"/>
  <c r="D99" i="2"/>
  <c r="E99" i="2" s="1"/>
  <c r="B99" i="2"/>
  <c r="C99" i="2" s="1"/>
  <c r="A99" i="2"/>
  <c r="H98" i="2"/>
  <c r="I98" i="2" s="1"/>
  <c r="F98" i="2"/>
  <c r="G98" i="2" s="1"/>
  <c r="D98" i="2"/>
  <c r="E98" i="2" s="1"/>
  <c r="B98" i="2"/>
  <c r="C98" i="2" s="1"/>
  <c r="A98" i="2"/>
  <c r="H97" i="2"/>
  <c r="I97" i="2" s="1"/>
  <c r="F97" i="2"/>
  <c r="G97" i="2" s="1"/>
  <c r="D97" i="2"/>
  <c r="E97" i="2" s="1"/>
  <c r="B97" i="2"/>
  <c r="C97" i="2" s="1"/>
  <c r="A97" i="2"/>
  <c r="H96" i="2"/>
  <c r="I96" i="2" s="1"/>
  <c r="F96" i="2"/>
  <c r="G96" i="2" s="1"/>
  <c r="D96" i="2"/>
  <c r="E96" i="2" s="1"/>
  <c r="B96" i="2"/>
  <c r="C96" i="2" s="1"/>
  <c r="A96" i="2"/>
  <c r="H95" i="2"/>
  <c r="I95" i="2" s="1"/>
  <c r="F95" i="2"/>
  <c r="G95" i="2" s="1"/>
  <c r="D95" i="2"/>
  <c r="E95" i="2" s="1"/>
  <c r="B95" i="2"/>
  <c r="C95" i="2" s="1"/>
  <c r="A95" i="2"/>
  <c r="H94" i="2"/>
  <c r="I94" i="2" s="1"/>
  <c r="F94" i="2"/>
  <c r="G94" i="2" s="1"/>
  <c r="D94" i="2"/>
  <c r="E94" i="2" s="1"/>
  <c r="B94" i="2"/>
  <c r="C94" i="2" s="1"/>
  <c r="A94" i="2"/>
  <c r="H93" i="2"/>
  <c r="I93" i="2" s="1"/>
  <c r="F93" i="2"/>
  <c r="G93" i="2" s="1"/>
  <c r="D93" i="2"/>
  <c r="E93" i="2" s="1"/>
  <c r="B93" i="2"/>
  <c r="C93" i="2" s="1"/>
  <c r="A93" i="2"/>
  <c r="H92" i="2"/>
  <c r="I92" i="2" s="1"/>
  <c r="F92" i="2"/>
  <c r="G92" i="2" s="1"/>
  <c r="D92" i="2"/>
  <c r="E92" i="2" s="1"/>
  <c r="B92" i="2"/>
  <c r="C92" i="2" s="1"/>
  <c r="A92" i="2"/>
  <c r="H91" i="2"/>
  <c r="I91" i="2" s="1"/>
  <c r="F91" i="2"/>
  <c r="G91" i="2" s="1"/>
  <c r="D91" i="2"/>
  <c r="E91" i="2" s="1"/>
  <c r="B91" i="2"/>
  <c r="C91" i="2" s="1"/>
  <c r="A91" i="2"/>
  <c r="H90" i="2"/>
  <c r="I90" i="2" s="1"/>
  <c r="F90" i="2"/>
  <c r="G90" i="2" s="1"/>
  <c r="D90" i="2"/>
  <c r="E90" i="2" s="1"/>
  <c r="B90" i="2"/>
  <c r="C90" i="2" s="1"/>
  <c r="A90" i="2"/>
  <c r="H89" i="2"/>
  <c r="I89" i="2" s="1"/>
  <c r="F89" i="2"/>
  <c r="G89" i="2" s="1"/>
  <c r="D89" i="2"/>
  <c r="E89" i="2" s="1"/>
  <c r="B89" i="2"/>
  <c r="C89" i="2" s="1"/>
  <c r="A89" i="2"/>
  <c r="H88" i="2"/>
  <c r="I88" i="2" s="1"/>
  <c r="F88" i="2"/>
  <c r="G88" i="2" s="1"/>
  <c r="D88" i="2"/>
  <c r="E88" i="2" s="1"/>
  <c r="B88" i="2"/>
  <c r="C88" i="2" s="1"/>
  <c r="A88" i="2"/>
  <c r="H87" i="2"/>
  <c r="I87" i="2" s="1"/>
  <c r="F87" i="2"/>
  <c r="G87" i="2" s="1"/>
  <c r="D87" i="2"/>
  <c r="E87" i="2" s="1"/>
  <c r="B87" i="2"/>
  <c r="C87" i="2" s="1"/>
  <c r="A87" i="2"/>
  <c r="H86" i="2"/>
  <c r="I86" i="2" s="1"/>
  <c r="F86" i="2"/>
  <c r="G86" i="2" s="1"/>
  <c r="D86" i="2"/>
  <c r="E86" i="2" s="1"/>
  <c r="B86" i="2"/>
  <c r="C86" i="2" s="1"/>
  <c r="A86" i="2"/>
  <c r="H85" i="2"/>
  <c r="I85" i="2" s="1"/>
  <c r="F85" i="2"/>
  <c r="G85" i="2" s="1"/>
  <c r="D85" i="2"/>
  <c r="E85" i="2" s="1"/>
  <c r="B85" i="2"/>
  <c r="C85" i="2" s="1"/>
  <c r="A85" i="2"/>
  <c r="H84" i="2"/>
  <c r="I84" i="2" s="1"/>
  <c r="F84" i="2"/>
  <c r="G84" i="2" s="1"/>
  <c r="D84" i="2"/>
  <c r="E84" i="2" s="1"/>
  <c r="B84" i="2"/>
  <c r="C84" i="2" s="1"/>
  <c r="A84" i="2"/>
  <c r="H83" i="2"/>
  <c r="I83" i="2" s="1"/>
  <c r="F83" i="2"/>
  <c r="G83" i="2" s="1"/>
  <c r="D83" i="2"/>
  <c r="E83" i="2" s="1"/>
  <c r="B83" i="2"/>
  <c r="C83" i="2" s="1"/>
  <c r="A83" i="2"/>
  <c r="H82" i="2"/>
  <c r="I82" i="2" s="1"/>
  <c r="F82" i="2"/>
  <c r="G82" i="2" s="1"/>
  <c r="E82" i="2"/>
  <c r="D82" i="2"/>
  <c r="B82" i="2"/>
  <c r="C82" i="2" s="1"/>
  <c r="A82" i="2"/>
  <c r="H81" i="2"/>
  <c r="I81" i="2" s="1"/>
  <c r="F81" i="2"/>
  <c r="G81" i="2" s="1"/>
  <c r="D81" i="2"/>
  <c r="E81" i="2" s="1"/>
  <c r="B81" i="2"/>
  <c r="C81" i="2" s="1"/>
  <c r="A81" i="2"/>
  <c r="H80" i="2"/>
  <c r="I80" i="2" s="1"/>
  <c r="F80" i="2"/>
  <c r="G80" i="2" s="1"/>
  <c r="D80" i="2"/>
  <c r="E80" i="2" s="1"/>
  <c r="B80" i="2"/>
  <c r="C80" i="2" s="1"/>
  <c r="A80" i="2"/>
  <c r="H79" i="2"/>
  <c r="I79" i="2" s="1"/>
  <c r="F79" i="2"/>
  <c r="G79" i="2" s="1"/>
  <c r="D79" i="2"/>
  <c r="E79" i="2" s="1"/>
  <c r="B79" i="2"/>
  <c r="C79" i="2" s="1"/>
  <c r="A79" i="2"/>
  <c r="H78" i="2"/>
  <c r="I78" i="2" s="1"/>
  <c r="F78" i="2"/>
  <c r="G78" i="2" s="1"/>
  <c r="D78" i="2"/>
  <c r="E78" i="2" s="1"/>
  <c r="B78" i="2"/>
  <c r="C78" i="2" s="1"/>
  <c r="A78" i="2"/>
  <c r="H77" i="2"/>
  <c r="I77" i="2" s="1"/>
  <c r="F77" i="2"/>
  <c r="G77" i="2" s="1"/>
  <c r="D77" i="2"/>
  <c r="E77" i="2" s="1"/>
  <c r="B77" i="2"/>
  <c r="C77" i="2" s="1"/>
  <c r="A77" i="2"/>
  <c r="H76" i="2"/>
  <c r="I76" i="2" s="1"/>
  <c r="F76" i="2"/>
  <c r="G76" i="2" s="1"/>
  <c r="D76" i="2"/>
  <c r="E76" i="2" s="1"/>
  <c r="B76" i="2"/>
  <c r="C76" i="2" s="1"/>
  <c r="A76" i="2"/>
  <c r="H75" i="2"/>
  <c r="I75" i="2" s="1"/>
  <c r="F75" i="2"/>
  <c r="G75" i="2" s="1"/>
  <c r="D75" i="2"/>
  <c r="E75" i="2" s="1"/>
  <c r="B75" i="2"/>
  <c r="C75" i="2" s="1"/>
  <c r="A75" i="2"/>
  <c r="H74" i="2"/>
  <c r="I74" i="2" s="1"/>
  <c r="F74" i="2"/>
  <c r="G74" i="2" s="1"/>
  <c r="D74" i="2"/>
  <c r="E74" i="2" s="1"/>
  <c r="B74" i="2"/>
  <c r="C74" i="2" s="1"/>
  <c r="A74" i="2"/>
  <c r="H73" i="2"/>
  <c r="I73" i="2" s="1"/>
  <c r="F73" i="2"/>
  <c r="G73" i="2" s="1"/>
  <c r="D73" i="2"/>
  <c r="E73" i="2" s="1"/>
  <c r="B73" i="2"/>
  <c r="C73" i="2" s="1"/>
  <c r="A73" i="2"/>
  <c r="H72" i="2"/>
  <c r="I72" i="2" s="1"/>
  <c r="F72" i="2"/>
  <c r="G72" i="2" s="1"/>
  <c r="D72" i="2"/>
  <c r="E72" i="2" s="1"/>
  <c r="B72" i="2"/>
  <c r="C72" i="2" s="1"/>
  <c r="A72" i="2"/>
  <c r="H71" i="2"/>
  <c r="I71" i="2" s="1"/>
  <c r="F71" i="2"/>
  <c r="G71" i="2" s="1"/>
  <c r="D71" i="2"/>
  <c r="E71" i="2" s="1"/>
  <c r="B71" i="2"/>
  <c r="C71" i="2" s="1"/>
  <c r="A71" i="2"/>
  <c r="H70" i="2"/>
  <c r="I70" i="2" s="1"/>
  <c r="F70" i="2"/>
  <c r="G70" i="2" s="1"/>
  <c r="D70" i="2"/>
  <c r="E70" i="2" s="1"/>
  <c r="B70" i="2"/>
  <c r="C70" i="2" s="1"/>
  <c r="A70" i="2"/>
  <c r="H69" i="2"/>
  <c r="I69" i="2" s="1"/>
  <c r="F69" i="2"/>
  <c r="G69" i="2" s="1"/>
  <c r="D69" i="2"/>
  <c r="E69" i="2" s="1"/>
  <c r="B69" i="2"/>
  <c r="C69" i="2" s="1"/>
  <c r="A69" i="2"/>
  <c r="H68" i="2"/>
  <c r="I68" i="2" s="1"/>
  <c r="F68" i="2"/>
  <c r="G68" i="2" s="1"/>
  <c r="D68" i="2"/>
  <c r="E68" i="2" s="1"/>
  <c r="B68" i="2"/>
  <c r="C68" i="2" s="1"/>
  <c r="A68" i="2"/>
  <c r="H67" i="2"/>
  <c r="I67" i="2" s="1"/>
  <c r="F67" i="2"/>
  <c r="G67" i="2" s="1"/>
  <c r="D67" i="2"/>
  <c r="E67" i="2" s="1"/>
  <c r="B67" i="2"/>
  <c r="C67" i="2" s="1"/>
  <c r="A67" i="2"/>
  <c r="H66" i="2"/>
  <c r="I66" i="2" s="1"/>
  <c r="F66" i="2"/>
  <c r="G66" i="2" s="1"/>
  <c r="D66" i="2"/>
  <c r="E66" i="2" s="1"/>
  <c r="B66" i="2"/>
  <c r="C66" i="2" s="1"/>
  <c r="A66" i="2"/>
  <c r="H65" i="2"/>
  <c r="I65" i="2" s="1"/>
  <c r="F65" i="2"/>
  <c r="G65" i="2" s="1"/>
  <c r="D65" i="2"/>
  <c r="E65" i="2" s="1"/>
  <c r="B65" i="2"/>
  <c r="C65" i="2" s="1"/>
  <c r="A65" i="2"/>
  <c r="H64" i="2"/>
  <c r="I64" i="2" s="1"/>
  <c r="F64" i="2"/>
  <c r="G64" i="2" s="1"/>
  <c r="D64" i="2"/>
  <c r="E64" i="2" s="1"/>
  <c r="B64" i="2"/>
  <c r="C64" i="2" s="1"/>
  <c r="A64" i="2"/>
  <c r="H63" i="2"/>
  <c r="I63" i="2" s="1"/>
  <c r="F63" i="2"/>
  <c r="G63" i="2" s="1"/>
  <c r="D63" i="2"/>
  <c r="E63" i="2" s="1"/>
  <c r="B63" i="2"/>
  <c r="C63" i="2" s="1"/>
  <c r="A63" i="2"/>
  <c r="H62" i="2"/>
  <c r="I62" i="2" s="1"/>
  <c r="F62" i="2"/>
  <c r="G62" i="2" s="1"/>
  <c r="D62" i="2"/>
  <c r="E62" i="2" s="1"/>
  <c r="B62" i="2"/>
  <c r="C62" i="2" s="1"/>
  <c r="A62" i="2"/>
  <c r="H61" i="2"/>
  <c r="I61" i="2" s="1"/>
  <c r="G61" i="2"/>
  <c r="F61" i="2"/>
  <c r="D61" i="2"/>
  <c r="E61" i="2" s="1"/>
  <c r="B61" i="2"/>
  <c r="C61" i="2" s="1"/>
  <c r="A61" i="2"/>
  <c r="H60" i="2"/>
  <c r="I60" i="2" s="1"/>
  <c r="F60" i="2"/>
  <c r="G60" i="2" s="1"/>
  <c r="D60" i="2"/>
  <c r="E60" i="2" s="1"/>
  <c r="B60" i="2"/>
  <c r="C60" i="2" s="1"/>
  <c r="A60" i="2"/>
  <c r="H59" i="2"/>
  <c r="I59" i="2" s="1"/>
  <c r="F59" i="2"/>
  <c r="G59" i="2" s="1"/>
  <c r="D59" i="2"/>
  <c r="E59" i="2" s="1"/>
  <c r="B59" i="2"/>
  <c r="C59" i="2" s="1"/>
  <c r="A59" i="2"/>
  <c r="H58" i="2"/>
  <c r="I58" i="2" s="1"/>
  <c r="F58" i="2"/>
  <c r="G58" i="2" s="1"/>
  <c r="D58" i="2"/>
  <c r="E58" i="2" s="1"/>
  <c r="B58" i="2"/>
  <c r="C58" i="2" s="1"/>
  <c r="A58" i="2"/>
  <c r="H57" i="2"/>
  <c r="I57" i="2" s="1"/>
  <c r="F57" i="2"/>
  <c r="G57" i="2" s="1"/>
  <c r="D57" i="2"/>
  <c r="E57" i="2" s="1"/>
  <c r="B57" i="2"/>
  <c r="C57" i="2" s="1"/>
  <c r="A57" i="2"/>
  <c r="H56" i="2"/>
  <c r="I56" i="2" s="1"/>
  <c r="F56" i="2"/>
  <c r="G56" i="2" s="1"/>
  <c r="D56" i="2"/>
  <c r="E56" i="2" s="1"/>
  <c r="B56" i="2"/>
  <c r="C56" i="2" s="1"/>
  <c r="A56" i="2"/>
  <c r="H55" i="2"/>
  <c r="I55" i="2" s="1"/>
  <c r="F55" i="2"/>
  <c r="G55" i="2" s="1"/>
  <c r="D55" i="2"/>
  <c r="E55" i="2" s="1"/>
  <c r="B55" i="2"/>
  <c r="C55" i="2" s="1"/>
  <c r="A55" i="2"/>
  <c r="H54" i="2"/>
  <c r="I54" i="2" s="1"/>
  <c r="F54" i="2"/>
  <c r="G54" i="2" s="1"/>
  <c r="D54" i="2"/>
  <c r="E54" i="2" s="1"/>
  <c r="B54" i="2"/>
  <c r="C54" i="2" s="1"/>
  <c r="A54" i="2"/>
  <c r="H53" i="2"/>
  <c r="I53" i="2" s="1"/>
  <c r="F53" i="2"/>
  <c r="G53" i="2" s="1"/>
  <c r="D53" i="2"/>
  <c r="E53" i="2" s="1"/>
  <c r="B53" i="2"/>
  <c r="C53" i="2" s="1"/>
  <c r="A53" i="2"/>
  <c r="H52" i="2"/>
  <c r="I52" i="2" s="1"/>
  <c r="F52" i="2"/>
  <c r="G52" i="2" s="1"/>
  <c r="D52" i="2"/>
  <c r="E52" i="2" s="1"/>
  <c r="B52" i="2"/>
  <c r="C52" i="2" s="1"/>
  <c r="A52" i="2"/>
  <c r="H51" i="2"/>
  <c r="I51" i="2" s="1"/>
  <c r="F51" i="2"/>
  <c r="G51" i="2" s="1"/>
  <c r="D51" i="2"/>
  <c r="E51" i="2" s="1"/>
  <c r="B51" i="2"/>
  <c r="C51" i="2" s="1"/>
  <c r="A51" i="2"/>
  <c r="H50" i="2"/>
  <c r="I50" i="2" s="1"/>
  <c r="F50" i="2"/>
  <c r="G50" i="2" s="1"/>
  <c r="D50" i="2"/>
  <c r="E50" i="2" s="1"/>
  <c r="B50" i="2"/>
  <c r="C50" i="2" s="1"/>
  <c r="A50" i="2"/>
  <c r="H49" i="2"/>
  <c r="I49" i="2" s="1"/>
  <c r="F49" i="2"/>
  <c r="G49" i="2" s="1"/>
  <c r="D49" i="2"/>
  <c r="E49" i="2" s="1"/>
  <c r="B49" i="2"/>
  <c r="C49" i="2" s="1"/>
  <c r="A49" i="2"/>
  <c r="H48" i="2"/>
  <c r="I48" i="2" s="1"/>
  <c r="F48" i="2"/>
  <c r="G48" i="2" s="1"/>
  <c r="D48" i="2"/>
  <c r="E48" i="2" s="1"/>
  <c r="B48" i="2"/>
  <c r="C48" i="2" s="1"/>
  <c r="A48" i="2"/>
  <c r="H47" i="2"/>
  <c r="I47" i="2" s="1"/>
  <c r="F47" i="2"/>
  <c r="G47" i="2" s="1"/>
  <c r="D47" i="2"/>
  <c r="E47" i="2" s="1"/>
  <c r="B47" i="2"/>
  <c r="C47" i="2" s="1"/>
  <c r="A47" i="2"/>
  <c r="H46" i="2"/>
  <c r="I46" i="2" s="1"/>
  <c r="F46" i="2"/>
  <c r="G46" i="2" s="1"/>
  <c r="D46" i="2"/>
  <c r="E46" i="2" s="1"/>
  <c r="B46" i="2"/>
  <c r="C46" i="2" s="1"/>
  <c r="A46" i="2"/>
  <c r="H45" i="2"/>
  <c r="I45" i="2" s="1"/>
  <c r="F45" i="2"/>
  <c r="G45" i="2" s="1"/>
  <c r="D45" i="2"/>
  <c r="E45" i="2" s="1"/>
  <c r="B45" i="2"/>
  <c r="C45" i="2" s="1"/>
  <c r="A45" i="2"/>
  <c r="H44" i="2"/>
  <c r="I44" i="2" s="1"/>
  <c r="F44" i="2"/>
  <c r="G44" i="2" s="1"/>
  <c r="D44" i="2"/>
  <c r="E44" i="2" s="1"/>
  <c r="B44" i="2"/>
  <c r="C44" i="2" s="1"/>
  <c r="A44" i="2"/>
  <c r="H43" i="2"/>
  <c r="I43" i="2" s="1"/>
  <c r="F43" i="2"/>
  <c r="G43" i="2" s="1"/>
  <c r="D43" i="2"/>
  <c r="E43" i="2" s="1"/>
  <c r="B43" i="2"/>
  <c r="C43" i="2" s="1"/>
  <c r="A43" i="2"/>
  <c r="H42" i="2"/>
  <c r="I42" i="2" s="1"/>
  <c r="F42" i="2"/>
  <c r="G42" i="2" s="1"/>
  <c r="D42" i="2"/>
  <c r="E42" i="2" s="1"/>
  <c r="B42" i="2"/>
  <c r="C42" i="2" s="1"/>
  <c r="A42" i="2"/>
  <c r="H41" i="2"/>
  <c r="I41" i="2" s="1"/>
  <c r="F41" i="2"/>
  <c r="G41" i="2" s="1"/>
  <c r="D41" i="2"/>
  <c r="E41" i="2" s="1"/>
  <c r="B41" i="2"/>
  <c r="C41" i="2" s="1"/>
  <c r="A41" i="2"/>
  <c r="H40" i="2"/>
  <c r="I40" i="2" s="1"/>
  <c r="F40" i="2"/>
  <c r="G40" i="2" s="1"/>
  <c r="D40" i="2"/>
  <c r="E40" i="2" s="1"/>
  <c r="B40" i="2"/>
  <c r="C40" i="2" s="1"/>
  <c r="A40" i="2"/>
  <c r="H39" i="2"/>
  <c r="I39" i="2" s="1"/>
  <c r="F39" i="2"/>
  <c r="G39" i="2" s="1"/>
  <c r="D39" i="2"/>
  <c r="E39" i="2" s="1"/>
  <c r="B39" i="2"/>
  <c r="C39" i="2" s="1"/>
  <c r="A39" i="2"/>
  <c r="H38" i="2"/>
  <c r="I38" i="2" s="1"/>
  <c r="F38" i="2"/>
  <c r="G38" i="2" s="1"/>
  <c r="D38" i="2"/>
  <c r="E38" i="2" s="1"/>
  <c r="B38" i="2"/>
  <c r="C38" i="2" s="1"/>
  <c r="A38" i="2"/>
  <c r="H37" i="2"/>
  <c r="I37" i="2" s="1"/>
  <c r="F37" i="2"/>
  <c r="G37" i="2" s="1"/>
  <c r="D37" i="2"/>
  <c r="E37" i="2" s="1"/>
  <c r="B37" i="2"/>
  <c r="C37" i="2" s="1"/>
  <c r="A37" i="2"/>
  <c r="H36" i="2"/>
  <c r="I36" i="2" s="1"/>
  <c r="G36" i="2"/>
  <c r="F36" i="2"/>
  <c r="D36" i="2"/>
  <c r="E36" i="2" s="1"/>
  <c r="B36" i="2"/>
  <c r="C36" i="2" s="1"/>
  <c r="A36" i="2"/>
  <c r="H35" i="2"/>
  <c r="I35" i="2" s="1"/>
  <c r="F35" i="2"/>
  <c r="G35" i="2" s="1"/>
  <c r="D35" i="2"/>
  <c r="E35" i="2" s="1"/>
  <c r="B35" i="2"/>
  <c r="C35" i="2" s="1"/>
  <c r="A35" i="2"/>
  <c r="H34" i="2"/>
  <c r="I34" i="2" s="1"/>
  <c r="F34" i="2"/>
  <c r="G34" i="2" s="1"/>
  <c r="D34" i="2"/>
  <c r="E34" i="2" s="1"/>
  <c r="B34" i="2"/>
  <c r="C34" i="2" s="1"/>
  <c r="A34" i="2"/>
  <c r="H33" i="2"/>
  <c r="I33" i="2" s="1"/>
  <c r="F33" i="2"/>
  <c r="G33" i="2" s="1"/>
  <c r="D33" i="2"/>
  <c r="E33" i="2" s="1"/>
  <c r="B33" i="2"/>
  <c r="C33" i="2" s="1"/>
  <c r="A33" i="2"/>
  <c r="H32" i="2"/>
  <c r="I32" i="2" s="1"/>
  <c r="F32" i="2"/>
  <c r="G32" i="2" s="1"/>
  <c r="D32" i="2"/>
  <c r="E32" i="2" s="1"/>
  <c r="B32" i="2"/>
  <c r="C32" i="2" s="1"/>
  <c r="A32" i="2"/>
  <c r="H31" i="2"/>
  <c r="I31" i="2" s="1"/>
  <c r="F31" i="2"/>
  <c r="G31" i="2" s="1"/>
  <c r="D31" i="2"/>
  <c r="E31" i="2" s="1"/>
  <c r="B31" i="2"/>
  <c r="C31" i="2" s="1"/>
  <c r="A31" i="2"/>
  <c r="H30" i="2"/>
  <c r="I30" i="2" s="1"/>
  <c r="F30" i="2"/>
  <c r="G30" i="2" s="1"/>
  <c r="D30" i="2"/>
  <c r="E30" i="2" s="1"/>
  <c r="B30" i="2"/>
  <c r="C30" i="2" s="1"/>
  <c r="A30" i="2"/>
  <c r="H29" i="2"/>
  <c r="I29" i="2" s="1"/>
  <c r="F29" i="2"/>
  <c r="G29" i="2" s="1"/>
  <c r="E29" i="2"/>
  <c r="D29" i="2"/>
  <c r="B29" i="2"/>
  <c r="C29" i="2" s="1"/>
  <c r="A29" i="2"/>
  <c r="H28" i="2"/>
  <c r="I28" i="2" s="1"/>
  <c r="F28" i="2"/>
  <c r="G28" i="2" s="1"/>
  <c r="D28" i="2"/>
  <c r="E28" i="2" s="1"/>
  <c r="B28" i="2"/>
  <c r="C28" i="2" s="1"/>
  <c r="A28" i="2"/>
  <c r="H27" i="2"/>
  <c r="I27" i="2" s="1"/>
  <c r="F27" i="2"/>
  <c r="G27" i="2" s="1"/>
  <c r="D27" i="2"/>
  <c r="E27" i="2" s="1"/>
  <c r="B27" i="2"/>
  <c r="C27" i="2" s="1"/>
  <c r="A27" i="2"/>
  <c r="H26" i="2"/>
  <c r="I26" i="2" s="1"/>
  <c r="F26" i="2"/>
  <c r="G26" i="2" s="1"/>
  <c r="D26" i="2"/>
  <c r="E26" i="2" s="1"/>
  <c r="B26" i="2"/>
  <c r="C26" i="2" s="1"/>
  <c r="A26" i="2"/>
  <c r="H25" i="2"/>
  <c r="I25" i="2" s="1"/>
  <c r="F25" i="2"/>
  <c r="G25" i="2" s="1"/>
  <c r="D25" i="2"/>
  <c r="E25" i="2" s="1"/>
  <c r="B25" i="2"/>
  <c r="C25" i="2" s="1"/>
  <c r="A25" i="2"/>
  <c r="H24" i="2"/>
  <c r="I24" i="2" s="1"/>
  <c r="F24" i="2"/>
  <c r="G24" i="2" s="1"/>
  <c r="D24" i="2"/>
  <c r="E24" i="2" s="1"/>
  <c r="B24" i="2"/>
  <c r="C24" i="2" s="1"/>
  <c r="A24" i="2"/>
  <c r="H23" i="2"/>
  <c r="I23" i="2" s="1"/>
  <c r="F23" i="2"/>
  <c r="G23" i="2" s="1"/>
  <c r="D23" i="2"/>
  <c r="E23" i="2" s="1"/>
  <c r="B23" i="2"/>
  <c r="C23" i="2" s="1"/>
  <c r="A23" i="2"/>
  <c r="H22" i="2"/>
  <c r="I22" i="2" s="1"/>
  <c r="F22" i="2"/>
  <c r="G22" i="2" s="1"/>
  <c r="D22" i="2"/>
  <c r="E22" i="2" s="1"/>
  <c r="B22" i="2"/>
  <c r="C22" i="2" s="1"/>
  <c r="A22" i="2"/>
  <c r="H21" i="2"/>
  <c r="I21" i="2" s="1"/>
  <c r="F21" i="2"/>
  <c r="G21" i="2" s="1"/>
  <c r="D21" i="2"/>
  <c r="E21" i="2" s="1"/>
  <c r="B21" i="2"/>
  <c r="C21" i="2" s="1"/>
  <c r="A21" i="2"/>
  <c r="H20" i="2"/>
  <c r="I20" i="2" s="1"/>
  <c r="F20" i="2"/>
  <c r="G20" i="2" s="1"/>
  <c r="D20" i="2"/>
  <c r="E20" i="2" s="1"/>
  <c r="B20" i="2"/>
  <c r="C20" i="2" s="1"/>
  <c r="A20" i="2"/>
  <c r="H19" i="2"/>
  <c r="I19" i="2" s="1"/>
  <c r="F19" i="2"/>
  <c r="G19" i="2" s="1"/>
  <c r="D19" i="2"/>
  <c r="E19" i="2" s="1"/>
  <c r="B19" i="2"/>
  <c r="C19" i="2" s="1"/>
  <c r="A19" i="2"/>
  <c r="H18" i="2"/>
  <c r="I18" i="2" s="1"/>
  <c r="F18" i="2"/>
  <c r="G18" i="2" s="1"/>
  <c r="D18" i="2"/>
  <c r="E18" i="2" s="1"/>
  <c r="B18" i="2"/>
  <c r="C18" i="2" s="1"/>
  <c r="A18" i="2"/>
  <c r="H17" i="2"/>
  <c r="I17" i="2" s="1"/>
  <c r="F17" i="2"/>
  <c r="G17" i="2" s="1"/>
  <c r="D17" i="2"/>
  <c r="E17" i="2" s="1"/>
  <c r="B17" i="2"/>
  <c r="C17" i="2" s="1"/>
  <c r="A17" i="2"/>
  <c r="H16" i="2"/>
  <c r="I16" i="2" s="1"/>
  <c r="F16" i="2"/>
  <c r="G16" i="2" s="1"/>
  <c r="D16" i="2"/>
  <c r="E16" i="2" s="1"/>
  <c r="B16" i="2"/>
  <c r="C16" i="2" s="1"/>
  <c r="A16" i="2"/>
  <c r="H15" i="2"/>
  <c r="I15" i="2" s="1"/>
  <c r="F15" i="2"/>
  <c r="G15" i="2" s="1"/>
  <c r="D15" i="2"/>
  <c r="E15" i="2" s="1"/>
  <c r="B15" i="2"/>
  <c r="C15" i="2" s="1"/>
  <c r="A15" i="2"/>
  <c r="H14" i="2"/>
  <c r="I14" i="2" s="1"/>
  <c r="F14" i="2"/>
  <c r="G14" i="2" s="1"/>
  <c r="D14" i="2"/>
  <c r="E14" i="2" s="1"/>
  <c r="B14" i="2"/>
  <c r="C14" i="2" s="1"/>
  <c r="A14" i="2"/>
  <c r="H13" i="2"/>
  <c r="I13" i="2" s="1"/>
  <c r="F13" i="2"/>
  <c r="G13" i="2" s="1"/>
  <c r="D13" i="2"/>
  <c r="E13" i="2" s="1"/>
  <c r="B13" i="2"/>
  <c r="C13" i="2" s="1"/>
  <c r="A13" i="2"/>
  <c r="H12" i="2"/>
  <c r="I12" i="2" s="1"/>
  <c r="F12" i="2"/>
  <c r="G12" i="2" s="1"/>
  <c r="D12" i="2"/>
  <c r="E12" i="2" s="1"/>
  <c r="B12" i="2"/>
  <c r="C12" i="2" s="1"/>
  <c r="A12" i="2"/>
  <c r="H11" i="2"/>
  <c r="I11" i="2" s="1"/>
  <c r="F11" i="2"/>
  <c r="G11" i="2" s="1"/>
  <c r="D11" i="2"/>
  <c r="E11" i="2" s="1"/>
  <c r="B11" i="2"/>
  <c r="C11" i="2" s="1"/>
  <c r="A11" i="2"/>
  <c r="H10" i="2"/>
  <c r="I10" i="2" s="1"/>
  <c r="F10" i="2"/>
  <c r="G10" i="2" s="1"/>
  <c r="D10" i="2"/>
  <c r="E10" i="2" s="1"/>
  <c r="B10" i="2"/>
  <c r="C10" i="2" s="1"/>
  <c r="A10" i="2"/>
  <c r="I9" i="2"/>
  <c r="H9" i="2"/>
  <c r="F9" i="2"/>
  <c r="G9" i="2" s="1"/>
  <c r="D9" i="2"/>
  <c r="E9" i="2" s="1"/>
  <c r="B9" i="2"/>
  <c r="C9" i="2" s="1"/>
  <c r="A9" i="2"/>
  <c r="H8" i="2"/>
  <c r="I8" i="2" s="1"/>
  <c r="F8" i="2"/>
  <c r="G8" i="2" s="1"/>
  <c r="D8" i="2"/>
  <c r="E8" i="2" s="1"/>
  <c r="B8" i="2"/>
  <c r="C8" i="2" s="1"/>
  <c r="A8" i="2"/>
  <c r="H7" i="2"/>
  <c r="I7" i="2" s="1"/>
  <c r="F7" i="2"/>
  <c r="G7" i="2" s="1"/>
  <c r="D7" i="2"/>
  <c r="E7" i="2" s="1"/>
  <c r="B7" i="2"/>
  <c r="C7" i="2" s="1"/>
  <c r="A7" i="2"/>
  <c r="H6" i="2"/>
  <c r="I6" i="2" s="1"/>
  <c r="F6" i="2"/>
  <c r="G6" i="2" s="1"/>
  <c r="D6" i="2"/>
  <c r="E6" i="2" s="1"/>
  <c r="B6" i="2"/>
  <c r="C6" i="2" s="1"/>
  <c r="A6" i="2"/>
  <c r="H5" i="2"/>
  <c r="I5" i="2" s="1"/>
  <c r="F5" i="2"/>
  <c r="G5" i="2" s="1"/>
  <c r="D5" i="2"/>
  <c r="E5" i="2" s="1"/>
  <c r="B5" i="2"/>
  <c r="C5" i="2" s="1"/>
  <c r="A5" i="2"/>
  <c r="H4" i="2"/>
  <c r="I4" i="2" s="1"/>
  <c r="F4" i="2"/>
  <c r="G4" i="2" s="1"/>
  <c r="D4" i="2"/>
  <c r="E4" i="2" s="1"/>
  <c r="B4" i="2"/>
  <c r="C4" i="2" s="1"/>
  <c r="A4" i="2"/>
  <c r="H3" i="2"/>
  <c r="I3" i="2" s="1"/>
  <c r="F3" i="2"/>
  <c r="G3" i="2" s="1"/>
  <c r="D3" i="2"/>
  <c r="E3" i="2" s="1"/>
  <c r="B3" i="2"/>
  <c r="C3" i="2" s="1"/>
  <c r="A3" i="2"/>
  <c r="H2" i="2"/>
  <c r="F2" i="2"/>
  <c r="D2" i="2"/>
  <c r="B2" i="2"/>
  <c r="A2" i="2"/>
  <c r="I2" i="2" l="1"/>
  <c r="G2" i="2"/>
  <c r="E2" i="2"/>
  <c r="C2" i="2"/>
  <c r="F4" i="6" l="1"/>
  <c r="F5" i="6" s="1"/>
  <c r="F6" i="6"/>
  <c r="F7" i="6" s="1"/>
  <c r="E4" i="3" s="1"/>
  <c r="F4" i="7"/>
  <c r="F5" i="7" s="1"/>
  <c r="F6" i="7"/>
  <c r="F7" i="7" s="1"/>
  <c r="D4" i="3" s="1"/>
  <c r="F8" i="7"/>
  <c r="D5" i="3" s="1"/>
  <c r="F9" i="7"/>
  <c r="D6" i="3" s="1"/>
  <c r="F4" i="5"/>
  <c r="F5" i="5" s="1"/>
  <c r="F6" i="5"/>
  <c r="F7" i="5" s="1"/>
  <c r="C4" i="3" s="1"/>
  <c r="F8" i="5"/>
  <c r="F9" i="5"/>
  <c r="C6" i="3" s="1"/>
  <c r="C3" i="3"/>
  <c r="F4" i="4"/>
  <c r="F5" i="4" s="1"/>
  <c r="F6" i="4"/>
  <c r="F7" i="4" s="1"/>
  <c r="B4" i="3" s="1"/>
  <c r="F8" i="4"/>
  <c r="B5" i="3" s="1"/>
  <c r="E3" i="3" l="1"/>
  <c r="F8" i="6"/>
  <c r="E6" i="3" s="1"/>
  <c r="B3" i="3"/>
  <c r="F11" i="4"/>
  <c r="B8" i="3" s="1"/>
  <c r="F10" i="4"/>
  <c r="B7" i="3" s="1"/>
  <c r="F9" i="4"/>
  <c r="B6" i="3" s="1"/>
  <c r="F10" i="7"/>
  <c r="D7" i="3" s="1"/>
  <c r="F11" i="7"/>
  <c r="D8" i="3" s="1"/>
  <c r="D3" i="3"/>
  <c r="C5" i="3"/>
  <c r="F10" i="5"/>
  <c r="C7" i="3" s="1"/>
  <c r="F11" i="5"/>
  <c r="C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5" authorId="0" shapeId="0" xr:uid="{00000000-0006-0000-0200-000001000000}">
      <text>
        <r>
          <rPr>
            <sz val="10"/>
            <rFont val="Arial"/>
            <family val="2"/>
          </rPr>
          <t>By definition, a series has Beta = 1.0 against itself.</t>
        </r>
      </text>
    </comment>
    <comment ref="E7" authorId="0" shapeId="0" xr:uid="{00000000-0006-0000-0200-000002000000}">
      <text>
        <r>
          <rPr>
            <sz val="10"/>
            <rFont val="Arial"/>
            <family val="2"/>
          </rPr>
          <t>Treynor Ratio is not meaningful for the benchmark itself (Beta=1 trivially).</t>
        </r>
      </text>
    </comment>
    <comment ref="E8" authorId="0" shapeId="0" xr:uid="{00000000-0006-0000-0200-000003000000}">
      <text>
        <r>
          <rPr>
            <sz val="10"/>
            <rFont val="Arial"/>
            <family val="2"/>
          </rPr>
          <t>By definition, Jensen's Alpha of a series against itself is 0.</t>
        </r>
      </text>
    </comment>
  </commentList>
</comments>
</file>

<file path=xl/sharedStrings.xml><?xml version="1.0" encoding="utf-8"?>
<sst xmlns="http://schemas.openxmlformats.org/spreadsheetml/2006/main" count="108" uniqueCount="57">
  <si>
    <t>Assumptions &amp; Methodology</t>
  </si>
  <si>
    <t>Key Input Assumptions</t>
  </si>
  <si>
    <t>Risk-Free Rate (10-Yr India G-Sec Yield)</t>
  </si>
  <si>
    <t>Source: Trading Economics, India 10-Year Government Bond Yield, ~Aug 2026. Editable input - update as needed.</t>
  </si>
  <si>
    <t>Trading Days per Year</t>
  </si>
  <si>
    <t>Standard NSE trading-day convention used to annualize daily figures.</t>
  </si>
  <si>
    <t>Data Source</t>
  </si>
  <si>
    <t>Methodology Notes</t>
  </si>
  <si>
    <t>Annualized Return (CAGR)</t>
  </si>
  <si>
    <t>Geometric compounding of price levels from 'Raw Data': (Latest Price / Oldest Price)^(Trading Days per Year / N) - 1, where N = number of valid daily return observations.</t>
  </si>
  <si>
    <t>Daily Std Dev</t>
  </si>
  <si>
    <t>Sample standard deviation (STDEV) of the daily return series in 'Raw Data'.</t>
  </si>
  <si>
    <t>Annualized Std Dev (Risk)</t>
  </si>
  <si>
    <t>Daily Std Dev x SQRT(Trading Days per Year).</t>
  </si>
  <si>
    <t>Beta</t>
  </si>
  <si>
    <t>Slope of fund daily returns regressed on NIFTY500 TRI daily returns (SLOPE function), computed over the aligned 'Raw Data' series.</t>
  </si>
  <si>
    <t>Sharpe Ratio</t>
  </si>
  <si>
    <t>(Annualized Return - Risk-Free Rate) / Annualized Std Dev.</t>
  </si>
  <si>
    <t>Treynor Ratio</t>
  </si>
  <si>
    <t>(Annualized Return - Risk-Free Rate) / Beta.</t>
  </si>
  <si>
    <t>Jensen's Alpha</t>
  </si>
  <si>
    <t>Annualized Return - [Risk-Free Rate + Beta x (Benchmark Annualized Return - Risk-Free Rate)]  (CAPM-expected return).</t>
  </si>
  <si>
    <t>Date</t>
  </si>
  <si>
    <t>ICICI Prudential Multicap - Price</t>
  </si>
  <si>
    <t>ICICI Prudential Multicap - Return</t>
  </si>
  <si>
    <t>Quant Active Fund - Price</t>
  </si>
  <si>
    <t>Quant Active Fund - Return</t>
  </si>
  <si>
    <t>Nippon India Multi Cap - Price</t>
  </si>
  <si>
    <t>Nippon India Multi Cap - Return</t>
  </si>
  <si>
    <t>NIFTY500 TRI - Price</t>
  </si>
  <si>
    <t>NIFTY500 TRI - Return</t>
  </si>
  <si>
    <t>-</t>
  </si>
  <si>
    <t>Fund Comparison Table</t>
  </si>
  <si>
    <t>Particulars</t>
  </si>
  <si>
    <t>ICICI Prudential Multicap</t>
  </si>
  <si>
    <t>Quant Active Fund</t>
  </si>
  <si>
    <t>Nippon India Multi Cap</t>
  </si>
  <si>
    <t>NIFTY500 TRI (Benchmark)</t>
  </si>
  <si>
    <t>ANNUALISED RETURN</t>
  </si>
  <si>
    <t>ANNUALISED RISK</t>
  </si>
  <si>
    <t>BETA</t>
  </si>
  <si>
    <t>SHARPE RATIO</t>
  </si>
  <si>
    <t>TREYNOR RATIO</t>
  </si>
  <si>
    <t>N/A</t>
  </si>
  <si>
    <t>JENSEN ALPHA</t>
  </si>
  <si>
    <t>Price</t>
  </si>
  <si>
    <t>RETURNS</t>
  </si>
  <si>
    <t>Fund Performance Metrics</t>
  </si>
  <si>
    <t>Risk-Free Rate (10Y G-Sec)</t>
  </si>
  <si>
    <t>N (Valid Daily Return Obs.)</t>
  </si>
  <si>
    <t>Daily Std Dev of Returns</t>
  </si>
  <si>
    <t>Beta (vs NIFTY500 TRI)</t>
  </si>
  <si>
    <t>Note: this sheet has been trimmed to the 1,205 trading dates common to all four data series (ICICI Prudential Multicap, Quant Active, Nippon India Multi Cap, NIFTY500 TRI). 11 dates present in the original data were removed because they were missing from one or more of the other series (differing data-vendor trading calendars, e.g. special Saturday sessions, and series start-date edge effects). The RETURNS column was recomputed on this trimmed, contiguous date list.</t>
  </si>
  <si>
    <t>Benchmark Metrics</t>
  </si>
  <si>
    <t>Sharpe Ratio (Benchmark)</t>
  </si>
  <si>
    <t>NAV and benchmark data sourced from investing.com. Risk-free rate (10-Year India G-Sec yield) sourced from Investing.com</t>
  </si>
  <si>
    <t>The analysis uses 1,204 common daily trading observations (~4.8 years) rather than a strict calendar 5-year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</si>
</sst>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00"/>
    <numFmt numFmtId="166" formatCode="m/d/yyyy"/>
    <numFmt numFmtId="167" formatCode="#,##0.0000"/>
  </numFmts>
  <fonts count="15" x14ac:knownFonts="1">
    <font>
      <sz val="11"/>
      <color theme="1"/>
      <name val="Aptos Narrow"/>
      <family val="2"/>
      <charset val="1"/>
    </font>
    <font>
      <sz val="10"/>
      <name val="Arial"/>
      <family val="2"/>
    </font>
    <font>
      <b/>
      <sz val="14"/>
      <name val="Arial"/>
      <family val="2"/>
    </font>
    <font>
      <b/>
      <sz val="10"/>
      <name val="Arial"/>
      <family val="2"/>
    </font>
    <font>
      <sz val="10"/>
      <color rgb="FF0000FF"/>
      <name val="Arial"/>
      <family val="2"/>
    </font>
    <font>
      <sz val="10"/>
      <color rgb="FF000000"/>
      <name val="Arial"/>
      <family val="2"/>
    </font>
    <font>
      <b/>
      <sz val="10"/>
      <color rgb="FFFFFFFF"/>
      <name val="Arial"/>
      <family val="2"/>
      <charset val="1"/>
    </font>
    <font>
      <sz val="10"/>
      <color rgb="FF008000"/>
      <name val="Arial"/>
      <family val="2"/>
      <charset val="1"/>
    </font>
    <font>
      <b/>
      <sz val="10"/>
      <color theme="2" tint="-0.89999084444715716"/>
      <name val="Arial"/>
      <family val="2"/>
      <charset val="1"/>
    </font>
    <font>
      <b/>
      <sz val="10"/>
      <color rgb="FFFFFFFF"/>
      <name val="Arial"/>
      <family val="2"/>
    </font>
    <font>
      <sz val="10"/>
      <color rgb="FF008000"/>
      <name val="Arial"/>
      <family val="2"/>
    </font>
    <font>
      <i/>
      <sz val="9"/>
      <name val="Arial"/>
      <family val="2"/>
    </font>
    <font>
      <b/>
      <sz val="10"/>
      <name val="Arial"/>
      <family val="2"/>
      <charset val="1"/>
    </font>
    <font>
      <sz val="10"/>
      <color rgb="FF000000"/>
      <name val="Arial"/>
      <family val="2"/>
      <charset val="1"/>
    </font>
    <font>
      <i/>
      <sz val="9"/>
      <name val="Arial"/>
      <family val="2"/>
      <charset val="1"/>
    </font>
  </fonts>
  <fills count="4">
    <fill>
      <patternFill patternType="none"/>
    </fill>
    <fill>
      <patternFill patternType="gray125"/>
    </fill>
    <fill>
      <patternFill patternType="solid">
        <fgColor rgb="FF1F4E78"/>
        <bgColor rgb="FF156082"/>
      </patternFill>
    </fill>
    <fill>
      <patternFill patternType="solid">
        <fgColor rgb="FFD9E1F2"/>
        <bgColor rgb="FFD9D9D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6">
    <xf numFmtId="0" fontId="0" fillId="0" borderId="0" xfId="0"/>
    <xf numFmtId="0" fontId="0" fillId="0" borderId="0" xfId="0" applyAlignment="1">
      <alignment vertical="top" wrapText="1"/>
    </xf>
    <xf numFmtId="0" fontId="2" fillId="0" borderId="0" xfId="0" applyFont="1"/>
    <xf numFmtId="0" fontId="3" fillId="0" borderId="0" xfId="0" applyFont="1"/>
    <xf numFmtId="10" fontId="4" fillId="0" borderId="0" xfId="0" applyNumberFormat="1" applyFont="1"/>
    <xf numFmtId="0" fontId="4" fillId="0" borderId="0" xfId="0" applyFont="1"/>
    <xf numFmtId="0" fontId="5" fillId="0" borderId="0" xfId="0" applyFont="1"/>
    <xf numFmtId="0" fontId="6" fillId="2" borderId="0" xfId="0" applyFont="1" applyFill="1" applyAlignment="1">
      <alignment horizontal="center" vertical="center" wrapText="1"/>
    </xf>
    <xf numFmtId="164" fontId="7" fillId="0" borderId="0" xfId="0" applyNumberFormat="1" applyFont="1"/>
    <xf numFmtId="4" fontId="7" fillId="0" borderId="0" xfId="0" applyNumberFormat="1" applyFont="1"/>
    <xf numFmtId="10" fontId="8" fillId="0" borderId="0" xfId="0" applyNumberFormat="1" applyFont="1"/>
    <xf numFmtId="0" fontId="9" fillId="2" borderId="1" xfId="0" applyFont="1" applyFill="1" applyBorder="1" applyAlignment="1">
      <alignment horizontal="center" vertical="center" wrapText="1"/>
    </xf>
    <xf numFmtId="0" fontId="5" fillId="0" borderId="1" xfId="0" applyFont="1" applyBorder="1"/>
    <xf numFmtId="10" fontId="10" fillId="0" borderId="1" xfId="0" applyNumberFormat="1" applyFont="1" applyBorder="1"/>
    <xf numFmtId="165" fontId="10" fillId="0" borderId="1" xfId="0" applyNumberFormat="1" applyFont="1" applyBorder="1"/>
    <xf numFmtId="165" fontId="5" fillId="0" borderId="1" xfId="0" applyNumberFormat="1" applyFont="1" applyBorder="1"/>
    <xf numFmtId="10" fontId="5" fillId="0" borderId="1" xfId="0" applyNumberFormat="1" applyFont="1" applyBorder="1"/>
    <xf numFmtId="166" fontId="0" fillId="0" borderId="0" xfId="0" applyNumberFormat="1"/>
    <xf numFmtId="166" fontId="12" fillId="3" borderId="0" xfId="0" applyNumberFormat="1" applyFont="1" applyFill="1"/>
    <xf numFmtId="0" fontId="12" fillId="3" borderId="0" xfId="0" applyFont="1" applyFill="1"/>
    <xf numFmtId="0" fontId="9" fillId="2" borderId="0" xfId="0" applyFont="1" applyFill="1"/>
    <xf numFmtId="0" fontId="0" fillId="2" borderId="0" xfId="0" applyFill="1"/>
    <xf numFmtId="164" fontId="13" fillId="0" borderId="0" xfId="0" applyNumberFormat="1" applyFont="1"/>
    <xf numFmtId="167" fontId="13" fillId="0" borderId="0" xfId="0" applyNumberFormat="1" applyFont="1"/>
    <xf numFmtId="10" fontId="13" fillId="0" borderId="0" xfId="0" applyNumberFormat="1" applyFont="1"/>
    <xf numFmtId="1" fontId="10" fillId="0" borderId="0" xfId="0" applyNumberFormat="1" applyFont="1"/>
    <xf numFmtId="10" fontId="10" fillId="0" borderId="0" xfId="0" applyNumberFormat="1" applyFont="1"/>
    <xf numFmtId="165" fontId="10" fillId="0" borderId="0" xfId="0" applyNumberFormat="1" applyFont="1"/>
    <xf numFmtId="10" fontId="5" fillId="0" borderId="0" xfId="0" applyNumberFormat="1" applyFont="1"/>
    <xf numFmtId="165" fontId="5" fillId="0" borderId="0" xfId="0" applyNumberFormat="1" applyFont="1"/>
    <xf numFmtId="4" fontId="0" fillId="0" borderId="0" xfId="0" applyNumberFormat="1"/>
    <xf numFmtId="0" fontId="0" fillId="0" borderId="0" xfId="0" applyAlignment="1">
      <alignment vertical="top" wrapText="1"/>
    </xf>
    <xf numFmtId="0" fontId="11" fillId="0" borderId="0" xfId="0" applyFont="1"/>
    <xf numFmtId="166" fontId="14" fillId="0" borderId="0" xfId="0" applyNumberFormat="1" applyFont="1" applyAlignment="1">
      <alignment wrapText="1"/>
    </xf>
    <xf numFmtId="0" fontId="14"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B7B7B7"/>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B3B3B3"/>
      <rgbColor rgb="FF003366"/>
      <rgbColor rgb="FF339966"/>
      <rgbColor rgb="FF171717"/>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IN" sz="1800" b="1" strike="noStrike" spc="-1">
                <a:solidFill>
                  <a:srgbClr val="000000"/>
                </a:solidFill>
                <a:latin typeface="Aptos Narrow"/>
              </a:rPr>
              <a:t>Annualized Return by Fund</a:t>
            </a:r>
          </a:p>
        </c:rich>
      </c:tx>
      <c:overlay val="0"/>
      <c:spPr>
        <a:noFill/>
        <a:ln w="0">
          <a:noFill/>
        </a:ln>
      </c:spPr>
    </c:title>
    <c:autoTitleDeleted val="0"/>
    <c:plotArea>
      <c:layout/>
      <c:barChart>
        <c:barDir val="col"/>
        <c:grouping val="clustered"/>
        <c:varyColors val="0"/>
        <c:ser>
          <c:idx val="0"/>
          <c:order val="0"/>
          <c:tx>
            <c:strRef>
              <c:f>Comparison!$A$3</c:f>
              <c:strCache>
                <c:ptCount val="1"/>
                <c:pt idx="0">
                  <c:v>ANNUALISED RETURN</c:v>
                </c:pt>
              </c:strCache>
            </c:strRef>
          </c:tx>
          <c:spPr>
            <a:solidFill>
              <a:srgbClr val="15608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Comparison!$B$2:$E$2</c:f>
              <c:strCache>
                <c:ptCount val="4"/>
                <c:pt idx="0">
                  <c:v>ICICI Prudential Multicap</c:v>
                </c:pt>
                <c:pt idx="1">
                  <c:v>Quant Active Fund</c:v>
                </c:pt>
                <c:pt idx="2">
                  <c:v>Nippon India Multi Cap</c:v>
                </c:pt>
                <c:pt idx="3">
                  <c:v>NIFTY500 TRI (Benchmark)</c:v>
                </c:pt>
              </c:strCache>
            </c:strRef>
          </c:cat>
          <c:val>
            <c:numRef>
              <c:f>Comparison!$B$3:$E$3</c:f>
              <c:numCache>
                <c:formatCode>0.00%</c:formatCode>
                <c:ptCount val="4"/>
                <c:pt idx="0">
                  <c:v>0.15808743916812906</c:v>
                </c:pt>
                <c:pt idx="1">
                  <c:v>0.11806419807832369</c:v>
                </c:pt>
                <c:pt idx="2">
                  <c:v>0.17800096761440565</c:v>
                </c:pt>
                <c:pt idx="3">
                  <c:v>0.11465384444946314</c:v>
                </c:pt>
              </c:numCache>
            </c:numRef>
          </c:val>
          <c:extLst>
            <c:ext xmlns:c16="http://schemas.microsoft.com/office/drawing/2014/chart" uri="{C3380CC4-5D6E-409C-BE32-E72D297353CC}">
              <c16:uniqueId val="{00000000-06C4-42D5-B548-5A62A28324C9}"/>
            </c:ext>
          </c:extLst>
        </c:ser>
        <c:dLbls>
          <c:showLegendKey val="0"/>
          <c:showVal val="0"/>
          <c:showCatName val="0"/>
          <c:showSerName val="0"/>
          <c:showPercent val="0"/>
          <c:showBubbleSize val="0"/>
        </c:dLbls>
        <c:gapWidth val="150"/>
        <c:axId val="54483445"/>
        <c:axId val="1090414"/>
      </c:barChart>
      <c:catAx>
        <c:axId val="5448344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1090414"/>
        <c:crosses val="autoZero"/>
        <c:auto val="1"/>
        <c:lblAlgn val="ctr"/>
        <c:lblOffset val="100"/>
        <c:noMultiLvlLbl val="0"/>
      </c:catAx>
      <c:valAx>
        <c:axId val="109041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ptos Narrow"/>
                  </a:defRPr>
                </a:pPr>
                <a:r>
                  <a:rPr lang="en-IN" sz="1000" b="1" strike="noStrike" spc="-1">
                    <a:solidFill>
                      <a:srgbClr val="000000"/>
                    </a:solidFill>
                    <a:latin typeface="Aptos Narrow"/>
                  </a:rPr>
                  <a:t>Annualized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5448344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IN" sz="1800" b="1" strike="noStrike" spc="-1">
                <a:solidFill>
                  <a:srgbClr val="000000"/>
                </a:solidFill>
                <a:latin typeface="Aptos Narrow"/>
              </a:rPr>
              <a:t>Annualized Std Dev (Risk) by Fund</a:t>
            </a:r>
          </a:p>
        </c:rich>
      </c:tx>
      <c:overlay val="0"/>
      <c:spPr>
        <a:noFill/>
        <a:ln w="0">
          <a:noFill/>
        </a:ln>
      </c:spPr>
    </c:title>
    <c:autoTitleDeleted val="0"/>
    <c:plotArea>
      <c:layout/>
      <c:barChart>
        <c:barDir val="col"/>
        <c:grouping val="clustered"/>
        <c:varyColors val="0"/>
        <c:ser>
          <c:idx val="0"/>
          <c:order val="0"/>
          <c:tx>
            <c:strRef>
              <c:f>Comparison!$A$4</c:f>
              <c:strCache>
                <c:ptCount val="1"/>
                <c:pt idx="0">
                  <c:v>ANNUALISED RISK</c:v>
                </c:pt>
              </c:strCache>
            </c:strRef>
          </c:tx>
          <c:spPr>
            <a:solidFill>
              <a:srgbClr val="15608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Comparison!$B$2:$E$2</c:f>
              <c:strCache>
                <c:ptCount val="4"/>
                <c:pt idx="0">
                  <c:v>ICICI Prudential Multicap</c:v>
                </c:pt>
                <c:pt idx="1">
                  <c:v>Quant Active Fund</c:v>
                </c:pt>
                <c:pt idx="2">
                  <c:v>Nippon India Multi Cap</c:v>
                </c:pt>
                <c:pt idx="3">
                  <c:v>NIFTY500 TRI (Benchmark)</c:v>
                </c:pt>
              </c:strCache>
            </c:strRef>
          </c:cat>
          <c:val>
            <c:numRef>
              <c:f>Comparison!$B$4:$E$4</c:f>
              <c:numCache>
                <c:formatCode>0.00%</c:formatCode>
                <c:ptCount val="4"/>
                <c:pt idx="0">
                  <c:v>0.13737179625402479</c:v>
                </c:pt>
                <c:pt idx="1">
                  <c:v>0.17577504640427474</c:v>
                </c:pt>
                <c:pt idx="2">
                  <c:v>0.14737393488826955</c:v>
                </c:pt>
                <c:pt idx="3">
                  <c:v>0.14384267567208375</c:v>
                </c:pt>
              </c:numCache>
            </c:numRef>
          </c:val>
          <c:extLst>
            <c:ext xmlns:c16="http://schemas.microsoft.com/office/drawing/2014/chart" uri="{C3380CC4-5D6E-409C-BE32-E72D297353CC}">
              <c16:uniqueId val="{00000000-14F4-4498-90E2-845DA69FBB90}"/>
            </c:ext>
          </c:extLst>
        </c:ser>
        <c:dLbls>
          <c:showLegendKey val="0"/>
          <c:showVal val="0"/>
          <c:showCatName val="0"/>
          <c:showSerName val="0"/>
          <c:showPercent val="0"/>
          <c:showBubbleSize val="0"/>
        </c:dLbls>
        <c:gapWidth val="150"/>
        <c:axId val="29738125"/>
        <c:axId val="69761308"/>
      </c:barChart>
      <c:catAx>
        <c:axId val="2973812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69761308"/>
        <c:crosses val="autoZero"/>
        <c:auto val="1"/>
        <c:lblAlgn val="ctr"/>
        <c:lblOffset val="100"/>
        <c:noMultiLvlLbl val="0"/>
      </c:catAx>
      <c:valAx>
        <c:axId val="6976130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Aptos Narrow"/>
                  </a:defRPr>
                </a:pPr>
                <a:r>
                  <a:rPr lang="en-IN" sz="1000" b="1" strike="noStrike" spc="-1">
                    <a:solidFill>
                      <a:srgbClr val="000000"/>
                    </a:solidFill>
                    <a:latin typeface="Aptos Narrow"/>
                  </a:rPr>
                  <a:t>Annualized Std Dev</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en-US"/>
          </a:p>
        </c:txPr>
        <c:crossAx val="2973812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739140</xdr:colOff>
      <xdr:row>13</xdr:row>
      <xdr:rowOff>38100</xdr:rowOff>
    </xdr:from>
    <xdr:to>
      <xdr:col>3</xdr:col>
      <xdr:colOff>717540</xdr:colOff>
      <xdr:row>29</xdr:row>
      <xdr:rowOff>19380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731520</xdr:colOff>
      <xdr:row>31</xdr:row>
      <xdr:rowOff>99060</xdr:rowOff>
    </xdr:from>
    <xdr:to>
      <xdr:col>3</xdr:col>
      <xdr:colOff>709920</xdr:colOff>
      <xdr:row>47</xdr:row>
      <xdr:rowOff>80340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showGridLines="0" tabSelected="1" zoomScaleNormal="100" workbookViewId="0">
      <selection activeCell="A18" sqref="A18"/>
    </sheetView>
  </sheetViews>
  <sheetFormatPr defaultColWidth="8.5546875" defaultRowHeight="14.4" x14ac:dyDescent="0.3"/>
  <cols>
    <col min="1" max="1" width="38" customWidth="1"/>
    <col min="2" max="2" width="16" customWidth="1"/>
    <col min="3" max="3" width="75" customWidth="1"/>
  </cols>
  <sheetData>
    <row r="1" spans="1:3" ht="17.25" customHeight="1" x14ac:dyDescent="0.3">
      <c r="A1" s="2" t="s">
        <v>0</v>
      </c>
    </row>
    <row r="3" spans="1:3" ht="15" customHeight="1" x14ac:dyDescent="0.3">
      <c r="A3" s="3" t="s">
        <v>1</v>
      </c>
    </row>
    <row r="4" spans="1:3" ht="15" customHeight="1" x14ac:dyDescent="0.3">
      <c r="A4" t="s">
        <v>2</v>
      </c>
      <c r="B4" s="4">
        <v>6.9500000000000006E-2</v>
      </c>
      <c r="C4" t="s">
        <v>3</v>
      </c>
    </row>
    <row r="5" spans="1:3" ht="15" customHeight="1" x14ac:dyDescent="0.3">
      <c r="A5" t="s">
        <v>4</v>
      </c>
      <c r="B5" s="5">
        <v>252</v>
      </c>
      <c r="C5" t="s">
        <v>5</v>
      </c>
    </row>
    <row r="7" spans="1:3" ht="30" customHeight="1" x14ac:dyDescent="0.3">
      <c r="A7" t="s">
        <v>6</v>
      </c>
      <c r="B7" s="6"/>
      <c r="C7" s="1" t="s">
        <v>55</v>
      </c>
    </row>
    <row r="8" spans="1:3" ht="28.8" x14ac:dyDescent="0.3">
      <c r="C8" s="35" t="s">
        <v>56</v>
      </c>
    </row>
    <row r="9" spans="1:3" ht="15" customHeight="1" x14ac:dyDescent="0.3">
      <c r="A9" s="3" t="s">
        <v>7</v>
      </c>
    </row>
    <row r="10" spans="1:3" ht="30" customHeight="1" x14ac:dyDescent="0.3">
      <c r="A10" s="6" t="s">
        <v>8</v>
      </c>
      <c r="B10" s="31" t="s">
        <v>9</v>
      </c>
      <c r="C10" s="31"/>
    </row>
    <row r="11" spans="1:3" ht="30" customHeight="1" x14ac:dyDescent="0.3">
      <c r="A11" s="6" t="s">
        <v>10</v>
      </c>
      <c r="B11" s="31" t="s">
        <v>11</v>
      </c>
      <c r="C11" s="31"/>
    </row>
    <row r="12" spans="1:3" ht="30" customHeight="1" x14ac:dyDescent="0.3">
      <c r="A12" s="6" t="s">
        <v>12</v>
      </c>
      <c r="B12" s="31" t="s">
        <v>13</v>
      </c>
      <c r="C12" s="31"/>
    </row>
    <row r="13" spans="1:3" ht="30" customHeight="1" x14ac:dyDescent="0.3">
      <c r="A13" s="6" t="s">
        <v>14</v>
      </c>
      <c r="B13" s="31" t="s">
        <v>15</v>
      </c>
      <c r="C13" s="31"/>
    </row>
    <row r="14" spans="1:3" ht="30" customHeight="1" x14ac:dyDescent="0.3">
      <c r="A14" s="6" t="s">
        <v>16</v>
      </c>
      <c r="B14" s="31" t="s">
        <v>17</v>
      </c>
      <c r="C14" s="31"/>
    </row>
    <row r="15" spans="1:3" ht="30" customHeight="1" x14ac:dyDescent="0.3">
      <c r="A15" s="6" t="s">
        <v>18</v>
      </c>
      <c r="B15" s="31" t="s">
        <v>19</v>
      </c>
      <c r="C15" s="31"/>
    </row>
    <row r="16" spans="1:3" ht="30" customHeight="1" x14ac:dyDescent="0.3">
      <c r="A16" s="6" t="s">
        <v>20</v>
      </c>
      <c r="B16" s="31" t="s">
        <v>21</v>
      </c>
      <c r="C16" s="31"/>
    </row>
  </sheetData>
  <mergeCells count="7">
    <mergeCell ref="B15:C15"/>
    <mergeCell ref="B16:C16"/>
    <mergeCell ref="B10:C10"/>
    <mergeCell ref="B11:C11"/>
    <mergeCell ref="B12:C12"/>
    <mergeCell ref="B13:C13"/>
    <mergeCell ref="B14:C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showGridLines="0" topLeftCell="A18" zoomScaleNormal="100" workbookViewId="0">
      <selection activeCell="A13" sqref="A13"/>
    </sheetView>
  </sheetViews>
  <sheetFormatPr defaultColWidth="8.5546875" defaultRowHeight="14.4" x14ac:dyDescent="0.3"/>
  <cols>
    <col min="1" max="5" width="22" customWidth="1"/>
  </cols>
  <sheetData>
    <row r="1" spans="1:5" ht="14.25" customHeight="1" x14ac:dyDescent="0.3">
      <c r="A1" s="2" t="s">
        <v>32</v>
      </c>
    </row>
    <row r="2" spans="1:5" ht="30" customHeight="1" x14ac:dyDescent="0.3">
      <c r="A2" s="11" t="s">
        <v>33</v>
      </c>
      <c r="B2" s="11" t="s">
        <v>34</v>
      </c>
      <c r="C2" s="11" t="s">
        <v>35</v>
      </c>
      <c r="D2" s="11" t="s">
        <v>36</v>
      </c>
      <c r="E2" s="11" t="s">
        <v>37</v>
      </c>
    </row>
    <row r="3" spans="1:5" ht="14.25" customHeight="1" x14ac:dyDescent="0.3">
      <c r="A3" s="12" t="s">
        <v>38</v>
      </c>
      <c r="B3" s="13">
        <f>'ICICI PRUDENTIAL MULTICAP FUND'!F5</f>
        <v>0.15808743916812906</v>
      </c>
      <c r="C3" s="13">
        <f>'QUANT ACTIVE FUND'!F5</f>
        <v>0.11806419807832369</v>
      </c>
      <c r="D3" s="13">
        <f>'NIPPON INDIA '!F5</f>
        <v>0.17800096761440565</v>
      </c>
      <c r="E3" s="13">
        <f>'NIFTY500 TRI'!F5</f>
        <v>0.11465384444946314</v>
      </c>
    </row>
    <row r="4" spans="1:5" ht="14.25" customHeight="1" x14ac:dyDescent="0.3">
      <c r="A4" s="12" t="s">
        <v>39</v>
      </c>
      <c r="B4" s="13">
        <f>'ICICI PRUDENTIAL MULTICAP FUND'!F7</f>
        <v>0.13737179625402479</v>
      </c>
      <c r="C4" s="13">
        <f>'QUANT ACTIVE FUND'!F7</f>
        <v>0.17577504640427474</v>
      </c>
      <c r="D4" s="13">
        <f>'NIPPON INDIA '!F7</f>
        <v>0.14737393488826955</v>
      </c>
      <c r="E4" s="13">
        <f>'NIFTY500 TRI'!F7</f>
        <v>0.14384267567208375</v>
      </c>
    </row>
    <row r="5" spans="1:5" ht="14.25" customHeight="1" x14ac:dyDescent="0.3">
      <c r="A5" s="12" t="s">
        <v>40</v>
      </c>
      <c r="B5" s="14">
        <f>'ICICI PRUDENTIAL MULTICAP FUND'!F8</f>
        <v>0.91411262417888894</v>
      </c>
      <c r="C5" s="14">
        <f>'QUANT ACTIVE FUND'!F8</f>
        <v>1.0969278934031779</v>
      </c>
      <c r="D5" s="14">
        <f>'NIPPON INDIA '!F8</f>
        <v>0.97180577620604613</v>
      </c>
      <c r="E5" s="15">
        <v>1</v>
      </c>
    </row>
    <row r="6" spans="1:5" ht="14.25" customHeight="1" x14ac:dyDescent="0.3">
      <c r="A6" s="12" t="s">
        <v>41</v>
      </c>
      <c r="B6" s="14">
        <f>'ICICI PRUDENTIAL MULTICAP FUND'!F9</f>
        <v>0.64487355908424748</v>
      </c>
      <c r="C6" s="14">
        <f>'QUANT ACTIVE FUND'!F9</f>
        <v>0.27628607741412964</v>
      </c>
      <c r="D6" s="14">
        <f>'NIPPON INDIA '!F9</f>
        <v>0.73622901971549337</v>
      </c>
      <c r="E6" s="14">
        <f>'NIFTY500 TRI'!F8</f>
        <v>0.31391132178603071</v>
      </c>
    </row>
    <row r="7" spans="1:5" ht="14.25" customHeight="1" x14ac:dyDescent="0.3">
      <c r="A7" s="12" t="s">
        <v>42</v>
      </c>
      <c r="B7" s="13">
        <f>'ICICI PRUDENTIAL MULTICAP FUND'!F10</f>
        <v>9.6910858492632271E-2</v>
      </c>
      <c r="C7" s="13">
        <f>'QUANT ACTIVE FUND'!F10</f>
        <v>4.4272917454633298E-2</v>
      </c>
      <c r="D7" s="13">
        <f>'NIPPON INDIA '!F10</f>
        <v>0.11164881941533226</v>
      </c>
      <c r="E7" s="16" t="s">
        <v>43</v>
      </c>
    </row>
    <row r="8" spans="1:5" ht="14.25" customHeight="1" x14ac:dyDescent="0.3">
      <c r="A8" s="12" t="s">
        <v>44</v>
      </c>
      <c r="B8" s="13">
        <f>'ICICI PRUDENTIAL MULTICAP FUND'!F11</f>
        <v>4.7311739926664959E-2</v>
      </c>
      <c r="C8" s="13">
        <f>'QUANT ACTIVE FUND'!F11</f>
        <v>-9.6631339268068994E-4</v>
      </c>
      <c r="D8" s="13">
        <f>'NIPPON INDIA '!F11</f>
        <v>6.4620200760508062E-2</v>
      </c>
      <c r="E8" s="16">
        <v>0</v>
      </c>
    </row>
    <row r="10" spans="1:5" ht="14.25" customHeight="1" x14ac:dyDescent="0.3">
      <c r="A10" s="32"/>
      <c r="B10" s="32"/>
      <c r="C10" s="32"/>
      <c r="D10" s="32"/>
      <c r="E10" s="32"/>
    </row>
  </sheetData>
  <mergeCells count="1">
    <mergeCell ref="A10:E10"/>
  </mergeCells>
  <pageMargins left="0.7" right="0.7" top="0.75" bottom="0.75"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06"/>
  <sheetViews>
    <sheetView showGridLines="0" zoomScaleNormal="100" workbookViewId="0"/>
  </sheetViews>
  <sheetFormatPr defaultColWidth="8.5546875" defaultRowHeight="14.4" x14ac:dyDescent="0.3"/>
  <cols>
    <col min="1" max="1" width="14" customWidth="1"/>
    <col min="2" max="9" width="20" customWidth="1"/>
  </cols>
  <sheetData>
    <row r="1" spans="1:9" ht="30" customHeight="1" x14ac:dyDescent="0.3">
      <c r="A1" s="7" t="s">
        <v>22</v>
      </c>
      <c r="B1" s="7" t="s">
        <v>23</v>
      </c>
      <c r="C1" s="7" t="s">
        <v>24</v>
      </c>
      <c r="D1" s="7" t="s">
        <v>25</v>
      </c>
      <c r="E1" s="7" t="s">
        <v>26</v>
      </c>
      <c r="F1" s="7" t="s">
        <v>27</v>
      </c>
      <c r="G1" s="7" t="s">
        <v>28</v>
      </c>
      <c r="H1" s="7" t="s">
        <v>29</v>
      </c>
      <c r="I1" s="7" t="s">
        <v>30</v>
      </c>
    </row>
    <row r="2" spans="1:9" ht="14.25" customHeight="1" x14ac:dyDescent="0.3">
      <c r="A2" s="8">
        <f>'ICICI PRUDENTIAL MULTICAP FUND'!A2</f>
        <v>46265</v>
      </c>
      <c r="B2" s="9">
        <f>'ICICI PRUDENTIAL MULTICAP FUND'!B2</f>
        <v>875.33</v>
      </c>
      <c r="C2" s="10">
        <f t="shared" ref="C2:C65" si="0">(B2-B3)/B3</f>
        <v>-3.2793978661140219E-3</v>
      </c>
      <c r="D2" s="9">
        <f>'QUANT ACTIVE FUND'!B2</f>
        <v>663.67399999999998</v>
      </c>
      <c r="E2" s="10">
        <f t="shared" ref="E2:E65" si="1">(D2-D3)/D3</f>
        <v>-7.2592430821792767E-3</v>
      </c>
      <c r="F2" s="9">
        <f>'NIPPON INDIA '!B2</f>
        <v>304.30399999999997</v>
      </c>
      <c r="G2" s="10">
        <f t="shared" ref="G2:G65" si="2">(F2-F3)/F3</f>
        <v>5.4580486489684565E-4</v>
      </c>
      <c r="H2" s="9">
        <f>'NIFTY500 TRI'!B2</f>
        <v>37712</v>
      </c>
      <c r="I2" s="10">
        <f t="shared" ref="I2:I65" si="3">(H2-H3)/H3</f>
        <v>-3.3220835304470699E-3</v>
      </c>
    </row>
    <row r="3" spans="1:9" ht="14.25" customHeight="1" x14ac:dyDescent="0.3">
      <c r="A3" s="8">
        <f>'ICICI PRUDENTIAL MULTICAP FUND'!A3</f>
        <v>46262</v>
      </c>
      <c r="B3" s="9">
        <f>'ICICI PRUDENTIAL MULTICAP FUND'!B3</f>
        <v>878.21</v>
      </c>
      <c r="C3" s="10">
        <f t="shared" si="0"/>
        <v>-3.9837916590774569E-4</v>
      </c>
      <c r="D3" s="9">
        <f>'QUANT ACTIVE FUND'!B3</f>
        <v>668.52700000000004</v>
      </c>
      <c r="E3" s="10">
        <f t="shared" si="1"/>
        <v>2.4088598163290504E-4</v>
      </c>
      <c r="F3" s="9">
        <f>'NIPPON INDIA '!B3</f>
        <v>304.13799999999998</v>
      </c>
      <c r="G3" s="10">
        <f t="shared" si="2"/>
        <v>-9.6573290587073483E-4</v>
      </c>
      <c r="H3" s="9">
        <f>'NIFTY500 TRI'!B3</f>
        <v>37837.699999999997</v>
      </c>
      <c r="I3" s="10">
        <f t="shared" si="3"/>
        <v>2.0025379957882444E-3</v>
      </c>
    </row>
    <row r="4" spans="1:9" ht="14.25" customHeight="1" x14ac:dyDescent="0.3">
      <c r="A4" s="8">
        <f>'ICICI PRUDENTIAL MULTICAP FUND'!A4</f>
        <v>46261</v>
      </c>
      <c r="B4" s="9">
        <f>'ICICI PRUDENTIAL MULTICAP FUND'!B4</f>
        <v>878.56</v>
      </c>
      <c r="C4" s="10">
        <f t="shared" si="0"/>
        <v>-2.5771147667541924E-3</v>
      </c>
      <c r="D4" s="9">
        <f>'QUANT ACTIVE FUND'!B4</f>
        <v>668.36599999999999</v>
      </c>
      <c r="E4" s="10">
        <f t="shared" si="1"/>
        <v>6.4328242688534067E-3</v>
      </c>
      <c r="F4" s="9">
        <f>'NIPPON INDIA '!B4</f>
        <v>304.43200000000002</v>
      </c>
      <c r="G4" s="10">
        <f t="shared" si="2"/>
        <v>-4.1087644919001465E-3</v>
      </c>
      <c r="H4" s="9">
        <f>'NIFTY500 TRI'!B4</f>
        <v>37762.080000000002</v>
      </c>
      <c r="I4" s="10">
        <f t="shared" si="3"/>
        <v>-3.2469237898074088E-3</v>
      </c>
    </row>
    <row r="5" spans="1:9" ht="14.25" customHeight="1" x14ac:dyDescent="0.3">
      <c r="A5" s="8">
        <f>'ICICI PRUDENTIAL MULTICAP FUND'!A5</f>
        <v>46260</v>
      </c>
      <c r="B5" s="9">
        <f>'ICICI PRUDENTIAL MULTICAP FUND'!B5</f>
        <v>880.83</v>
      </c>
      <c r="C5" s="10">
        <f t="shared" si="0"/>
        <v>4.7910749118784957E-3</v>
      </c>
      <c r="D5" s="9">
        <f>'QUANT ACTIVE FUND'!B5</f>
        <v>664.09400000000005</v>
      </c>
      <c r="E5" s="10">
        <f t="shared" si="1"/>
        <v>7.5291113088689198E-6</v>
      </c>
      <c r="F5" s="9">
        <f>'NIPPON INDIA '!B5</f>
        <v>305.68799999999999</v>
      </c>
      <c r="G5" s="10">
        <f t="shared" si="2"/>
        <v>-9.1839369347877049E-4</v>
      </c>
      <c r="H5" s="9">
        <f>'NIFTY500 TRI'!B5</f>
        <v>37885.089999999997</v>
      </c>
      <c r="I5" s="10">
        <f t="shared" si="3"/>
        <v>-2.2194211332507074E-3</v>
      </c>
    </row>
    <row r="6" spans="1:9" ht="14.25" customHeight="1" x14ac:dyDescent="0.3">
      <c r="A6" s="8">
        <f>'ICICI PRUDENTIAL MULTICAP FUND'!A6</f>
        <v>46259</v>
      </c>
      <c r="B6" s="9">
        <f>'ICICI PRUDENTIAL MULTICAP FUND'!B6</f>
        <v>876.63</v>
      </c>
      <c r="C6" s="10">
        <f t="shared" si="0"/>
        <v>2.6191184207516108E-3</v>
      </c>
      <c r="D6" s="9">
        <f>'QUANT ACTIVE FUND'!B6</f>
        <v>664.08900000000006</v>
      </c>
      <c r="E6" s="10">
        <f t="shared" si="1"/>
        <v>5.7032694605519971E-3</v>
      </c>
      <c r="F6" s="9">
        <f>'NIPPON INDIA '!B6</f>
        <v>305.96899999999999</v>
      </c>
      <c r="G6" s="10">
        <f t="shared" si="2"/>
        <v>1.8073650124257031E-3</v>
      </c>
      <c r="H6" s="9">
        <f>'NIFTY500 TRI'!B6</f>
        <v>37969.360000000001</v>
      </c>
      <c r="I6" s="10">
        <f t="shared" si="3"/>
        <v>4.2503489941192593E-3</v>
      </c>
    </row>
    <row r="7" spans="1:9" ht="14.25" customHeight="1" x14ac:dyDescent="0.3">
      <c r="A7" s="8">
        <f>'ICICI PRUDENTIAL MULTICAP FUND'!A7</f>
        <v>46258</v>
      </c>
      <c r="B7" s="9">
        <f>'ICICI PRUDENTIAL MULTICAP FUND'!B7</f>
        <v>874.34</v>
      </c>
      <c r="C7" s="10">
        <f t="shared" si="0"/>
        <v>1.8562654688789124E-3</v>
      </c>
      <c r="D7" s="9">
        <f>'QUANT ACTIVE FUND'!B7</f>
        <v>660.32299999999998</v>
      </c>
      <c r="E7" s="10">
        <f t="shared" si="1"/>
        <v>-1.5332576281079239E-3</v>
      </c>
      <c r="F7" s="9">
        <f>'NIPPON INDIA '!B7</f>
        <v>305.41699999999997</v>
      </c>
      <c r="G7" s="10">
        <f t="shared" si="2"/>
        <v>-9.3554855529713935E-4</v>
      </c>
      <c r="H7" s="9">
        <f>'NIFTY500 TRI'!B7</f>
        <v>37808.660000000003</v>
      </c>
      <c r="I7" s="10">
        <f t="shared" si="3"/>
        <v>-7.7937214160834925E-4</v>
      </c>
    </row>
    <row r="8" spans="1:9" ht="14.25" customHeight="1" x14ac:dyDescent="0.3">
      <c r="A8" s="8">
        <f>'ICICI PRUDENTIAL MULTICAP FUND'!A8</f>
        <v>46255</v>
      </c>
      <c r="B8" s="9">
        <f>'ICICI PRUDENTIAL MULTICAP FUND'!B8</f>
        <v>872.72</v>
      </c>
      <c r="C8" s="10">
        <f t="shared" si="0"/>
        <v>1.9632380799302377E-3</v>
      </c>
      <c r="D8" s="9">
        <f>'QUANT ACTIVE FUND'!B8</f>
        <v>661.33699999999999</v>
      </c>
      <c r="E8" s="10">
        <f t="shared" si="1"/>
        <v>4.5493071989938429E-3</v>
      </c>
      <c r="F8" s="9">
        <f>'NIPPON INDIA '!B8</f>
        <v>305.70299999999997</v>
      </c>
      <c r="G8" s="10">
        <f t="shared" si="2"/>
        <v>2.0059588778428938E-3</v>
      </c>
      <c r="H8" s="9">
        <f>'NIFTY500 TRI'!B8</f>
        <v>37838.15</v>
      </c>
      <c r="I8" s="10">
        <f t="shared" si="3"/>
        <v>7.7150983708098577E-4</v>
      </c>
    </row>
    <row r="9" spans="1:9" ht="14.25" customHeight="1" x14ac:dyDescent="0.3">
      <c r="A9" s="8">
        <f>'ICICI PRUDENTIAL MULTICAP FUND'!A9</f>
        <v>46254</v>
      </c>
      <c r="B9" s="9">
        <f>'ICICI PRUDENTIAL MULTICAP FUND'!B9</f>
        <v>871.01</v>
      </c>
      <c r="C9" s="10">
        <f t="shared" si="0"/>
        <v>5.239650536083146E-3</v>
      </c>
      <c r="D9" s="9">
        <f>'QUANT ACTIVE FUND'!B9</f>
        <v>658.34199999999998</v>
      </c>
      <c r="E9" s="10">
        <f t="shared" si="1"/>
        <v>2.4988541208250978E-3</v>
      </c>
      <c r="F9" s="9">
        <f>'NIPPON INDIA '!B9</f>
        <v>305.09100000000001</v>
      </c>
      <c r="G9" s="10">
        <f t="shared" si="2"/>
        <v>6.2500824549135926E-3</v>
      </c>
      <c r="H9" s="9">
        <f>'NIFTY500 TRI'!B9</f>
        <v>37808.980000000003</v>
      </c>
      <c r="I9" s="10">
        <f t="shared" si="3"/>
        <v>5.4229418655207286E-3</v>
      </c>
    </row>
    <row r="10" spans="1:9" ht="14.25" customHeight="1" x14ac:dyDescent="0.3">
      <c r="A10" s="8">
        <f>'ICICI PRUDENTIAL MULTICAP FUND'!A10</f>
        <v>46253</v>
      </c>
      <c r="B10" s="9">
        <f>'ICICI PRUDENTIAL MULTICAP FUND'!B10</f>
        <v>866.47</v>
      </c>
      <c r="C10" s="10">
        <f t="shared" si="0"/>
        <v>-5.8629156244980538E-3</v>
      </c>
      <c r="D10" s="9">
        <f>'QUANT ACTIVE FUND'!B10</f>
        <v>656.70100000000002</v>
      </c>
      <c r="E10" s="10">
        <f t="shared" si="1"/>
        <v>-4.1731556304997518E-3</v>
      </c>
      <c r="F10" s="9">
        <f>'NIPPON INDIA '!B10</f>
        <v>303.19600000000003</v>
      </c>
      <c r="G10" s="10">
        <f t="shared" si="2"/>
        <v>-4.6550716644669964E-3</v>
      </c>
      <c r="H10" s="9">
        <f>'NIFTY500 TRI'!B10</f>
        <v>37605.050000000003</v>
      </c>
      <c r="I10" s="10">
        <f t="shared" si="3"/>
        <v>-3.6671253774825155E-3</v>
      </c>
    </row>
    <row r="11" spans="1:9" ht="14.25" customHeight="1" x14ac:dyDescent="0.3">
      <c r="A11" s="8">
        <f>'ICICI PRUDENTIAL MULTICAP FUND'!A11</f>
        <v>46252</v>
      </c>
      <c r="B11" s="9">
        <f>'ICICI PRUDENTIAL MULTICAP FUND'!B11</f>
        <v>871.58</v>
      </c>
      <c r="C11" s="10">
        <f t="shared" si="0"/>
        <v>-1.5579535821477004E-3</v>
      </c>
      <c r="D11" s="9">
        <f>'QUANT ACTIVE FUND'!B11</f>
        <v>659.45299999999997</v>
      </c>
      <c r="E11" s="10">
        <f t="shared" si="1"/>
        <v>-2.5757914924767751E-3</v>
      </c>
      <c r="F11" s="9">
        <f>'NIPPON INDIA '!B11</f>
        <v>304.61399999999998</v>
      </c>
      <c r="G11" s="10">
        <f t="shared" si="2"/>
        <v>-4.6595216311594708E-3</v>
      </c>
      <c r="H11" s="9">
        <f>'NIFTY500 TRI'!B11</f>
        <v>37743.46</v>
      </c>
      <c r="I11" s="10">
        <f t="shared" si="3"/>
        <v>-3.8953779598670125E-3</v>
      </c>
    </row>
    <row r="12" spans="1:9" ht="14.25" customHeight="1" x14ac:dyDescent="0.3">
      <c r="A12" s="8">
        <f>'ICICI PRUDENTIAL MULTICAP FUND'!A12</f>
        <v>46251</v>
      </c>
      <c r="B12" s="9">
        <f>'ICICI PRUDENTIAL MULTICAP FUND'!B12</f>
        <v>872.94</v>
      </c>
      <c r="C12" s="10">
        <f t="shared" si="0"/>
        <v>2.5956723480499203E-3</v>
      </c>
      <c r="D12" s="9">
        <f>'QUANT ACTIVE FUND'!B12</f>
        <v>661.15599999999995</v>
      </c>
      <c r="E12" s="10">
        <f t="shared" si="1"/>
        <v>-2.0693496265059303E-3</v>
      </c>
      <c r="F12" s="9">
        <f>'NIPPON INDIA '!B12</f>
        <v>306.04000000000002</v>
      </c>
      <c r="G12" s="10">
        <f t="shared" si="2"/>
        <v>-1.8329952185568098E-3</v>
      </c>
      <c r="H12" s="9">
        <f>'NIFTY500 TRI'!B12</f>
        <v>37891.06</v>
      </c>
      <c r="I12" s="10">
        <f t="shared" si="3"/>
        <v>-1.277032834636092E-3</v>
      </c>
    </row>
    <row r="13" spans="1:9" ht="14.25" customHeight="1" x14ac:dyDescent="0.3">
      <c r="A13" s="8">
        <f>'ICICI PRUDENTIAL MULTICAP FUND'!A13</f>
        <v>46248</v>
      </c>
      <c r="B13" s="9">
        <f>'ICICI PRUDENTIAL MULTICAP FUND'!B13</f>
        <v>870.68</v>
      </c>
      <c r="C13" s="10">
        <f t="shared" si="0"/>
        <v>-4.1290647268069107E-3</v>
      </c>
      <c r="D13" s="9">
        <f>'QUANT ACTIVE FUND'!B13</f>
        <v>662.52700000000004</v>
      </c>
      <c r="E13" s="10">
        <f t="shared" si="1"/>
        <v>2.5061862035967344E-4</v>
      </c>
      <c r="F13" s="9">
        <f>'NIPPON INDIA '!B13</f>
        <v>306.60199999999998</v>
      </c>
      <c r="G13" s="10">
        <f t="shared" si="2"/>
        <v>-2.9592341111892382E-3</v>
      </c>
      <c r="H13" s="9">
        <f>'NIFTY500 TRI'!B13</f>
        <v>37939.51</v>
      </c>
      <c r="I13" s="10">
        <f t="shared" si="3"/>
        <v>-2.5947593222708717E-3</v>
      </c>
    </row>
    <row r="14" spans="1:9" ht="14.25" customHeight="1" x14ac:dyDescent="0.3">
      <c r="A14" s="8">
        <f>'ICICI PRUDENTIAL MULTICAP FUND'!A14</f>
        <v>46247</v>
      </c>
      <c r="B14" s="9">
        <f>'ICICI PRUDENTIAL MULTICAP FUND'!B14</f>
        <v>874.29</v>
      </c>
      <c r="C14" s="10">
        <f t="shared" si="0"/>
        <v>-2.3165053861604053E-3</v>
      </c>
      <c r="D14" s="9">
        <f>'QUANT ACTIVE FUND'!B14</f>
        <v>662.36099999999999</v>
      </c>
      <c r="E14" s="10">
        <f t="shared" si="1"/>
        <v>-4.0627730004525863E-3</v>
      </c>
      <c r="F14" s="9">
        <f>'NIPPON INDIA '!B14</f>
        <v>307.512</v>
      </c>
      <c r="G14" s="10">
        <f t="shared" si="2"/>
        <v>-2.2290792637225032E-3</v>
      </c>
      <c r="H14" s="9">
        <f>'NIFTY500 TRI'!B14</f>
        <v>38038.21</v>
      </c>
      <c r="I14" s="10">
        <f t="shared" si="3"/>
        <v>-5.5150922772937859E-4</v>
      </c>
    </row>
    <row r="15" spans="1:9" ht="14.25" customHeight="1" x14ac:dyDescent="0.3">
      <c r="A15" s="8">
        <f>'ICICI PRUDENTIAL MULTICAP FUND'!A15</f>
        <v>46246</v>
      </c>
      <c r="B15" s="9">
        <f>'ICICI PRUDENTIAL MULTICAP FUND'!B15</f>
        <v>876.32</v>
      </c>
      <c r="C15" s="10">
        <f t="shared" si="0"/>
        <v>5.3662156762005744E-4</v>
      </c>
      <c r="D15" s="9">
        <f>'QUANT ACTIVE FUND'!B15</f>
        <v>665.06299999999999</v>
      </c>
      <c r="E15" s="10">
        <f t="shared" si="1"/>
        <v>-3.4254940068840414E-3</v>
      </c>
      <c r="F15" s="9">
        <f>'NIPPON INDIA '!B15</f>
        <v>308.19900000000001</v>
      </c>
      <c r="G15" s="10">
        <f t="shared" si="2"/>
        <v>1.5901346746725626E-4</v>
      </c>
      <c r="H15" s="9">
        <f>'NIFTY500 TRI'!B15</f>
        <v>38059.199999999997</v>
      </c>
      <c r="I15" s="10">
        <f t="shared" si="3"/>
        <v>-3.5563502915736753E-4</v>
      </c>
    </row>
    <row r="16" spans="1:9" ht="14.25" customHeight="1" x14ac:dyDescent="0.3">
      <c r="A16" s="8">
        <f>'ICICI PRUDENTIAL MULTICAP FUND'!A16</f>
        <v>46245</v>
      </c>
      <c r="B16" s="9">
        <f>'ICICI PRUDENTIAL MULTICAP FUND'!B16</f>
        <v>875.85</v>
      </c>
      <c r="C16" s="10">
        <f t="shared" si="0"/>
        <v>-3.2774572394250741E-3</v>
      </c>
      <c r="D16" s="9">
        <f>'QUANT ACTIVE FUND'!B16</f>
        <v>667.34900000000005</v>
      </c>
      <c r="E16" s="10">
        <f t="shared" si="1"/>
        <v>-1.844201608777902E-3</v>
      </c>
      <c r="F16" s="9">
        <f>'NIPPON INDIA '!B16</f>
        <v>308.14999999999998</v>
      </c>
      <c r="G16" s="10">
        <f t="shared" si="2"/>
        <v>2.0448769341123831E-4</v>
      </c>
      <c r="H16" s="9">
        <f>'NIFTY500 TRI'!B16</f>
        <v>38072.74</v>
      </c>
      <c r="I16" s="10">
        <f t="shared" si="3"/>
        <v>-2.5940643030346014E-3</v>
      </c>
    </row>
    <row r="17" spans="1:9" ht="14.25" customHeight="1" x14ac:dyDescent="0.3">
      <c r="A17" s="8">
        <f>'ICICI PRUDENTIAL MULTICAP FUND'!A17</f>
        <v>46244</v>
      </c>
      <c r="B17" s="9">
        <f>'ICICI PRUDENTIAL MULTICAP FUND'!B17</f>
        <v>878.73</v>
      </c>
      <c r="C17" s="10">
        <f t="shared" si="0"/>
        <v>2.7158098933074632E-3</v>
      </c>
      <c r="D17" s="9">
        <f>'QUANT ACTIVE FUND'!B17</f>
        <v>668.58199999999999</v>
      </c>
      <c r="E17" s="10">
        <f t="shared" si="1"/>
        <v>6.4506376552611621E-4</v>
      </c>
      <c r="F17" s="9">
        <f>'NIPPON INDIA '!B17</f>
        <v>308.08699999999999</v>
      </c>
      <c r="G17" s="10">
        <f t="shared" si="2"/>
        <v>1.6646346419572477E-3</v>
      </c>
      <c r="H17" s="9">
        <f>'NIFTY500 TRI'!B17</f>
        <v>38171.760000000002</v>
      </c>
      <c r="I17" s="10">
        <f t="shared" si="3"/>
        <v>1.3220934405278682E-3</v>
      </c>
    </row>
    <row r="18" spans="1:9" ht="14.25" customHeight="1" x14ac:dyDescent="0.3">
      <c r="A18" s="8">
        <f>'ICICI PRUDENTIAL MULTICAP FUND'!A18</f>
        <v>46241</v>
      </c>
      <c r="B18" s="9">
        <f>'ICICI PRUDENTIAL MULTICAP FUND'!B18</f>
        <v>876.35</v>
      </c>
      <c r="C18" s="10">
        <f t="shared" si="0"/>
        <v>1.3139853747714547E-3</v>
      </c>
      <c r="D18" s="9">
        <f>'QUANT ACTIVE FUND'!B18</f>
        <v>668.15099999999995</v>
      </c>
      <c r="E18" s="10">
        <f t="shared" si="1"/>
        <v>8.4065193538600362E-3</v>
      </c>
      <c r="F18" s="9">
        <f>'NIPPON INDIA '!B18</f>
        <v>307.57499999999999</v>
      </c>
      <c r="G18" s="10">
        <f t="shared" si="2"/>
        <v>-4.97192325690285E-4</v>
      </c>
      <c r="H18" s="9">
        <f>'NIFTY500 TRI'!B18</f>
        <v>38121.360000000001</v>
      </c>
      <c r="I18" s="10">
        <f t="shared" si="3"/>
        <v>-5.5214115937052949E-4</v>
      </c>
    </row>
    <row r="19" spans="1:9" ht="14.25" customHeight="1" x14ac:dyDescent="0.3">
      <c r="A19" s="8">
        <f>'ICICI PRUDENTIAL MULTICAP FUND'!A19</f>
        <v>46240</v>
      </c>
      <c r="B19" s="9">
        <f>'ICICI PRUDENTIAL MULTICAP FUND'!B19</f>
        <v>875.2</v>
      </c>
      <c r="C19" s="10">
        <f t="shared" si="0"/>
        <v>-4.9107499743036441E-4</v>
      </c>
      <c r="D19" s="9">
        <f>'QUANT ACTIVE FUND'!B19</f>
        <v>662.58100000000002</v>
      </c>
      <c r="E19" s="10">
        <f t="shared" si="1"/>
        <v>-3.8682771207870343E-3</v>
      </c>
      <c r="F19" s="9">
        <f>'NIPPON INDIA '!B19</f>
        <v>307.72800000000001</v>
      </c>
      <c r="G19" s="10">
        <f t="shared" si="2"/>
        <v>-2.5347638650286288E-3</v>
      </c>
      <c r="H19" s="9">
        <f>'NIFTY500 TRI'!B19</f>
        <v>38142.42</v>
      </c>
      <c r="I19" s="10">
        <f t="shared" si="3"/>
        <v>-2.5529354039208364E-4</v>
      </c>
    </row>
    <row r="20" spans="1:9" ht="14.25" customHeight="1" x14ac:dyDescent="0.3">
      <c r="A20" s="8">
        <f>'ICICI PRUDENTIAL MULTICAP FUND'!A20</f>
        <v>46239</v>
      </c>
      <c r="B20" s="9">
        <f>'ICICI PRUDENTIAL MULTICAP FUND'!B20</f>
        <v>875.63</v>
      </c>
      <c r="C20" s="10">
        <f t="shared" si="0"/>
        <v>6.3093295331785792E-3</v>
      </c>
      <c r="D20" s="9">
        <f>'QUANT ACTIVE FUND'!B20</f>
        <v>665.154</v>
      </c>
      <c r="E20" s="10">
        <f t="shared" si="1"/>
        <v>3.9363304585643064E-3</v>
      </c>
      <c r="F20" s="9">
        <f>'NIPPON INDIA '!B20</f>
        <v>308.51</v>
      </c>
      <c r="G20" s="10">
        <f t="shared" si="2"/>
        <v>2.9551269339176136E-3</v>
      </c>
      <c r="H20" s="9">
        <f>'NIFTY500 TRI'!B20</f>
        <v>38152.160000000003</v>
      </c>
      <c r="I20" s="10">
        <f t="shared" si="3"/>
        <v>1.9507388541590582E-3</v>
      </c>
    </row>
    <row r="21" spans="1:9" ht="14.25" customHeight="1" x14ac:dyDescent="0.3">
      <c r="A21" s="8">
        <f>'ICICI PRUDENTIAL MULTICAP FUND'!A21</f>
        <v>46238</v>
      </c>
      <c r="B21" s="9">
        <f>'ICICI PRUDENTIAL MULTICAP FUND'!B21</f>
        <v>870.14</v>
      </c>
      <c r="C21" s="10">
        <f t="shared" si="0"/>
        <v>7.9360515268266237E-4</v>
      </c>
      <c r="D21" s="9">
        <f>'QUANT ACTIVE FUND'!B21</f>
        <v>662.54600000000005</v>
      </c>
      <c r="E21" s="10">
        <f t="shared" si="1"/>
        <v>-2.4015984557494772E-3</v>
      </c>
      <c r="F21" s="9">
        <f>'NIPPON INDIA '!B21</f>
        <v>307.601</v>
      </c>
      <c r="G21" s="10">
        <f t="shared" si="2"/>
        <v>-2.0568721916719855E-3</v>
      </c>
      <c r="H21" s="9">
        <f>'NIFTY500 TRI'!B21</f>
        <v>38077.879999999997</v>
      </c>
      <c r="I21" s="10">
        <f t="shared" si="3"/>
        <v>-4.7145386942686251E-3</v>
      </c>
    </row>
    <row r="22" spans="1:9" ht="14.25" customHeight="1" x14ac:dyDescent="0.3">
      <c r="A22" s="8">
        <f>'ICICI PRUDENTIAL MULTICAP FUND'!A22</f>
        <v>46237</v>
      </c>
      <c r="B22" s="9">
        <f>'ICICI PRUDENTIAL MULTICAP FUND'!B22</f>
        <v>869.45</v>
      </c>
      <c r="C22" s="10">
        <f t="shared" si="0"/>
        <v>1.3238704564789257E-2</v>
      </c>
      <c r="D22" s="9">
        <f>'QUANT ACTIVE FUND'!B22</f>
        <v>664.14099999999996</v>
      </c>
      <c r="E22" s="10">
        <f t="shared" si="1"/>
        <v>1.0103452786168041E-2</v>
      </c>
      <c r="F22" s="9">
        <f>'NIPPON INDIA '!B22</f>
        <v>308.23500000000001</v>
      </c>
      <c r="G22" s="10">
        <f t="shared" si="2"/>
        <v>1.7253726811591839E-2</v>
      </c>
      <c r="H22" s="9">
        <f>'NIFTY500 TRI'!B22</f>
        <v>38258.25</v>
      </c>
      <c r="I22" s="10">
        <f t="shared" si="3"/>
        <v>1.5020658180536117E-2</v>
      </c>
    </row>
    <row r="23" spans="1:9" ht="14.25" customHeight="1" x14ac:dyDescent="0.3">
      <c r="A23" s="8">
        <f>'ICICI PRUDENTIAL MULTICAP FUND'!A23</f>
        <v>46234</v>
      </c>
      <c r="B23" s="9">
        <f>'ICICI PRUDENTIAL MULTICAP FUND'!B23</f>
        <v>858.09</v>
      </c>
      <c r="C23" s="10">
        <f t="shared" si="0"/>
        <v>7.8339714829344775E-3</v>
      </c>
      <c r="D23" s="9">
        <f>'QUANT ACTIVE FUND'!B23</f>
        <v>657.49800000000005</v>
      </c>
      <c r="E23" s="10">
        <f t="shared" si="1"/>
        <v>1.1694303595085182E-3</v>
      </c>
      <c r="F23" s="9">
        <f>'NIPPON INDIA '!B23</f>
        <v>303.00700000000001</v>
      </c>
      <c r="G23" s="10">
        <f t="shared" si="2"/>
        <v>2.030470282050288E-3</v>
      </c>
      <c r="H23" s="9">
        <f>'NIFTY500 TRI'!B23</f>
        <v>37692.089999999997</v>
      </c>
      <c r="I23" s="10">
        <f t="shared" si="3"/>
        <v>4.8718519515800187E-3</v>
      </c>
    </row>
    <row r="24" spans="1:9" ht="14.25" customHeight="1" x14ac:dyDescent="0.3">
      <c r="A24" s="8">
        <f>'ICICI PRUDENTIAL MULTICAP FUND'!A24</f>
        <v>46233</v>
      </c>
      <c r="B24" s="9">
        <f>'ICICI PRUDENTIAL MULTICAP FUND'!B24</f>
        <v>851.42</v>
      </c>
      <c r="C24" s="10">
        <f t="shared" si="0"/>
        <v>-2.6590448523469822E-3</v>
      </c>
      <c r="D24" s="9">
        <f>'QUANT ACTIVE FUND'!B24</f>
        <v>656.73</v>
      </c>
      <c r="E24" s="10">
        <f t="shared" si="1"/>
        <v>-5.4894715721089411E-3</v>
      </c>
      <c r="F24" s="9">
        <f>'NIPPON INDIA '!B24</f>
        <v>302.39299999999997</v>
      </c>
      <c r="G24" s="10">
        <f t="shared" si="2"/>
        <v>1.8191560438962344E-4</v>
      </c>
      <c r="H24" s="9">
        <f>'NIFTY500 TRI'!B24</f>
        <v>37509.35</v>
      </c>
      <c r="I24" s="10">
        <f t="shared" si="3"/>
        <v>5.705569675802114E-5</v>
      </c>
    </row>
    <row r="25" spans="1:9" ht="14.25" customHeight="1" x14ac:dyDescent="0.3">
      <c r="A25" s="8">
        <f>'ICICI PRUDENTIAL MULTICAP FUND'!A25</f>
        <v>46232</v>
      </c>
      <c r="B25" s="9">
        <f>'ICICI PRUDENTIAL MULTICAP FUND'!B25</f>
        <v>853.69</v>
      </c>
      <c r="C25" s="10">
        <f t="shared" si="0"/>
        <v>1.2476724741155515E-2</v>
      </c>
      <c r="D25" s="9">
        <f>'QUANT ACTIVE FUND'!B25</f>
        <v>660.35500000000002</v>
      </c>
      <c r="E25" s="10">
        <f t="shared" si="1"/>
        <v>1.2136037655743016E-2</v>
      </c>
      <c r="F25" s="9">
        <f>'NIPPON INDIA '!B25</f>
        <v>302.33800000000002</v>
      </c>
      <c r="G25" s="10">
        <f t="shared" si="2"/>
        <v>1.2769407019824108E-2</v>
      </c>
      <c r="H25" s="9">
        <f>'NIFTY500 TRI'!B25</f>
        <v>37507.21</v>
      </c>
      <c r="I25" s="10">
        <f t="shared" si="3"/>
        <v>1.0291136870827396E-2</v>
      </c>
    </row>
    <row r="26" spans="1:9" ht="14.25" customHeight="1" x14ac:dyDescent="0.3">
      <c r="A26" s="8">
        <f>'ICICI PRUDENTIAL MULTICAP FUND'!A26</f>
        <v>46231</v>
      </c>
      <c r="B26" s="9">
        <f>'ICICI PRUDENTIAL MULTICAP FUND'!B26</f>
        <v>843.17</v>
      </c>
      <c r="C26" s="10">
        <f t="shared" si="0"/>
        <v>-5.8129937507370166E-3</v>
      </c>
      <c r="D26" s="9">
        <f>'QUANT ACTIVE FUND'!B26</f>
        <v>652.43700000000001</v>
      </c>
      <c r="E26" s="10">
        <f t="shared" si="1"/>
        <v>-5.6678594724424341E-3</v>
      </c>
      <c r="F26" s="9">
        <f>'NIPPON INDIA '!B26</f>
        <v>298.52600000000001</v>
      </c>
      <c r="G26" s="10">
        <f t="shared" si="2"/>
        <v>-1.9524589615860491E-3</v>
      </c>
      <c r="H26" s="9">
        <f>'NIFTY500 TRI'!B26</f>
        <v>37125.15</v>
      </c>
      <c r="I26" s="10">
        <f t="shared" si="3"/>
        <v>-1.639321779019078E-3</v>
      </c>
    </row>
    <row r="27" spans="1:9" ht="14.25" customHeight="1" x14ac:dyDescent="0.3">
      <c r="A27" s="8">
        <f>'ICICI PRUDENTIAL MULTICAP FUND'!A27</f>
        <v>46230</v>
      </c>
      <c r="B27" s="9">
        <f>'ICICI PRUDENTIAL MULTICAP FUND'!B27</f>
        <v>848.1</v>
      </c>
      <c r="C27" s="10">
        <f t="shared" si="0"/>
        <v>1.1859310871432728E-2</v>
      </c>
      <c r="D27" s="9">
        <f>'QUANT ACTIVE FUND'!B27</f>
        <v>656.15599999999995</v>
      </c>
      <c r="E27" s="10">
        <f t="shared" si="1"/>
        <v>9.312384825765763E-3</v>
      </c>
      <c r="F27" s="9">
        <f>'NIPPON INDIA '!B27</f>
        <v>299.11</v>
      </c>
      <c r="G27" s="10">
        <f t="shared" si="2"/>
        <v>1.167223050879568E-2</v>
      </c>
      <c r="H27" s="9">
        <f>'NIFTY500 TRI'!B27</f>
        <v>37186.11</v>
      </c>
      <c r="I27" s="10">
        <f t="shared" si="3"/>
        <v>1.0540175144198449E-2</v>
      </c>
    </row>
    <row r="28" spans="1:9" ht="14.25" customHeight="1" x14ac:dyDescent="0.3">
      <c r="A28" s="8">
        <f>'ICICI PRUDENTIAL MULTICAP FUND'!A28</f>
        <v>46227</v>
      </c>
      <c r="B28" s="9">
        <f>'ICICI PRUDENTIAL MULTICAP FUND'!B28</f>
        <v>838.16</v>
      </c>
      <c r="C28" s="10">
        <f t="shared" si="0"/>
        <v>-1.5129313939220446E-3</v>
      </c>
      <c r="D28" s="9">
        <f>'QUANT ACTIVE FUND'!B28</f>
        <v>650.10199999999998</v>
      </c>
      <c r="E28" s="10">
        <f t="shared" si="1"/>
        <v>1.7010838246033547E-3</v>
      </c>
      <c r="F28" s="9">
        <f>'NIPPON INDIA '!B28</f>
        <v>295.65899999999999</v>
      </c>
      <c r="G28" s="10">
        <f t="shared" si="2"/>
        <v>-1.9174484432546112E-3</v>
      </c>
      <c r="H28" s="9">
        <f>'NIFTY500 TRI'!B28</f>
        <v>36798.25</v>
      </c>
      <c r="I28" s="10">
        <f t="shared" si="3"/>
        <v>-2.5165968259543568E-3</v>
      </c>
    </row>
    <row r="29" spans="1:9" ht="14.25" customHeight="1" x14ac:dyDescent="0.3">
      <c r="A29" s="8">
        <f>'ICICI PRUDENTIAL MULTICAP FUND'!A29</f>
        <v>46226</v>
      </c>
      <c r="B29" s="9">
        <f>'ICICI PRUDENTIAL MULTICAP FUND'!B29</f>
        <v>839.43</v>
      </c>
      <c r="C29" s="10">
        <f t="shared" si="0"/>
        <v>-9.8842901121713542E-3</v>
      </c>
      <c r="D29" s="9">
        <f>'QUANT ACTIVE FUND'!B29</f>
        <v>648.99800000000005</v>
      </c>
      <c r="E29" s="10">
        <f t="shared" si="1"/>
        <v>-1.2950314290363819E-2</v>
      </c>
      <c r="F29" s="9">
        <f>'NIPPON INDIA '!B29</f>
        <v>296.22699999999998</v>
      </c>
      <c r="G29" s="10">
        <f t="shared" si="2"/>
        <v>-7.8839577869993117E-3</v>
      </c>
      <c r="H29" s="9">
        <f>'NIFTY500 TRI'!B29</f>
        <v>36891.089999999997</v>
      </c>
      <c r="I29" s="10">
        <f t="shared" si="3"/>
        <v>-7.0067346048871626E-3</v>
      </c>
    </row>
    <row r="30" spans="1:9" ht="14.25" customHeight="1" x14ac:dyDescent="0.3">
      <c r="A30" s="8">
        <f>'ICICI PRUDENTIAL MULTICAP FUND'!A30</f>
        <v>46225</v>
      </c>
      <c r="B30" s="9">
        <f>'ICICI PRUDENTIAL MULTICAP FUND'!B30</f>
        <v>847.81</v>
      </c>
      <c r="C30" s="10">
        <f t="shared" si="0"/>
        <v>-1.1599981346763717E-2</v>
      </c>
      <c r="D30" s="9">
        <f>'QUANT ACTIVE FUND'!B30</f>
        <v>657.51300000000003</v>
      </c>
      <c r="E30" s="10">
        <f t="shared" si="1"/>
        <v>-1.5669630827270253E-2</v>
      </c>
      <c r="F30" s="9">
        <f>'NIPPON INDIA '!B30</f>
        <v>298.58100000000002</v>
      </c>
      <c r="G30" s="10">
        <f t="shared" si="2"/>
        <v>-1.0718450976753906E-2</v>
      </c>
      <c r="H30" s="9">
        <f>'NIFTY500 TRI'!B30</f>
        <v>37151.4</v>
      </c>
      <c r="I30" s="10">
        <f t="shared" si="3"/>
        <v>-8.8654511519803587E-3</v>
      </c>
    </row>
    <row r="31" spans="1:9" ht="14.25" customHeight="1" x14ac:dyDescent="0.3">
      <c r="A31" s="8">
        <f>'ICICI PRUDENTIAL MULTICAP FUND'!A31</f>
        <v>46224</v>
      </c>
      <c r="B31" s="9">
        <f>'ICICI PRUDENTIAL MULTICAP FUND'!B31</f>
        <v>857.76</v>
      </c>
      <c r="C31" s="10">
        <f t="shared" si="0"/>
        <v>7.0087697671961718E-3</v>
      </c>
      <c r="D31" s="9">
        <f>'QUANT ACTIVE FUND'!B31</f>
        <v>667.98</v>
      </c>
      <c r="E31" s="10">
        <f t="shared" si="1"/>
        <v>1.2876224852763401E-3</v>
      </c>
      <c r="F31" s="9">
        <f>'NIPPON INDIA '!B31</f>
        <v>301.81599999999997</v>
      </c>
      <c r="G31" s="10">
        <f t="shared" si="2"/>
        <v>-8.540953541186537E-4</v>
      </c>
      <c r="H31" s="9">
        <f>'NIFTY500 TRI'!B31</f>
        <v>37483.71</v>
      </c>
      <c r="I31" s="10">
        <f t="shared" si="3"/>
        <v>6.0836733321020613E-4</v>
      </c>
    </row>
    <row r="32" spans="1:9" ht="14.25" customHeight="1" x14ac:dyDescent="0.3">
      <c r="A32" s="8">
        <f>'ICICI PRUDENTIAL MULTICAP FUND'!A32</f>
        <v>46223</v>
      </c>
      <c r="B32" s="9">
        <f>'ICICI PRUDENTIAL MULTICAP FUND'!B32</f>
        <v>851.79</v>
      </c>
      <c r="C32" s="10">
        <f t="shared" si="0"/>
        <v>4.63519920741626E-3</v>
      </c>
      <c r="D32" s="9">
        <f>'QUANT ACTIVE FUND'!B32</f>
        <v>667.12099999999998</v>
      </c>
      <c r="E32" s="10">
        <f t="shared" si="1"/>
        <v>5.9714006101083093E-3</v>
      </c>
      <c r="F32" s="9">
        <f>'NIPPON INDIA '!B32</f>
        <v>302.07400000000001</v>
      </c>
      <c r="G32" s="10">
        <f t="shared" si="2"/>
        <v>-3.6184199676089733E-3</v>
      </c>
      <c r="H32" s="9">
        <f>'NIFTY500 TRI'!B32</f>
        <v>37460.92</v>
      </c>
      <c r="I32" s="10">
        <f t="shared" si="3"/>
        <v>7.9288909296989406E-5</v>
      </c>
    </row>
    <row r="33" spans="1:9" ht="14.25" customHeight="1" x14ac:dyDescent="0.3">
      <c r="A33" s="8">
        <f>'ICICI PRUDENTIAL MULTICAP FUND'!A33</f>
        <v>46220</v>
      </c>
      <c r="B33" s="9">
        <f>'ICICI PRUDENTIAL MULTICAP FUND'!B33</f>
        <v>847.86</v>
      </c>
      <c r="C33" s="10">
        <f t="shared" si="0"/>
        <v>-4.7306577140240795E-3</v>
      </c>
      <c r="D33" s="9">
        <f>'QUANT ACTIVE FUND'!B33</f>
        <v>663.16099999999994</v>
      </c>
      <c r="E33" s="10">
        <f t="shared" si="1"/>
        <v>-5.4105377381245075E-4</v>
      </c>
      <c r="F33" s="9">
        <f>'NIPPON INDIA '!B33</f>
        <v>303.17099999999999</v>
      </c>
      <c r="G33" s="10">
        <f t="shared" si="2"/>
        <v>-2.6387051873584106E-5</v>
      </c>
      <c r="H33" s="9">
        <f>'NIFTY500 TRI'!B33</f>
        <v>37457.949999999997</v>
      </c>
      <c r="I33" s="10">
        <f t="shared" si="3"/>
        <v>4.7040748532088152E-3</v>
      </c>
    </row>
    <row r="34" spans="1:9" ht="14.25" customHeight="1" x14ac:dyDescent="0.3">
      <c r="A34" s="8">
        <f>'ICICI PRUDENTIAL MULTICAP FUND'!A34</f>
        <v>46219</v>
      </c>
      <c r="B34" s="9">
        <f>'ICICI PRUDENTIAL MULTICAP FUND'!B34</f>
        <v>851.89</v>
      </c>
      <c r="C34" s="10">
        <f t="shared" si="0"/>
        <v>7.0481269602605783E-4</v>
      </c>
      <c r="D34" s="9">
        <f>'QUANT ACTIVE FUND'!B34</f>
        <v>663.52</v>
      </c>
      <c r="E34" s="10">
        <f t="shared" si="1"/>
        <v>4.2367834219632599E-4</v>
      </c>
      <c r="F34" s="9">
        <f>'NIPPON INDIA '!B34</f>
        <v>303.17899999999997</v>
      </c>
      <c r="G34" s="10">
        <f t="shared" si="2"/>
        <v>-1.6431878502888705E-3</v>
      </c>
      <c r="H34" s="9">
        <f>'NIFTY500 TRI'!B34</f>
        <v>37282.57</v>
      </c>
      <c r="I34" s="10">
        <f t="shared" si="3"/>
        <v>-1.3414531248117062E-3</v>
      </c>
    </row>
    <row r="35" spans="1:9" ht="14.25" customHeight="1" x14ac:dyDescent="0.3">
      <c r="A35" s="8">
        <f>'ICICI PRUDENTIAL MULTICAP FUND'!A35</f>
        <v>46218</v>
      </c>
      <c r="B35" s="9">
        <f>'ICICI PRUDENTIAL MULTICAP FUND'!B35</f>
        <v>851.29</v>
      </c>
      <c r="C35" s="10">
        <f t="shared" si="0"/>
        <v>6.6813301168345603E-3</v>
      </c>
      <c r="D35" s="9">
        <f>'QUANT ACTIVE FUND'!B35</f>
        <v>663.23900000000003</v>
      </c>
      <c r="E35" s="10">
        <f t="shared" si="1"/>
        <v>-2.5356243185320477E-3</v>
      </c>
      <c r="F35" s="9">
        <f>'NIPPON INDIA '!B35</f>
        <v>303.678</v>
      </c>
      <c r="G35" s="10">
        <f t="shared" si="2"/>
        <v>5.5429729407556793E-3</v>
      </c>
      <c r="H35" s="9">
        <f>'NIFTY500 TRI'!B35</f>
        <v>37332.65</v>
      </c>
      <c r="I35" s="10">
        <f t="shared" si="3"/>
        <v>2.8493082093493335E-3</v>
      </c>
    </row>
    <row r="36" spans="1:9" ht="14.25" customHeight="1" x14ac:dyDescent="0.3">
      <c r="A36" s="8">
        <f>'ICICI PRUDENTIAL MULTICAP FUND'!A36</f>
        <v>46217</v>
      </c>
      <c r="B36" s="9">
        <f>'ICICI PRUDENTIAL MULTICAP FUND'!B36</f>
        <v>845.64</v>
      </c>
      <c r="C36" s="10">
        <f t="shared" si="0"/>
        <v>-6.7186619056568636E-3</v>
      </c>
      <c r="D36" s="9">
        <f>'QUANT ACTIVE FUND'!B36</f>
        <v>664.92499999999995</v>
      </c>
      <c r="E36" s="10">
        <f t="shared" si="1"/>
        <v>-2.2704172154771379E-4</v>
      </c>
      <c r="F36" s="9">
        <f>'NIPPON INDIA '!B36</f>
        <v>302.00400000000002</v>
      </c>
      <c r="G36" s="10">
        <f t="shared" si="2"/>
        <v>-6.8140859521961701E-3</v>
      </c>
      <c r="H36" s="9">
        <f>'NIFTY500 TRI'!B36</f>
        <v>37226.58</v>
      </c>
      <c r="I36" s="10">
        <f t="shared" si="3"/>
        <v>-6.3062507557490981E-3</v>
      </c>
    </row>
    <row r="37" spans="1:9" ht="14.25" customHeight="1" x14ac:dyDescent="0.3">
      <c r="A37" s="8">
        <f>'ICICI PRUDENTIAL MULTICAP FUND'!A37</f>
        <v>46216</v>
      </c>
      <c r="B37" s="9">
        <f>'ICICI PRUDENTIAL MULTICAP FUND'!B37</f>
        <v>851.36</v>
      </c>
      <c r="C37" s="10">
        <f t="shared" si="0"/>
        <v>-1.0677367500908962E-3</v>
      </c>
      <c r="D37" s="9">
        <f>'QUANT ACTIVE FUND'!B37</f>
        <v>665.07600000000002</v>
      </c>
      <c r="E37" s="10">
        <f t="shared" si="1"/>
        <v>3.0994493387088251E-3</v>
      </c>
      <c r="F37" s="9">
        <f>'NIPPON INDIA '!B37</f>
        <v>304.07600000000002</v>
      </c>
      <c r="G37" s="10">
        <f t="shared" si="2"/>
        <v>5.6267583619897378E-4</v>
      </c>
      <c r="H37" s="9">
        <f>'NIFTY500 TRI'!B37</f>
        <v>37462.83</v>
      </c>
      <c r="I37" s="10">
        <f t="shared" si="3"/>
        <v>-5.8187626267824055E-5</v>
      </c>
    </row>
    <row r="38" spans="1:9" ht="14.25" customHeight="1" x14ac:dyDescent="0.3">
      <c r="A38" s="8">
        <f>'ICICI PRUDENTIAL MULTICAP FUND'!A38</f>
        <v>46213</v>
      </c>
      <c r="B38" s="9">
        <f>'ICICI PRUDENTIAL MULTICAP FUND'!B38</f>
        <v>852.27</v>
      </c>
      <c r="C38" s="10">
        <f t="shared" si="0"/>
        <v>1.0564883323847429E-2</v>
      </c>
      <c r="D38" s="9">
        <f>'QUANT ACTIVE FUND'!B38</f>
        <v>663.02099999999996</v>
      </c>
      <c r="E38" s="10">
        <f t="shared" si="1"/>
        <v>1.0548696844993042E-2</v>
      </c>
      <c r="F38" s="9">
        <f>'NIPPON INDIA '!B38</f>
        <v>303.90499999999997</v>
      </c>
      <c r="G38" s="10">
        <f t="shared" si="2"/>
        <v>1.0298962457655427E-2</v>
      </c>
      <c r="H38" s="9">
        <f>'NIFTY500 TRI'!B38</f>
        <v>37465.01</v>
      </c>
      <c r="I38" s="10">
        <f t="shared" si="3"/>
        <v>1.1727830298735776E-2</v>
      </c>
    </row>
    <row r="39" spans="1:9" ht="14.25" customHeight="1" x14ac:dyDescent="0.3">
      <c r="A39" s="8">
        <f>'ICICI PRUDENTIAL MULTICAP FUND'!A39</f>
        <v>46212</v>
      </c>
      <c r="B39" s="9">
        <f>'ICICI PRUDENTIAL MULTICAP FUND'!B39</f>
        <v>843.36</v>
      </c>
      <c r="C39" s="10">
        <f t="shared" si="0"/>
        <v>1.0157148332694542E-2</v>
      </c>
      <c r="D39" s="9">
        <f>'QUANT ACTIVE FUND'!B39</f>
        <v>656.1</v>
      </c>
      <c r="E39" s="10">
        <f t="shared" si="1"/>
        <v>1.0905639562295229E-2</v>
      </c>
      <c r="F39" s="9">
        <f>'NIPPON INDIA '!B39</f>
        <v>300.80700000000002</v>
      </c>
      <c r="G39" s="10">
        <f t="shared" si="2"/>
        <v>7.5362493594188038E-3</v>
      </c>
      <c r="H39" s="9">
        <f>'NIFTY500 TRI'!B39</f>
        <v>37030.720000000001</v>
      </c>
      <c r="I39" s="10">
        <f t="shared" si="3"/>
        <v>7.5865465458928574E-3</v>
      </c>
    </row>
    <row r="40" spans="1:9" ht="14.25" customHeight="1" x14ac:dyDescent="0.3">
      <c r="A40" s="8">
        <f>'ICICI PRUDENTIAL MULTICAP FUND'!A40</f>
        <v>46211</v>
      </c>
      <c r="B40" s="9">
        <f>'ICICI PRUDENTIAL MULTICAP FUND'!B40</f>
        <v>834.88</v>
      </c>
      <c r="C40" s="10">
        <f t="shared" si="0"/>
        <v>-1.7314233924598965E-2</v>
      </c>
      <c r="D40" s="9">
        <f>'QUANT ACTIVE FUND'!B40</f>
        <v>649.02200000000005</v>
      </c>
      <c r="E40" s="10">
        <f t="shared" si="1"/>
        <v>-1.8089833413769563E-2</v>
      </c>
      <c r="F40" s="9">
        <f>'NIPPON INDIA '!B40</f>
        <v>298.55700000000002</v>
      </c>
      <c r="G40" s="10">
        <f t="shared" si="2"/>
        <v>-1.9864875512133586E-2</v>
      </c>
      <c r="H40" s="9">
        <f>'NIFTY500 TRI'!B40</f>
        <v>36751.9</v>
      </c>
      <c r="I40" s="10">
        <f t="shared" si="3"/>
        <v>-1.9701775355002914E-2</v>
      </c>
    </row>
    <row r="41" spans="1:9" ht="14.25" customHeight="1" x14ac:dyDescent="0.3">
      <c r="A41" s="8">
        <f>'ICICI PRUDENTIAL MULTICAP FUND'!A41</f>
        <v>46210</v>
      </c>
      <c r="B41" s="9">
        <f>'ICICI PRUDENTIAL MULTICAP FUND'!B41</f>
        <v>849.59</v>
      </c>
      <c r="C41" s="10">
        <f t="shared" si="0"/>
        <v>-9.0280288803611317E-3</v>
      </c>
      <c r="D41" s="9">
        <f>'QUANT ACTIVE FUND'!B41</f>
        <v>660.97900000000004</v>
      </c>
      <c r="E41" s="10">
        <f t="shared" si="1"/>
        <v>-7.3989421930421226E-3</v>
      </c>
      <c r="F41" s="9">
        <f>'NIPPON INDIA '!B41</f>
        <v>304.608</v>
      </c>
      <c r="G41" s="10">
        <f t="shared" si="2"/>
        <v>-1.5209524309015533E-3</v>
      </c>
      <c r="H41" s="9">
        <f>'NIFTY500 TRI'!B41</f>
        <v>37490.53</v>
      </c>
      <c r="I41" s="10">
        <f t="shared" si="3"/>
        <v>-2.7172843223734369E-3</v>
      </c>
    </row>
    <row r="42" spans="1:9" ht="14.25" customHeight="1" x14ac:dyDescent="0.3">
      <c r="A42" s="8">
        <f>'ICICI PRUDENTIAL MULTICAP FUND'!A42</f>
        <v>46209</v>
      </c>
      <c r="B42" s="9">
        <f>'ICICI PRUDENTIAL MULTICAP FUND'!B42</f>
        <v>857.33</v>
      </c>
      <c r="C42" s="10">
        <f t="shared" si="0"/>
        <v>4.2520791847253077E-3</v>
      </c>
      <c r="D42" s="9">
        <f>'QUANT ACTIVE FUND'!B42</f>
        <v>665.90599999999995</v>
      </c>
      <c r="E42" s="10">
        <f t="shared" si="1"/>
        <v>2.3281977796499399E-4</v>
      </c>
      <c r="F42" s="9">
        <f>'NIPPON INDIA '!B42</f>
        <v>305.072</v>
      </c>
      <c r="G42" s="10">
        <f t="shared" si="2"/>
        <v>6.3865723635595194E-3</v>
      </c>
      <c r="H42" s="9">
        <f>'NIFTY500 TRI'!B42</f>
        <v>37592.68</v>
      </c>
      <c r="I42" s="10">
        <f t="shared" si="3"/>
        <v>5.7076999507481418E-3</v>
      </c>
    </row>
    <row r="43" spans="1:9" ht="14.25" customHeight="1" x14ac:dyDescent="0.3">
      <c r="A43" s="8">
        <f>'ICICI PRUDENTIAL MULTICAP FUND'!A43</f>
        <v>46206</v>
      </c>
      <c r="B43" s="9">
        <f>'ICICI PRUDENTIAL MULTICAP FUND'!B43</f>
        <v>853.7</v>
      </c>
      <c r="C43" s="10">
        <f t="shared" si="0"/>
        <v>-2.4421879199335332E-3</v>
      </c>
      <c r="D43" s="9">
        <f>'QUANT ACTIVE FUND'!B43</f>
        <v>665.75099999999998</v>
      </c>
      <c r="E43" s="10">
        <f t="shared" si="1"/>
        <v>4.9329567702115062E-3</v>
      </c>
      <c r="F43" s="9">
        <f>'NIPPON INDIA '!B43</f>
        <v>303.13600000000002</v>
      </c>
      <c r="G43" s="10">
        <f t="shared" si="2"/>
        <v>-3.8480876220395592E-3</v>
      </c>
      <c r="H43" s="9">
        <f>'NIFTY500 TRI'!B43</f>
        <v>37379.33</v>
      </c>
      <c r="I43" s="10">
        <f t="shared" si="3"/>
        <v>1.7921627252666433E-3</v>
      </c>
    </row>
    <row r="44" spans="1:9" ht="14.25" customHeight="1" x14ac:dyDescent="0.3">
      <c r="A44" s="8">
        <f>'ICICI PRUDENTIAL MULTICAP FUND'!A44</f>
        <v>46205</v>
      </c>
      <c r="B44" s="9">
        <f>'ICICI PRUDENTIAL MULTICAP FUND'!B44</f>
        <v>855.79</v>
      </c>
      <c r="C44" s="10">
        <f t="shared" si="0"/>
        <v>8.4252450980391892E-3</v>
      </c>
      <c r="D44" s="9">
        <f>'QUANT ACTIVE FUND'!B44</f>
        <v>662.48299999999995</v>
      </c>
      <c r="E44" s="10">
        <f t="shared" si="1"/>
        <v>7.3121333669872446E-3</v>
      </c>
      <c r="F44" s="9">
        <f>'NIPPON INDIA '!B44</f>
        <v>304.30700000000002</v>
      </c>
      <c r="G44" s="10">
        <f t="shared" si="2"/>
        <v>6.4060588021298799E-3</v>
      </c>
      <c r="H44" s="9">
        <f>'NIFTY500 TRI'!B44</f>
        <v>37312.46</v>
      </c>
      <c r="I44" s="10">
        <f t="shared" si="3"/>
        <v>6.6264078621215789E-3</v>
      </c>
    </row>
    <row r="45" spans="1:9" ht="14.25" customHeight="1" x14ac:dyDescent="0.3">
      <c r="A45" s="8">
        <f>'ICICI PRUDENTIAL MULTICAP FUND'!A45</f>
        <v>46204</v>
      </c>
      <c r="B45" s="9">
        <f>'ICICI PRUDENTIAL MULTICAP FUND'!B45</f>
        <v>848.64</v>
      </c>
      <c r="C45" s="10">
        <f t="shared" si="0"/>
        <v>1.4514815732644391E-3</v>
      </c>
      <c r="D45" s="9">
        <f>'QUANT ACTIVE FUND'!B45</f>
        <v>657.67399999999998</v>
      </c>
      <c r="E45" s="10">
        <f t="shared" si="1"/>
        <v>2.2096113522210884E-3</v>
      </c>
      <c r="F45" s="9">
        <f>'NIPPON INDIA '!B45</f>
        <v>302.37</v>
      </c>
      <c r="G45" s="10">
        <f t="shared" si="2"/>
        <v>3.5546085450002371E-3</v>
      </c>
      <c r="H45" s="9">
        <f>'NIFTY500 TRI'!B45</f>
        <v>37066.839999999997</v>
      </c>
      <c r="I45" s="10">
        <f t="shared" si="3"/>
        <v>5.0457216840762865E-3</v>
      </c>
    </row>
    <row r="46" spans="1:9" ht="14.25" customHeight="1" x14ac:dyDescent="0.3">
      <c r="A46" s="8">
        <f>'ICICI PRUDENTIAL MULTICAP FUND'!A46</f>
        <v>46203</v>
      </c>
      <c r="B46" s="9">
        <f>'ICICI PRUDENTIAL MULTICAP FUND'!B46</f>
        <v>847.41</v>
      </c>
      <c r="C46" s="10">
        <f t="shared" si="0"/>
        <v>1.6311478316371707E-3</v>
      </c>
      <c r="D46" s="9">
        <f>'QUANT ACTIVE FUND'!B46</f>
        <v>656.22400000000005</v>
      </c>
      <c r="E46" s="10">
        <f t="shared" si="1"/>
        <v>1.0922826266041119E-3</v>
      </c>
      <c r="F46" s="9">
        <f>'NIPPON INDIA '!B46</f>
        <v>301.29899999999998</v>
      </c>
      <c r="G46" s="10">
        <f t="shared" si="2"/>
        <v>3.2868525896410873E-4</v>
      </c>
      <c r="H46" s="9">
        <f>'NIFTY500 TRI'!B46</f>
        <v>36880.75</v>
      </c>
      <c r="I46" s="10">
        <f t="shared" si="3"/>
        <v>-7.1034723779378592E-5</v>
      </c>
    </row>
    <row r="47" spans="1:9" ht="14.25" customHeight="1" x14ac:dyDescent="0.3">
      <c r="A47" s="8">
        <f>'ICICI PRUDENTIAL MULTICAP FUND'!A47</f>
        <v>46202</v>
      </c>
      <c r="B47" s="9">
        <f>'ICICI PRUDENTIAL MULTICAP FUND'!B47</f>
        <v>846.03</v>
      </c>
      <c r="C47" s="10">
        <f t="shared" si="0"/>
        <v>-4.2957348648902851E-3</v>
      </c>
      <c r="D47" s="9">
        <f>'QUANT ACTIVE FUND'!B47</f>
        <v>655.50800000000004</v>
      </c>
      <c r="E47" s="10">
        <f t="shared" si="1"/>
        <v>-5.2551629737878688E-3</v>
      </c>
      <c r="F47" s="9">
        <f>'NIPPON INDIA '!B47</f>
        <v>301.2</v>
      </c>
      <c r="G47" s="10">
        <f t="shared" si="2"/>
        <v>-3.4937271716689935E-3</v>
      </c>
      <c r="H47" s="9">
        <f>'NIFTY500 TRI'!B47</f>
        <v>36883.370000000003</v>
      </c>
      <c r="I47" s="10">
        <f t="shared" si="3"/>
        <v>-4.911854523203904E-3</v>
      </c>
    </row>
    <row r="48" spans="1:9" ht="14.25" customHeight="1" x14ac:dyDescent="0.3">
      <c r="A48" s="8">
        <f>'ICICI PRUDENTIAL MULTICAP FUND'!A48</f>
        <v>46198</v>
      </c>
      <c r="B48" s="9">
        <f>'ICICI PRUDENTIAL MULTICAP FUND'!B48</f>
        <v>849.68</v>
      </c>
      <c r="C48" s="10">
        <f t="shared" si="0"/>
        <v>-5.1051472998922933E-3</v>
      </c>
      <c r="D48" s="9">
        <f>'QUANT ACTIVE FUND'!B48</f>
        <v>658.971</v>
      </c>
      <c r="E48" s="10">
        <f t="shared" si="1"/>
        <v>2.70849722531193E-3</v>
      </c>
      <c r="F48" s="9">
        <f>'NIPPON INDIA '!B48</f>
        <v>302.25599999999997</v>
      </c>
      <c r="G48" s="10">
        <f t="shared" si="2"/>
        <v>-3.7049245171073362E-3</v>
      </c>
      <c r="H48" s="9">
        <f>'NIFTY500 TRI'!B48</f>
        <v>37065.43</v>
      </c>
      <c r="I48" s="10">
        <f t="shared" si="3"/>
        <v>-5.1180536511173289E-4</v>
      </c>
    </row>
    <row r="49" spans="1:9" ht="14.25" customHeight="1" x14ac:dyDescent="0.3">
      <c r="A49" s="8">
        <f>'ICICI PRUDENTIAL MULTICAP FUND'!A49</f>
        <v>46197</v>
      </c>
      <c r="B49" s="9">
        <f>'ICICI PRUDENTIAL MULTICAP FUND'!B49</f>
        <v>854.04</v>
      </c>
      <c r="C49" s="10">
        <f t="shared" si="0"/>
        <v>1.8417070395438388E-3</v>
      </c>
      <c r="D49" s="9">
        <f>'QUANT ACTIVE FUND'!B49</f>
        <v>657.19100000000003</v>
      </c>
      <c r="E49" s="10">
        <f t="shared" si="1"/>
        <v>9.1968390760471148E-3</v>
      </c>
      <c r="F49" s="9">
        <f>'NIPPON INDIA '!B49</f>
        <v>303.38</v>
      </c>
      <c r="G49" s="10">
        <f t="shared" si="2"/>
        <v>7.7190528656152627E-4</v>
      </c>
      <c r="H49" s="9">
        <f>'NIFTY500 TRI'!B49</f>
        <v>37084.410000000003</v>
      </c>
      <c r="I49" s="10">
        <f t="shared" si="3"/>
        <v>5.0128132025852199E-3</v>
      </c>
    </row>
    <row r="50" spans="1:9" ht="14.25" customHeight="1" x14ac:dyDescent="0.3">
      <c r="A50" s="8">
        <f>'ICICI PRUDENTIAL MULTICAP FUND'!A50</f>
        <v>46196</v>
      </c>
      <c r="B50" s="9">
        <f>'ICICI PRUDENTIAL MULTICAP FUND'!B50</f>
        <v>852.47</v>
      </c>
      <c r="C50" s="10">
        <f t="shared" si="0"/>
        <v>-1.3150735677158715E-2</v>
      </c>
      <c r="D50" s="9">
        <f>'QUANT ACTIVE FUND'!B50</f>
        <v>651.202</v>
      </c>
      <c r="E50" s="10">
        <f t="shared" si="1"/>
        <v>-1.0544836828526449E-2</v>
      </c>
      <c r="F50" s="9">
        <f>'NIPPON INDIA '!B50</f>
        <v>303.14600000000002</v>
      </c>
      <c r="G50" s="10">
        <f t="shared" si="2"/>
        <v>-7.630689053512902E-3</v>
      </c>
      <c r="H50" s="9">
        <f>'NIFTY500 TRI'!B50</f>
        <v>36899.440000000002</v>
      </c>
      <c r="I50" s="10">
        <f t="shared" si="3"/>
        <v>-1.0596697005253224E-2</v>
      </c>
    </row>
    <row r="51" spans="1:9" ht="14.25" customHeight="1" x14ac:dyDescent="0.3">
      <c r="A51" s="8">
        <f>'ICICI PRUDENTIAL MULTICAP FUND'!A51</f>
        <v>46195</v>
      </c>
      <c r="B51" s="9">
        <f>'ICICI PRUDENTIAL MULTICAP FUND'!B51</f>
        <v>863.83</v>
      </c>
      <c r="C51" s="10">
        <f t="shared" si="0"/>
        <v>8.4403455521830702E-3</v>
      </c>
      <c r="D51" s="9">
        <f>'QUANT ACTIVE FUND'!B51</f>
        <v>658.14200000000005</v>
      </c>
      <c r="E51" s="10">
        <f t="shared" si="1"/>
        <v>8.0426901274486713E-3</v>
      </c>
      <c r="F51" s="9">
        <f>'NIPPON INDIA '!B51</f>
        <v>305.47699999999998</v>
      </c>
      <c r="G51" s="10">
        <f t="shared" si="2"/>
        <v>6.4377328900938335E-3</v>
      </c>
      <c r="H51" s="9">
        <f>'NIFTY500 TRI'!B51</f>
        <v>37294.639999999999</v>
      </c>
      <c r="I51" s="10">
        <f t="shared" si="3"/>
        <v>5.0824595989062832E-3</v>
      </c>
    </row>
    <row r="52" spans="1:9" ht="14.25" customHeight="1" x14ac:dyDescent="0.3">
      <c r="A52" s="8">
        <f>'ICICI PRUDENTIAL MULTICAP FUND'!A52</f>
        <v>46192</v>
      </c>
      <c r="B52" s="9">
        <f>'ICICI PRUDENTIAL MULTICAP FUND'!B52</f>
        <v>856.6</v>
      </c>
      <c r="C52" s="10">
        <f t="shared" si="0"/>
        <v>1.6370439663236404E-3</v>
      </c>
      <c r="D52" s="9">
        <f>'QUANT ACTIVE FUND'!B52</f>
        <v>652.89099999999996</v>
      </c>
      <c r="E52" s="10">
        <f t="shared" si="1"/>
        <v>2.9540622580526261E-3</v>
      </c>
      <c r="F52" s="9">
        <f>'NIPPON INDIA '!B52</f>
        <v>303.52300000000002</v>
      </c>
      <c r="G52" s="10">
        <f t="shared" si="2"/>
        <v>2.7453649254027767E-3</v>
      </c>
      <c r="H52" s="9">
        <f>'NIFTY500 TRI'!B52</f>
        <v>37106.050000000003</v>
      </c>
      <c r="I52" s="10">
        <f t="shared" si="3"/>
        <v>-1.6028254069217654E-3</v>
      </c>
    </row>
    <row r="53" spans="1:9" ht="14.25" customHeight="1" x14ac:dyDescent="0.3">
      <c r="A53" s="8">
        <f>'ICICI PRUDENTIAL MULTICAP FUND'!A53</f>
        <v>46191</v>
      </c>
      <c r="B53" s="9">
        <f>'ICICI PRUDENTIAL MULTICAP FUND'!B53</f>
        <v>855.2</v>
      </c>
      <c r="C53" s="10">
        <f t="shared" si="0"/>
        <v>2.8730577543242984E-3</v>
      </c>
      <c r="D53" s="9">
        <f>'QUANT ACTIVE FUND'!B53</f>
        <v>650.96799999999996</v>
      </c>
      <c r="E53" s="10">
        <f t="shared" si="1"/>
        <v>1.2699030032435983E-2</v>
      </c>
      <c r="F53" s="9">
        <f>'NIPPON INDIA '!B53</f>
        <v>302.69200000000001</v>
      </c>
      <c r="G53" s="10">
        <f t="shared" si="2"/>
        <v>6.3233485155756068E-3</v>
      </c>
      <c r="H53" s="9">
        <f>'NIFTY500 TRI'!B53</f>
        <v>37165.620000000003</v>
      </c>
      <c r="I53" s="10">
        <f t="shared" si="3"/>
        <v>4.1996542033423843E-3</v>
      </c>
    </row>
    <row r="54" spans="1:9" ht="14.25" customHeight="1" x14ac:dyDescent="0.3">
      <c r="A54" s="8">
        <f>'ICICI PRUDENTIAL MULTICAP FUND'!A54</f>
        <v>46190</v>
      </c>
      <c r="B54" s="9">
        <f>'ICICI PRUDENTIAL MULTICAP FUND'!B54</f>
        <v>852.75</v>
      </c>
      <c r="C54" s="10">
        <f t="shared" si="0"/>
        <v>4.4879496784224386E-3</v>
      </c>
      <c r="D54" s="9">
        <f>'QUANT ACTIVE FUND'!B54</f>
        <v>642.80499999999995</v>
      </c>
      <c r="E54" s="10">
        <f t="shared" si="1"/>
        <v>7.8779509231677433E-4</v>
      </c>
      <c r="F54" s="9">
        <f>'NIPPON INDIA '!B54</f>
        <v>300.79000000000002</v>
      </c>
      <c r="G54" s="10">
        <f t="shared" si="2"/>
        <v>7.3072389219311484E-3</v>
      </c>
      <c r="H54" s="9">
        <f>'NIFTY500 TRI'!B54</f>
        <v>37010.19</v>
      </c>
      <c r="I54" s="10">
        <f t="shared" si="3"/>
        <v>4.8897505029854328E-3</v>
      </c>
    </row>
    <row r="55" spans="1:9" ht="14.25" customHeight="1" x14ac:dyDescent="0.3">
      <c r="A55" s="8">
        <f>'ICICI PRUDENTIAL MULTICAP FUND'!A55</f>
        <v>46189</v>
      </c>
      <c r="B55" s="9">
        <f>'ICICI PRUDENTIAL MULTICAP FUND'!B55</f>
        <v>848.94</v>
      </c>
      <c r="C55" s="10">
        <f t="shared" si="0"/>
        <v>5.7752371972421364E-4</v>
      </c>
      <c r="D55" s="9">
        <f>'QUANT ACTIVE FUND'!B55</f>
        <v>642.29899999999998</v>
      </c>
      <c r="E55" s="10">
        <f t="shared" si="1"/>
        <v>4.7476472943884969E-3</v>
      </c>
      <c r="F55" s="9">
        <f>'NIPPON INDIA '!B55</f>
        <v>298.608</v>
      </c>
      <c r="G55" s="10">
        <f t="shared" si="2"/>
        <v>4.4232457541886214E-3</v>
      </c>
      <c r="H55" s="9">
        <f>'NIFTY500 TRI'!B55</f>
        <v>36830.1</v>
      </c>
      <c r="I55" s="10">
        <f t="shared" si="3"/>
        <v>4.6297950620791855E-3</v>
      </c>
    </row>
    <row r="56" spans="1:9" ht="14.25" customHeight="1" x14ac:dyDescent="0.3">
      <c r="A56" s="8">
        <f>'ICICI PRUDENTIAL MULTICAP FUND'!A56</f>
        <v>46188</v>
      </c>
      <c r="B56" s="9">
        <f>'ICICI PRUDENTIAL MULTICAP FUND'!B56</f>
        <v>848.45</v>
      </c>
      <c r="C56" s="10">
        <f t="shared" si="0"/>
        <v>2.5788277396266612E-2</v>
      </c>
      <c r="D56" s="9">
        <f>'QUANT ACTIVE FUND'!B56</f>
        <v>639.26400000000001</v>
      </c>
      <c r="E56" s="10">
        <f t="shared" si="1"/>
        <v>8.1253082215908615E-4</v>
      </c>
      <c r="F56" s="9">
        <f>'NIPPON INDIA '!B56</f>
        <v>297.29300000000001</v>
      </c>
      <c r="G56" s="10">
        <f t="shared" si="2"/>
        <v>1.2819813988348836E-2</v>
      </c>
      <c r="H56" s="9">
        <f>'NIFTY500 TRI'!B56</f>
        <v>36660.370000000003</v>
      </c>
      <c r="I56" s="10">
        <f t="shared" si="3"/>
        <v>1.2898437925231493E-2</v>
      </c>
    </row>
    <row r="57" spans="1:9" ht="14.25" customHeight="1" x14ac:dyDescent="0.3">
      <c r="A57" s="8">
        <f>'ICICI PRUDENTIAL MULTICAP FUND'!A57</f>
        <v>46185</v>
      </c>
      <c r="B57" s="9">
        <f>'ICICI PRUDENTIAL MULTICAP FUND'!B57</f>
        <v>827.12</v>
      </c>
      <c r="C57" s="10">
        <f t="shared" si="0"/>
        <v>2.5096979686938418E-2</v>
      </c>
      <c r="D57" s="9">
        <f>'QUANT ACTIVE FUND'!B57</f>
        <v>638.745</v>
      </c>
      <c r="E57" s="10">
        <f t="shared" si="1"/>
        <v>1.9325444636830075E-2</v>
      </c>
      <c r="F57" s="9">
        <f>'NIPPON INDIA '!B57</f>
        <v>293.52999999999997</v>
      </c>
      <c r="G57" s="10">
        <f t="shared" si="2"/>
        <v>2.0856736444164518E-2</v>
      </c>
      <c r="H57" s="9">
        <f>'NIFTY500 TRI'!B57</f>
        <v>36193.53</v>
      </c>
      <c r="I57" s="10">
        <f t="shared" si="3"/>
        <v>2.2246593573325445E-2</v>
      </c>
    </row>
    <row r="58" spans="1:9" ht="14.25" customHeight="1" x14ac:dyDescent="0.3">
      <c r="A58" s="8">
        <f>'ICICI PRUDENTIAL MULTICAP FUND'!A58</f>
        <v>46184</v>
      </c>
      <c r="B58" s="9">
        <f>'ICICI PRUDENTIAL MULTICAP FUND'!B58</f>
        <v>806.87</v>
      </c>
      <c r="C58" s="10">
        <f t="shared" si="0"/>
        <v>-6.3422083199920903E-3</v>
      </c>
      <c r="D58" s="9">
        <f>'QUANT ACTIVE FUND'!B58</f>
        <v>626.63499999999999</v>
      </c>
      <c r="E58" s="10">
        <f t="shared" si="1"/>
        <v>-5.7326639672003023E-3</v>
      </c>
      <c r="F58" s="9">
        <f>'NIPPON INDIA '!B58</f>
        <v>287.53300000000002</v>
      </c>
      <c r="G58" s="10">
        <f t="shared" si="2"/>
        <v>-7.6548484733442203E-3</v>
      </c>
      <c r="H58" s="9">
        <f>'NIFTY500 TRI'!B58</f>
        <v>35405.870000000003</v>
      </c>
      <c r="I58" s="10">
        <f t="shared" si="3"/>
        <v>-5.3706697605560086E-3</v>
      </c>
    </row>
    <row r="59" spans="1:9" ht="14.25" customHeight="1" x14ac:dyDescent="0.3">
      <c r="A59" s="8">
        <f>'ICICI PRUDENTIAL MULTICAP FUND'!A59</f>
        <v>46183</v>
      </c>
      <c r="B59" s="9">
        <f>'ICICI PRUDENTIAL MULTICAP FUND'!B59</f>
        <v>812.02</v>
      </c>
      <c r="C59" s="10">
        <f t="shared" si="0"/>
        <v>-1.0491939119944449E-2</v>
      </c>
      <c r="D59" s="9">
        <f>'QUANT ACTIVE FUND'!B59</f>
        <v>630.24800000000005</v>
      </c>
      <c r="E59" s="10">
        <f t="shared" si="1"/>
        <v>-1.0085303352291278E-2</v>
      </c>
      <c r="F59" s="9">
        <f>'NIPPON INDIA '!B59</f>
        <v>289.75099999999998</v>
      </c>
      <c r="G59" s="10">
        <f t="shared" si="2"/>
        <v>-4.3742096871736509E-3</v>
      </c>
      <c r="H59" s="9">
        <f>'NIFTY500 TRI'!B59</f>
        <v>35597.050000000003</v>
      </c>
      <c r="I59" s="10">
        <f t="shared" si="3"/>
        <v>-6.0671228340378079E-3</v>
      </c>
    </row>
    <row r="60" spans="1:9" ht="14.25" customHeight="1" x14ac:dyDescent="0.3">
      <c r="A60" s="8">
        <f>'ICICI PRUDENTIAL MULTICAP FUND'!A60</f>
        <v>46182</v>
      </c>
      <c r="B60" s="9">
        <f>'ICICI PRUDENTIAL MULTICAP FUND'!B60</f>
        <v>820.63</v>
      </c>
      <c r="C60" s="10">
        <f t="shared" si="0"/>
        <v>1.1263231832801373E-2</v>
      </c>
      <c r="D60" s="9">
        <f>'QUANT ACTIVE FUND'!B60</f>
        <v>636.66899999999998</v>
      </c>
      <c r="E60" s="10">
        <f t="shared" si="1"/>
        <v>1.2200414947654557E-2</v>
      </c>
      <c r="F60" s="9">
        <f>'NIPPON INDIA '!B60</f>
        <v>291.024</v>
      </c>
      <c r="G60" s="10">
        <f t="shared" si="2"/>
        <v>8.8151386053154507E-3</v>
      </c>
      <c r="H60" s="9">
        <f>'NIFTY500 TRI'!B60</f>
        <v>35814.339999999997</v>
      </c>
      <c r="I60" s="10">
        <f t="shared" si="3"/>
        <v>8.8597632326022167E-3</v>
      </c>
    </row>
    <row r="61" spans="1:9" ht="14.25" customHeight="1" x14ac:dyDescent="0.3">
      <c r="A61" s="8">
        <f>'ICICI PRUDENTIAL MULTICAP FUND'!A61</f>
        <v>46181</v>
      </c>
      <c r="B61" s="9">
        <f>'ICICI PRUDENTIAL MULTICAP FUND'!B61</f>
        <v>811.49</v>
      </c>
      <c r="C61" s="10">
        <f t="shared" si="0"/>
        <v>-1.9833073643270357E-2</v>
      </c>
      <c r="D61" s="9">
        <f>'QUANT ACTIVE FUND'!B61</f>
        <v>628.995</v>
      </c>
      <c r="E61" s="10">
        <f t="shared" si="1"/>
        <v>-1.8552470412008373E-2</v>
      </c>
      <c r="F61" s="9">
        <f>'NIPPON INDIA '!B61</f>
        <v>288.48099999999999</v>
      </c>
      <c r="G61" s="10">
        <f t="shared" si="2"/>
        <v>-1.5604632593310378E-2</v>
      </c>
      <c r="H61" s="9">
        <f>'NIFTY500 TRI'!B61</f>
        <v>35499.82</v>
      </c>
      <c r="I61" s="10">
        <f t="shared" si="3"/>
        <v>-1.2983091619544456E-2</v>
      </c>
    </row>
    <row r="62" spans="1:9" ht="14.25" customHeight="1" x14ac:dyDescent="0.3">
      <c r="A62" s="8">
        <f>'ICICI PRUDENTIAL MULTICAP FUND'!A62</f>
        <v>46178</v>
      </c>
      <c r="B62" s="9">
        <f>'ICICI PRUDENTIAL MULTICAP FUND'!B62</f>
        <v>827.91</v>
      </c>
      <c r="C62" s="10">
        <f t="shared" si="0"/>
        <v>-4.1977387539090805E-3</v>
      </c>
      <c r="D62" s="9">
        <f>'QUANT ACTIVE FUND'!B62</f>
        <v>640.88499999999999</v>
      </c>
      <c r="E62" s="10">
        <f t="shared" si="1"/>
        <v>5.2010056950699156E-3</v>
      </c>
      <c r="F62" s="9">
        <f>'NIPPON INDIA '!B62</f>
        <v>293.05399999999997</v>
      </c>
      <c r="G62" s="10">
        <f t="shared" si="2"/>
        <v>-8.6939030169565982E-4</v>
      </c>
      <c r="H62" s="9">
        <f>'NIFTY500 TRI'!B62</f>
        <v>35966.78</v>
      </c>
      <c r="I62" s="10">
        <f t="shared" si="3"/>
        <v>-1.1674917423009383E-3</v>
      </c>
    </row>
    <row r="63" spans="1:9" ht="14.25" customHeight="1" x14ac:dyDescent="0.3">
      <c r="A63" s="8">
        <f>'ICICI PRUDENTIAL MULTICAP FUND'!A63</f>
        <v>46177</v>
      </c>
      <c r="B63" s="9">
        <f>'ICICI PRUDENTIAL MULTICAP FUND'!B63</f>
        <v>831.4</v>
      </c>
      <c r="C63" s="10">
        <f t="shared" si="0"/>
        <v>2.4234678498655528E-3</v>
      </c>
      <c r="D63" s="9">
        <f>'QUANT ACTIVE FUND'!B63</f>
        <v>637.56899999999996</v>
      </c>
      <c r="E63" s="10">
        <f t="shared" si="1"/>
        <v>2.4039368593170183E-3</v>
      </c>
      <c r="F63" s="9">
        <f>'NIPPON INDIA '!B63</f>
        <v>293.30900000000003</v>
      </c>
      <c r="G63" s="10">
        <f t="shared" si="2"/>
        <v>3.4725310817192391E-3</v>
      </c>
      <c r="H63" s="9">
        <f>'NIFTY500 TRI'!B63</f>
        <v>36008.82</v>
      </c>
      <c r="I63" s="10">
        <f t="shared" si="3"/>
        <v>2.0439472308201386E-3</v>
      </c>
    </row>
    <row r="64" spans="1:9" ht="14.25" customHeight="1" x14ac:dyDescent="0.3">
      <c r="A64" s="8">
        <f>'ICICI PRUDENTIAL MULTICAP FUND'!A64</f>
        <v>46176</v>
      </c>
      <c r="B64" s="9">
        <f>'ICICI PRUDENTIAL MULTICAP FUND'!B64</f>
        <v>829.39</v>
      </c>
      <c r="C64" s="10">
        <f t="shared" si="0"/>
        <v>-4.4591207096028314E-4</v>
      </c>
      <c r="D64" s="9">
        <f>'QUANT ACTIVE FUND'!B64</f>
        <v>636.04</v>
      </c>
      <c r="E64" s="10">
        <f t="shared" si="1"/>
        <v>-8.9693706203635565E-4</v>
      </c>
      <c r="F64" s="9">
        <f>'NIPPON INDIA '!B64</f>
        <v>292.29399999999998</v>
      </c>
      <c r="G64" s="10">
        <f t="shared" si="2"/>
        <v>-1.4143788348799625E-3</v>
      </c>
      <c r="H64" s="9">
        <f>'NIFTY500 TRI'!B64</f>
        <v>35935.370000000003</v>
      </c>
      <c r="I64" s="10">
        <f t="shared" si="3"/>
        <v>-3.0389866419419792E-3</v>
      </c>
    </row>
    <row r="65" spans="1:9" ht="14.25" customHeight="1" x14ac:dyDescent="0.3">
      <c r="A65" s="8">
        <f>'ICICI PRUDENTIAL MULTICAP FUND'!A65</f>
        <v>46175</v>
      </c>
      <c r="B65" s="9">
        <f>'ICICI PRUDENTIAL MULTICAP FUND'!B65</f>
        <v>829.76</v>
      </c>
      <c r="C65" s="10">
        <f t="shared" si="0"/>
        <v>1.5329092686694851E-3</v>
      </c>
      <c r="D65" s="9">
        <f>'QUANT ACTIVE FUND'!B65</f>
        <v>636.61099999999999</v>
      </c>
      <c r="E65" s="10">
        <f t="shared" si="1"/>
        <v>2.4943821286338161E-3</v>
      </c>
      <c r="F65" s="9">
        <f>'NIPPON INDIA '!B65</f>
        <v>292.70800000000003</v>
      </c>
      <c r="G65" s="10">
        <f t="shared" si="2"/>
        <v>1.72139422665609E-3</v>
      </c>
      <c r="H65" s="9">
        <f>'NIFTY500 TRI'!B65</f>
        <v>36044.910000000003</v>
      </c>
      <c r="I65" s="10">
        <f t="shared" si="3"/>
        <v>3.7063016316917982E-3</v>
      </c>
    </row>
    <row r="66" spans="1:9" ht="14.25" customHeight="1" x14ac:dyDescent="0.3">
      <c r="A66" s="8">
        <f>'ICICI PRUDENTIAL MULTICAP FUND'!A66</f>
        <v>46174</v>
      </c>
      <c r="B66" s="9">
        <f>'ICICI PRUDENTIAL MULTICAP FUND'!B66</f>
        <v>828.49</v>
      </c>
      <c r="C66" s="10">
        <f t="shared" ref="C66:C129" si="4">(B66-B67)/B67</f>
        <v>-1.2738625801377466E-2</v>
      </c>
      <c r="D66" s="9">
        <f>'QUANT ACTIVE FUND'!B66</f>
        <v>635.02700000000004</v>
      </c>
      <c r="E66" s="10">
        <f t="shared" ref="E66:E129" si="5">(D66-D67)/D67</f>
        <v>-1.0859829999735171E-2</v>
      </c>
      <c r="F66" s="9">
        <f>'NIPPON INDIA '!B66</f>
        <v>292.20499999999998</v>
      </c>
      <c r="G66" s="10">
        <f t="shared" ref="G66:G129" si="6">(F66-F67)/F67</f>
        <v>-1.4761466436039971E-2</v>
      </c>
      <c r="H66" s="9">
        <f>'NIFTY500 TRI'!B66</f>
        <v>35911.81</v>
      </c>
      <c r="I66" s="10">
        <f t="shared" ref="I66:I129" si="7">(H66-H67)/H67</f>
        <v>-9.651754739147124E-3</v>
      </c>
    </row>
    <row r="67" spans="1:9" ht="14.25" customHeight="1" x14ac:dyDescent="0.3">
      <c r="A67" s="8">
        <f>'ICICI PRUDENTIAL MULTICAP FUND'!A67</f>
        <v>46171</v>
      </c>
      <c r="B67" s="9">
        <f>'ICICI PRUDENTIAL MULTICAP FUND'!B67</f>
        <v>839.18</v>
      </c>
      <c r="C67" s="10">
        <f t="shared" si="4"/>
        <v>-1.3124162099866032E-2</v>
      </c>
      <c r="D67" s="9">
        <f>'QUANT ACTIVE FUND'!B67</f>
        <v>641.99900000000002</v>
      </c>
      <c r="E67" s="10">
        <f t="shared" si="5"/>
        <v>-8.9059663336256267E-3</v>
      </c>
      <c r="F67" s="9">
        <f>'NIPPON INDIA '!B67</f>
        <v>296.58300000000003</v>
      </c>
      <c r="G67" s="10">
        <f t="shared" si="6"/>
        <v>-1.0816273438594367E-2</v>
      </c>
      <c r="H67" s="9">
        <f>'NIFTY500 TRI'!B67</f>
        <v>36261.800000000003</v>
      </c>
      <c r="I67" s="10">
        <f t="shared" si="7"/>
        <v>-1.3405429701008097E-2</v>
      </c>
    </row>
    <row r="68" spans="1:9" ht="14.25" customHeight="1" x14ac:dyDescent="0.3">
      <c r="A68" s="8">
        <f>'ICICI PRUDENTIAL MULTICAP FUND'!A68</f>
        <v>46169</v>
      </c>
      <c r="B68" s="9">
        <f>'ICICI PRUDENTIAL MULTICAP FUND'!B68</f>
        <v>850.34</v>
      </c>
      <c r="C68" s="10">
        <f t="shared" si="4"/>
        <v>8.204690427070822E-3</v>
      </c>
      <c r="D68" s="9">
        <f>'QUANT ACTIVE FUND'!B68</f>
        <v>647.76800000000003</v>
      </c>
      <c r="E68" s="10">
        <f t="shared" si="5"/>
        <v>5.1719723478707456E-3</v>
      </c>
      <c r="F68" s="9">
        <f>'NIPPON INDIA '!B68</f>
        <v>299.82600000000002</v>
      </c>
      <c r="G68" s="10">
        <f t="shared" si="6"/>
        <v>5.6719271470978948E-3</v>
      </c>
      <c r="H68" s="9">
        <f>'NIFTY500 TRI'!B68</f>
        <v>36754.51</v>
      </c>
      <c r="I68" s="10">
        <f t="shared" si="7"/>
        <v>3.0705201681131499E-3</v>
      </c>
    </row>
    <row r="69" spans="1:9" ht="14.25" customHeight="1" x14ac:dyDescent="0.3">
      <c r="A69" s="8">
        <f>'ICICI PRUDENTIAL MULTICAP FUND'!A69</f>
        <v>46168</v>
      </c>
      <c r="B69" s="9">
        <f>'ICICI PRUDENTIAL MULTICAP FUND'!B69</f>
        <v>843.42</v>
      </c>
      <c r="C69" s="10">
        <f t="shared" si="4"/>
        <v>2.817906188692711E-3</v>
      </c>
      <c r="D69" s="9">
        <f>'QUANT ACTIVE FUND'!B69</f>
        <v>644.43499999999995</v>
      </c>
      <c r="E69" s="10">
        <f t="shared" si="5"/>
        <v>5.817002441049551E-3</v>
      </c>
      <c r="F69" s="9">
        <f>'NIPPON INDIA '!B69</f>
        <v>298.13499999999999</v>
      </c>
      <c r="G69" s="10">
        <f t="shared" si="6"/>
        <v>-2.659485498277242E-3</v>
      </c>
      <c r="H69" s="9">
        <f>'NIFTY500 TRI'!B69</f>
        <v>36642</v>
      </c>
      <c r="I69" s="10">
        <f t="shared" si="7"/>
        <v>-1.4056954922360191E-3</v>
      </c>
    </row>
    <row r="70" spans="1:9" ht="14.25" customHeight="1" x14ac:dyDescent="0.3">
      <c r="A70" s="8">
        <f>'ICICI PRUDENTIAL MULTICAP FUND'!A70</f>
        <v>46167</v>
      </c>
      <c r="B70" s="9">
        <f>'ICICI PRUDENTIAL MULTICAP FUND'!B70</f>
        <v>841.05</v>
      </c>
      <c r="C70" s="10">
        <f t="shared" si="4"/>
        <v>1.0500895099181807E-2</v>
      </c>
      <c r="D70" s="9">
        <f>'QUANT ACTIVE FUND'!B70</f>
        <v>640.70799999999997</v>
      </c>
      <c r="E70" s="10">
        <f t="shared" si="5"/>
        <v>1.4608469269956631E-2</v>
      </c>
      <c r="F70" s="9">
        <f>'NIPPON INDIA '!B70</f>
        <v>298.93</v>
      </c>
      <c r="G70" s="10">
        <f t="shared" si="6"/>
        <v>7.8658921027523112E-3</v>
      </c>
      <c r="H70" s="9">
        <f>'NIFTY500 TRI'!B70</f>
        <v>36693.58</v>
      </c>
      <c r="I70" s="10">
        <f t="shared" si="7"/>
        <v>1.2500638097379835E-2</v>
      </c>
    </row>
    <row r="71" spans="1:9" ht="14.25" customHeight="1" x14ac:dyDescent="0.3">
      <c r="A71" s="8">
        <f>'ICICI PRUDENTIAL MULTICAP FUND'!A71</f>
        <v>46164</v>
      </c>
      <c r="B71" s="9">
        <f>'ICICI PRUDENTIAL MULTICAP FUND'!B71</f>
        <v>832.31</v>
      </c>
      <c r="C71" s="10">
        <f t="shared" si="4"/>
        <v>3.6057258927170893E-4</v>
      </c>
      <c r="D71" s="9">
        <f>'QUANT ACTIVE FUND'!B71</f>
        <v>631.48299999999995</v>
      </c>
      <c r="E71" s="10">
        <f t="shared" si="5"/>
        <v>-7.0897118202744918E-3</v>
      </c>
      <c r="F71" s="9">
        <f>'NIPPON INDIA '!B71</f>
        <v>296.59699999999998</v>
      </c>
      <c r="G71" s="10">
        <f t="shared" si="6"/>
        <v>1.9424231982757656E-3</v>
      </c>
      <c r="H71" s="9">
        <f>'NIFTY500 TRI'!B71</f>
        <v>36240.550000000003</v>
      </c>
      <c r="I71" s="10">
        <f t="shared" si="7"/>
        <v>2.4050163745796926E-3</v>
      </c>
    </row>
    <row r="72" spans="1:9" ht="14.25" customHeight="1" x14ac:dyDescent="0.3">
      <c r="A72" s="8">
        <f>'ICICI PRUDENTIAL MULTICAP FUND'!A72</f>
        <v>46163</v>
      </c>
      <c r="B72" s="9">
        <f>'ICICI PRUDENTIAL MULTICAP FUND'!B72</f>
        <v>832.01</v>
      </c>
      <c r="C72" s="10">
        <f t="shared" si="4"/>
        <v>4.6731229019248005E-3</v>
      </c>
      <c r="D72" s="9">
        <f>'QUANT ACTIVE FUND'!B72</f>
        <v>635.99199999999996</v>
      </c>
      <c r="E72" s="10">
        <f t="shared" si="5"/>
        <v>8.2004505254280585E-3</v>
      </c>
      <c r="F72" s="9">
        <f>'NIPPON INDIA '!B72</f>
        <v>296.02199999999999</v>
      </c>
      <c r="G72" s="10">
        <f t="shared" si="6"/>
        <v>3.1549589787556488E-3</v>
      </c>
      <c r="H72" s="9">
        <f>'NIFTY500 TRI'!B72</f>
        <v>36153.599999999999</v>
      </c>
      <c r="I72" s="10">
        <f t="shared" si="7"/>
        <v>1.0984680980441136E-3</v>
      </c>
    </row>
    <row r="73" spans="1:9" ht="14.25" customHeight="1" x14ac:dyDescent="0.3">
      <c r="A73" s="8">
        <f>'ICICI PRUDENTIAL MULTICAP FUND'!A73</f>
        <v>46162</v>
      </c>
      <c r="B73" s="9">
        <f>'ICICI PRUDENTIAL MULTICAP FUND'!B73</f>
        <v>828.14</v>
      </c>
      <c r="C73" s="10">
        <f t="shared" si="4"/>
        <v>5.4269306882611086E-3</v>
      </c>
      <c r="D73" s="9">
        <f>'QUANT ACTIVE FUND'!B73</f>
        <v>630.81899999999996</v>
      </c>
      <c r="E73" s="10">
        <f t="shared" si="5"/>
        <v>3.7344543591440512E-3</v>
      </c>
      <c r="F73" s="9">
        <f>'NIPPON INDIA '!B73</f>
        <v>295.09100000000001</v>
      </c>
      <c r="G73" s="10">
        <f t="shared" si="6"/>
        <v>2.5174112451163085E-3</v>
      </c>
      <c r="H73" s="9">
        <f>'NIFTY500 TRI'!B73</f>
        <v>36113.93</v>
      </c>
      <c r="I73" s="10">
        <f t="shared" si="7"/>
        <v>2.5105840661191442E-3</v>
      </c>
    </row>
    <row r="74" spans="1:9" ht="14.25" customHeight="1" x14ac:dyDescent="0.3">
      <c r="A74" s="8">
        <f>'ICICI PRUDENTIAL MULTICAP FUND'!A74</f>
        <v>46161</v>
      </c>
      <c r="B74" s="9">
        <f>'ICICI PRUDENTIAL MULTICAP FUND'!B74</f>
        <v>823.67</v>
      </c>
      <c r="C74" s="10">
        <f t="shared" si="4"/>
        <v>7.8432812079386825E-3</v>
      </c>
      <c r="D74" s="9">
        <f>'QUANT ACTIVE FUND'!B74</f>
        <v>628.47199999999998</v>
      </c>
      <c r="E74" s="10">
        <f t="shared" si="5"/>
        <v>4.865460348017131E-3</v>
      </c>
      <c r="F74" s="9">
        <f>'NIPPON INDIA '!B74</f>
        <v>294.35000000000002</v>
      </c>
      <c r="G74" s="10">
        <f t="shared" si="6"/>
        <v>7.7062913601211687E-3</v>
      </c>
      <c r="H74" s="9">
        <f>'NIFTY500 TRI'!B74</f>
        <v>36023.49</v>
      </c>
      <c r="I74" s="10">
        <f t="shared" si="7"/>
        <v>2.7030276916293985E-3</v>
      </c>
    </row>
    <row r="75" spans="1:9" ht="14.25" customHeight="1" x14ac:dyDescent="0.3">
      <c r="A75" s="8">
        <f>'ICICI PRUDENTIAL MULTICAP FUND'!A75</f>
        <v>46160</v>
      </c>
      <c r="B75" s="9">
        <f>'ICICI PRUDENTIAL MULTICAP FUND'!B75</f>
        <v>817.26</v>
      </c>
      <c r="C75" s="10">
        <f t="shared" si="4"/>
        <v>-6.8779468235064993E-3</v>
      </c>
      <c r="D75" s="9">
        <f>'QUANT ACTIVE FUND'!B75</f>
        <v>625.42899999999997</v>
      </c>
      <c r="E75" s="10">
        <f t="shared" si="5"/>
        <v>-6.695836542813821E-3</v>
      </c>
      <c r="F75" s="9">
        <f>'NIPPON INDIA '!B75</f>
        <v>292.09899999999999</v>
      </c>
      <c r="G75" s="10">
        <f t="shared" si="6"/>
        <v>-5.2546978974397614E-3</v>
      </c>
      <c r="H75" s="9">
        <f>'NIFTY500 TRI'!B75</f>
        <v>35926.379999999997</v>
      </c>
      <c r="I75" s="10">
        <f t="shared" si="7"/>
        <v>-3.1105640415468637E-3</v>
      </c>
    </row>
    <row r="76" spans="1:9" ht="14.25" customHeight="1" x14ac:dyDescent="0.3">
      <c r="A76" s="8">
        <f>'ICICI PRUDENTIAL MULTICAP FUND'!A76</f>
        <v>46157</v>
      </c>
      <c r="B76" s="9">
        <f>'ICICI PRUDENTIAL MULTICAP FUND'!B76</f>
        <v>822.92</v>
      </c>
      <c r="C76" s="10">
        <f t="shared" si="4"/>
        <v>-6.375271673508918E-3</v>
      </c>
      <c r="D76" s="9">
        <f>'QUANT ACTIVE FUND'!B76</f>
        <v>629.64499999999998</v>
      </c>
      <c r="E76" s="10">
        <f t="shared" si="5"/>
        <v>-5.1775732238728365E-3</v>
      </c>
      <c r="F76" s="9">
        <f>'NIPPON INDIA '!B76</f>
        <v>293.642</v>
      </c>
      <c r="G76" s="10">
        <f t="shared" si="6"/>
        <v>-1.4656224814926335E-3</v>
      </c>
      <c r="H76" s="9">
        <f>'NIFTY500 TRI'!B76</f>
        <v>36038.480000000003</v>
      </c>
      <c r="I76" s="10">
        <f t="shared" si="7"/>
        <v>-3.2332670822432011E-3</v>
      </c>
    </row>
    <row r="77" spans="1:9" ht="14.25" customHeight="1" x14ac:dyDescent="0.3">
      <c r="A77" s="8">
        <f>'ICICI PRUDENTIAL MULTICAP FUND'!A77</f>
        <v>46156</v>
      </c>
      <c r="B77" s="9">
        <f>'ICICI PRUDENTIAL MULTICAP FUND'!B77</f>
        <v>828.2</v>
      </c>
      <c r="C77" s="10">
        <f t="shared" si="4"/>
        <v>9.5813930809176846E-3</v>
      </c>
      <c r="D77" s="9">
        <f>'QUANT ACTIVE FUND'!B77</f>
        <v>632.92200000000003</v>
      </c>
      <c r="E77" s="10">
        <f t="shared" si="5"/>
        <v>1.1944980502069711E-2</v>
      </c>
      <c r="F77" s="9">
        <f>'NIPPON INDIA '!B77</f>
        <v>294.07299999999998</v>
      </c>
      <c r="G77" s="10">
        <f t="shared" si="6"/>
        <v>8.6364493834781512E-3</v>
      </c>
      <c r="H77" s="9">
        <f>'NIFTY500 TRI'!B77</f>
        <v>36155.379999999997</v>
      </c>
      <c r="I77" s="10">
        <f t="shared" si="7"/>
        <v>1.053652483062395E-2</v>
      </c>
    </row>
    <row r="78" spans="1:9" ht="14.25" customHeight="1" x14ac:dyDescent="0.3">
      <c r="A78" s="8">
        <f>'ICICI PRUDENTIAL MULTICAP FUND'!A78</f>
        <v>46155</v>
      </c>
      <c r="B78" s="9">
        <f>'ICICI PRUDENTIAL MULTICAP FUND'!B78</f>
        <v>820.34</v>
      </c>
      <c r="C78" s="10">
        <f t="shared" si="4"/>
        <v>7.5411446818963229E-3</v>
      </c>
      <c r="D78" s="9">
        <f>'QUANT ACTIVE FUND'!B78</f>
        <v>625.45100000000002</v>
      </c>
      <c r="E78" s="10">
        <f t="shared" si="5"/>
        <v>1.0248648858192341E-2</v>
      </c>
      <c r="F78" s="9">
        <f>'NIPPON INDIA '!B78</f>
        <v>291.55500000000001</v>
      </c>
      <c r="G78" s="10">
        <f t="shared" si="6"/>
        <v>1.4219914062258054E-3</v>
      </c>
      <c r="H78" s="9">
        <f>'NIFTY500 TRI'!B78</f>
        <v>35778.400000000001</v>
      </c>
      <c r="I78" s="10">
        <f t="shared" si="7"/>
        <v>3.4738914034510215E-3</v>
      </c>
    </row>
    <row r="79" spans="1:9" ht="14.25" customHeight="1" x14ac:dyDescent="0.3">
      <c r="A79" s="8">
        <f>'ICICI PRUDENTIAL MULTICAP FUND'!A79</f>
        <v>46154</v>
      </c>
      <c r="B79" s="9">
        <f>'ICICI PRUDENTIAL MULTICAP FUND'!B79</f>
        <v>814.2</v>
      </c>
      <c r="C79" s="10">
        <f t="shared" si="4"/>
        <v>-3.3590504451038519E-2</v>
      </c>
      <c r="D79" s="9">
        <f>'QUANT ACTIVE FUND'!B79</f>
        <v>619.10599999999999</v>
      </c>
      <c r="E79" s="10">
        <f t="shared" si="5"/>
        <v>-3.3370336888485098E-2</v>
      </c>
      <c r="F79" s="9">
        <f>'NIPPON INDIA '!B79</f>
        <v>291.14100000000002</v>
      </c>
      <c r="G79" s="10">
        <f t="shared" si="6"/>
        <v>-3.7531322935330971E-2</v>
      </c>
      <c r="H79" s="9">
        <f>'NIFTY500 TRI'!B79</f>
        <v>35654.54</v>
      </c>
      <c r="I79" s="10">
        <f t="shared" si="7"/>
        <v>-3.527834155023616E-2</v>
      </c>
    </row>
    <row r="80" spans="1:9" ht="14.25" customHeight="1" x14ac:dyDescent="0.3">
      <c r="A80" s="8">
        <f>'ICICI PRUDENTIAL MULTICAP FUND'!A80</f>
        <v>46150</v>
      </c>
      <c r="B80" s="9">
        <f>'ICICI PRUDENTIAL MULTICAP FUND'!B80</f>
        <v>842.5</v>
      </c>
      <c r="C80" s="10">
        <f t="shared" si="4"/>
        <v>-5.1719251842055492E-3</v>
      </c>
      <c r="D80" s="9">
        <f>'QUANT ACTIVE FUND'!B80</f>
        <v>640.47900000000004</v>
      </c>
      <c r="E80" s="10">
        <f t="shared" si="5"/>
        <v>-7.1832376653392727E-3</v>
      </c>
      <c r="F80" s="9">
        <f>'NIPPON INDIA '!B80</f>
        <v>302.49400000000003</v>
      </c>
      <c r="G80" s="10">
        <f t="shared" si="6"/>
        <v>-3.8759051736911463E-3</v>
      </c>
      <c r="H80" s="9">
        <f>'NIFTY500 TRI'!B80</f>
        <v>36958.370000000003</v>
      </c>
      <c r="I80" s="10">
        <f t="shared" si="7"/>
        <v>-4.222272995235336E-3</v>
      </c>
    </row>
    <row r="81" spans="1:9" ht="14.25" customHeight="1" x14ac:dyDescent="0.3">
      <c r="A81" s="8">
        <f>'ICICI PRUDENTIAL MULTICAP FUND'!A81</f>
        <v>46149</v>
      </c>
      <c r="B81" s="9">
        <f>'ICICI PRUDENTIAL MULTICAP FUND'!B81</f>
        <v>846.88</v>
      </c>
      <c r="C81" s="10">
        <f t="shared" si="4"/>
        <v>1.0234999403554863E-2</v>
      </c>
      <c r="D81" s="9">
        <f>'QUANT ACTIVE FUND'!B81</f>
        <v>645.11300000000006</v>
      </c>
      <c r="E81" s="10">
        <f t="shared" si="5"/>
        <v>1.0415638807573957E-2</v>
      </c>
      <c r="F81" s="9">
        <f>'NIPPON INDIA '!B81</f>
        <v>303.67099999999999</v>
      </c>
      <c r="G81" s="10">
        <f t="shared" si="6"/>
        <v>8.8000212609045218E-3</v>
      </c>
      <c r="H81" s="9">
        <f>'NIFTY500 TRI'!B81</f>
        <v>37115.08</v>
      </c>
      <c r="I81" s="10">
        <f t="shared" si="7"/>
        <v>3.4850855103176768E-3</v>
      </c>
    </row>
    <row r="82" spans="1:9" ht="14.25" customHeight="1" x14ac:dyDescent="0.3">
      <c r="A82" s="8">
        <f>'ICICI PRUDENTIAL MULTICAP FUND'!A82</f>
        <v>46148</v>
      </c>
      <c r="B82" s="9">
        <f>'ICICI PRUDENTIAL MULTICAP FUND'!B82</f>
        <v>838.3</v>
      </c>
      <c r="C82" s="10">
        <f t="shared" si="4"/>
        <v>1.5591873326629762E-2</v>
      </c>
      <c r="D82" s="9">
        <f>'QUANT ACTIVE FUND'!B82</f>
        <v>638.46299999999997</v>
      </c>
      <c r="E82" s="10">
        <f t="shared" si="5"/>
        <v>1.9954566657933558E-2</v>
      </c>
      <c r="F82" s="9">
        <f>'NIPPON INDIA '!B82</f>
        <v>301.02199999999999</v>
      </c>
      <c r="G82" s="10">
        <f t="shared" si="6"/>
        <v>1.1876069367270776E-2</v>
      </c>
      <c r="H82" s="9">
        <f>'NIFTY500 TRI'!B82</f>
        <v>36986.18</v>
      </c>
      <c r="I82" s="10">
        <f t="shared" si="7"/>
        <v>1.425589420594128E-2</v>
      </c>
    </row>
    <row r="83" spans="1:9" ht="14.25" customHeight="1" x14ac:dyDescent="0.3">
      <c r="A83" s="8">
        <f>'ICICI PRUDENTIAL MULTICAP FUND'!A83</f>
        <v>46147</v>
      </c>
      <c r="B83" s="9">
        <f>'ICICI PRUDENTIAL MULTICAP FUND'!B83</f>
        <v>825.43</v>
      </c>
      <c r="C83" s="10">
        <f t="shared" si="4"/>
        <v>2.0394537177541123E-3</v>
      </c>
      <c r="D83" s="9">
        <f>'QUANT ACTIVE FUND'!B83</f>
        <v>625.97199999999998</v>
      </c>
      <c r="E83" s="10">
        <f t="shared" si="5"/>
        <v>4.6753196727757898E-3</v>
      </c>
      <c r="F83" s="9">
        <f>'NIPPON INDIA '!B83</f>
        <v>297.48899999999998</v>
      </c>
      <c r="G83" s="10">
        <f t="shared" si="6"/>
        <v>-2.6719323065783358E-3</v>
      </c>
      <c r="H83" s="9">
        <f>'NIFTY500 TRI'!B83</f>
        <v>36466.32</v>
      </c>
      <c r="I83" s="10">
        <f t="shared" si="7"/>
        <v>-9.7994388814439943E-4</v>
      </c>
    </row>
    <row r="84" spans="1:9" ht="14.25" customHeight="1" x14ac:dyDescent="0.3">
      <c r="A84" s="8">
        <f>'ICICI PRUDENTIAL MULTICAP FUND'!A84</f>
        <v>46146</v>
      </c>
      <c r="B84" s="9">
        <f>'ICICI PRUDENTIAL MULTICAP FUND'!B84</f>
        <v>823.75</v>
      </c>
      <c r="C84" s="10">
        <f t="shared" si="4"/>
        <v>9.448066271261258E-3</v>
      </c>
      <c r="D84" s="9">
        <f>'QUANT ACTIVE FUND'!B84</f>
        <v>623.05899999999997</v>
      </c>
      <c r="E84" s="10">
        <f t="shared" si="5"/>
        <v>8.8194529899030503E-3</v>
      </c>
      <c r="F84" s="9">
        <f>'NIPPON INDIA '!B84</f>
        <v>298.286</v>
      </c>
      <c r="G84" s="10">
        <f t="shared" si="6"/>
        <v>8.2747990454234369E-3</v>
      </c>
      <c r="H84" s="9">
        <f>'NIFTY500 TRI'!B84</f>
        <v>36502.089999999997</v>
      </c>
      <c r="I84" s="10">
        <f t="shared" si="7"/>
        <v>6.4930248512335706E-3</v>
      </c>
    </row>
    <row r="85" spans="1:9" ht="14.25" customHeight="1" x14ac:dyDescent="0.3">
      <c r="A85" s="8">
        <f>'ICICI PRUDENTIAL MULTICAP FUND'!A85</f>
        <v>46142</v>
      </c>
      <c r="B85" s="9">
        <f>'ICICI PRUDENTIAL MULTICAP FUND'!B85</f>
        <v>816.04</v>
      </c>
      <c r="C85" s="10">
        <f t="shared" si="4"/>
        <v>-7.9505944710545808E-3</v>
      </c>
      <c r="D85" s="9">
        <f>'QUANT ACTIVE FUND'!B85</f>
        <v>617.61199999999997</v>
      </c>
      <c r="E85" s="10">
        <f t="shared" si="5"/>
        <v>-5.5245772031888938E-3</v>
      </c>
      <c r="F85" s="9">
        <f>'NIPPON INDIA '!B85</f>
        <v>295.83800000000002</v>
      </c>
      <c r="G85" s="10">
        <f t="shared" si="6"/>
        <v>-7.3416413333064505E-3</v>
      </c>
      <c r="H85" s="9">
        <f>'NIFTY500 TRI'!B85</f>
        <v>36266.61</v>
      </c>
      <c r="I85" s="10">
        <f t="shared" si="7"/>
        <v>-8.1613497924108973E-3</v>
      </c>
    </row>
    <row r="86" spans="1:9" ht="14.25" customHeight="1" x14ac:dyDescent="0.3">
      <c r="A86" s="8">
        <f>'ICICI PRUDENTIAL MULTICAP FUND'!A86</f>
        <v>46141</v>
      </c>
      <c r="B86" s="9">
        <f>'ICICI PRUDENTIAL MULTICAP FUND'!B86</f>
        <v>822.58</v>
      </c>
      <c r="C86" s="10">
        <f t="shared" si="4"/>
        <v>2.1319883532521957E-3</v>
      </c>
      <c r="D86" s="9">
        <f>'QUANT ACTIVE FUND'!B86</f>
        <v>621.04300000000001</v>
      </c>
      <c r="E86" s="10">
        <f t="shared" si="5"/>
        <v>-3.1396519095536544E-3</v>
      </c>
      <c r="F86" s="9">
        <f>'NIPPON INDIA '!B86</f>
        <v>298.02600000000001</v>
      </c>
      <c r="G86" s="10">
        <f t="shared" si="6"/>
        <v>2.3947745481208049E-3</v>
      </c>
      <c r="H86" s="9">
        <f>'NIFTY500 TRI'!B86</f>
        <v>36565.03</v>
      </c>
      <c r="I86" s="10">
        <f t="shared" si="7"/>
        <v>4.6306663087567201E-3</v>
      </c>
    </row>
    <row r="87" spans="1:9" ht="14.25" customHeight="1" x14ac:dyDescent="0.3">
      <c r="A87" s="8">
        <f>'ICICI PRUDENTIAL MULTICAP FUND'!A87</f>
        <v>46140</v>
      </c>
      <c r="B87" s="9">
        <f>'ICICI PRUDENTIAL MULTICAP FUND'!B87</f>
        <v>820.83</v>
      </c>
      <c r="C87" s="10">
        <f t="shared" si="4"/>
        <v>-2.3215110484478304E-3</v>
      </c>
      <c r="D87" s="9">
        <f>'QUANT ACTIVE FUND'!B87</f>
        <v>622.99900000000002</v>
      </c>
      <c r="E87" s="10">
        <f t="shared" si="5"/>
        <v>2.8427337247056684E-3</v>
      </c>
      <c r="F87" s="9">
        <f>'NIPPON INDIA '!B87</f>
        <v>297.31400000000002</v>
      </c>
      <c r="G87" s="10">
        <f t="shared" si="6"/>
        <v>-5.2428893104611886E-3</v>
      </c>
      <c r="H87" s="9">
        <f>'NIFTY500 TRI'!B87</f>
        <v>36396.49</v>
      </c>
      <c r="I87" s="10">
        <f t="shared" si="7"/>
        <v>-2.4445206996279727E-3</v>
      </c>
    </row>
    <row r="88" spans="1:9" ht="14.25" customHeight="1" x14ac:dyDescent="0.3">
      <c r="A88" s="8">
        <f>'ICICI PRUDENTIAL MULTICAP FUND'!A88</f>
        <v>46139</v>
      </c>
      <c r="B88" s="9">
        <f>'ICICI PRUDENTIAL MULTICAP FUND'!B88</f>
        <v>822.74</v>
      </c>
      <c r="C88" s="10">
        <f t="shared" si="4"/>
        <v>1.5039170933316953E-2</v>
      </c>
      <c r="D88" s="9">
        <f>'QUANT ACTIVE FUND'!B88</f>
        <v>621.23299999999995</v>
      </c>
      <c r="E88" s="10">
        <f t="shared" si="5"/>
        <v>1.1607135587562272E-2</v>
      </c>
      <c r="F88" s="9">
        <f>'NIPPON INDIA '!B88</f>
        <v>298.88099999999997</v>
      </c>
      <c r="G88" s="10">
        <f t="shared" si="6"/>
        <v>1.1845677800272077E-2</v>
      </c>
      <c r="H88" s="9">
        <f>'NIFTY500 TRI'!B88</f>
        <v>36485.68</v>
      </c>
      <c r="I88" s="10">
        <f t="shared" si="7"/>
        <v>1.1143853005675452E-2</v>
      </c>
    </row>
    <row r="89" spans="1:9" ht="14.25" customHeight="1" x14ac:dyDescent="0.3">
      <c r="A89" s="8">
        <f>'ICICI PRUDENTIAL MULTICAP FUND'!A89</f>
        <v>46136</v>
      </c>
      <c r="B89" s="9">
        <f>'ICICI PRUDENTIAL MULTICAP FUND'!B89</f>
        <v>810.55</v>
      </c>
      <c r="C89" s="10">
        <f t="shared" si="4"/>
        <v>-1.0172430636967615E-2</v>
      </c>
      <c r="D89" s="9">
        <f>'QUANT ACTIVE FUND'!B89</f>
        <v>614.10500000000002</v>
      </c>
      <c r="E89" s="10">
        <f t="shared" si="5"/>
        <v>-9.6023120380479138E-3</v>
      </c>
      <c r="F89" s="9">
        <f>'NIPPON INDIA '!B89</f>
        <v>295.38200000000001</v>
      </c>
      <c r="G89" s="10">
        <f t="shared" si="6"/>
        <v>-8.7286858646298589E-3</v>
      </c>
      <c r="H89" s="9">
        <f>'NIFTY500 TRI'!B89</f>
        <v>36083.57</v>
      </c>
      <c r="I89" s="10">
        <f t="shared" si="7"/>
        <v>-1.0423531379881107E-2</v>
      </c>
    </row>
    <row r="90" spans="1:9" ht="14.25" customHeight="1" x14ac:dyDescent="0.3">
      <c r="A90" s="8">
        <f>'ICICI PRUDENTIAL MULTICAP FUND'!A90</f>
        <v>46135</v>
      </c>
      <c r="B90" s="9">
        <f>'ICICI PRUDENTIAL MULTICAP FUND'!B90</f>
        <v>818.88</v>
      </c>
      <c r="C90" s="10">
        <f t="shared" si="4"/>
        <v>-8.5358323344592816E-3</v>
      </c>
      <c r="D90" s="9">
        <f>'QUANT ACTIVE FUND'!B90</f>
        <v>620.05899999999997</v>
      </c>
      <c r="E90" s="10">
        <f t="shared" si="5"/>
        <v>-3.6411842686700298E-3</v>
      </c>
      <c r="F90" s="9">
        <f>'NIPPON INDIA '!B90</f>
        <v>297.983</v>
      </c>
      <c r="G90" s="10">
        <f t="shared" si="6"/>
        <v>-6.4086960870941428E-3</v>
      </c>
      <c r="H90" s="9">
        <f>'NIFTY500 TRI'!B90</f>
        <v>36463.65</v>
      </c>
      <c r="I90" s="10">
        <f t="shared" si="7"/>
        <v>-7.8477212303959543E-3</v>
      </c>
    </row>
    <row r="91" spans="1:9" ht="14.25" customHeight="1" x14ac:dyDescent="0.3">
      <c r="A91" s="8">
        <f>'ICICI PRUDENTIAL MULTICAP FUND'!A91</f>
        <v>46134</v>
      </c>
      <c r="B91" s="9">
        <f>'ICICI PRUDENTIAL MULTICAP FUND'!B91</f>
        <v>825.93</v>
      </c>
      <c r="C91" s="10">
        <f t="shared" si="4"/>
        <v>4.4022327346134723E-3</v>
      </c>
      <c r="D91" s="9">
        <f>'QUANT ACTIVE FUND'!B91</f>
        <v>622.32500000000005</v>
      </c>
      <c r="E91" s="10">
        <f t="shared" si="5"/>
        <v>1.2837768558859628E-2</v>
      </c>
      <c r="F91" s="9">
        <f>'NIPPON INDIA '!B91</f>
        <v>299.90499999999997</v>
      </c>
      <c r="G91" s="10">
        <f t="shared" si="6"/>
        <v>2.6545329325901846E-3</v>
      </c>
      <c r="H91" s="9">
        <f>'NIFTY500 TRI'!B91</f>
        <v>36752.07</v>
      </c>
      <c r="I91" s="10">
        <f t="shared" si="7"/>
        <v>-2.2080503021714463E-3</v>
      </c>
    </row>
    <row r="92" spans="1:9" ht="14.25" customHeight="1" x14ac:dyDescent="0.3">
      <c r="A92" s="8">
        <f>'ICICI PRUDENTIAL MULTICAP FUND'!A92</f>
        <v>46133</v>
      </c>
      <c r="B92" s="9">
        <f>'ICICI PRUDENTIAL MULTICAP FUND'!B92</f>
        <v>822.31</v>
      </c>
      <c r="C92" s="10">
        <f t="shared" si="4"/>
        <v>6.3146301168695686E-3</v>
      </c>
      <c r="D92" s="9">
        <f>'QUANT ACTIVE FUND'!B92</f>
        <v>614.43700000000001</v>
      </c>
      <c r="E92" s="10">
        <f t="shared" si="5"/>
        <v>6.7753341788163741E-3</v>
      </c>
      <c r="F92" s="9">
        <f>'NIPPON INDIA '!B92</f>
        <v>299.11099999999999</v>
      </c>
      <c r="G92" s="10">
        <f t="shared" si="6"/>
        <v>8.4285478286375091E-3</v>
      </c>
      <c r="H92" s="9">
        <f>'NIFTY500 TRI'!B92</f>
        <v>36833.4</v>
      </c>
      <c r="I92" s="10">
        <f t="shared" si="7"/>
        <v>7.7223309587608497E-3</v>
      </c>
    </row>
    <row r="93" spans="1:9" ht="14.25" customHeight="1" x14ac:dyDescent="0.3">
      <c r="A93" s="8">
        <f>'ICICI PRUDENTIAL MULTICAP FUND'!A93</f>
        <v>46132</v>
      </c>
      <c r="B93" s="9">
        <f>'ICICI PRUDENTIAL MULTICAP FUND'!B93</f>
        <v>817.15</v>
      </c>
      <c r="C93" s="10">
        <f t="shared" si="4"/>
        <v>7.593107417976125E-4</v>
      </c>
      <c r="D93" s="9">
        <f>'QUANT ACTIVE FUND'!B93</f>
        <v>610.30200000000002</v>
      </c>
      <c r="E93" s="10">
        <f t="shared" si="5"/>
        <v>-3.5690495160722092E-3</v>
      </c>
      <c r="F93" s="9">
        <f>'NIPPON INDIA '!B93</f>
        <v>296.61099999999999</v>
      </c>
      <c r="G93" s="10">
        <f t="shared" si="6"/>
        <v>2.1725321656394349E-3</v>
      </c>
      <c r="H93" s="9">
        <f>'NIFTY500 TRI'!B93</f>
        <v>36551.14</v>
      </c>
      <c r="I93" s="10">
        <f t="shared" si="7"/>
        <v>-1.5865660528487641E-4</v>
      </c>
    </row>
    <row r="94" spans="1:9" ht="14.25" customHeight="1" x14ac:dyDescent="0.3">
      <c r="A94" s="8">
        <f>'ICICI PRUDENTIAL MULTICAP FUND'!A94</f>
        <v>46129</v>
      </c>
      <c r="B94" s="9">
        <f>'ICICI PRUDENTIAL MULTICAP FUND'!B94</f>
        <v>816.53</v>
      </c>
      <c r="C94" s="10">
        <f t="shared" si="4"/>
        <v>1.1859323882224566E-2</v>
      </c>
      <c r="D94" s="9">
        <f>'QUANT ACTIVE FUND'!B94</f>
        <v>612.48800000000006</v>
      </c>
      <c r="E94" s="10">
        <f t="shared" si="5"/>
        <v>1.0884760180427942E-2</v>
      </c>
      <c r="F94" s="9">
        <f>'NIPPON INDIA '!B94</f>
        <v>295.96800000000002</v>
      </c>
      <c r="G94" s="10">
        <f t="shared" si="6"/>
        <v>8.755994396708976E-3</v>
      </c>
      <c r="H94" s="9">
        <f>'NIFTY500 TRI'!B94</f>
        <v>36556.94</v>
      </c>
      <c r="I94" s="10">
        <f t="shared" si="7"/>
        <v>9.4227115374579361E-3</v>
      </c>
    </row>
    <row r="95" spans="1:9" ht="14.25" customHeight="1" x14ac:dyDescent="0.3">
      <c r="A95" s="8">
        <f>'ICICI PRUDENTIAL MULTICAP FUND'!A95</f>
        <v>46128</v>
      </c>
      <c r="B95" s="9">
        <f>'ICICI PRUDENTIAL MULTICAP FUND'!B95</f>
        <v>806.96</v>
      </c>
      <c r="C95" s="10">
        <f t="shared" si="4"/>
        <v>5.9086036249408006E-3</v>
      </c>
      <c r="D95" s="9">
        <f>'QUANT ACTIVE FUND'!B95</f>
        <v>605.89300000000003</v>
      </c>
      <c r="E95" s="10">
        <f t="shared" si="5"/>
        <v>9.4733983442379637E-3</v>
      </c>
      <c r="F95" s="9">
        <f>'NIPPON INDIA '!B95</f>
        <v>293.399</v>
      </c>
      <c r="G95" s="10">
        <f t="shared" si="6"/>
        <v>3.6087622800536588E-3</v>
      </c>
      <c r="H95" s="9">
        <f>'NIFTY500 TRI'!B95</f>
        <v>36215.69</v>
      </c>
      <c r="I95" s="10">
        <f t="shared" si="7"/>
        <v>2.6891991264326336E-3</v>
      </c>
    </row>
    <row r="96" spans="1:9" ht="14.25" customHeight="1" x14ac:dyDescent="0.3">
      <c r="A96" s="8">
        <f>'ICICI PRUDENTIAL MULTICAP FUND'!A96</f>
        <v>46127</v>
      </c>
      <c r="B96" s="9">
        <f>'ICICI PRUDENTIAL MULTICAP FUND'!B96</f>
        <v>802.22</v>
      </c>
      <c r="C96" s="10">
        <f t="shared" si="4"/>
        <v>2.2718001019887878E-2</v>
      </c>
      <c r="D96" s="9">
        <f>'QUANT ACTIVE FUND'!B96</f>
        <v>600.20699999999999</v>
      </c>
      <c r="E96" s="10">
        <f t="shared" si="5"/>
        <v>1.767774818110459E-2</v>
      </c>
      <c r="F96" s="9">
        <f>'NIPPON INDIA '!B96</f>
        <v>292.34399999999999</v>
      </c>
      <c r="G96" s="10">
        <f t="shared" si="6"/>
        <v>1.9604287064518649E-2</v>
      </c>
      <c r="H96" s="9">
        <f>'NIFTY500 TRI'!B96</f>
        <v>36118.559999999998</v>
      </c>
      <c r="I96" s="10">
        <f t="shared" si="7"/>
        <v>1.8779345371505388E-2</v>
      </c>
    </row>
    <row r="97" spans="1:9" ht="14.25" customHeight="1" x14ac:dyDescent="0.3">
      <c r="A97" s="8">
        <f>'ICICI PRUDENTIAL MULTICAP FUND'!A97</f>
        <v>46125</v>
      </c>
      <c r="B97" s="9">
        <f>'ICICI PRUDENTIAL MULTICAP FUND'!B97</f>
        <v>784.4</v>
      </c>
      <c r="C97" s="10">
        <f t="shared" si="4"/>
        <v>-4.7579775423460006E-3</v>
      </c>
      <c r="D97" s="9">
        <f>'QUANT ACTIVE FUND'!B97</f>
        <v>589.78099999999995</v>
      </c>
      <c r="E97" s="10">
        <f t="shared" si="5"/>
        <v>-1.6352177835858807E-3</v>
      </c>
      <c r="F97" s="9">
        <f>'NIPPON INDIA '!B97</f>
        <v>286.72300000000001</v>
      </c>
      <c r="G97" s="10">
        <f t="shared" si="6"/>
        <v>-4.1746982721194694E-3</v>
      </c>
      <c r="H97" s="9">
        <f>'NIFTY500 TRI'!B97</f>
        <v>35452.78</v>
      </c>
      <c r="I97" s="10">
        <f t="shared" si="7"/>
        <v>-7.5062477411690972E-3</v>
      </c>
    </row>
    <row r="98" spans="1:9" ht="14.25" customHeight="1" x14ac:dyDescent="0.3">
      <c r="A98" s="8">
        <f>'ICICI PRUDENTIAL MULTICAP FUND'!A98</f>
        <v>46122</v>
      </c>
      <c r="B98" s="9">
        <f>'ICICI PRUDENTIAL MULTICAP FUND'!B98</f>
        <v>788.15</v>
      </c>
      <c r="C98" s="10">
        <f t="shared" si="4"/>
        <v>1.8071199751989266E-2</v>
      </c>
      <c r="D98" s="9">
        <f>'QUANT ACTIVE FUND'!B98</f>
        <v>590.74699999999996</v>
      </c>
      <c r="E98" s="10">
        <f t="shared" si="5"/>
        <v>1.8655764163827165E-2</v>
      </c>
      <c r="F98" s="9">
        <f>'NIPPON INDIA '!B98</f>
        <v>287.92500000000001</v>
      </c>
      <c r="G98" s="10">
        <f t="shared" si="6"/>
        <v>1.5844958614703898E-2</v>
      </c>
      <c r="H98" s="9">
        <f>'NIFTY500 TRI'!B98</f>
        <v>35720.910000000003</v>
      </c>
      <c r="I98" s="10">
        <f t="shared" si="7"/>
        <v>1.4034884523048165E-2</v>
      </c>
    </row>
    <row r="99" spans="1:9" ht="14.25" customHeight="1" x14ac:dyDescent="0.3">
      <c r="A99" s="8">
        <f>'ICICI PRUDENTIAL MULTICAP FUND'!A99</f>
        <v>46121</v>
      </c>
      <c r="B99" s="9">
        <f>'ICICI PRUDENTIAL MULTICAP FUND'!B99</f>
        <v>774.16</v>
      </c>
      <c r="C99" s="10">
        <f t="shared" si="4"/>
        <v>1.0344470880313884E-3</v>
      </c>
      <c r="D99" s="9">
        <f>'QUANT ACTIVE FUND'!B99</f>
        <v>579.928</v>
      </c>
      <c r="E99" s="10">
        <f t="shared" si="5"/>
        <v>5.173082726288307E-6</v>
      </c>
      <c r="F99" s="9">
        <f>'NIPPON INDIA '!B99</f>
        <v>283.43400000000003</v>
      </c>
      <c r="G99" s="10">
        <f t="shared" si="6"/>
        <v>-3.2143711227087487E-3</v>
      </c>
      <c r="H99" s="9">
        <f>'NIFTY500 TRI'!B99</f>
        <v>35226.51</v>
      </c>
      <c r="I99" s="10">
        <f t="shared" si="7"/>
        <v>-4.5003979001722724E-3</v>
      </c>
    </row>
    <row r="100" spans="1:9" ht="14.25" customHeight="1" x14ac:dyDescent="0.3">
      <c r="A100" s="8">
        <f>'ICICI PRUDENTIAL MULTICAP FUND'!A100</f>
        <v>46120</v>
      </c>
      <c r="B100" s="9">
        <f>'ICICI PRUDENTIAL MULTICAP FUND'!B100</f>
        <v>773.36</v>
      </c>
      <c r="C100" s="10">
        <f t="shared" si="4"/>
        <v>4.1604374587525403E-2</v>
      </c>
      <c r="D100" s="9">
        <f>'QUANT ACTIVE FUND'!B100</f>
        <v>579.92499999999995</v>
      </c>
      <c r="E100" s="10">
        <f t="shared" si="5"/>
        <v>3.5022184464806358E-2</v>
      </c>
      <c r="F100" s="9">
        <f>'NIPPON INDIA '!B100</f>
        <v>284.34800000000001</v>
      </c>
      <c r="G100" s="10">
        <f t="shared" si="6"/>
        <v>3.5668627415272006E-2</v>
      </c>
      <c r="H100" s="9">
        <f>'NIFTY500 TRI'!B100</f>
        <v>35385.760000000002</v>
      </c>
      <c r="I100" s="10">
        <f t="shared" si="7"/>
        <v>3.9478477074094867E-2</v>
      </c>
    </row>
    <row r="101" spans="1:9" ht="14.25" customHeight="1" x14ac:dyDescent="0.3">
      <c r="A101" s="8">
        <f>'ICICI PRUDENTIAL MULTICAP FUND'!A101</f>
        <v>46119</v>
      </c>
      <c r="B101" s="9">
        <f>'ICICI PRUDENTIAL MULTICAP FUND'!B101</f>
        <v>742.47</v>
      </c>
      <c r="C101" s="10">
        <f t="shared" si="4"/>
        <v>3.7040541819312574E-3</v>
      </c>
      <c r="D101" s="9">
        <f>'QUANT ACTIVE FUND'!B101</f>
        <v>560.30200000000002</v>
      </c>
      <c r="E101" s="10">
        <f t="shared" si="5"/>
        <v>1.4602714996827569E-3</v>
      </c>
      <c r="F101" s="9">
        <f>'NIPPON INDIA '!B101</f>
        <v>274.55500000000001</v>
      </c>
      <c r="G101" s="10">
        <f t="shared" si="6"/>
        <v>-2.0392482456996688E-4</v>
      </c>
      <c r="H101" s="9">
        <f>'NIFTY500 TRI'!B101</f>
        <v>34041.839999999997</v>
      </c>
      <c r="I101" s="10">
        <f t="shared" si="7"/>
        <v>4.8311346214980995E-3</v>
      </c>
    </row>
    <row r="102" spans="1:9" ht="14.25" customHeight="1" x14ac:dyDescent="0.3">
      <c r="A102" s="8">
        <f>'ICICI PRUDENTIAL MULTICAP FUND'!A102</f>
        <v>46118</v>
      </c>
      <c r="B102" s="9">
        <f>'ICICI PRUDENTIAL MULTICAP FUND'!B102</f>
        <v>739.73</v>
      </c>
      <c r="C102" s="10">
        <f t="shared" si="4"/>
        <v>1.1568914354479244E-2</v>
      </c>
      <c r="D102" s="9">
        <f>'QUANT ACTIVE FUND'!B102</f>
        <v>559.48500000000001</v>
      </c>
      <c r="E102" s="10">
        <f t="shared" si="5"/>
        <v>1.2380506040970362E-2</v>
      </c>
      <c r="F102" s="9">
        <f>'NIPPON INDIA '!B102</f>
        <v>274.61099999999999</v>
      </c>
      <c r="G102" s="10">
        <f t="shared" si="6"/>
        <v>9.7848869277440756E-3</v>
      </c>
      <c r="H102" s="9">
        <f>'NIFTY500 TRI'!B102</f>
        <v>33878.17</v>
      </c>
      <c r="I102" s="10">
        <f t="shared" si="7"/>
        <v>1.2211733386715384E-2</v>
      </c>
    </row>
    <row r="103" spans="1:9" ht="14.25" customHeight="1" x14ac:dyDescent="0.3">
      <c r="A103" s="8">
        <f>'ICICI PRUDENTIAL MULTICAP FUND'!A103</f>
        <v>46114</v>
      </c>
      <c r="B103" s="9">
        <f>'ICICI PRUDENTIAL MULTICAP FUND'!B103</f>
        <v>731.27</v>
      </c>
      <c r="C103" s="10">
        <f t="shared" si="4"/>
        <v>-1.3519788053423772E-3</v>
      </c>
      <c r="D103" s="9">
        <f>'QUANT ACTIVE FUND'!B103</f>
        <v>552.64300000000003</v>
      </c>
      <c r="E103" s="10">
        <f t="shared" si="5"/>
        <v>2.1724741361332117E-3</v>
      </c>
      <c r="F103" s="9">
        <f>'NIPPON INDIA '!B103</f>
        <v>271.95</v>
      </c>
      <c r="G103" s="10">
        <f t="shared" si="6"/>
        <v>4.2837623250488134E-3</v>
      </c>
      <c r="H103" s="9">
        <f>'NIFTY500 TRI'!B103</f>
        <v>33469.449999999997</v>
      </c>
      <c r="I103" s="10">
        <f t="shared" si="7"/>
        <v>1.6644812257274736E-4</v>
      </c>
    </row>
    <row r="104" spans="1:9" ht="14.25" customHeight="1" x14ac:dyDescent="0.3">
      <c r="A104" s="8">
        <f>'ICICI PRUDENTIAL MULTICAP FUND'!A104</f>
        <v>46113</v>
      </c>
      <c r="B104" s="9">
        <f>'ICICI PRUDENTIAL MULTICAP FUND'!B104</f>
        <v>732.26</v>
      </c>
      <c r="C104" s="10">
        <f t="shared" si="4"/>
        <v>2.4455077086656059E-2</v>
      </c>
      <c r="D104" s="9">
        <f>'QUANT ACTIVE FUND'!B104</f>
        <v>551.44500000000005</v>
      </c>
      <c r="E104" s="10">
        <f t="shared" si="5"/>
        <v>2.8293477936569503E-2</v>
      </c>
      <c r="F104" s="9">
        <f>'NIPPON INDIA '!B104</f>
        <v>270.79000000000002</v>
      </c>
      <c r="G104" s="10">
        <f t="shared" si="6"/>
        <v>2.0159057259860075E-2</v>
      </c>
      <c r="H104" s="9">
        <f>'NIFTY500 TRI'!B104</f>
        <v>33463.879999999997</v>
      </c>
      <c r="I104" s="10">
        <f t="shared" si="7"/>
        <v>1.983168937809664E-2</v>
      </c>
    </row>
    <row r="105" spans="1:9" ht="14.25" customHeight="1" x14ac:dyDescent="0.3">
      <c r="A105" s="8">
        <f>'ICICI PRUDENTIAL MULTICAP FUND'!A105</f>
        <v>46111</v>
      </c>
      <c r="B105" s="9">
        <f>'ICICI PRUDENTIAL MULTICAP FUND'!B105</f>
        <v>714.78</v>
      </c>
      <c r="C105" s="10">
        <f t="shared" si="4"/>
        <v>-2.3471227935952872E-2</v>
      </c>
      <c r="D105" s="9">
        <f>'QUANT ACTIVE FUND'!B105</f>
        <v>536.27200000000005</v>
      </c>
      <c r="E105" s="10">
        <f t="shared" si="5"/>
        <v>-2.0995923493855987E-2</v>
      </c>
      <c r="F105" s="9">
        <f>'NIPPON INDIA '!B105</f>
        <v>265.43900000000002</v>
      </c>
      <c r="G105" s="10">
        <f t="shared" si="6"/>
        <v>-2.4146437407860766E-2</v>
      </c>
      <c r="H105" s="9">
        <f>'NIFTY500 TRI'!B105</f>
        <v>32813.14</v>
      </c>
      <c r="I105" s="10">
        <f t="shared" si="7"/>
        <v>-2.33957812115877E-2</v>
      </c>
    </row>
    <row r="106" spans="1:9" ht="14.25" customHeight="1" x14ac:dyDescent="0.3">
      <c r="A106" s="8">
        <f>'ICICI PRUDENTIAL MULTICAP FUND'!A106</f>
        <v>46108</v>
      </c>
      <c r="B106" s="9">
        <f>'ICICI PRUDENTIAL MULTICAP FUND'!B106</f>
        <v>731.96</v>
      </c>
      <c r="C106" s="10">
        <f t="shared" si="4"/>
        <v>-1.8609889520540591E-2</v>
      </c>
      <c r="D106" s="9">
        <f>'QUANT ACTIVE FUND'!B106</f>
        <v>547.77300000000002</v>
      </c>
      <c r="E106" s="10">
        <f t="shared" si="5"/>
        <v>-1.6967919774311283E-2</v>
      </c>
      <c r="F106" s="9">
        <f>'NIPPON INDIA '!B106</f>
        <v>272.00700000000001</v>
      </c>
      <c r="G106" s="10">
        <f t="shared" si="6"/>
        <v>-2.1008191647111291E-2</v>
      </c>
      <c r="H106" s="9">
        <f>'NIFTY500 TRI'!B106</f>
        <v>33599.22</v>
      </c>
      <c r="I106" s="10">
        <f t="shared" si="7"/>
        <v>-2.1206234012299794E-2</v>
      </c>
    </row>
    <row r="107" spans="1:9" ht="14.25" customHeight="1" x14ac:dyDescent="0.3">
      <c r="A107" s="8">
        <f>'ICICI PRUDENTIAL MULTICAP FUND'!A107</f>
        <v>46106</v>
      </c>
      <c r="B107" s="9">
        <f>'ICICI PRUDENTIAL MULTICAP FUND'!B107</f>
        <v>745.84</v>
      </c>
      <c r="C107" s="10">
        <f t="shared" si="4"/>
        <v>2.3774227200351467E-2</v>
      </c>
      <c r="D107" s="9">
        <f>'QUANT ACTIVE FUND'!B107</f>
        <v>557.22799999999995</v>
      </c>
      <c r="E107" s="10">
        <f t="shared" si="5"/>
        <v>1.5734711882696827E-2</v>
      </c>
      <c r="F107" s="9">
        <f>'NIPPON INDIA '!B107</f>
        <v>277.84399999999999</v>
      </c>
      <c r="G107" s="10">
        <f t="shared" si="6"/>
        <v>1.9670879758077589E-2</v>
      </c>
      <c r="H107" s="9">
        <f>'NIFTY500 TRI'!B107</f>
        <v>34327.17</v>
      </c>
      <c r="I107" s="10">
        <f t="shared" si="7"/>
        <v>1.9519785304042594E-2</v>
      </c>
    </row>
    <row r="108" spans="1:9" ht="14.25" customHeight="1" x14ac:dyDescent="0.3">
      <c r="A108" s="8">
        <f>'ICICI PRUDENTIAL MULTICAP FUND'!A108</f>
        <v>46105</v>
      </c>
      <c r="B108" s="9">
        <f>'ICICI PRUDENTIAL MULTICAP FUND'!B108</f>
        <v>728.52</v>
      </c>
      <c r="C108" s="10">
        <f t="shared" si="4"/>
        <v>1.9821938518394044E-2</v>
      </c>
      <c r="D108" s="9">
        <f>'QUANT ACTIVE FUND'!B108</f>
        <v>548.596</v>
      </c>
      <c r="E108" s="10">
        <f t="shared" si="5"/>
        <v>1.7965760770735251E-2</v>
      </c>
      <c r="F108" s="9">
        <f>'NIPPON INDIA '!B108</f>
        <v>272.48399999999998</v>
      </c>
      <c r="G108" s="10">
        <f t="shared" si="6"/>
        <v>1.9851785313271853E-2</v>
      </c>
      <c r="H108" s="9">
        <f>'NIFTY500 TRI'!B108</f>
        <v>33669.94</v>
      </c>
      <c r="I108" s="10">
        <f t="shared" si="7"/>
        <v>1.949118003816365E-2</v>
      </c>
    </row>
    <row r="109" spans="1:9" ht="14.25" customHeight="1" x14ac:dyDescent="0.3">
      <c r="A109" s="8">
        <f>'ICICI PRUDENTIAL MULTICAP FUND'!A109</f>
        <v>46104</v>
      </c>
      <c r="B109" s="9">
        <f>'ICICI PRUDENTIAL MULTICAP FUND'!B109</f>
        <v>714.36</v>
      </c>
      <c r="C109" s="10">
        <f t="shared" si="4"/>
        <v>-3.7004084603874221E-2</v>
      </c>
      <c r="D109" s="9">
        <f>'QUANT ACTIVE FUND'!B109</f>
        <v>538.91399999999999</v>
      </c>
      <c r="E109" s="10">
        <f t="shared" si="5"/>
        <v>-2.796270677125709E-2</v>
      </c>
      <c r="F109" s="9">
        <f>'NIPPON INDIA '!B109</f>
        <v>267.18</v>
      </c>
      <c r="G109" s="10">
        <f t="shared" si="6"/>
        <v>-3.1679357497254597E-2</v>
      </c>
      <c r="H109" s="9">
        <f>'NIFTY500 TRI'!B109</f>
        <v>33026.22</v>
      </c>
      <c r="I109" s="10">
        <f t="shared" si="7"/>
        <v>-3.1091072901212401E-2</v>
      </c>
    </row>
    <row r="110" spans="1:9" ht="14.25" customHeight="1" x14ac:dyDescent="0.3">
      <c r="A110" s="8">
        <f>'ICICI PRUDENTIAL MULTICAP FUND'!A110</f>
        <v>46101</v>
      </c>
      <c r="B110" s="9">
        <f>'ICICI PRUDENTIAL MULTICAP FUND'!B110</f>
        <v>741.81</v>
      </c>
      <c r="C110" s="10">
        <f t="shared" si="4"/>
        <v>3.2322631251521282E-3</v>
      </c>
      <c r="D110" s="9">
        <f>'QUANT ACTIVE FUND'!B110</f>
        <v>554.41700000000003</v>
      </c>
      <c r="E110" s="10">
        <f t="shared" si="5"/>
        <v>5.8035114963590978E-3</v>
      </c>
      <c r="F110" s="9">
        <f>'NIPPON INDIA '!B110</f>
        <v>275.92099999999999</v>
      </c>
      <c r="G110" s="10">
        <f t="shared" si="6"/>
        <v>2.7401541609277974E-3</v>
      </c>
      <c r="H110" s="9">
        <f>'NIFTY500 TRI'!B110</f>
        <v>34085.99</v>
      </c>
      <c r="I110" s="10">
        <f t="shared" si="7"/>
        <v>4.8325484949911738E-3</v>
      </c>
    </row>
    <row r="111" spans="1:9" ht="14.25" customHeight="1" x14ac:dyDescent="0.3">
      <c r="A111" s="8">
        <f>'ICICI PRUDENTIAL MULTICAP FUND'!A111</f>
        <v>46100</v>
      </c>
      <c r="B111" s="9">
        <f>'ICICI PRUDENTIAL MULTICAP FUND'!B111</f>
        <v>739.42</v>
      </c>
      <c r="C111" s="10">
        <f t="shared" si="4"/>
        <v>-3.0510430187887731E-2</v>
      </c>
      <c r="D111" s="9">
        <f>'QUANT ACTIVE FUND'!B111</f>
        <v>551.21799999999996</v>
      </c>
      <c r="E111" s="10">
        <f t="shared" si="5"/>
        <v>-2.4296213430003682E-2</v>
      </c>
      <c r="F111" s="9">
        <f>'NIPPON INDIA '!B111</f>
        <v>275.16699999999997</v>
      </c>
      <c r="G111" s="10">
        <f t="shared" si="6"/>
        <v>-2.8299921251778933E-2</v>
      </c>
      <c r="H111" s="9">
        <f>'NIFTY500 TRI'!B111</f>
        <v>33922.06</v>
      </c>
      <c r="I111" s="10">
        <f t="shared" si="7"/>
        <v>-3.1555332745602377E-2</v>
      </c>
    </row>
    <row r="112" spans="1:9" ht="14.25" customHeight="1" x14ac:dyDescent="0.3">
      <c r="A112" s="8">
        <f>'ICICI PRUDENTIAL MULTICAP FUND'!A112</f>
        <v>46099</v>
      </c>
      <c r="B112" s="9">
        <f>'ICICI PRUDENTIAL MULTICAP FUND'!B112</f>
        <v>762.69</v>
      </c>
      <c r="C112" s="10">
        <f t="shared" si="4"/>
        <v>1.4984762386383436E-2</v>
      </c>
      <c r="D112" s="9">
        <f>'QUANT ACTIVE FUND'!B112</f>
        <v>564.94399999999996</v>
      </c>
      <c r="E112" s="10">
        <f t="shared" si="5"/>
        <v>1.1277307193847879E-2</v>
      </c>
      <c r="F112" s="9">
        <f>'NIPPON INDIA '!B112</f>
        <v>283.18099999999998</v>
      </c>
      <c r="G112" s="10">
        <f t="shared" si="6"/>
        <v>1.3028593505736217E-2</v>
      </c>
      <c r="H112" s="9">
        <f>'NIFTY500 TRI'!B112</f>
        <v>35027.360000000001</v>
      </c>
      <c r="I112" s="10">
        <f t="shared" si="7"/>
        <v>1.1448741701048407E-2</v>
      </c>
    </row>
    <row r="113" spans="1:9" ht="14.25" customHeight="1" x14ac:dyDescent="0.3">
      <c r="A113" s="8">
        <f>'ICICI PRUDENTIAL MULTICAP FUND'!A113</f>
        <v>46098</v>
      </c>
      <c r="B113" s="9">
        <f>'ICICI PRUDENTIAL MULTICAP FUND'!B113</f>
        <v>751.43</v>
      </c>
      <c r="C113" s="10">
        <f t="shared" si="4"/>
        <v>1.3419107730484884E-2</v>
      </c>
      <c r="D113" s="9">
        <f>'QUANT ACTIVE FUND'!B113</f>
        <v>558.64400000000001</v>
      </c>
      <c r="E113" s="10">
        <f t="shared" si="5"/>
        <v>5.581926151531023E-3</v>
      </c>
      <c r="F113" s="9">
        <f>'NIPPON INDIA '!B113</f>
        <v>279.53899999999999</v>
      </c>
      <c r="G113" s="10">
        <f t="shared" si="6"/>
        <v>7.2896697848050833E-3</v>
      </c>
      <c r="H113" s="9">
        <f>'NIFTY500 TRI'!B113</f>
        <v>34630.879999999997</v>
      </c>
      <c r="I113" s="10">
        <f t="shared" si="7"/>
        <v>7.9325741384984553E-3</v>
      </c>
    </row>
    <row r="114" spans="1:9" ht="14.25" customHeight="1" x14ac:dyDescent="0.3">
      <c r="A114" s="8">
        <f>'ICICI PRUDENTIAL MULTICAP FUND'!A114</f>
        <v>46097</v>
      </c>
      <c r="B114" s="9">
        <f>'ICICI PRUDENTIAL MULTICAP FUND'!B114</f>
        <v>741.48</v>
      </c>
      <c r="C114" s="10">
        <f t="shared" si="4"/>
        <v>-1.4140842794229925E-3</v>
      </c>
      <c r="D114" s="9">
        <f>'QUANT ACTIVE FUND'!B114</f>
        <v>555.54300000000001</v>
      </c>
      <c r="E114" s="10">
        <f t="shared" si="5"/>
        <v>8.2149284706724767E-4</v>
      </c>
      <c r="F114" s="9">
        <f>'NIPPON INDIA '!B114</f>
        <v>277.51600000000002</v>
      </c>
      <c r="G114" s="10">
        <f t="shared" si="6"/>
        <v>3.522068980480529E-3</v>
      </c>
      <c r="H114" s="9">
        <f>'NIFTY500 TRI'!B114</f>
        <v>34358.33</v>
      </c>
      <c r="I114" s="10">
        <f t="shared" si="7"/>
        <v>5.0297808659473271E-3</v>
      </c>
    </row>
    <row r="115" spans="1:9" ht="14.25" customHeight="1" x14ac:dyDescent="0.3">
      <c r="A115" s="8">
        <f>'ICICI PRUDENTIAL MULTICAP FUND'!A115</f>
        <v>46094</v>
      </c>
      <c r="B115" s="9">
        <f>'ICICI PRUDENTIAL MULTICAP FUND'!B115</f>
        <v>742.53</v>
      </c>
      <c r="C115" s="10">
        <f t="shared" si="4"/>
        <v>-2.9194885338493373E-2</v>
      </c>
      <c r="D115" s="9">
        <f>'QUANT ACTIVE FUND'!B115</f>
        <v>555.08699999999999</v>
      </c>
      <c r="E115" s="10">
        <f t="shared" si="5"/>
        <v>-1.9957944246995405E-2</v>
      </c>
      <c r="F115" s="9">
        <f>'NIPPON INDIA '!B115</f>
        <v>276.54199999999997</v>
      </c>
      <c r="G115" s="10">
        <f t="shared" si="6"/>
        <v>-2.4446858949032028E-2</v>
      </c>
      <c r="H115" s="9">
        <f>'NIFTY500 TRI'!B115</f>
        <v>34186.379999999997</v>
      </c>
      <c r="I115" s="10">
        <f t="shared" si="7"/>
        <v>-2.3110637648542112E-2</v>
      </c>
    </row>
    <row r="116" spans="1:9" ht="14.25" customHeight="1" x14ac:dyDescent="0.3">
      <c r="A116" s="8">
        <f>'ICICI PRUDENTIAL MULTICAP FUND'!A116</f>
        <v>46093</v>
      </c>
      <c r="B116" s="9">
        <f>'ICICI PRUDENTIAL MULTICAP FUND'!B116</f>
        <v>764.86</v>
      </c>
      <c r="C116" s="10">
        <f t="shared" si="4"/>
        <v>-3.1669903165686378E-3</v>
      </c>
      <c r="D116" s="9">
        <f>'QUANT ACTIVE FUND'!B116</f>
        <v>566.39099999999996</v>
      </c>
      <c r="E116" s="10">
        <f t="shared" si="5"/>
        <v>5.9409000330344474E-3</v>
      </c>
      <c r="F116" s="9">
        <f>'NIPPON INDIA '!B116</f>
        <v>283.47199999999998</v>
      </c>
      <c r="G116" s="10">
        <f t="shared" si="6"/>
        <v>-4.110426430393322E-3</v>
      </c>
      <c r="H116" s="9">
        <f>'NIFTY500 TRI'!B116</f>
        <v>34995.14</v>
      </c>
      <c r="I116" s="10">
        <f t="shared" si="7"/>
        <v>-6.5297095966944645E-3</v>
      </c>
    </row>
    <row r="117" spans="1:9" ht="14.25" customHeight="1" x14ac:dyDescent="0.3">
      <c r="A117" s="8">
        <f>'ICICI PRUDENTIAL MULTICAP FUND'!A117</f>
        <v>46092</v>
      </c>
      <c r="B117" s="9">
        <f>'ICICI PRUDENTIAL MULTICAP FUND'!B117</f>
        <v>767.29</v>
      </c>
      <c r="C117" s="10">
        <f t="shared" si="4"/>
        <v>-9.9867101918635522E-3</v>
      </c>
      <c r="D117" s="9">
        <f>'QUANT ACTIVE FUND'!B117</f>
        <v>563.04600000000005</v>
      </c>
      <c r="E117" s="10">
        <f t="shared" si="5"/>
        <v>-3.4866269273788951E-3</v>
      </c>
      <c r="F117" s="9">
        <f>'NIPPON INDIA '!B117</f>
        <v>284.642</v>
      </c>
      <c r="G117" s="10">
        <f t="shared" si="6"/>
        <v>-8.5752897904591684E-3</v>
      </c>
      <c r="H117" s="9">
        <f>'NIFTY500 TRI'!B117</f>
        <v>35225.15</v>
      </c>
      <c r="I117" s="10">
        <f t="shared" si="7"/>
        <v>-1.3452280560933652E-2</v>
      </c>
    </row>
    <row r="118" spans="1:9" ht="14.25" customHeight="1" x14ac:dyDescent="0.3">
      <c r="A118" s="8">
        <f>'ICICI PRUDENTIAL MULTICAP FUND'!A118</f>
        <v>46091</v>
      </c>
      <c r="B118" s="9">
        <f>'ICICI PRUDENTIAL MULTICAP FUND'!B118</f>
        <v>775.03</v>
      </c>
      <c r="C118" s="10">
        <f t="shared" si="4"/>
        <v>1.7887865932940211E-2</v>
      </c>
      <c r="D118" s="9">
        <f>'QUANT ACTIVE FUND'!B118</f>
        <v>565.01599999999996</v>
      </c>
      <c r="E118" s="10">
        <f t="shared" si="5"/>
        <v>1.6526635841893962E-2</v>
      </c>
      <c r="F118" s="9">
        <f>'NIPPON INDIA '!B118</f>
        <v>287.10399999999998</v>
      </c>
      <c r="G118" s="10">
        <f t="shared" si="6"/>
        <v>1.4720487454892975E-2</v>
      </c>
      <c r="H118" s="9">
        <f>'NIFTY500 TRI'!B118</f>
        <v>35705.47</v>
      </c>
      <c r="I118" s="10">
        <f t="shared" si="7"/>
        <v>1.2986655590772963E-2</v>
      </c>
    </row>
    <row r="119" spans="1:9" ht="14.25" customHeight="1" x14ac:dyDescent="0.3">
      <c r="A119" s="8">
        <f>'ICICI PRUDENTIAL MULTICAP FUND'!A119</f>
        <v>46090</v>
      </c>
      <c r="B119" s="9">
        <f>'ICICI PRUDENTIAL MULTICAP FUND'!B119</f>
        <v>761.41</v>
      </c>
      <c r="C119" s="10">
        <f t="shared" si="4"/>
        <v>-2.1814257634347845E-2</v>
      </c>
      <c r="D119" s="9">
        <f>'QUANT ACTIVE FUND'!B119</f>
        <v>555.83000000000004</v>
      </c>
      <c r="E119" s="10">
        <f t="shared" si="5"/>
        <v>-1.3558840754609804E-2</v>
      </c>
      <c r="F119" s="9">
        <f>'NIPPON INDIA '!B119</f>
        <v>282.93900000000002</v>
      </c>
      <c r="G119" s="10">
        <f t="shared" si="6"/>
        <v>-1.9102163640712884E-2</v>
      </c>
      <c r="H119" s="9">
        <f>'NIFTY500 TRI'!B119</f>
        <v>35247.72</v>
      </c>
      <c r="I119" s="10">
        <f t="shared" si="7"/>
        <v>-1.8894393641690353E-2</v>
      </c>
    </row>
    <row r="120" spans="1:9" ht="14.25" customHeight="1" x14ac:dyDescent="0.3">
      <c r="A120" s="8">
        <f>'ICICI PRUDENTIAL MULTICAP FUND'!A120</f>
        <v>46087</v>
      </c>
      <c r="B120" s="9">
        <f>'ICICI PRUDENTIAL MULTICAP FUND'!B120</f>
        <v>778.39</v>
      </c>
      <c r="C120" s="10">
        <f t="shared" si="4"/>
        <v>-5.5446961276558095E-3</v>
      </c>
      <c r="D120" s="9">
        <f>'QUANT ACTIVE FUND'!B120</f>
        <v>563.47</v>
      </c>
      <c r="E120" s="10">
        <f t="shared" si="5"/>
        <v>-5.4960959010489519E-3</v>
      </c>
      <c r="F120" s="9">
        <f>'NIPPON INDIA '!B120</f>
        <v>288.44900000000001</v>
      </c>
      <c r="G120" s="10">
        <f t="shared" si="6"/>
        <v>-7.0021309336518551E-3</v>
      </c>
      <c r="H120" s="9">
        <f>'NIFTY500 TRI'!B120</f>
        <v>35926.53</v>
      </c>
      <c r="I120" s="10">
        <f t="shared" si="7"/>
        <v>-9.4927495475703814E-3</v>
      </c>
    </row>
    <row r="121" spans="1:9" ht="14.25" customHeight="1" x14ac:dyDescent="0.3">
      <c r="A121" s="8">
        <f>'ICICI PRUDENTIAL MULTICAP FUND'!A121</f>
        <v>46086</v>
      </c>
      <c r="B121" s="9">
        <f>'ICICI PRUDENTIAL MULTICAP FUND'!B121</f>
        <v>782.73</v>
      </c>
      <c r="C121" s="10">
        <f t="shared" si="4"/>
        <v>1.4819136522753875E-2</v>
      </c>
      <c r="D121" s="9">
        <f>'QUANT ACTIVE FUND'!B121</f>
        <v>566.58399999999995</v>
      </c>
      <c r="E121" s="10">
        <f t="shared" si="5"/>
        <v>9.9050491331075016E-3</v>
      </c>
      <c r="F121" s="9">
        <f>'NIPPON INDIA '!B121</f>
        <v>290.483</v>
      </c>
      <c r="G121" s="10">
        <f t="shared" si="6"/>
        <v>1.2746359303691793E-2</v>
      </c>
      <c r="H121" s="9">
        <f>'NIFTY500 TRI'!B121</f>
        <v>36270.839999999997</v>
      </c>
      <c r="I121" s="10">
        <f t="shared" si="7"/>
        <v>1.2851494891738648E-2</v>
      </c>
    </row>
    <row r="122" spans="1:9" ht="14.25" customHeight="1" x14ac:dyDescent="0.3">
      <c r="A122" s="8">
        <f>'ICICI PRUDENTIAL MULTICAP FUND'!A122</f>
        <v>46085</v>
      </c>
      <c r="B122" s="9">
        <f>'ICICI PRUDENTIAL MULTICAP FUND'!B122</f>
        <v>771.3</v>
      </c>
      <c r="C122" s="10">
        <f t="shared" si="4"/>
        <v>-2.3064939012805458E-2</v>
      </c>
      <c r="D122" s="9">
        <f>'QUANT ACTIVE FUND'!B122</f>
        <v>561.02700000000004</v>
      </c>
      <c r="E122" s="10">
        <f t="shared" si="5"/>
        <v>-1.6063179383569558E-2</v>
      </c>
      <c r="F122" s="9">
        <f>'NIPPON INDIA '!B122</f>
        <v>286.827</v>
      </c>
      <c r="G122" s="10">
        <f t="shared" si="6"/>
        <v>-1.7833478863834906E-2</v>
      </c>
      <c r="H122" s="9">
        <f>'NIFTY500 TRI'!B122</f>
        <v>35810.620000000003</v>
      </c>
      <c r="I122" s="10">
        <f t="shared" si="7"/>
        <v>-1.8661012030443014E-2</v>
      </c>
    </row>
    <row r="123" spans="1:9" ht="14.25" customHeight="1" x14ac:dyDescent="0.3">
      <c r="A123" s="8">
        <f>'ICICI PRUDENTIAL MULTICAP FUND'!A123</f>
        <v>46083</v>
      </c>
      <c r="B123" s="9">
        <f>'ICICI PRUDENTIAL MULTICAP FUND'!B123</f>
        <v>789.51</v>
      </c>
      <c r="C123" s="10">
        <f t="shared" si="4"/>
        <v>-1.5143765982660746E-2</v>
      </c>
      <c r="D123" s="9">
        <f>'QUANT ACTIVE FUND'!B123</f>
        <v>570.18600000000004</v>
      </c>
      <c r="E123" s="10">
        <f t="shared" si="5"/>
        <v>-1.7159621540280601E-2</v>
      </c>
      <c r="F123" s="9">
        <f>'NIPPON INDIA '!B123</f>
        <v>292.03500000000003</v>
      </c>
      <c r="G123" s="10">
        <f t="shared" si="6"/>
        <v>-1.5553735222434513E-2</v>
      </c>
      <c r="H123" s="9">
        <f>'NIFTY500 TRI'!B123</f>
        <v>36491.589999999997</v>
      </c>
      <c r="I123" s="10">
        <f t="shared" si="7"/>
        <v>-1.4283753975512972E-2</v>
      </c>
    </row>
    <row r="124" spans="1:9" ht="14.25" customHeight="1" x14ac:dyDescent="0.3">
      <c r="A124" s="8">
        <f>'ICICI PRUDENTIAL MULTICAP FUND'!A124</f>
        <v>46080</v>
      </c>
      <c r="B124" s="9">
        <f>'ICICI PRUDENTIAL MULTICAP FUND'!B124</f>
        <v>801.65</v>
      </c>
      <c r="C124" s="10">
        <f t="shared" si="4"/>
        <v>-1.25760599118075E-2</v>
      </c>
      <c r="D124" s="9">
        <f>'QUANT ACTIVE FUND'!B124</f>
        <v>580.14099999999996</v>
      </c>
      <c r="E124" s="10">
        <f t="shared" si="5"/>
        <v>-6.3322359969717676E-3</v>
      </c>
      <c r="F124" s="9">
        <f>'NIPPON INDIA '!B124</f>
        <v>296.649</v>
      </c>
      <c r="G124" s="10">
        <f t="shared" si="6"/>
        <v>-9.6845267901853119E-3</v>
      </c>
      <c r="H124" s="9">
        <f>'NIFTY500 TRI'!B124</f>
        <v>37020.379999999997</v>
      </c>
      <c r="I124" s="10">
        <f t="shared" si="7"/>
        <v>-1.2012122609585086E-2</v>
      </c>
    </row>
    <row r="125" spans="1:9" ht="14.25" customHeight="1" x14ac:dyDescent="0.3">
      <c r="A125" s="8">
        <f>'ICICI PRUDENTIAL MULTICAP FUND'!A125</f>
        <v>46079</v>
      </c>
      <c r="B125" s="9">
        <f>'ICICI PRUDENTIAL MULTICAP FUND'!B125</f>
        <v>811.86</v>
      </c>
      <c r="C125" s="10">
        <f t="shared" si="4"/>
        <v>3.3739942901635316E-3</v>
      </c>
      <c r="D125" s="9">
        <f>'QUANT ACTIVE FUND'!B125</f>
        <v>583.83799999999997</v>
      </c>
      <c r="E125" s="10">
        <f t="shared" si="5"/>
        <v>3.6564548375395216E-3</v>
      </c>
      <c r="F125" s="9">
        <f>'NIPPON INDIA '!B125</f>
        <v>299.55</v>
      </c>
      <c r="G125" s="10">
        <f t="shared" si="6"/>
        <v>1.3572058941513315E-3</v>
      </c>
      <c r="H125" s="9">
        <f>'NIFTY500 TRI'!B125</f>
        <v>37470.480000000003</v>
      </c>
      <c r="I125" s="10">
        <f t="shared" si="7"/>
        <v>1.9107452548223565E-3</v>
      </c>
    </row>
    <row r="126" spans="1:9" ht="14.25" customHeight="1" x14ac:dyDescent="0.3">
      <c r="A126" s="8">
        <f>'ICICI PRUDENTIAL MULTICAP FUND'!A126</f>
        <v>46078</v>
      </c>
      <c r="B126" s="9">
        <f>'ICICI PRUDENTIAL MULTICAP FUND'!B126</f>
        <v>809.13</v>
      </c>
      <c r="C126" s="10">
        <f t="shared" si="4"/>
        <v>9.2929847320627253E-3</v>
      </c>
      <c r="D126" s="9">
        <f>'QUANT ACTIVE FUND'!B126</f>
        <v>581.71100000000001</v>
      </c>
      <c r="E126" s="10">
        <f t="shared" si="5"/>
        <v>5.4358534722053868E-3</v>
      </c>
      <c r="F126" s="9">
        <f>'NIPPON INDIA '!B126</f>
        <v>299.14400000000001</v>
      </c>
      <c r="G126" s="10">
        <f t="shared" si="6"/>
        <v>4.2062365093271893E-3</v>
      </c>
      <c r="H126" s="9">
        <f>'NIFTY500 TRI'!B126</f>
        <v>37399.019999999997</v>
      </c>
      <c r="I126" s="10">
        <f t="shared" si="7"/>
        <v>4.2563863921303647E-3</v>
      </c>
    </row>
    <row r="127" spans="1:9" ht="14.25" customHeight="1" x14ac:dyDescent="0.3">
      <c r="A127" s="8">
        <f>'ICICI PRUDENTIAL MULTICAP FUND'!A127</f>
        <v>46077</v>
      </c>
      <c r="B127" s="9">
        <f>'ICICI PRUDENTIAL MULTICAP FUND'!B127</f>
        <v>801.68</v>
      </c>
      <c r="C127" s="10">
        <f t="shared" si="4"/>
        <v>-4.6806133217457266E-3</v>
      </c>
      <c r="D127" s="9">
        <f>'QUANT ACTIVE FUND'!B127</f>
        <v>578.56600000000003</v>
      </c>
      <c r="E127" s="10">
        <f t="shared" si="5"/>
        <v>-3.6542859504586928E-3</v>
      </c>
      <c r="F127" s="9">
        <f>'NIPPON INDIA '!B127</f>
        <v>297.89100000000002</v>
      </c>
      <c r="G127" s="10">
        <f t="shared" si="6"/>
        <v>-7.341033142948458E-3</v>
      </c>
      <c r="H127" s="9">
        <f>'NIFTY500 TRI'!B127</f>
        <v>37240.51</v>
      </c>
      <c r="I127" s="10">
        <f t="shared" si="7"/>
        <v>-7.6789251103622398E-3</v>
      </c>
    </row>
    <row r="128" spans="1:9" ht="14.25" customHeight="1" x14ac:dyDescent="0.3">
      <c r="A128" s="8">
        <f>'ICICI PRUDENTIAL MULTICAP FUND'!A128</f>
        <v>46076</v>
      </c>
      <c r="B128" s="9">
        <f>'ICICI PRUDENTIAL MULTICAP FUND'!B128</f>
        <v>805.45</v>
      </c>
      <c r="C128" s="10">
        <f t="shared" si="4"/>
        <v>1.9868618758469851E-4</v>
      </c>
      <c r="D128" s="9">
        <f>'QUANT ACTIVE FUND'!B128</f>
        <v>580.68799999999999</v>
      </c>
      <c r="E128" s="10">
        <f t="shared" si="5"/>
        <v>3.2720878848372235E-5</v>
      </c>
      <c r="F128" s="9">
        <f>'NIPPON INDIA '!B128</f>
        <v>300.09399999999999</v>
      </c>
      <c r="G128" s="10">
        <f t="shared" si="6"/>
        <v>2.7868742899151348E-3</v>
      </c>
      <c r="H128" s="9">
        <f>'NIFTY500 TRI'!B128</f>
        <v>37528.69</v>
      </c>
      <c r="I128" s="10">
        <f t="shared" si="7"/>
        <v>3.8470108362019099E-3</v>
      </c>
    </row>
    <row r="129" spans="1:9" ht="14.25" customHeight="1" x14ac:dyDescent="0.3">
      <c r="A129" s="8">
        <f>'ICICI PRUDENTIAL MULTICAP FUND'!A129</f>
        <v>46073</v>
      </c>
      <c r="B129" s="9">
        <f>'ICICI PRUDENTIAL MULTICAP FUND'!B129</f>
        <v>805.29</v>
      </c>
      <c r="C129" s="10">
        <f t="shared" si="4"/>
        <v>6.3609097725567578E-3</v>
      </c>
      <c r="D129" s="9">
        <f>'QUANT ACTIVE FUND'!B129</f>
        <v>580.66899999999998</v>
      </c>
      <c r="E129" s="10">
        <f t="shared" si="5"/>
        <v>2.3337827130914084E-3</v>
      </c>
      <c r="F129" s="9">
        <f>'NIPPON INDIA '!B129</f>
        <v>299.26</v>
      </c>
      <c r="G129" s="10">
        <f t="shared" si="6"/>
        <v>6.995736604964678E-3</v>
      </c>
      <c r="H129" s="9">
        <f>'NIFTY500 TRI'!B129</f>
        <v>37384.870000000003</v>
      </c>
      <c r="I129" s="10">
        <f t="shared" si="7"/>
        <v>4.2555763442392583E-3</v>
      </c>
    </row>
    <row r="130" spans="1:9" ht="14.25" customHeight="1" x14ac:dyDescent="0.3">
      <c r="A130" s="8">
        <f>'ICICI PRUDENTIAL MULTICAP FUND'!A130</f>
        <v>46072</v>
      </c>
      <c r="B130" s="9">
        <f>'ICICI PRUDENTIAL MULTICAP FUND'!B130</f>
        <v>800.2</v>
      </c>
      <c r="C130" s="10">
        <f t="shared" ref="C130:C193" si="8">(B130-B131)/B131</f>
        <v>-1.3499352770757483E-2</v>
      </c>
      <c r="D130" s="9">
        <f>'QUANT ACTIVE FUND'!B130</f>
        <v>579.31700000000001</v>
      </c>
      <c r="E130" s="10">
        <f t="shared" ref="E130:E193" si="9">(D130-D131)/D131</f>
        <v>-1.4713385762490398E-2</v>
      </c>
      <c r="F130" s="9">
        <f>'NIPPON INDIA '!B130</f>
        <v>297.18099999999998</v>
      </c>
      <c r="G130" s="10">
        <f t="shared" ref="G130:G193" si="10">(F130-F131)/F131</f>
        <v>-1.4102683192229203E-2</v>
      </c>
      <c r="H130" s="9">
        <f>'NIFTY500 TRI'!B130</f>
        <v>37226.449999999997</v>
      </c>
      <c r="I130" s="10">
        <f t="shared" ref="I130:I193" si="11">(H130-H131)/H131</f>
        <v>-1.4731212734602716E-2</v>
      </c>
    </row>
    <row r="131" spans="1:9" ht="14.25" customHeight="1" x14ac:dyDescent="0.3">
      <c r="A131" s="8">
        <f>'ICICI PRUDENTIAL MULTICAP FUND'!A131</f>
        <v>46071</v>
      </c>
      <c r="B131" s="9">
        <f>'ICICI PRUDENTIAL MULTICAP FUND'!B131</f>
        <v>811.15</v>
      </c>
      <c r="C131" s="10">
        <f t="shared" si="8"/>
        <v>6.2772147030727898E-3</v>
      </c>
      <c r="D131" s="9">
        <f>'QUANT ACTIVE FUND'!B131</f>
        <v>587.96799999999996</v>
      </c>
      <c r="E131" s="10">
        <f t="shared" si="9"/>
        <v>-2.5277458275229266E-3</v>
      </c>
      <c r="F131" s="9">
        <f>'NIPPON INDIA '!B131</f>
        <v>301.43200000000002</v>
      </c>
      <c r="G131" s="10">
        <f t="shared" si="10"/>
        <v>4.2711977344662309E-3</v>
      </c>
      <c r="H131" s="9">
        <f>'NIFTY500 TRI'!B131</f>
        <v>37783.040000000001</v>
      </c>
      <c r="I131" s="10">
        <f t="shared" si="11"/>
        <v>4.6388350743367373E-3</v>
      </c>
    </row>
    <row r="132" spans="1:9" ht="14.25" customHeight="1" x14ac:dyDescent="0.3">
      <c r="A132" s="8">
        <f>'ICICI PRUDENTIAL MULTICAP FUND'!A132</f>
        <v>46070</v>
      </c>
      <c r="B132" s="9">
        <f>'ICICI PRUDENTIAL MULTICAP FUND'!B132</f>
        <v>806.09</v>
      </c>
      <c r="C132" s="10">
        <f t="shared" si="8"/>
        <v>1.5406597502640356E-3</v>
      </c>
      <c r="D132" s="9">
        <f>'QUANT ACTIVE FUND'!B132</f>
        <v>589.45799999999997</v>
      </c>
      <c r="E132" s="10">
        <f t="shared" si="9"/>
        <v>6.6173369103952814E-3</v>
      </c>
      <c r="F132" s="9">
        <f>'NIPPON INDIA '!B132</f>
        <v>300.14999999999998</v>
      </c>
      <c r="G132" s="10">
        <f t="shared" si="10"/>
        <v>2.4581348901520639E-3</v>
      </c>
      <c r="H132" s="9">
        <f>'NIFTY500 TRI'!B132</f>
        <v>37608.58</v>
      </c>
      <c r="I132" s="10">
        <f t="shared" si="11"/>
        <v>2.8866412642235412E-3</v>
      </c>
    </row>
    <row r="133" spans="1:9" ht="14.25" customHeight="1" x14ac:dyDescent="0.3">
      <c r="A133" s="8">
        <f>'ICICI PRUDENTIAL MULTICAP FUND'!A133</f>
        <v>46069</v>
      </c>
      <c r="B133" s="9">
        <f>'ICICI PRUDENTIAL MULTICAP FUND'!B133</f>
        <v>804.85</v>
      </c>
      <c r="C133" s="10">
        <f t="shared" si="8"/>
        <v>-1.3507053819848729E-2</v>
      </c>
      <c r="D133" s="9">
        <f>'QUANT ACTIVE FUND'!B133</f>
        <v>585.58299999999997</v>
      </c>
      <c r="E133" s="10">
        <f t="shared" si="9"/>
        <v>-1.2968647023228733E-2</v>
      </c>
      <c r="F133" s="9">
        <f>'NIPPON INDIA '!B133</f>
        <v>299.41399999999999</v>
      </c>
      <c r="G133" s="10">
        <f t="shared" si="10"/>
        <v>-3.1263213618642773E-3</v>
      </c>
      <c r="H133" s="9">
        <f>'NIFTY500 TRI'!B133</f>
        <v>37500.33</v>
      </c>
      <c r="I133" s="10">
        <f t="shared" si="11"/>
        <v>-7.5370939671489954E-3</v>
      </c>
    </row>
    <row r="134" spans="1:9" ht="14.25" customHeight="1" x14ac:dyDescent="0.3">
      <c r="A134" s="8">
        <f>'ICICI PRUDENTIAL MULTICAP FUND'!A134</f>
        <v>46065</v>
      </c>
      <c r="B134" s="9">
        <f>'ICICI PRUDENTIAL MULTICAP FUND'!B134</f>
        <v>815.87</v>
      </c>
      <c r="C134" s="10">
        <f t="shared" si="8"/>
        <v>-2.7258281383694145E-3</v>
      </c>
      <c r="D134" s="9">
        <f>'QUANT ACTIVE FUND'!B134</f>
        <v>593.27700000000004</v>
      </c>
      <c r="E134" s="10">
        <f t="shared" si="9"/>
        <v>-5.373171361415646E-3</v>
      </c>
      <c r="F134" s="9">
        <f>'NIPPON INDIA '!B134</f>
        <v>300.35300000000001</v>
      </c>
      <c r="G134" s="10">
        <f t="shared" si="10"/>
        <v>-4.5735799531373611E-3</v>
      </c>
      <c r="H134" s="9">
        <f>'NIFTY500 TRI'!B134</f>
        <v>37785.120000000003</v>
      </c>
      <c r="I134" s="10">
        <f t="shared" si="11"/>
        <v>-5.5283342593281104E-3</v>
      </c>
    </row>
    <row r="135" spans="1:9" ht="14.25" customHeight="1" x14ac:dyDescent="0.3">
      <c r="A135" s="8">
        <f>'ICICI PRUDENTIAL MULTICAP FUND'!A135</f>
        <v>46064</v>
      </c>
      <c r="B135" s="9">
        <f>'ICICI PRUDENTIAL MULTICAP FUND'!B135</f>
        <v>818.1</v>
      </c>
      <c r="C135" s="10">
        <f t="shared" si="8"/>
        <v>6.3602338609063547E-4</v>
      </c>
      <c r="D135" s="9">
        <f>'QUANT ACTIVE FUND'!B135</f>
        <v>596.48199999999997</v>
      </c>
      <c r="E135" s="10">
        <f t="shared" si="9"/>
        <v>1.9906030099260457E-3</v>
      </c>
      <c r="F135" s="9">
        <f>'NIPPON INDIA '!B135</f>
        <v>301.733</v>
      </c>
      <c r="G135" s="10">
        <f t="shared" si="10"/>
        <v>1.1912109206500244E-3</v>
      </c>
      <c r="H135" s="9">
        <f>'NIFTY500 TRI'!B135</f>
        <v>37995.17</v>
      </c>
      <c r="I135" s="10">
        <f t="shared" si="11"/>
        <v>1.3329963507314679E-3</v>
      </c>
    </row>
    <row r="136" spans="1:9" ht="14.25" customHeight="1" x14ac:dyDescent="0.3">
      <c r="A136" s="8">
        <f>'ICICI PRUDENTIAL MULTICAP FUND'!A136</f>
        <v>46063</v>
      </c>
      <c r="B136" s="9">
        <f>'ICICI PRUDENTIAL MULTICAP FUND'!B136</f>
        <v>817.58</v>
      </c>
      <c r="C136" s="10">
        <f t="shared" si="8"/>
        <v>5.6581957735737931E-3</v>
      </c>
      <c r="D136" s="9">
        <f>'QUANT ACTIVE FUND'!B136</f>
        <v>595.29700000000003</v>
      </c>
      <c r="E136" s="10">
        <f t="shared" si="9"/>
        <v>-2.7339934900129635E-3</v>
      </c>
      <c r="F136" s="9">
        <f>'NIPPON INDIA '!B136</f>
        <v>301.37400000000002</v>
      </c>
      <c r="G136" s="10">
        <f t="shared" si="10"/>
        <v>7.0405357089155431E-3</v>
      </c>
      <c r="H136" s="9">
        <f>'NIFTY500 TRI'!B136</f>
        <v>37944.589999999997</v>
      </c>
      <c r="I136" s="10">
        <f t="shared" si="11"/>
        <v>3.0070712167825754E-3</v>
      </c>
    </row>
    <row r="137" spans="1:9" ht="14.25" customHeight="1" x14ac:dyDescent="0.3">
      <c r="A137" s="8">
        <f>'ICICI PRUDENTIAL MULTICAP FUND'!A137</f>
        <v>46062</v>
      </c>
      <c r="B137" s="9">
        <f>'ICICI PRUDENTIAL MULTICAP FUND'!B137</f>
        <v>812.98</v>
      </c>
      <c r="C137" s="10">
        <f t="shared" si="8"/>
        <v>1.6364750153146097E-2</v>
      </c>
      <c r="D137" s="9">
        <f>'QUANT ACTIVE FUND'!B137</f>
        <v>596.92899999999997</v>
      </c>
      <c r="E137" s="10">
        <f t="shared" si="9"/>
        <v>1.1015793707922293E-2</v>
      </c>
      <c r="F137" s="9">
        <f>'NIPPON INDIA '!B137</f>
        <v>299.267</v>
      </c>
      <c r="G137" s="10">
        <f t="shared" si="10"/>
        <v>1.2477205755483266E-2</v>
      </c>
      <c r="H137" s="9">
        <f>'NIFTY500 TRI'!B137</f>
        <v>37830.83</v>
      </c>
      <c r="I137" s="10">
        <f t="shared" si="11"/>
        <v>1.0727691941874382E-2</v>
      </c>
    </row>
    <row r="138" spans="1:9" ht="14.25" customHeight="1" x14ac:dyDescent="0.3">
      <c r="A138" s="8">
        <f>'ICICI PRUDENTIAL MULTICAP FUND'!A138</f>
        <v>46059</v>
      </c>
      <c r="B138" s="9">
        <f>'ICICI PRUDENTIAL MULTICAP FUND'!B138</f>
        <v>799.89</v>
      </c>
      <c r="C138" s="10">
        <f t="shared" si="8"/>
        <v>7.5015940887370347E-5</v>
      </c>
      <c r="D138" s="9">
        <f>'QUANT ACTIVE FUND'!B138</f>
        <v>590.42499999999995</v>
      </c>
      <c r="E138" s="10">
        <f t="shared" si="9"/>
        <v>-7.3621500863158636E-4</v>
      </c>
      <c r="F138" s="9">
        <f>'NIPPON INDIA '!B138</f>
        <v>295.57900000000001</v>
      </c>
      <c r="G138" s="10">
        <f t="shared" si="10"/>
        <v>3.7251852405239703E-3</v>
      </c>
      <c r="H138" s="9">
        <f>'NIFTY500 TRI'!B138</f>
        <v>37429.300000000003</v>
      </c>
      <c r="I138" s="10">
        <f t="shared" si="11"/>
        <v>1.1046325024072674E-3</v>
      </c>
    </row>
    <row r="139" spans="1:9" ht="14.25" customHeight="1" x14ac:dyDescent="0.3">
      <c r="A139" s="8">
        <f>'ICICI PRUDENTIAL MULTICAP FUND'!A139</f>
        <v>46058</v>
      </c>
      <c r="B139" s="9">
        <f>'ICICI PRUDENTIAL MULTICAP FUND'!B139</f>
        <v>799.83</v>
      </c>
      <c r="C139" s="10">
        <f t="shared" si="8"/>
        <v>-6.718493865183011E-3</v>
      </c>
      <c r="D139" s="9">
        <f>'QUANT ACTIVE FUND'!B139</f>
        <v>590.86</v>
      </c>
      <c r="E139" s="10">
        <f t="shared" si="9"/>
        <v>-5.8886869910491956E-3</v>
      </c>
      <c r="F139" s="9">
        <f>'NIPPON INDIA '!B139</f>
        <v>294.48200000000003</v>
      </c>
      <c r="G139" s="10">
        <f t="shared" si="10"/>
        <v>-1.2650285733665375E-3</v>
      </c>
      <c r="H139" s="9">
        <f>'NIFTY500 TRI'!B139</f>
        <v>37388</v>
      </c>
      <c r="I139" s="10">
        <f t="shared" si="11"/>
        <v>-5.1646927659709952E-3</v>
      </c>
    </row>
    <row r="140" spans="1:9" ht="14.25" customHeight="1" x14ac:dyDescent="0.3">
      <c r="A140" s="8">
        <f>'ICICI PRUDENTIAL MULTICAP FUND'!A140</f>
        <v>46057</v>
      </c>
      <c r="B140" s="9">
        <f>'ICICI PRUDENTIAL MULTICAP FUND'!B140</f>
        <v>805.24</v>
      </c>
      <c r="C140" s="10">
        <f t="shared" si="8"/>
        <v>6.8520556166850287E-3</v>
      </c>
      <c r="D140" s="9">
        <f>'QUANT ACTIVE FUND'!B140</f>
        <v>594.36</v>
      </c>
      <c r="E140" s="10">
        <f t="shared" si="9"/>
        <v>9.979829630901018E-3</v>
      </c>
      <c r="F140" s="9">
        <f>'NIPPON INDIA '!B140</f>
        <v>294.85500000000002</v>
      </c>
      <c r="G140" s="10">
        <f t="shared" si="10"/>
        <v>5.3942913258294952E-3</v>
      </c>
      <c r="H140" s="9">
        <f>'NIFTY500 TRI'!B140</f>
        <v>37582.1</v>
      </c>
      <c r="I140" s="10">
        <f t="shared" si="11"/>
        <v>3.7988913957232202E-3</v>
      </c>
    </row>
    <row r="141" spans="1:9" ht="14.25" customHeight="1" x14ac:dyDescent="0.3">
      <c r="A141" s="8">
        <f>'ICICI PRUDENTIAL MULTICAP FUND'!A141</f>
        <v>46056</v>
      </c>
      <c r="B141" s="9">
        <f>'ICICI PRUDENTIAL MULTICAP FUND'!B141</f>
        <v>799.76</v>
      </c>
      <c r="C141" s="10">
        <f t="shared" si="8"/>
        <v>3.397631483684125E-2</v>
      </c>
      <c r="D141" s="9">
        <f>'QUANT ACTIVE FUND'!B141</f>
        <v>588.48699999999997</v>
      </c>
      <c r="E141" s="10">
        <f t="shared" si="9"/>
        <v>3.2415220785600211E-2</v>
      </c>
      <c r="F141" s="9">
        <f>'NIPPON INDIA '!B141</f>
        <v>293.27300000000002</v>
      </c>
      <c r="G141" s="10">
        <f t="shared" si="10"/>
        <v>2.6880628580232289E-2</v>
      </c>
      <c r="H141" s="9">
        <f>'NIFTY500 TRI'!B141</f>
        <v>37439.870000000003</v>
      </c>
      <c r="I141" s="10">
        <f t="shared" si="11"/>
        <v>2.6684849435485922E-2</v>
      </c>
    </row>
    <row r="142" spans="1:9" ht="14.25" customHeight="1" x14ac:dyDescent="0.3">
      <c r="A142" s="8">
        <f>'ICICI PRUDENTIAL MULTICAP FUND'!A142</f>
        <v>46055</v>
      </c>
      <c r="B142" s="9">
        <f>'ICICI PRUDENTIAL MULTICAP FUND'!B142</f>
        <v>773.48</v>
      </c>
      <c r="C142" s="10">
        <f t="shared" si="8"/>
        <v>-1.1426088290176557E-2</v>
      </c>
      <c r="D142" s="9">
        <f>'QUANT ACTIVE FUND'!B142</f>
        <v>570.01</v>
      </c>
      <c r="E142" s="10">
        <f t="shared" si="9"/>
        <v>-1.0670684083185557E-2</v>
      </c>
      <c r="F142" s="9">
        <f>'NIPPON INDIA '!B142</f>
        <v>285.596</v>
      </c>
      <c r="G142" s="10">
        <f t="shared" si="10"/>
        <v>-7.2786680107059477E-3</v>
      </c>
      <c r="H142" s="9">
        <f>'NIFTY500 TRI'!B142</f>
        <v>36466.76</v>
      </c>
      <c r="I142" s="10">
        <f t="shared" si="11"/>
        <v>-1.0505259684722717E-2</v>
      </c>
    </row>
    <row r="143" spans="1:9" ht="14.25" customHeight="1" x14ac:dyDescent="0.3">
      <c r="A143" s="8">
        <f>'ICICI PRUDENTIAL MULTICAP FUND'!A143</f>
        <v>46052</v>
      </c>
      <c r="B143" s="9">
        <f>'ICICI PRUDENTIAL MULTICAP FUND'!B143</f>
        <v>782.42</v>
      </c>
      <c r="C143" s="10">
        <f t="shared" si="8"/>
        <v>-3.0580260441885922E-3</v>
      </c>
      <c r="D143" s="9">
        <f>'QUANT ACTIVE FUND'!B143</f>
        <v>576.15800000000002</v>
      </c>
      <c r="E143" s="10">
        <f t="shared" si="9"/>
        <v>1.1630561125411342E-2</v>
      </c>
      <c r="F143" s="9">
        <f>'NIPPON INDIA '!B143</f>
        <v>287.69</v>
      </c>
      <c r="G143" s="10">
        <f t="shared" si="10"/>
        <v>4.7041485211790747E-3</v>
      </c>
      <c r="H143" s="9">
        <f>'NIFTY500 TRI'!B143</f>
        <v>36853.919999999998</v>
      </c>
      <c r="I143" s="10">
        <f t="shared" si="11"/>
        <v>-2.3545717619225088E-3</v>
      </c>
    </row>
    <row r="144" spans="1:9" ht="14.25" customHeight="1" x14ac:dyDescent="0.3">
      <c r="A144" s="8">
        <f>'ICICI PRUDENTIAL MULTICAP FUND'!A144</f>
        <v>46051</v>
      </c>
      <c r="B144" s="9">
        <f>'ICICI PRUDENTIAL MULTICAP FUND'!B144</f>
        <v>784.82</v>
      </c>
      <c r="C144" s="10">
        <f t="shared" si="8"/>
        <v>5.2644387800848116E-3</v>
      </c>
      <c r="D144" s="9">
        <f>'QUANT ACTIVE FUND'!B144</f>
        <v>569.53399999999999</v>
      </c>
      <c r="E144" s="10">
        <f t="shared" si="9"/>
        <v>1.584501778827387E-3</v>
      </c>
      <c r="F144" s="9">
        <f>'NIPPON INDIA '!B144</f>
        <v>286.34300000000002</v>
      </c>
      <c r="G144" s="10">
        <f t="shared" si="10"/>
        <v>3.430706045612067E-3</v>
      </c>
      <c r="H144" s="9">
        <f>'NIFTY500 TRI'!B144</f>
        <v>36940.9</v>
      </c>
      <c r="I144" s="10">
        <f t="shared" si="11"/>
        <v>2.2910501985269971E-3</v>
      </c>
    </row>
    <row r="145" spans="1:9" ht="14.25" customHeight="1" x14ac:dyDescent="0.3">
      <c r="A145" s="8">
        <f>'ICICI PRUDENTIAL MULTICAP FUND'!A145</f>
        <v>46050</v>
      </c>
      <c r="B145" s="9">
        <f>'ICICI PRUDENTIAL MULTICAP FUND'!B145</f>
        <v>780.71</v>
      </c>
      <c r="C145" s="10">
        <f t="shared" si="8"/>
        <v>1.8405948343334221E-2</v>
      </c>
      <c r="D145" s="9">
        <f>'QUANT ACTIVE FUND'!B145</f>
        <v>568.63300000000004</v>
      </c>
      <c r="E145" s="10">
        <f t="shared" si="9"/>
        <v>1.2867624138551477E-2</v>
      </c>
      <c r="F145" s="9">
        <f>'NIPPON INDIA '!B145</f>
        <v>285.36399999999998</v>
      </c>
      <c r="G145" s="10">
        <f t="shared" si="10"/>
        <v>1.3175787227545794E-2</v>
      </c>
      <c r="H145" s="9">
        <f>'NIFTY500 TRI'!B145</f>
        <v>36856.46</v>
      </c>
      <c r="I145" s="10">
        <f t="shared" si="11"/>
        <v>1.1519420101639085E-2</v>
      </c>
    </row>
    <row r="146" spans="1:9" ht="14.25" customHeight="1" x14ac:dyDescent="0.3">
      <c r="A146" s="8">
        <f>'ICICI PRUDENTIAL MULTICAP FUND'!A146</f>
        <v>46049</v>
      </c>
      <c r="B146" s="9">
        <f>'ICICI PRUDENTIAL MULTICAP FUND'!B146</f>
        <v>766.6</v>
      </c>
      <c r="C146" s="10">
        <f t="shared" si="8"/>
        <v>5.2847607432759906E-3</v>
      </c>
      <c r="D146" s="9">
        <f>'QUANT ACTIVE FUND'!B146</f>
        <v>561.40899999999999</v>
      </c>
      <c r="E146" s="10">
        <f t="shared" si="9"/>
        <v>2.0973378980925013E-3</v>
      </c>
      <c r="F146" s="9">
        <f>'NIPPON INDIA '!B146</f>
        <v>281.65300000000002</v>
      </c>
      <c r="G146" s="10">
        <f t="shared" si="10"/>
        <v>1.7071340420311274E-3</v>
      </c>
      <c r="H146" s="9">
        <f>'NIFTY500 TRI'!B146</f>
        <v>36436.730000000003</v>
      </c>
      <c r="I146" s="10">
        <f t="shared" si="11"/>
        <v>5.0061742816139903E-3</v>
      </c>
    </row>
    <row r="147" spans="1:9" ht="14.25" customHeight="1" x14ac:dyDescent="0.3">
      <c r="A147" s="8">
        <f>'ICICI PRUDENTIAL MULTICAP FUND'!A147</f>
        <v>46045</v>
      </c>
      <c r="B147" s="9">
        <f>'ICICI PRUDENTIAL MULTICAP FUND'!B147</f>
        <v>762.57</v>
      </c>
      <c r="C147" s="10">
        <f t="shared" si="8"/>
        <v>-1.3862845762909018E-2</v>
      </c>
      <c r="D147" s="9">
        <f>'QUANT ACTIVE FUND'!B147</f>
        <v>560.23400000000004</v>
      </c>
      <c r="E147" s="10">
        <f t="shared" si="9"/>
        <v>-2.290675447531082E-2</v>
      </c>
      <c r="F147" s="9">
        <f>'NIPPON INDIA '!B147</f>
        <v>281.173</v>
      </c>
      <c r="G147" s="10">
        <f t="shared" si="10"/>
        <v>-1.3552674048190402E-2</v>
      </c>
      <c r="H147" s="9">
        <f>'NIFTY500 TRI'!B147</f>
        <v>36255.230000000003</v>
      </c>
      <c r="I147" s="10">
        <f t="shared" si="11"/>
        <v>-1.3141695403917839E-2</v>
      </c>
    </row>
    <row r="148" spans="1:9" ht="14.25" customHeight="1" x14ac:dyDescent="0.3">
      <c r="A148" s="8">
        <f>'ICICI PRUDENTIAL MULTICAP FUND'!A148</f>
        <v>46044</v>
      </c>
      <c r="B148" s="9">
        <f>'ICICI PRUDENTIAL MULTICAP FUND'!B148</f>
        <v>773.29</v>
      </c>
      <c r="C148" s="10">
        <f t="shared" si="8"/>
        <v>6.2852978684641058E-3</v>
      </c>
      <c r="D148" s="9">
        <f>'QUANT ACTIVE FUND'!B148</f>
        <v>573.36800000000005</v>
      </c>
      <c r="E148" s="10">
        <f t="shared" si="9"/>
        <v>3.2738579555099934E-3</v>
      </c>
      <c r="F148" s="9">
        <f>'NIPPON INDIA '!B148</f>
        <v>285.036</v>
      </c>
      <c r="G148" s="10">
        <f t="shared" si="10"/>
        <v>1.6516379328522287E-3</v>
      </c>
      <c r="H148" s="9">
        <f>'NIFTY500 TRI'!B148</f>
        <v>36738.03</v>
      </c>
      <c r="I148" s="10">
        <f t="shared" si="11"/>
        <v>2.7146255981060157E-3</v>
      </c>
    </row>
    <row r="149" spans="1:9" ht="14.25" customHeight="1" x14ac:dyDescent="0.3">
      <c r="A149" s="8">
        <f>'ICICI PRUDENTIAL MULTICAP FUND'!A149</f>
        <v>46042</v>
      </c>
      <c r="B149" s="9">
        <f>'ICICI PRUDENTIAL MULTICAP FUND'!B149</f>
        <v>768.46</v>
      </c>
      <c r="C149" s="10">
        <f t="shared" si="8"/>
        <v>-2.4475080610353635E-2</v>
      </c>
      <c r="D149" s="9">
        <f>'QUANT ACTIVE FUND'!B149</f>
        <v>571.49699999999996</v>
      </c>
      <c r="E149" s="10">
        <f t="shared" si="9"/>
        <v>-2.0879448468691986E-2</v>
      </c>
      <c r="F149" s="9">
        <f>'NIPPON INDIA '!B149</f>
        <v>284.56599999999997</v>
      </c>
      <c r="G149" s="10">
        <f t="shared" si="10"/>
        <v>-1.898149424970362E-2</v>
      </c>
      <c r="H149" s="9">
        <f>'NIFTY500 TRI'!B149</f>
        <v>36638.57</v>
      </c>
      <c r="I149" s="10">
        <f t="shared" si="11"/>
        <v>-1.8257268971297657E-2</v>
      </c>
    </row>
    <row r="150" spans="1:9" ht="14.25" customHeight="1" x14ac:dyDescent="0.3">
      <c r="A150" s="8">
        <f>'ICICI PRUDENTIAL MULTICAP FUND'!A150</f>
        <v>46041</v>
      </c>
      <c r="B150" s="9">
        <f>'ICICI PRUDENTIAL MULTICAP FUND'!B150</f>
        <v>787.74</v>
      </c>
      <c r="C150" s="10">
        <f t="shared" si="8"/>
        <v>-5.7679443652105065E-3</v>
      </c>
      <c r="D150" s="9">
        <f>'QUANT ACTIVE FUND'!B150</f>
        <v>583.68399999999997</v>
      </c>
      <c r="E150" s="10">
        <f t="shared" si="9"/>
        <v>-6.7725775272945397E-3</v>
      </c>
      <c r="F150" s="9">
        <f>'NIPPON INDIA '!B150</f>
        <v>290.072</v>
      </c>
      <c r="G150" s="10">
        <f t="shared" si="10"/>
        <v>-5.7958000157661326E-3</v>
      </c>
      <c r="H150" s="9">
        <f>'NIFTY500 TRI'!B150</f>
        <v>37319.93</v>
      </c>
      <c r="I150" s="10">
        <f t="shared" si="11"/>
        <v>-4.7493174306269112E-3</v>
      </c>
    </row>
    <row r="151" spans="1:9" ht="14.25" customHeight="1" x14ac:dyDescent="0.3">
      <c r="A151" s="8">
        <f>'ICICI PRUDENTIAL MULTICAP FUND'!A151</f>
        <v>46038</v>
      </c>
      <c r="B151" s="9">
        <f>'ICICI PRUDENTIAL MULTICAP FUND'!B151</f>
        <v>792.31</v>
      </c>
      <c r="C151" s="10">
        <f t="shared" si="8"/>
        <v>-2.4299959709912161E-3</v>
      </c>
      <c r="D151" s="9">
        <f>'QUANT ACTIVE FUND'!B151</f>
        <v>587.66399999999999</v>
      </c>
      <c r="E151" s="10">
        <f t="shared" si="9"/>
        <v>-3.8090491616531263E-3</v>
      </c>
      <c r="F151" s="9">
        <f>'NIPPON INDIA '!B151</f>
        <v>291.76299999999998</v>
      </c>
      <c r="G151" s="10">
        <f t="shared" si="10"/>
        <v>-3.9464834988512387E-3</v>
      </c>
      <c r="H151" s="9">
        <f>'NIFTY500 TRI'!B151</f>
        <v>37498.019999999997</v>
      </c>
      <c r="I151" s="10">
        <f t="shared" si="11"/>
        <v>7.6115240395513146E-4</v>
      </c>
    </row>
    <row r="152" spans="1:9" ht="14.25" customHeight="1" x14ac:dyDescent="0.3">
      <c r="A152" s="8">
        <f>'ICICI PRUDENTIAL MULTICAP FUND'!A152</f>
        <v>46036</v>
      </c>
      <c r="B152" s="9">
        <f>'ICICI PRUDENTIAL MULTICAP FUND'!B152</f>
        <v>794.24</v>
      </c>
      <c r="C152" s="10">
        <f t="shared" si="8"/>
        <v>5.3798149343662581E-3</v>
      </c>
      <c r="D152" s="9">
        <f>'QUANT ACTIVE FUND'!B152</f>
        <v>589.91099999999994</v>
      </c>
      <c r="E152" s="10">
        <f t="shared" si="9"/>
        <v>-8.1361586144124972E-5</v>
      </c>
      <c r="F152" s="9">
        <f>'NIPPON INDIA '!B152</f>
        <v>292.91899999999998</v>
      </c>
      <c r="G152" s="10">
        <f t="shared" si="10"/>
        <v>7.6188263590878014E-4</v>
      </c>
      <c r="H152" s="9">
        <f>'NIFTY500 TRI'!B152</f>
        <v>37469.5</v>
      </c>
      <c r="I152" s="10">
        <f t="shared" si="11"/>
        <v>-2.0572502595575089E-4</v>
      </c>
    </row>
    <row r="153" spans="1:9" ht="14.25" customHeight="1" x14ac:dyDescent="0.3">
      <c r="A153" s="8">
        <f>'ICICI PRUDENTIAL MULTICAP FUND'!A153</f>
        <v>46035</v>
      </c>
      <c r="B153" s="9">
        <f>'ICICI PRUDENTIAL MULTICAP FUND'!B153</f>
        <v>789.99</v>
      </c>
      <c r="C153" s="10">
        <f t="shared" si="8"/>
        <v>-8.8600865756950531E-5</v>
      </c>
      <c r="D153" s="9">
        <f>'QUANT ACTIVE FUND'!B153</f>
        <v>589.95899999999995</v>
      </c>
      <c r="E153" s="10">
        <f t="shared" si="9"/>
        <v>-4.2062550320618505E-3</v>
      </c>
      <c r="F153" s="9">
        <f>'NIPPON INDIA '!B153</f>
        <v>292.69600000000003</v>
      </c>
      <c r="G153" s="10">
        <f t="shared" si="10"/>
        <v>-2.1519406747525497E-4</v>
      </c>
      <c r="H153" s="9">
        <f>'NIFTY500 TRI'!B153</f>
        <v>37477.21</v>
      </c>
      <c r="I153" s="10">
        <f t="shared" si="11"/>
        <v>-1.2658325673935921E-3</v>
      </c>
    </row>
    <row r="154" spans="1:9" ht="14.25" customHeight="1" x14ac:dyDescent="0.3">
      <c r="A154" s="8">
        <f>'ICICI PRUDENTIAL MULTICAP FUND'!A154</f>
        <v>46034</v>
      </c>
      <c r="B154" s="9">
        <f>'ICICI PRUDENTIAL MULTICAP FUND'!B154</f>
        <v>790.06</v>
      </c>
      <c r="C154" s="10">
        <f t="shared" si="8"/>
        <v>-6.0717990234525538E-4</v>
      </c>
      <c r="D154" s="9">
        <f>'QUANT ACTIVE FUND'!B154</f>
        <v>592.45100000000002</v>
      </c>
      <c r="E154" s="10">
        <f t="shared" si="9"/>
        <v>-3.0944488381092427E-3</v>
      </c>
      <c r="F154" s="9">
        <f>'NIPPON INDIA '!B154</f>
        <v>292.75900000000001</v>
      </c>
      <c r="G154" s="10">
        <f t="shared" si="10"/>
        <v>-3.3193297337045283E-3</v>
      </c>
      <c r="H154" s="9">
        <f>'NIFTY500 TRI'!B154</f>
        <v>37524.71</v>
      </c>
      <c r="I154" s="10">
        <f t="shared" si="11"/>
        <v>1.8365588136668616E-3</v>
      </c>
    </row>
    <row r="155" spans="1:9" ht="14.25" customHeight="1" x14ac:dyDescent="0.3">
      <c r="A155" s="8">
        <f>'ICICI PRUDENTIAL MULTICAP FUND'!A155</f>
        <v>46031</v>
      </c>
      <c r="B155" s="9">
        <f>'ICICI PRUDENTIAL MULTICAP FUND'!B155</f>
        <v>790.54</v>
      </c>
      <c r="C155" s="10">
        <f t="shared" si="8"/>
        <v>-1.1095683066261373E-2</v>
      </c>
      <c r="D155" s="9">
        <f>'QUANT ACTIVE FUND'!B155</f>
        <v>594.29</v>
      </c>
      <c r="E155" s="10">
        <f t="shared" si="9"/>
        <v>-1.1368702630405805E-2</v>
      </c>
      <c r="F155" s="9">
        <f>'NIPPON INDIA '!B155</f>
        <v>293.73399999999998</v>
      </c>
      <c r="G155" s="10">
        <f t="shared" si="10"/>
        <v>-1.0923368060933901E-2</v>
      </c>
      <c r="H155" s="9">
        <f>'NIFTY500 TRI'!B155</f>
        <v>37455.919999999998</v>
      </c>
      <c r="I155" s="10">
        <f t="shared" si="11"/>
        <v>-8.9859785080519967E-3</v>
      </c>
    </row>
    <row r="156" spans="1:9" ht="14.25" customHeight="1" x14ac:dyDescent="0.3">
      <c r="A156" s="8">
        <f>'ICICI PRUDENTIAL MULTICAP FUND'!A156</f>
        <v>46030</v>
      </c>
      <c r="B156" s="9">
        <f>'ICICI PRUDENTIAL MULTICAP FUND'!B156</f>
        <v>799.41</v>
      </c>
      <c r="C156" s="10">
        <f t="shared" si="8"/>
        <v>-1.6860979929161791E-2</v>
      </c>
      <c r="D156" s="9">
        <f>'QUANT ACTIVE FUND'!B156</f>
        <v>601.12400000000002</v>
      </c>
      <c r="E156" s="10">
        <f t="shared" si="9"/>
        <v>-1.9674227153825524E-2</v>
      </c>
      <c r="F156" s="9">
        <f>'NIPPON INDIA '!B156</f>
        <v>296.97800000000001</v>
      </c>
      <c r="G156" s="10">
        <f t="shared" si="10"/>
        <v>-1.4988540516157724E-2</v>
      </c>
      <c r="H156" s="9">
        <f>'NIFTY500 TRI'!B156</f>
        <v>37795.550000000003</v>
      </c>
      <c r="I156" s="10">
        <f t="shared" si="11"/>
        <v>-1.4011039680814869E-2</v>
      </c>
    </row>
    <row r="157" spans="1:9" ht="14.25" customHeight="1" x14ac:dyDescent="0.3">
      <c r="A157" s="8">
        <f>'ICICI PRUDENTIAL MULTICAP FUND'!A157</f>
        <v>46029</v>
      </c>
      <c r="B157" s="9">
        <f>'ICICI PRUDENTIAL MULTICAP FUND'!B157</f>
        <v>813.12</v>
      </c>
      <c r="C157" s="10">
        <f t="shared" si="8"/>
        <v>-6.3910328892382608E-4</v>
      </c>
      <c r="D157" s="9">
        <f>'QUANT ACTIVE FUND'!B157</f>
        <v>613.18799999999999</v>
      </c>
      <c r="E157" s="10">
        <f t="shared" si="9"/>
        <v>2.4456752744845133E-3</v>
      </c>
      <c r="F157" s="9">
        <f>'NIPPON INDIA '!B157</f>
        <v>301.49700000000001</v>
      </c>
      <c r="G157" s="10">
        <f t="shared" si="10"/>
        <v>6.6340052475109725E-5</v>
      </c>
      <c r="H157" s="9">
        <f>'NIFTY500 TRI'!B157</f>
        <v>38332.629999999997</v>
      </c>
      <c r="I157" s="10">
        <f t="shared" si="11"/>
        <v>2.5572224180718474E-4</v>
      </c>
    </row>
    <row r="158" spans="1:9" ht="14.25" customHeight="1" x14ac:dyDescent="0.3">
      <c r="A158" s="8">
        <f>'ICICI PRUDENTIAL MULTICAP FUND'!A158</f>
        <v>46028</v>
      </c>
      <c r="B158" s="9">
        <f>'ICICI PRUDENTIAL MULTICAP FUND'!B158</f>
        <v>813.64</v>
      </c>
      <c r="C158" s="10">
        <f t="shared" si="8"/>
        <v>-2.2441046267796987E-3</v>
      </c>
      <c r="D158" s="9">
        <f>'QUANT ACTIVE FUND'!B158</f>
        <v>611.69200000000001</v>
      </c>
      <c r="E158" s="10">
        <f t="shared" si="9"/>
        <v>-7.7103521278608345E-4</v>
      </c>
      <c r="F158" s="9">
        <f>'NIPPON INDIA '!B158</f>
        <v>301.47699999999998</v>
      </c>
      <c r="G158" s="10">
        <f t="shared" si="10"/>
        <v>-2.6927695498708904E-3</v>
      </c>
      <c r="H158" s="9">
        <f>'NIFTY500 TRI'!B158</f>
        <v>38322.83</v>
      </c>
      <c r="I158" s="10">
        <f t="shared" si="11"/>
        <v>-1.9932618686192213E-3</v>
      </c>
    </row>
    <row r="159" spans="1:9" ht="14.25" customHeight="1" x14ac:dyDescent="0.3">
      <c r="A159" s="8">
        <f>'ICICI PRUDENTIAL MULTICAP FUND'!A159</f>
        <v>46027</v>
      </c>
      <c r="B159" s="9">
        <f>'ICICI PRUDENTIAL MULTICAP FUND'!B159</f>
        <v>815.47</v>
      </c>
      <c r="C159" s="10">
        <f t="shared" si="8"/>
        <v>2.76677897739849E-3</v>
      </c>
      <c r="D159" s="9">
        <f>'QUANT ACTIVE FUND'!B159</f>
        <v>612.16399999999999</v>
      </c>
      <c r="E159" s="10">
        <f t="shared" si="9"/>
        <v>-3.439816239253718E-3</v>
      </c>
      <c r="F159" s="9">
        <f>'NIPPON INDIA '!B159</f>
        <v>302.291</v>
      </c>
      <c r="G159" s="10">
        <f t="shared" si="10"/>
        <v>-1.6776805735817535E-3</v>
      </c>
      <c r="H159" s="9">
        <f>'NIFTY500 TRI'!B159</f>
        <v>38399.370000000003</v>
      </c>
      <c r="I159" s="10">
        <f t="shared" si="11"/>
        <v>-1.6828679209963558E-3</v>
      </c>
    </row>
    <row r="160" spans="1:9" ht="14.25" customHeight="1" x14ac:dyDescent="0.3">
      <c r="A160" s="8">
        <f>'ICICI PRUDENTIAL MULTICAP FUND'!A160</f>
        <v>46024</v>
      </c>
      <c r="B160" s="9">
        <f>'ICICI PRUDENTIAL MULTICAP FUND'!B160</f>
        <v>813.22</v>
      </c>
      <c r="C160" s="10">
        <f t="shared" si="8"/>
        <v>5.6389582766552806E-3</v>
      </c>
      <c r="D160" s="9">
        <f>'QUANT ACTIVE FUND'!B160</f>
        <v>614.27700000000004</v>
      </c>
      <c r="E160" s="10">
        <f t="shared" si="9"/>
        <v>4.6020773129364792E-3</v>
      </c>
      <c r="F160" s="9">
        <f>'NIPPON INDIA '!B160</f>
        <v>302.79899999999998</v>
      </c>
      <c r="G160" s="10">
        <f t="shared" si="10"/>
        <v>6.4047169560476347E-3</v>
      </c>
      <c r="H160" s="9">
        <f>'NIFTY500 TRI'!B160</f>
        <v>38464.1</v>
      </c>
      <c r="I160" s="10">
        <f t="shared" si="11"/>
        <v>7.9223264539354903E-3</v>
      </c>
    </row>
    <row r="161" spans="1:9" ht="14.25" customHeight="1" x14ac:dyDescent="0.3">
      <c r="A161" s="8">
        <f>'ICICI PRUDENTIAL MULTICAP FUND'!A161</f>
        <v>46023</v>
      </c>
      <c r="B161" s="9">
        <f>'ICICI PRUDENTIAL MULTICAP FUND'!B161</f>
        <v>808.66</v>
      </c>
      <c r="C161" s="10">
        <f t="shared" si="8"/>
        <v>3.3375932106653361E-3</v>
      </c>
      <c r="D161" s="9">
        <f>'QUANT ACTIVE FUND'!B161</f>
        <v>611.46299999999997</v>
      </c>
      <c r="E161" s="10">
        <f t="shared" si="9"/>
        <v>4.5028765183449679E-3</v>
      </c>
      <c r="F161" s="9">
        <f>'NIPPON INDIA '!B161</f>
        <v>300.87200000000001</v>
      </c>
      <c r="G161" s="10">
        <f t="shared" si="10"/>
        <v>7.7834472022843856E-4</v>
      </c>
      <c r="H161" s="9">
        <f>'NIFTY500 TRI'!B161</f>
        <v>38161.769999999997</v>
      </c>
      <c r="I161" s="10">
        <f t="shared" si="11"/>
        <v>1.5933939895635221E-3</v>
      </c>
    </row>
    <row r="162" spans="1:9" ht="14.25" customHeight="1" x14ac:dyDescent="0.3">
      <c r="A162" s="8">
        <f>'ICICI PRUDENTIAL MULTICAP FUND'!A162</f>
        <v>46022</v>
      </c>
      <c r="B162" s="9">
        <f>'ICICI PRUDENTIAL MULTICAP FUND'!B162</f>
        <v>805.97</v>
      </c>
      <c r="C162" s="10">
        <f t="shared" si="8"/>
        <v>1.1140523654794308E-2</v>
      </c>
      <c r="D162" s="9">
        <f>'QUANT ACTIVE FUND'!B162</f>
        <v>608.72199999999998</v>
      </c>
      <c r="E162" s="10">
        <f t="shared" si="9"/>
        <v>4.7819089671108563E-3</v>
      </c>
      <c r="F162" s="9">
        <f>'NIPPON INDIA '!B162</f>
        <v>300.63799999999998</v>
      </c>
      <c r="G162" s="10">
        <f t="shared" si="10"/>
        <v>8.3718496555332048E-3</v>
      </c>
      <c r="H162" s="9">
        <f>'NIFTY500 TRI'!B162</f>
        <v>38101.06</v>
      </c>
      <c r="I162" s="10">
        <f t="shared" si="11"/>
        <v>8.5662213833914303E-3</v>
      </c>
    </row>
    <row r="163" spans="1:9" ht="14.25" customHeight="1" x14ac:dyDescent="0.3">
      <c r="A163" s="8">
        <f>'ICICI PRUDENTIAL MULTICAP FUND'!A163</f>
        <v>46021</v>
      </c>
      <c r="B163" s="9">
        <f>'ICICI PRUDENTIAL MULTICAP FUND'!B163</f>
        <v>797.09</v>
      </c>
      <c r="C163" s="10">
        <f t="shared" si="8"/>
        <v>-9.2751588684307311E-4</v>
      </c>
      <c r="D163" s="9">
        <f>'QUANT ACTIVE FUND'!B163</f>
        <v>605.82500000000005</v>
      </c>
      <c r="E163" s="10">
        <f t="shared" si="9"/>
        <v>-2.4123565347690858E-3</v>
      </c>
      <c r="F163" s="9">
        <f>'NIPPON INDIA '!B163</f>
        <v>298.142</v>
      </c>
      <c r="G163" s="10">
        <f t="shared" si="10"/>
        <v>-2.8362152580354298E-3</v>
      </c>
      <c r="H163" s="9">
        <f>'NIFTY500 TRI'!B163</f>
        <v>37777.449999999997</v>
      </c>
      <c r="I163" s="10">
        <f t="shared" si="11"/>
        <v>-5.6324628810380643E-4</v>
      </c>
    </row>
    <row r="164" spans="1:9" ht="14.25" customHeight="1" x14ac:dyDescent="0.3">
      <c r="A164" s="8">
        <f>'ICICI PRUDENTIAL MULTICAP FUND'!A164</f>
        <v>46020</v>
      </c>
      <c r="B164" s="9">
        <f>'ICICI PRUDENTIAL MULTICAP FUND'!B164</f>
        <v>797.83</v>
      </c>
      <c r="C164" s="10">
        <f t="shared" si="8"/>
        <v>-3.3105136917849004E-3</v>
      </c>
      <c r="D164" s="9">
        <f>'QUANT ACTIVE FUND'!B164</f>
        <v>607.29</v>
      </c>
      <c r="E164" s="10">
        <f t="shared" si="9"/>
        <v>-3.6945772399606036E-3</v>
      </c>
      <c r="F164" s="9">
        <f>'NIPPON INDIA '!B164</f>
        <v>298.99</v>
      </c>
      <c r="G164" s="10">
        <f t="shared" si="10"/>
        <v>-3.2038566299162617E-3</v>
      </c>
      <c r="H164" s="9">
        <f>'NIFTY500 TRI'!B164</f>
        <v>37798.74</v>
      </c>
      <c r="I164" s="10">
        <f t="shared" si="11"/>
        <v>-4.1269511726664161E-3</v>
      </c>
    </row>
    <row r="165" spans="1:9" ht="14.25" customHeight="1" x14ac:dyDescent="0.3">
      <c r="A165" s="8">
        <f>'ICICI PRUDENTIAL MULTICAP FUND'!A165</f>
        <v>46017</v>
      </c>
      <c r="B165" s="9">
        <f>'ICICI PRUDENTIAL MULTICAP FUND'!B165</f>
        <v>800.48</v>
      </c>
      <c r="C165" s="10">
        <f t="shared" si="8"/>
        <v>-2.4922739507526668E-3</v>
      </c>
      <c r="D165" s="9">
        <f>'QUANT ACTIVE FUND'!B165</f>
        <v>609.54200000000003</v>
      </c>
      <c r="E165" s="10">
        <f t="shared" si="9"/>
        <v>-2.1184082143160892E-3</v>
      </c>
      <c r="F165" s="9">
        <f>'NIPPON INDIA '!B165</f>
        <v>299.95100000000002</v>
      </c>
      <c r="G165" s="10">
        <f t="shared" si="10"/>
        <v>-3.4188318160675007E-3</v>
      </c>
      <c r="H165" s="9">
        <f>'NIFTY500 TRI'!B165</f>
        <v>37955.379999999997</v>
      </c>
      <c r="I165" s="10">
        <f t="shared" si="11"/>
        <v>-2.9353415756171002E-3</v>
      </c>
    </row>
    <row r="166" spans="1:9" ht="14.25" customHeight="1" x14ac:dyDescent="0.3">
      <c r="A166" s="8">
        <f>'ICICI PRUDENTIAL MULTICAP FUND'!A166</f>
        <v>46015</v>
      </c>
      <c r="B166" s="9">
        <f>'ICICI PRUDENTIAL MULTICAP FUND'!B166</f>
        <v>802.48</v>
      </c>
      <c r="C166" s="10">
        <f t="shared" si="8"/>
        <v>-1.0829650837119618E-3</v>
      </c>
      <c r="D166" s="9">
        <f>'QUANT ACTIVE FUND'!B166</f>
        <v>610.83600000000001</v>
      </c>
      <c r="E166" s="10">
        <f t="shared" si="9"/>
        <v>-3.7755789356943739E-3</v>
      </c>
      <c r="F166" s="9">
        <f>'NIPPON INDIA '!B166</f>
        <v>300.98</v>
      </c>
      <c r="G166" s="10">
        <f t="shared" si="10"/>
        <v>-1.2410653251656418E-3</v>
      </c>
      <c r="H166" s="9">
        <f>'NIFTY500 TRI'!B166</f>
        <v>38067.120000000003</v>
      </c>
      <c r="I166" s="10">
        <f t="shared" si="11"/>
        <v>-1.8773571845095624E-3</v>
      </c>
    </row>
    <row r="167" spans="1:9" ht="14.25" customHeight="1" x14ac:dyDescent="0.3">
      <c r="A167" s="8">
        <f>'ICICI PRUDENTIAL MULTICAP FUND'!A167</f>
        <v>46014</v>
      </c>
      <c r="B167" s="9">
        <f>'ICICI PRUDENTIAL MULTICAP FUND'!B167</f>
        <v>803.35</v>
      </c>
      <c r="C167" s="10">
        <f t="shared" si="8"/>
        <v>1.6208465806372026E-3</v>
      </c>
      <c r="D167" s="9">
        <f>'QUANT ACTIVE FUND'!B167</f>
        <v>613.15099999999995</v>
      </c>
      <c r="E167" s="10">
        <f t="shared" si="9"/>
        <v>5.1237115252500182E-4</v>
      </c>
      <c r="F167" s="9">
        <f>'NIPPON INDIA '!B167</f>
        <v>301.35399999999998</v>
      </c>
      <c r="G167" s="10">
        <f t="shared" si="10"/>
        <v>9.6657510222111927E-4</v>
      </c>
      <c r="H167" s="9">
        <f>'NIFTY500 TRI'!B167</f>
        <v>38138.720000000001</v>
      </c>
      <c r="I167" s="10">
        <f t="shared" si="11"/>
        <v>1.152124842137356E-3</v>
      </c>
    </row>
    <row r="168" spans="1:9" ht="14.25" customHeight="1" x14ac:dyDescent="0.3">
      <c r="A168" s="8">
        <f>'ICICI PRUDENTIAL MULTICAP FUND'!A168</f>
        <v>46013</v>
      </c>
      <c r="B168" s="9">
        <f>'ICICI PRUDENTIAL MULTICAP FUND'!B168</f>
        <v>802.05</v>
      </c>
      <c r="C168" s="10">
        <f t="shared" si="8"/>
        <v>8.9313793320333467E-3</v>
      </c>
      <c r="D168" s="9">
        <f>'QUANT ACTIVE FUND'!B168</f>
        <v>612.83699999999999</v>
      </c>
      <c r="E168" s="10">
        <f t="shared" si="9"/>
        <v>4.6952897915154158E-3</v>
      </c>
      <c r="F168" s="9">
        <f>'NIPPON INDIA '!B168</f>
        <v>301.06299999999999</v>
      </c>
      <c r="G168" s="10">
        <f t="shared" si="10"/>
        <v>7.145557276525597E-3</v>
      </c>
      <c r="H168" s="9">
        <f>'NIFTY500 TRI'!B168</f>
        <v>38094.83</v>
      </c>
      <c r="I168" s="10">
        <f t="shared" si="11"/>
        <v>8.0285419283002198E-3</v>
      </c>
    </row>
    <row r="169" spans="1:9" ht="14.25" customHeight="1" x14ac:dyDescent="0.3">
      <c r="A169" s="8">
        <f>'ICICI PRUDENTIAL MULTICAP FUND'!A169</f>
        <v>46010</v>
      </c>
      <c r="B169" s="9">
        <f>'ICICI PRUDENTIAL MULTICAP FUND'!B169</f>
        <v>794.95</v>
      </c>
      <c r="C169" s="10">
        <f t="shared" si="8"/>
        <v>1.102660629801098E-2</v>
      </c>
      <c r="D169" s="9">
        <f>'QUANT ACTIVE FUND'!B169</f>
        <v>609.97299999999996</v>
      </c>
      <c r="E169" s="10">
        <f t="shared" si="9"/>
        <v>8.9853293655846374E-3</v>
      </c>
      <c r="F169" s="9">
        <f>'NIPPON INDIA '!B169</f>
        <v>298.92700000000002</v>
      </c>
      <c r="G169" s="10">
        <f t="shared" si="10"/>
        <v>7.8659716649697124E-3</v>
      </c>
      <c r="H169" s="9">
        <f>'NIFTY500 TRI'!B169</f>
        <v>37791.42</v>
      </c>
      <c r="I169" s="10">
        <f t="shared" si="11"/>
        <v>7.9230604077680962E-3</v>
      </c>
    </row>
    <row r="170" spans="1:9" ht="14.25" customHeight="1" x14ac:dyDescent="0.3">
      <c r="A170" s="8">
        <f>'ICICI PRUDENTIAL MULTICAP FUND'!A170</f>
        <v>46009</v>
      </c>
      <c r="B170" s="9">
        <f>'ICICI PRUDENTIAL MULTICAP FUND'!B170</f>
        <v>786.28</v>
      </c>
      <c r="C170" s="10">
        <f t="shared" si="8"/>
        <v>2.9260225176517803E-4</v>
      </c>
      <c r="D170" s="9">
        <f>'QUANT ACTIVE FUND'!B170</f>
        <v>604.54100000000005</v>
      </c>
      <c r="E170" s="10">
        <f t="shared" si="9"/>
        <v>-1.4700271376919688E-3</v>
      </c>
      <c r="F170" s="9">
        <f>'NIPPON INDIA '!B170</f>
        <v>296.59399999999999</v>
      </c>
      <c r="G170" s="10">
        <f t="shared" si="10"/>
        <v>-1.5451788064756227E-3</v>
      </c>
      <c r="H170" s="9">
        <f>'NIFTY500 TRI'!B170</f>
        <v>37494.35</v>
      </c>
      <c r="I170" s="10">
        <f t="shared" si="11"/>
        <v>-1.9492470466653868E-4</v>
      </c>
    </row>
    <row r="171" spans="1:9" ht="14.25" customHeight="1" x14ac:dyDescent="0.3">
      <c r="A171" s="8">
        <f>'ICICI PRUDENTIAL MULTICAP FUND'!A171</f>
        <v>46008</v>
      </c>
      <c r="B171" s="9">
        <f>'ICICI PRUDENTIAL MULTICAP FUND'!B171</f>
        <v>786.05</v>
      </c>
      <c r="C171" s="10">
        <f t="shared" si="8"/>
        <v>-4.6976296596434822E-3</v>
      </c>
      <c r="D171" s="9">
        <f>'QUANT ACTIVE FUND'!B171</f>
        <v>605.43100000000004</v>
      </c>
      <c r="E171" s="10">
        <f t="shared" si="9"/>
        <v>-2.581557105624742E-3</v>
      </c>
      <c r="F171" s="9">
        <f>'NIPPON INDIA '!B171</f>
        <v>297.053</v>
      </c>
      <c r="G171" s="10">
        <f t="shared" si="10"/>
        <v>-5.7335841427740173E-3</v>
      </c>
      <c r="H171" s="9">
        <f>'NIFTY500 TRI'!B171</f>
        <v>37501.660000000003</v>
      </c>
      <c r="I171" s="10">
        <f t="shared" si="11"/>
        <v>-3.1424874295184857E-3</v>
      </c>
    </row>
    <row r="172" spans="1:9" ht="14.25" customHeight="1" x14ac:dyDescent="0.3">
      <c r="A172" s="8">
        <f>'ICICI PRUDENTIAL MULTICAP FUND'!A172</f>
        <v>46007</v>
      </c>
      <c r="B172" s="9">
        <f>'ICICI PRUDENTIAL MULTICAP FUND'!B172</f>
        <v>789.76</v>
      </c>
      <c r="C172" s="10">
        <f t="shared" si="8"/>
        <v>-6.2161822071222532E-3</v>
      </c>
      <c r="D172" s="9">
        <f>'QUANT ACTIVE FUND'!B172</f>
        <v>606.99800000000005</v>
      </c>
      <c r="E172" s="10">
        <f t="shared" si="9"/>
        <v>-8.5960072583423086E-3</v>
      </c>
      <c r="F172" s="9">
        <f>'NIPPON INDIA '!B172</f>
        <v>298.76600000000002</v>
      </c>
      <c r="G172" s="10">
        <f t="shared" si="10"/>
        <v>-8.7622384350727178E-3</v>
      </c>
      <c r="H172" s="9">
        <f>'NIFTY500 TRI'!B172</f>
        <v>37619.879999999997</v>
      </c>
      <c r="I172" s="10">
        <f t="shared" si="11"/>
        <v>-6.5357060709525169E-3</v>
      </c>
    </row>
    <row r="173" spans="1:9" ht="14.25" customHeight="1" x14ac:dyDescent="0.3">
      <c r="A173" s="8">
        <f>'ICICI PRUDENTIAL MULTICAP FUND'!A173</f>
        <v>46006</v>
      </c>
      <c r="B173" s="9">
        <f>'ICICI PRUDENTIAL MULTICAP FUND'!B173</f>
        <v>794.7</v>
      </c>
      <c r="C173" s="10">
        <f t="shared" si="8"/>
        <v>1.1211750922766155E-3</v>
      </c>
      <c r="D173" s="9">
        <f>'QUANT ACTIVE FUND'!B173</f>
        <v>612.26099999999997</v>
      </c>
      <c r="E173" s="10">
        <f t="shared" si="9"/>
        <v>-9.7086428133203774E-4</v>
      </c>
      <c r="F173" s="9">
        <f>'NIPPON INDIA '!B173</f>
        <v>301.40699999999998</v>
      </c>
      <c r="G173" s="10">
        <f t="shared" si="10"/>
        <v>-5.9021503058838236E-4</v>
      </c>
      <c r="H173" s="9">
        <f>'NIFTY500 TRI'!B173</f>
        <v>37867.370000000003</v>
      </c>
      <c r="I173" s="10">
        <f t="shared" si="11"/>
        <v>-4.3043122342744213E-5</v>
      </c>
    </row>
    <row r="174" spans="1:9" ht="14.25" customHeight="1" x14ac:dyDescent="0.3">
      <c r="A174" s="8">
        <f>'ICICI PRUDENTIAL MULTICAP FUND'!A174</f>
        <v>46003</v>
      </c>
      <c r="B174" s="9">
        <f>'ICICI PRUDENTIAL MULTICAP FUND'!B174</f>
        <v>793.81</v>
      </c>
      <c r="C174" s="10">
        <f t="shared" si="8"/>
        <v>9.9106892954377284E-3</v>
      </c>
      <c r="D174" s="9">
        <f>'QUANT ACTIVE FUND'!B174</f>
        <v>612.85599999999999</v>
      </c>
      <c r="E174" s="10">
        <f t="shared" si="9"/>
        <v>9.2600369215771333E-3</v>
      </c>
      <c r="F174" s="9">
        <f>'NIPPON INDIA '!B174</f>
        <v>301.58499999999998</v>
      </c>
      <c r="G174" s="10">
        <f t="shared" si="10"/>
        <v>6.4911226805499708E-3</v>
      </c>
      <c r="H174" s="9">
        <f>'NIFTY500 TRI'!B174</f>
        <v>37869</v>
      </c>
      <c r="I174" s="10">
        <f t="shared" si="11"/>
        <v>7.4463075732061016E-3</v>
      </c>
    </row>
    <row r="175" spans="1:9" ht="14.25" customHeight="1" x14ac:dyDescent="0.3">
      <c r="A175" s="8">
        <f>'ICICI PRUDENTIAL MULTICAP FUND'!A175</f>
        <v>46002</v>
      </c>
      <c r="B175" s="9">
        <f>'ICICI PRUDENTIAL MULTICAP FUND'!B175</f>
        <v>786.02</v>
      </c>
      <c r="C175" s="10">
        <f t="shared" si="8"/>
        <v>6.8659851920170288E-3</v>
      </c>
      <c r="D175" s="9">
        <f>'QUANT ACTIVE FUND'!B175</f>
        <v>607.23299999999995</v>
      </c>
      <c r="E175" s="10">
        <f t="shared" si="9"/>
        <v>7.4225353748346061E-3</v>
      </c>
      <c r="F175" s="9">
        <f>'NIPPON INDIA '!B175</f>
        <v>299.64</v>
      </c>
      <c r="G175" s="10">
        <f t="shared" si="10"/>
        <v>5.6315906055134455E-3</v>
      </c>
      <c r="H175" s="9">
        <f>'NIFTY500 TRI'!B175</f>
        <v>37589.1</v>
      </c>
      <c r="I175" s="10">
        <f t="shared" si="11"/>
        <v>6.0686744627480157E-3</v>
      </c>
    </row>
    <row r="176" spans="1:9" ht="14.25" customHeight="1" x14ac:dyDescent="0.3">
      <c r="A176" s="8">
        <f>'ICICI PRUDENTIAL MULTICAP FUND'!A176</f>
        <v>46001</v>
      </c>
      <c r="B176" s="9">
        <f>'ICICI PRUDENTIAL MULTICAP FUND'!B176</f>
        <v>780.66</v>
      </c>
      <c r="C176" s="10">
        <f t="shared" si="8"/>
        <v>-4.9836216016417674E-3</v>
      </c>
      <c r="D176" s="9">
        <f>'QUANT ACTIVE FUND'!B176</f>
        <v>602.75900000000001</v>
      </c>
      <c r="E176" s="10">
        <f t="shared" si="9"/>
        <v>-3.2543610587917539E-3</v>
      </c>
      <c r="F176" s="9">
        <f>'NIPPON INDIA '!B176</f>
        <v>297.96199999999999</v>
      </c>
      <c r="G176" s="10">
        <f t="shared" si="10"/>
        <v>-3.9812403686408987E-3</v>
      </c>
      <c r="H176" s="9">
        <f>'NIFTY500 TRI'!B176</f>
        <v>37362.36</v>
      </c>
      <c r="I176" s="10">
        <f t="shared" si="11"/>
        <v>-4.5700032690456239E-3</v>
      </c>
    </row>
    <row r="177" spans="1:9" ht="14.25" customHeight="1" x14ac:dyDescent="0.3">
      <c r="A177" s="8">
        <f>'ICICI PRUDENTIAL MULTICAP FUND'!A177</f>
        <v>46000</v>
      </c>
      <c r="B177" s="9">
        <f>'ICICI PRUDENTIAL MULTICAP FUND'!B177</f>
        <v>784.57</v>
      </c>
      <c r="C177" s="10">
        <f t="shared" si="8"/>
        <v>3.6072913335465943E-3</v>
      </c>
      <c r="D177" s="9">
        <f>'QUANT ACTIVE FUND'!B177</f>
        <v>604.72699999999998</v>
      </c>
      <c r="E177" s="10">
        <f t="shared" si="9"/>
        <v>3.759573217895878E-3</v>
      </c>
      <c r="F177" s="9">
        <f>'NIPPON INDIA '!B177</f>
        <v>299.15300000000002</v>
      </c>
      <c r="G177" s="10">
        <f t="shared" si="10"/>
        <v>4.0948803925715755E-3</v>
      </c>
      <c r="H177" s="9">
        <f>'NIFTY500 TRI'!B177</f>
        <v>37533.89</v>
      </c>
      <c r="I177" s="10">
        <f t="shared" si="11"/>
        <v>-4.2290538663745161E-4</v>
      </c>
    </row>
    <row r="178" spans="1:9" ht="14.25" customHeight="1" x14ac:dyDescent="0.3">
      <c r="A178" s="8">
        <f>'ICICI PRUDENTIAL MULTICAP FUND'!A178</f>
        <v>45999</v>
      </c>
      <c r="B178" s="9">
        <f>'ICICI PRUDENTIAL MULTICAP FUND'!B178</f>
        <v>781.75</v>
      </c>
      <c r="C178" s="10">
        <f t="shared" si="8"/>
        <v>-1.5378608494130731E-2</v>
      </c>
      <c r="D178" s="9">
        <f>'QUANT ACTIVE FUND'!B178</f>
        <v>602.46199999999999</v>
      </c>
      <c r="E178" s="10">
        <f t="shared" si="9"/>
        <v>-1.7964637976928391E-2</v>
      </c>
      <c r="F178" s="9">
        <f>'NIPPON INDIA '!B178</f>
        <v>297.93299999999999</v>
      </c>
      <c r="G178" s="10">
        <f t="shared" si="10"/>
        <v>-1.1306165792792137E-2</v>
      </c>
      <c r="H178" s="9">
        <f>'NIFTY500 TRI'!B178</f>
        <v>37549.769999999997</v>
      </c>
      <c r="I178" s="10">
        <f t="shared" si="11"/>
        <v>-1.2966363107059136E-2</v>
      </c>
    </row>
    <row r="179" spans="1:9" ht="14.25" customHeight="1" x14ac:dyDescent="0.3">
      <c r="A179" s="8">
        <f>'ICICI PRUDENTIAL MULTICAP FUND'!A179</f>
        <v>45996</v>
      </c>
      <c r="B179" s="9">
        <f>'ICICI PRUDENTIAL MULTICAP FUND'!B179</f>
        <v>793.96</v>
      </c>
      <c r="C179" s="10">
        <f t="shared" si="8"/>
        <v>1.1336868756853367E-4</v>
      </c>
      <c r="D179" s="9">
        <f>'QUANT ACTIVE FUND'!B179</f>
        <v>613.48299999999995</v>
      </c>
      <c r="E179" s="10">
        <f t="shared" si="9"/>
        <v>4.9904024449698263E-4</v>
      </c>
      <c r="F179" s="9">
        <f>'NIPPON INDIA '!B179</f>
        <v>301.33999999999997</v>
      </c>
      <c r="G179" s="10">
        <f t="shared" si="10"/>
        <v>5.412099861541687E-4</v>
      </c>
      <c r="H179" s="9">
        <f>'NIFTY500 TRI'!B179</f>
        <v>38043.050000000003</v>
      </c>
      <c r="I179" s="10">
        <f t="shared" si="11"/>
        <v>3.9669878628433393E-3</v>
      </c>
    </row>
    <row r="180" spans="1:9" ht="14.25" customHeight="1" x14ac:dyDescent="0.3">
      <c r="A180" s="8">
        <f>'ICICI PRUDENTIAL MULTICAP FUND'!A180</f>
        <v>45995</v>
      </c>
      <c r="B180" s="9">
        <f>'ICICI PRUDENTIAL MULTICAP FUND'!B180</f>
        <v>793.87</v>
      </c>
      <c r="C180" s="10">
        <f t="shared" si="8"/>
        <v>4.5368048291768678E-4</v>
      </c>
      <c r="D180" s="9">
        <f>'QUANT ACTIVE FUND'!B180</f>
        <v>613.17700000000002</v>
      </c>
      <c r="E180" s="10">
        <f t="shared" si="9"/>
        <v>6.2827190955494017E-4</v>
      </c>
      <c r="F180" s="9">
        <f>'NIPPON INDIA '!B180</f>
        <v>301.17700000000002</v>
      </c>
      <c r="G180" s="10">
        <f t="shared" si="10"/>
        <v>-1.1309440895732638E-3</v>
      </c>
      <c r="H180" s="9">
        <f>'NIFTY500 TRI'!B180</f>
        <v>37892.730000000003</v>
      </c>
      <c r="I180" s="10">
        <f t="shared" si="11"/>
        <v>1.0461486276037363E-3</v>
      </c>
    </row>
    <row r="181" spans="1:9" ht="14.25" customHeight="1" x14ac:dyDescent="0.3">
      <c r="A181" s="8">
        <f>'ICICI PRUDENTIAL MULTICAP FUND'!A181</f>
        <v>45994</v>
      </c>
      <c r="B181" s="9">
        <f>'ICICI PRUDENTIAL MULTICAP FUND'!B181</f>
        <v>793.51</v>
      </c>
      <c r="C181" s="10">
        <f t="shared" si="8"/>
        <v>-7.3680260195146188E-3</v>
      </c>
      <c r="D181" s="9">
        <f>'QUANT ACTIVE FUND'!B181</f>
        <v>612.79200000000003</v>
      </c>
      <c r="E181" s="10">
        <f t="shared" si="9"/>
        <v>-7.7865806564431875E-3</v>
      </c>
      <c r="F181" s="9">
        <f>'NIPPON INDIA '!B181</f>
        <v>301.51799999999997</v>
      </c>
      <c r="G181" s="10">
        <f t="shared" si="10"/>
        <v>-3.2298054513298807E-3</v>
      </c>
      <c r="H181" s="9">
        <f>'NIFTY500 TRI'!B181</f>
        <v>37853.129999999997</v>
      </c>
      <c r="I181" s="10">
        <f t="shared" si="11"/>
        <v>-4.4466127683300731E-3</v>
      </c>
    </row>
    <row r="182" spans="1:9" ht="14.25" customHeight="1" x14ac:dyDescent="0.3">
      <c r="A182" s="8">
        <f>'ICICI PRUDENTIAL MULTICAP FUND'!A182</f>
        <v>45993</v>
      </c>
      <c r="B182" s="9">
        <f>'ICICI PRUDENTIAL MULTICAP FUND'!B182</f>
        <v>799.4</v>
      </c>
      <c r="C182" s="10">
        <f t="shared" si="8"/>
        <v>-2.819150263203841E-3</v>
      </c>
      <c r="D182" s="9">
        <f>'QUANT ACTIVE FUND'!B182</f>
        <v>617.601</v>
      </c>
      <c r="E182" s="10">
        <f t="shared" si="9"/>
        <v>-3.6845543931535558E-3</v>
      </c>
      <c r="F182" s="9">
        <f>'NIPPON INDIA '!B182</f>
        <v>302.495</v>
      </c>
      <c r="G182" s="10">
        <f t="shared" si="10"/>
        <v>-1.6007657271107454E-3</v>
      </c>
      <c r="H182" s="9">
        <f>'NIFTY500 TRI'!B182</f>
        <v>38022.199999999997</v>
      </c>
      <c r="I182" s="10">
        <f t="shared" si="11"/>
        <v>-4.1893910664039542E-3</v>
      </c>
    </row>
    <row r="183" spans="1:9" ht="14.25" customHeight="1" x14ac:dyDescent="0.3">
      <c r="A183" s="8">
        <f>'ICICI PRUDENTIAL MULTICAP FUND'!A183</f>
        <v>45992</v>
      </c>
      <c r="B183" s="9">
        <f>'ICICI PRUDENTIAL MULTICAP FUND'!B183</f>
        <v>801.66</v>
      </c>
      <c r="C183" s="10">
        <f t="shared" si="8"/>
        <v>-2.0043073935289675E-3</v>
      </c>
      <c r="D183" s="9">
        <f>'QUANT ACTIVE FUND'!B183</f>
        <v>619.88499999999999</v>
      </c>
      <c r="E183" s="10">
        <f t="shared" si="9"/>
        <v>-1.8565691632396407E-3</v>
      </c>
      <c r="F183" s="9">
        <f>'NIPPON INDIA '!B183</f>
        <v>302.98</v>
      </c>
      <c r="G183" s="10">
        <f t="shared" si="10"/>
        <v>-1.3316457031352885E-3</v>
      </c>
      <c r="H183" s="9">
        <f>'NIFTY500 TRI'!B183</f>
        <v>38182.160000000003</v>
      </c>
      <c r="I183" s="10">
        <f t="shared" si="11"/>
        <v>-4.5000765719822595E-4</v>
      </c>
    </row>
    <row r="184" spans="1:9" ht="14.25" customHeight="1" x14ac:dyDescent="0.3">
      <c r="A184" s="8">
        <f>'ICICI PRUDENTIAL MULTICAP FUND'!A184</f>
        <v>45989</v>
      </c>
      <c r="B184" s="9">
        <f>'ICICI PRUDENTIAL MULTICAP FUND'!B184</f>
        <v>803.27</v>
      </c>
      <c r="C184" s="10">
        <f t="shared" si="8"/>
        <v>-7.5881972433698274E-4</v>
      </c>
      <c r="D184" s="9">
        <f>'QUANT ACTIVE FUND'!B184</f>
        <v>621.03800000000001</v>
      </c>
      <c r="E184" s="10">
        <f t="shared" si="9"/>
        <v>-1.3732287921376088E-3</v>
      </c>
      <c r="F184" s="9">
        <f>'NIPPON INDIA '!B184</f>
        <v>303.38400000000001</v>
      </c>
      <c r="G184" s="10">
        <f t="shared" si="10"/>
        <v>-1.9934866278495823E-3</v>
      </c>
      <c r="H184" s="9">
        <f>'NIFTY500 TRI'!B184</f>
        <v>38199.35</v>
      </c>
      <c r="I184" s="10">
        <f t="shared" si="11"/>
        <v>-6.0671007211981012E-4</v>
      </c>
    </row>
    <row r="185" spans="1:9" ht="14.25" customHeight="1" x14ac:dyDescent="0.3">
      <c r="A185" s="8">
        <f>'ICICI PRUDENTIAL MULTICAP FUND'!A185</f>
        <v>45988</v>
      </c>
      <c r="B185" s="9">
        <f>'ICICI PRUDENTIAL MULTICAP FUND'!B185</f>
        <v>803.88</v>
      </c>
      <c r="C185" s="10">
        <f t="shared" si="8"/>
        <v>-1.2548298525264208E-3</v>
      </c>
      <c r="D185" s="9">
        <f>'QUANT ACTIVE FUND'!B185</f>
        <v>621.89200000000005</v>
      </c>
      <c r="E185" s="10">
        <f t="shared" si="9"/>
        <v>-1.157623270800283E-4</v>
      </c>
      <c r="F185" s="9">
        <f>'NIPPON INDIA '!B185</f>
        <v>303.99</v>
      </c>
      <c r="G185" s="10">
        <f t="shared" si="10"/>
        <v>-6.5091325101575043E-4</v>
      </c>
      <c r="H185" s="9">
        <f>'NIFTY500 TRI'!B185</f>
        <v>38222.54</v>
      </c>
      <c r="I185" s="10">
        <f t="shared" si="11"/>
        <v>-3.1202210989194544E-4</v>
      </c>
    </row>
    <row r="186" spans="1:9" ht="14.25" customHeight="1" x14ac:dyDescent="0.3">
      <c r="A186" s="8">
        <f>'ICICI PRUDENTIAL MULTICAP FUND'!A186</f>
        <v>45987</v>
      </c>
      <c r="B186" s="9">
        <f>'ICICI PRUDENTIAL MULTICAP FUND'!B186</f>
        <v>804.89</v>
      </c>
      <c r="C186" s="10">
        <f t="shared" si="8"/>
        <v>1.0660472124560534E-2</v>
      </c>
      <c r="D186" s="9">
        <f>'QUANT ACTIVE FUND'!B186</f>
        <v>621.96400000000006</v>
      </c>
      <c r="E186" s="10">
        <f t="shared" si="9"/>
        <v>1.0631746397994229E-2</v>
      </c>
      <c r="F186" s="9">
        <f>'NIPPON INDIA '!B186</f>
        <v>304.18799999999999</v>
      </c>
      <c r="G186" s="10">
        <f t="shared" si="10"/>
        <v>1.1895732705281109E-2</v>
      </c>
      <c r="H186" s="9">
        <f>'NIFTY500 TRI'!B186</f>
        <v>38234.47</v>
      </c>
      <c r="I186" s="10">
        <f t="shared" si="11"/>
        <v>1.2716676961283428E-2</v>
      </c>
    </row>
    <row r="187" spans="1:9" ht="14.25" customHeight="1" x14ac:dyDescent="0.3">
      <c r="A187" s="8">
        <f>'ICICI PRUDENTIAL MULTICAP FUND'!A187</f>
        <v>45986</v>
      </c>
      <c r="B187" s="9">
        <f>'ICICI PRUDENTIAL MULTICAP FUND'!B187</f>
        <v>796.4</v>
      </c>
      <c r="C187" s="10">
        <f t="shared" si="8"/>
        <v>1.8492194281257814E-3</v>
      </c>
      <c r="D187" s="9">
        <f>'QUANT ACTIVE FUND'!B187</f>
        <v>615.42100000000005</v>
      </c>
      <c r="E187" s="10">
        <f t="shared" si="9"/>
        <v>-1.1766691660741271E-3</v>
      </c>
      <c r="F187" s="9">
        <f>'NIPPON INDIA '!B187</f>
        <v>300.61200000000002</v>
      </c>
      <c r="G187" s="10">
        <f t="shared" si="10"/>
        <v>-2.2615405081809109E-4</v>
      </c>
      <c r="H187" s="9">
        <f>'NIFTY500 TRI'!B187</f>
        <v>37754.36</v>
      </c>
      <c r="I187" s="10">
        <f t="shared" si="11"/>
        <v>-8.2412565666722471E-4</v>
      </c>
    </row>
    <row r="188" spans="1:9" ht="14.25" customHeight="1" x14ac:dyDescent="0.3">
      <c r="A188" s="8">
        <f>'ICICI PRUDENTIAL MULTICAP FUND'!A188</f>
        <v>45985</v>
      </c>
      <c r="B188" s="9">
        <f>'ICICI PRUDENTIAL MULTICAP FUND'!B188</f>
        <v>794.93</v>
      </c>
      <c r="C188" s="10">
        <f t="shared" si="8"/>
        <v>-6.9209339513037057E-3</v>
      </c>
      <c r="D188" s="9">
        <f>'QUANT ACTIVE FUND'!B188</f>
        <v>616.14599999999996</v>
      </c>
      <c r="E188" s="10">
        <f t="shared" si="9"/>
        <v>-6.5510174795915385E-3</v>
      </c>
      <c r="F188" s="9">
        <f>'NIPPON INDIA '!B188</f>
        <v>300.68</v>
      </c>
      <c r="G188" s="10">
        <f t="shared" si="10"/>
        <v>-5.8160488561330203E-3</v>
      </c>
      <c r="H188" s="9">
        <f>'NIFTY500 TRI'!B188</f>
        <v>37785.5</v>
      </c>
      <c r="I188" s="10">
        <f t="shared" si="11"/>
        <v>-4.8632926487537443E-3</v>
      </c>
    </row>
    <row r="189" spans="1:9" ht="14.25" customHeight="1" x14ac:dyDescent="0.3">
      <c r="A189" s="8">
        <f>'ICICI PRUDENTIAL MULTICAP FUND'!A189</f>
        <v>45982</v>
      </c>
      <c r="B189" s="9">
        <f>'ICICI PRUDENTIAL MULTICAP FUND'!B189</f>
        <v>800.47</v>
      </c>
      <c r="C189" s="10">
        <f t="shared" si="8"/>
        <v>-1.0727306432676203E-2</v>
      </c>
      <c r="D189" s="9">
        <f>'QUANT ACTIVE FUND'!B189</f>
        <v>620.20899999999995</v>
      </c>
      <c r="E189" s="10">
        <f t="shared" si="9"/>
        <v>-1.1598646665189909E-2</v>
      </c>
      <c r="F189" s="9">
        <f>'NIPPON INDIA '!B189</f>
        <v>302.43900000000002</v>
      </c>
      <c r="G189" s="10">
        <f t="shared" si="10"/>
        <v>-9.0627610950015976E-3</v>
      </c>
      <c r="H189" s="9">
        <f>'NIFTY500 TRI'!B189</f>
        <v>37970.160000000003</v>
      </c>
      <c r="I189" s="10">
        <f t="shared" si="11"/>
        <v>-7.7021017706051581E-3</v>
      </c>
    </row>
    <row r="190" spans="1:9" ht="14.25" customHeight="1" x14ac:dyDescent="0.3">
      <c r="A190" s="8">
        <f>'ICICI PRUDENTIAL MULTICAP FUND'!A190</f>
        <v>45981</v>
      </c>
      <c r="B190" s="9">
        <f>'ICICI PRUDENTIAL MULTICAP FUND'!B190</f>
        <v>809.15</v>
      </c>
      <c r="C190" s="10">
        <f t="shared" si="8"/>
        <v>3.7077318568287416E-5</v>
      </c>
      <c r="D190" s="9">
        <f>'QUANT ACTIVE FUND'!B190</f>
        <v>627.48699999999997</v>
      </c>
      <c r="E190" s="10">
        <f t="shared" si="9"/>
        <v>-2.4418820933416715E-3</v>
      </c>
      <c r="F190" s="9">
        <f>'NIPPON INDIA '!B190</f>
        <v>305.20499999999998</v>
      </c>
      <c r="G190" s="10">
        <f t="shared" si="10"/>
        <v>1.7691504795414889E-3</v>
      </c>
      <c r="H190" s="9">
        <f>'NIFTY500 TRI'!B190</f>
        <v>38264.879999999997</v>
      </c>
      <c r="I190" s="10">
        <f t="shared" si="11"/>
        <v>2.8995459221449085E-3</v>
      </c>
    </row>
    <row r="191" spans="1:9" ht="14.25" customHeight="1" x14ac:dyDescent="0.3">
      <c r="A191" s="8">
        <f>'ICICI PRUDENTIAL MULTICAP FUND'!A191</f>
        <v>45980</v>
      </c>
      <c r="B191" s="9">
        <f>'ICICI PRUDENTIAL MULTICAP FUND'!B191</f>
        <v>809.12</v>
      </c>
      <c r="C191" s="10">
        <f t="shared" si="8"/>
        <v>7.6685219542362959E-4</v>
      </c>
      <c r="D191" s="9">
        <f>'QUANT ACTIVE FUND'!B191</f>
        <v>629.02300000000002</v>
      </c>
      <c r="E191" s="10">
        <f t="shared" si="9"/>
        <v>1.4137088364762887E-3</v>
      </c>
      <c r="F191" s="9">
        <f>'NIPPON INDIA '!B191</f>
        <v>304.666</v>
      </c>
      <c r="G191" s="10">
        <f t="shared" si="10"/>
        <v>2.3556506004277287E-3</v>
      </c>
      <c r="H191" s="9">
        <f>'NIFTY500 TRI'!B191</f>
        <v>38154.25</v>
      </c>
      <c r="I191" s="10">
        <f t="shared" si="11"/>
        <v>3.4370795370029092E-3</v>
      </c>
    </row>
    <row r="192" spans="1:9" ht="14.25" customHeight="1" x14ac:dyDescent="0.3">
      <c r="A192" s="8">
        <f>'ICICI PRUDENTIAL MULTICAP FUND'!A192</f>
        <v>45979</v>
      </c>
      <c r="B192" s="9">
        <f>'ICICI PRUDENTIAL MULTICAP FUND'!B192</f>
        <v>808.5</v>
      </c>
      <c r="C192" s="10">
        <f t="shared" si="8"/>
        <v>-5.5228231589564561E-3</v>
      </c>
      <c r="D192" s="9">
        <f>'QUANT ACTIVE FUND'!B192</f>
        <v>628.13499999999999</v>
      </c>
      <c r="E192" s="10">
        <f t="shared" si="9"/>
        <v>-6.3403375502062631E-3</v>
      </c>
      <c r="F192" s="9">
        <f>'NIPPON INDIA '!B192</f>
        <v>303.95</v>
      </c>
      <c r="G192" s="10">
        <f t="shared" si="10"/>
        <v>-4.4675317869473158E-3</v>
      </c>
      <c r="H192" s="9">
        <f>'NIFTY500 TRI'!B192</f>
        <v>38023.56</v>
      </c>
      <c r="I192" s="10">
        <f t="shared" si="11"/>
        <v>-5.3947444140436318E-3</v>
      </c>
    </row>
    <row r="193" spans="1:9" ht="14.25" customHeight="1" x14ac:dyDescent="0.3">
      <c r="A193" s="8">
        <f>'ICICI PRUDENTIAL MULTICAP FUND'!A193</f>
        <v>45978</v>
      </c>
      <c r="B193" s="9">
        <f>'ICICI PRUDENTIAL MULTICAP FUND'!B193</f>
        <v>812.99</v>
      </c>
      <c r="C193" s="10">
        <f t="shared" si="8"/>
        <v>5.2675182075599897E-3</v>
      </c>
      <c r="D193" s="9">
        <f>'QUANT ACTIVE FUND'!B193</f>
        <v>632.14300000000003</v>
      </c>
      <c r="E193" s="10">
        <f t="shared" si="9"/>
        <v>6.1917730595794787E-3</v>
      </c>
      <c r="F193" s="9">
        <f>'NIPPON INDIA '!B193</f>
        <v>305.31400000000002</v>
      </c>
      <c r="G193" s="10">
        <f t="shared" si="10"/>
        <v>5.3343167793897953E-3</v>
      </c>
      <c r="H193" s="9">
        <f>'NIFTY500 TRI'!B193</f>
        <v>38229.800000000003</v>
      </c>
      <c r="I193" s="10">
        <f t="shared" si="11"/>
        <v>4.9591034971340625E-3</v>
      </c>
    </row>
    <row r="194" spans="1:9" ht="14.25" customHeight="1" x14ac:dyDescent="0.3">
      <c r="A194" s="8">
        <f>'ICICI PRUDENTIAL MULTICAP FUND'!A194</f>
        <v>45975</v>
      </c>
      <c r="B194" s="9">
        <f>'ICICI PRUDENTIAL MULTICAP FUND'!B194</f>
        <v>808.73</v>
      </c>
      <c r="C194" s="10">
        <f t="shared" ref="C194:C257" si="12">(B194-B195)/B195</f>
        <v>-1.0252482830178458E-3</v>
      </c>
      <c r="D194" s="9">
        <f>'QUANT ACTIVE FUND'!B194</f>
        <v>628.25300000000004</v>
      </c>
      <c r="E194" s="10">
        <f t="shared" ref="E194:E257" si="13">(D194-D195)/D195</f>
        <v>6.4824813728213469E-4</v>
      </c>
      <c r="F194" s="9">
        <f>'NIPPON INDIA '!B194</f>
        <v>303.69400000000002</v>
      </c>
      <c r="G194" s="10">
        <f t="shared" ref="G194:G257" si="14">(F194-F195)/F195</f>
        <v>-7.6663146084422925E-4</v>
      </c>
      <c r="H194" s="9">
        <f>'NIFTY500 TRI'!B194</f>
        <v>38041.15</v>
      </c>
      <c r="I194" s="10">
        <f t="shared" ref="I194:I257" si="15">(H194-H195)/H195</f>
        <v>8.9061838120567741E-4</v>
      </c>
    </row>
    <row r="195" spans="1:9" ht="14.25" customHeight="1" x14ac:dyDescent="0.3">
      <c r="A195" s="8">
        <f>'ICICI PRUDENTIAL MULTICAP FUND'!A195</f>
        <v>45974</v>
      </c>
      <c r="B195" s="9">
        <f>'ICICI PRUDENTIAL MULTICAP FUND'!B195</f>
        <v>809.56</v>
      </c>
      <c r="C195" s="10">
        <f t="shared" si="12"/>
        <v>6.1765759533488813E-5</v>
      </c>
      <c r="D195" s="9">
        <f>'QUANT ACTIVE FUND'!B195</f>
        <v>627.846</v>
      </c>
      <c r="E195" s="10">
        <f t="shared" si="13"/>
        <v>9.5656249701077845E-4</v>
      </c>
      <c r="F195" s="9">
        <f>'NIPPON INDIA '!B195</f>
        <v>303.92700000000002</v>
      </c>
      <c r="G195" s="10">
        <f t="shared" si="14"/>
        <v>2.2378800693756141E-4</v>
      </c>
      <c r="H195" s="9">
        <f>'NIFTY500 TRI'!B195</f>
        <v>38007.300000000003</v>
      </c>
      <c r="I195" s="10">
        <f t="shared" si="15"/>
        <v>-8.6539983207242896E-4</v>
      </c>
    </row>
    <row r="196" spans="1:9" ht="14.25" customHeight="1" x14ac:dyDescent="0.3">
      <c r="A196" s="8">
        <f>'ICICI PRUDENTIAL MULTICAP FUND'!A196</f>
        <v>45973</v>
      </c>
      <c r="B196" s="9">
        <f>'ICICI PRUDENTIAL MULTICAP FUND'!B196</f>
        <v>809.51</v>
      </c>
      <c r="C196" s="10">
        <f t="shared" si="12"/>
        <v>5.7524102971871528E-3</v>
      </c>
      <c r="D196" s="9">
        <f>'QUANT ACTIVE FUND'!B196</f>
        <v>627.24599999999998</v>
      </c>
      <c r="E196" s="10">
        <f t="shared" si="13"/>
        <v>6.4519234626338132E-3</v>
      </c>
      <c r="F196" s="9">
        <f>'NIPPON INDIA '!B196</f>
        <v>303.85899999999998</v>
      </c>
      <c r="G196" s="10">
        <f t="shared" si="14"/>
        <v>5.8425523181525833E-3</v>
      </c>
      <c r="H196" s="9">
        <f>'NIFTY500 TRI'!B196</f>
        <v>38040.22</v>
      </c>
      <c r="I196" s="10">
        <f t="shared" si="15"/>
        <v>6.5118612397540403E-3</v>
      </c>
    </row>
    <row r="197" spans="1:9" ht="14.25" customHeight="1" x14ac:dyDescent="0.3">
      <c r="A197" s="8">
        <f>'ICICI PRUDENTIAL MULTICAP FUND'!A197</f>
        <v>45972</v>
      </c>
      <c r="B197" s="9">
        <f>'ICICI PRUDENTIAL MULTICAP FUND'!B197</f>
        <v>804.88</v>
      </c>
      <c r="C197" s="10">
        <f t="shared" si="12"/>
        <v>4.4176005191304112E-3</v>
      </c>
      <c r="D197" s="9">
        <f>'QUANT ACTIVE FUND'!B197</f>
        <v>623.22500000000002</v>
      </c>
      <c r="E197" s="10">
        <f t="shared" si="13"/>
        <v>2.7278212089788242E-5</v>
      </c>
      <c r="F197" s="9">
        <f>'NIPPON INDIA '!B197</f>
        <v>302.09399999999999</v>
      </c>
      <c r="G197" s="10">
        <f t="shared" si="14"/>
        <v>5.2991713420803268E-4</v>
      </c>
      <c r="H197" s="9">
        <f>'NIFTY500 TRI'!B197</f>
        <v>37794.11</v>
      </c>
      <c r="I197" s="10">
        <f t="shared" si="15"/>
        <v>3.6492851602198239E-3</v>
      </c>
    </row>
    <row r="198" spans="1:9" ht="14.25" customHeight="1" x14ac:dyDescent="0.3">
      <c r="A198" s="8">
        <f>'ICICI PRUDENTIAL MULTICAP FUND'!A198</f>
        <v>45971</v>
      </c>
      <c r="B198" s="9">
        <f>'ICICI PRUDENTIAL MULTICAP FUND'!B198</f>
        <v>801.34</v>
      </c>
      <c r="C198" s="10">
        <f t="shared" si="12"/>
        <v>1.3620743517651131E-3</v>
      </c>
      <c r="D198" s="9">
        <f>'QUANT ACTIVE FUND'!B198</f>
        <v>623.20799999999997</v>
      </c>
      <c r="E198" s="10">
        <f t="shared" si="13"/>
        <v>1.3673823866366076E-3</v>
      </c>
      <c r="F198" s="9">
        <f>'NIPPON INDIA '!B198</f>
        <v>301.93400000000003</v>
      </c>
      <c r="G198" s="10">
        <f t="shared" si="14"/>
        <v>1.8980495218375332E-3</v>
      </c>
      <c r="H198" s="9">
        <f>'NIFTY500 TRI'!B198</f>
        <v>37656.69</v>
      </c>
      <c r="I198" s="10">
        <f t="shared" si="15"/>
        <v>3.3168852345454103E-3</v>
      </c>
    </row>
    <row r="199" spans="1:9" ht="14.25" customHeight="1" x14ac:dyDescent="0.3">
      <c r="A199" s="8">
        <f>'ICICI PRUDENTIAL MULTICAP FUND'!A199</f>
        <v>45968</v>
      </c>
      <c r="B199" s="9">
        <f>'ICICI PRUDENTIAL MULTICAP FUND'!B199</f>
        <v>800.25</v>
      </c>
      <c r="C199" s="10">
        <f t="shared" si="12"/>
        <v>1.0132092464724624E-3</v>
      </c>
      <c r="D199" s="9">
        <f>'QUANT ACTIVE FUND'!B199</f>
        <v>622.35699999999997</v>
      </c>
      <c r="E199" s="10">
        <f t="shared" si="13"/>
        <v>3.7093363997180171E-3</v>
      </c>
      <c r="F199" s="9">
        <f>'NIPPON INDIA '!B199</f>
        <v>301.36200000000002</v>
      </c>
      <c r="G199" s="10">
        <f t="shared" si="14"/>
        <v>7.9644784262193638E-5</v>
      </c>
      <c r="H199" s="9">
        <f>'NIFTY500 TRI'!B199</f>
        <v>37532.199999999997</v>
      </c>
      <c r="I199" s="10">
        <f t="shared" si="15"/>
        <v>5.6996887831290755E-4</v>
      </c>
    </row>
    <row r="200" spans="1:9" ht="14.25" customHeight="1" x14ac:dyDescent="0.3">
      <c r="A200" s="8">
        <f>'ICICI PRUDENTIAL MULTICAP FUND'!A200</f>
        <v>45967</v>
      </c>
      <c r="B200" s="9">
        <f>'ICICI PRUDENTIAL MULTICAP FUND'!B200</f>
        <v>799.44</v>
      </c>
      <c r="C200" s="10">
        <f t="shared" si="12"/>
        <v>-9.6993570924225198E-3</v>
      </c>
      <c r="D200" s="9">
        <f>'QUANT ACTIVE FUND'!B200</f>
        <v>620.05700000000002</v>
      </c>
      <c r="E200" s="10">
        <f t="shared" si="13"/>
        <v>-1.3303268371161209E-2</v>
      </c>
      <c r="F200" s="9">
        <f>'NIPPON INDIA '!B200</f>
        <v>301.33800000000002</v>
      </c>
      <c r="G200" s="10">
        <f t="shared" si="14"/>
        <v>-1.0624675776658512E-2</v>
      </c>
      <c r="H200" s="9">
        <f>'NIFTY500 TRI'!B200</f>
        <v>37510.82</v>
      </c>
      <c r="I200" s="10">
        <f t="shared" si="15"/>
        <v>-6.8223537663273876E-3</v>
      </c>
    </row>
    <row r="201" spans="1:9" ht="14.25" customHeight="1" x14ac:dyDescent="0.3">
      <c r="A201" s="8">
        <f>'ICICI PRUDENTIAL MULTICAP FUND'!A201</f>
        <v>45965</v>
      </c>
      <c r="B201" s="9">
        <f>'ICICI PRUDENTIAL MULTICAP FUND'!B201</f>
        <v>807.27</v>
      </c>
      <c r="C201" s="10">
        <f t="shared" si="12"/>
        <v>-4.046635000925264E-3</v>
      </c>
      <c r="D201" s="9">
        <f>'QUANT ACTIVE FUND'!B201</f>
        <v>628.41700000000003</v>
      </c>
      <c r="E201" s="10">
        <f t="shared" si="13"/>
        <v>-8.1003994955401205E-3</v>
      </c>
      <c r="F201" s="9">
        <f>'NIPPON INDIA '!B201</f>
        <v>304.57400000000001</v>
      </c>
      <c r="G201" s="10">
        <f t="shared" si="14"/>
        <v>-2.3224352486054026E-3</v>
      </c>
      <c r="H201" s="9">
        <f>'NIFTY500 TRI'!B201</f>
        <v>37768.49</v>
      </c>
      <c r="I201" s="10">
        <f t="shared" si="15"/>
        <v>-5.6734429426713731E-3</v>
      </c>
    </row>
    <row r="202" spans="1:9" ht="14.25" customHeight="1" x14ac:dyDescent="0.3">
      <c r="A202" s="8">
        <f>'ICICI PRUDENTIAL MULTICAP FUND'!A202</f>
        <v>45964</v>
      </c>
      <c r="B202" s="9">
        <f>'ICICI PRUDENTIAL MULTICAP FUND'!B202</f>
        <v>810.55</v>
      </c>
      <c r="C202" s="10">
        <f t="shared" si="12"/>
        <v>7.4200203833054675E-3</v>
      </c>
      <c r="D202" s="9">
        <f>'QUANT ACTIVE FUND'!B202</f>
        <v>633.54899999999998</v>
      </c>
      <c r="E202" s="10">
        <f t="shared" si="13"/>
        <v>4.7545717951441415E-3</v>
      </c>
      <c r="F202" s="9">
        <f>'NIPPON INDIA '!B202</f>
        <v>305.28300000000002</v>
      </c>
      <c r="G202" s="10">
        <f t="shared" si="14"/>
        <v>4.1873622578205471E-3</v>
      </c>
      <c r="H202" s="9">
        <f>'NIFTY500 TRI'!B202</f>
        <v>37983.99</v>
      </c>
      <c r="I202" s="10">
        <f t="shared" si="15"/>
        <v>4.2710083561482894E-3</v>
      </c>
    </row>
    <row r="203" spans="1:9" ht="14.25" customHeight="1" x14ac:dyDescent="0.3">
      <c r="A203" s="8">
        <f>'ICICI PRUDENTIAL MULTICAP FUND'!A203</f>
        <v>45961</v>
      </c>
      <c r="B203" s="9">
        <f>'ICICI PRUDENTIAL MULTICAP FUND'!B203</f>
        <v>804.58</v>
      </c>
      <c r="C203" s="10">
        <f t="shared" si="12"/>
        <v>-7.585756047019325E-3</v>
      </c>
      <c r="D203" s="9">
        <f>'QUANT ACTIVE FUND'!B203</f>
        <v>630.55100000000004</v>
      </c>
      <c r="E203" s="10">
        <f t="shared" si="13"/>
        <v>-4.593810826554386E-3</v>
      </c>
      <c r="F203" s="9">
        <f>'NIPPON INDIA '!B203</f>
        <v>304.01</v>
      </c>
      <c r="G203" s="10">
        <f t="shared" si="14"/>
        <v>-8.4313181884898194E-3</v>
      </c>
      <c r="H203" s="9">
        <f>'NIFTY500 TRI'!B203</f>
        <v>37822.449999999997</v>
      </c>
      <c r="I203" s="10">
        <f t="shared" si="15"/>
        <v>-5.4828998576687384E-3</v>
      </c>
    </row>
    <row r="204" spans="1:9" ht="14.25" customHeight="1" x14ac:dyDescent="0.3">
      <c r="A204" s="8">
        <f>'ICICI PRUDENTIAL MULTICAP FUND'!A204</f>
        <v>45960</v>
      </c>
      <c r="B204" s="9">
        <f>'ICICI PRUDENTIAL MULTICAP FUND'!B204</f>
        <v>810.73</v>
      </c>
      <c r="C204" s="10">
        <f t="shared" si="12"/>
        <v>-3.6010127080106555E-3</v>
      </c>
      <c r="D204" s="9">
        <f>'QUANT ACTIVE FUND'!B204</f>
        <v>633.46100000000001</v>
      </c>
      <c r="E204" s="10">
        <f t="shared" si="13"/>
        <v>-2.9260844928540534E-3</v>
      </c>
      <c r="F204" s="9">
        <f>'NIPPON INDIA '!B204</f>
        <v>306.59500000000003</v>
      </c>
      <c r="G204" s="10">
        <f t="shared" si="14"/>
        <v>-2.7679657565881457E-3</v>
      </c>
      <c r="H204" s="9">
        <f>'NIFTY500 TRI'!B204</f>
        <v>38030.97</v>
      </c>
      <c r="I204" s="10">
        <f t="shared" si="15"/>
        <v>-4.6380120696667346E-3</v>
      </c>
    </row>
    <row r="205" spans="1:9" ht="14.25" customHeight="1" x14ac:dyDescent="0.3">
      <c r="A205" s="8">
        <f>'ICICI PRUDENTIAL MULTICAP FUND'!A205</f>
        <v>45959</v>
      </c>
      <c r="B205" s="9">
        <f>'ICICI PRUDENTIAL MULTICAP FUND'!B205</f>
        <v>813.66</v>
      </c>
      <c r="C205" s="10">
        <f t="shared" si="12"/>
        <v>5.7974955808002037E-3</v>
      </c>
      <c r="D205" s="9">
        <f>'QUANT ACTIVE FUND'!B205</f>
        <v>635.32000000000005</v>
      </c>
      <c r="E205" s="10">
        <f t="shared" si="13"/>
        <v>7.385889747598579E-3</v>
      </c>
      <c r="F205" s="9">
        <f>'NIPPON INDIA '!B205</f>
        <v>307.44600000000003</v>
      </c>
      <c r="G205" s="10">
        <f t="shared" si="14"/>
        <v>7.260098941781634E-3</v>
      </c>
      <c r="H205" s="9">
        <f>'NIFTY500 TRI'!B205</f>
        <v>38208.18</v>
      </c>
      <c r="I205" s="10">
        <f t="shared" si="15"/>
        <v>5.8717698552644762E-3</v>
      </c>
    </row>
    <row r="206" spans="1:9" ht="14.25" customHeight="1" x14ac:dyDescent="0.3">
      <c r="A206" s="8">
        <f>'ICICI PRUDENTIAL MULTICAP FUND'!A206</f>
        <v>45958</v>
      </c>
      <c r="B206" s="9">
        <f>'ICICI PRUDENTIAL MULTICAP FUND'!B206</f>
        <v>808.97</v>
      </c>
      <c r="C206" s="10">
        <f t="shared" si="12"/>
        <v>-1.7302962514365952E-4</v>
      </c>
      <c r="D206" s="9">
        <f>'QUANT ACTIVE FUND'!B206</f>
        <v>630.66200000000003</v>
      </c>
      <c r="E206" s="10">
        <f t="shared" si="13"/>
        <v>1.4147999828510306E-3</v>
      </c>
      <c r="F206" s="9">
        <f>'NIPPON INDIA '!B206</f>
        <v>305.23</v>
      </c>
      <c r="G206" s="10">
        <f t="shared" si="14"/>
        <v>2.5561031879204916E-4</v>
      </c>
      <c r="H206" s="9">
        <f>'NIFTY500 TRI'!B206</f>
        <v>37985.14</v>
      </c>
      <c r="I206" s="10">
        <f t="shared" si="15"/>
        <v>-1.1879994698966586E-3</v>
      </c>
    </row>
    <row r="207" spans="1:9" ht="14.25" customHeight="1" x14ac:dyDescent="0.3">
      <c r="A207" s="8">
        <f>'ICICI PRUDENTIAL MULTICAP FUND'!A207</f>
        <v>45957</v>
      </c>
      <c r="B207" s="9">
        <f>'ICICI PRUDENTIAL MULTICAP FUND'!B207</f>
        <v>809.11</v>
      </c>
      <c r="C207" s="10">
        <f t="shared" si="12"/>
        <v>7.684260343238547E-3</v>
      </c>
      <c r="D207" s="9">
        <f>'QUANT ACTIVE FUND'!B207</f>
        <v>629.77099999999996</v>
      </c>
      <c r="E207" s="10">
        <f t="shared" si="13"/>
        <v>4.606920270608582E-3</v>
      </c>
      <c r="F207" s="9">
        <f>'NIPPON INDIA '!B207</f>
        <v>305.15199999999999</v>
      </c>
      <c r="G207" s="10">
        <f t="shared" si="14"/>
        <v>2.496780467292146E-3</v>
      </c>
      <c r="H207" s="9">
        <f>'NIFTY500 TRI'!B207</f>
        <v>38030.32</v>
      </c>
      <c r="I207" s="10">
        <f t="shared" si="15"/>
        <v>6.9751573401993202E-3</v>
      </c>
    </row>
    <row r="208" spans="1:9" ht="14.25" customHeight="1" x14ac:dyDescent="0.3">
      <c r="A208" s="8">
        <f>'ICICI PRUDENTIAL MULTICAP FUND'!A208</f>
        <v>45954</v>
      </c>
      <c r="B208" s="9">
        <f>'ICICI PRUDENTIAL MULTICAP FUND'!B208</f>
        <v>802.94</v>
      </c>
      <c r="C208" s="10">
        <f t="shared" si="12"/>
        <v>-1.802608187570621E-3</v>
      </c>
      <c r="D208" s="9">
        <f>'QUANT ACTIVE FUND'!B208</f>
        <v>626.88300000000004</v>
      </c>
      <c r="E208" s="10">
        <f t="shared" si="13"/>
        <v>-2.8409226476889182E-3</v>
      </c>
      <c r="F208" s="9">
        <f>'NIPPON INDIA '!B208</f>
        <v>304.392</v>
      </c>
      <c r="G208" s="10">
        <f t="shared" si="14"/>
        <v>-3.2875348727554356E-3</v>
      </c>
      <c r="H208" s="9">
        <f>'NIFTY500 TRI'!B208</f>
        <v>37766.89</v>
      </c>
      <c r="I208" s="10">
        <f t="shared" si="15"/>
        <v>-2.8841383742213888E-3</v>
      </c>
    </row>
    <row r="209" spans="1:9" ht="14.25" customHeight="1" x14ac:dyDescent="0.3">
      <c r="A209" s="8">
        <f>'ICICI PRUDENTIAL MULTICAP FUND'!A209</f>
        <v>45953</v>
      </c>
      <c r="B209" s="9">
        <f>'ICICI PRUDENTIAL MULTICAP FUND'!B209</f>
        <v>804.39</v>
      </c>
      <c r="C209" s="10">
        <f t="shared" si="12"/>
        <v>1.543920811803535E-3</v>
      </c>
      <c r="D209" s="9">
        <f>'QUANT ACTIVE FUND'!B209</f>
        <v>628.66899999999998</v>
      </c>
      <c r="E209" s="10">
        <f t="shared" si="13"/>
        <v>1.8022812961127003E-3</v>
      </c>
      <c r="F209" s="9">
        <f>'NIPPON INDIA '!B209</f>
        <v>305.39600000000002</v>
      </c>
      <c r="G209" s="10">
        <f t="shared" si="14"/>
        <v>1.4067095784135021E-3</v>
      </c>
      <c r="H209" s="9">
        <f>'NIFTY500 TRI'!B209</f>
        <v>37876.129999999997</v>
      </c>
      <c r="I209" s="10">
        <f t="shared" si="15"/>
        <v>1.6856908542411089E-3</v>
      </c>
    </row>
    <row r="210" spans="1:9" ht="14.25" customHeight="1" x14ac:dyDescent="0.3">
      <c r="A210" s="8">
        <f>'ICICI PRUDENTIAL MULTICAP FUND'!A210</f>
        <v>45950</v>
      </c>
      <c r="B210" s="9">
        <f>'ICICI PRUDENTIAL MULTICAP FUND'!B210</f>
        <v>803.15</v>
      </c>
      <c r="C210" s="10">
        <f t="shared" si="12"/>
        <v>1.7586748821313246E-3</v>
      </c>
      <c r="D210" s="9">
        <f>'QUANT ACTIVE FUND'!B210</f>
        <v>627.53800000000001</v>
      </c>
      <c r="E210" s="10">
        <f t="shared" si="13"/>
        <v>5.682765163656023E-3</v>
      </c>
      <c r="F210" s="9">
        <f>'NIPPON INDIA '!B210</f>
        <v>304.96699999999998</v>
      </c>
      <c r="G210" s="10">
        <f t="shared" si="14"/>
        <v>3.3393430541664025E-3</v>
      </c>
      <c r="H210" s="9">
        <f>'NIFTY500 TRI'!B210</f>
        <v>37812.39</v>
      </c>
      <c r="I210" s="10">
        <f t="shared" si="15"/>
        <v>5.052321348689162E-3</v>
      </c>
    </row>
    <row r="211" spans="1:9" ht="14.25" customHeight="1" x14ac:dyDescent="0.3">
      <c r="A211" s="8">
        <f>'ICICI PRUDENTIAL MULTICAP FUND'!A211</f>
        <v>45947</v>
      </c>
      <c r="B211" s="9">
        <f>'ICICI PRUDENTIAL MULTICAP FUND'!B211</f>
        <v>801.74</v>
      </c>
      <c r="C211" s="10">
        <f t="shared" si="12"/>
        <v>-1.1461889218348481E-3</v>
      </c>
      <c r="D211" s="9">
        <f>'QUANT ACTIVE FUND'!B211</f>
        <v>623.99199999999996</v>
      </c>
      <c r="E211" s="10">
        <f t="shared" si="13"/>
        <v>-2.2529545043899705E-3</v>
      </c>
      <c r="F211" s="9">
        <f>'NIPPON INDIA '!B211</f>
        <v>303.952</v>
      </c>
      <c r="G211" s="10">
        <f t="shared" si="14"/>
        <v>1.2503537184865098E-4</v>
      </c>
      <c r="H211" s="9">
        <f>'NIFTY500 TRI'!B211</f>
        <v>37622.31</v>
      </c>
      <c r="I211" s="10">
        <f t="shared" si="15"/>
        <v>1.5178905846326967E-3</v>
      </c>
    </row>
    <row r="212" spans="1:9" ht="14.25" customHeight="1" x14ac:dyDescent="0.3">
      <c r="A212" s="8">
        <f>'ICICI PRUDENTIAL MULTICAP FUND'!A212</f>
        <v>45946</v>
      </c>
      <c r="B212" s="9">
        <f>'ICICI PRUDENTIAL MULTICAP FUND'!B212</f>
        <v>802.66</v>
      </c>
      <c r="C212" s="10">
        <f t="shared" si="12"/>
        <v>9.4066752181896154E-3</v>
      </c>
      <c r="D212" s="9">
        <f>'QUANT ACTIVE FUND'!B212</f>
        <v>625.40099999999995</v>
      </c>
      <c r="E212" s="10">
        <f t="shared" si="13"/>
        <v>5.1155704270850295E-3</v>
      </c>
      <c r="F212" s="9">
        <f>'NIPPON INDIA '!B212</f>
        <v>303.91399999999999</v>
      </c>
      <c r="G212" s="10">
        <f t="shared" si="14"/>
        <v>6.6877556766425598E-3</v>
      </c>
      <c r="H212" s="9">
        <f>'NIFTY500 TRI'!B212</f>
        <v>37565.29</v>
      </c>
      <c r="I212" s="10">
        <f t="shared" si="15"/>
        <v>7.9762734976869462E-3</v>
      </c>
    </row>
    <row r="213" spans="1:9" ht="14.25" customHeight="1" x14ac:dyDescent="0.3">
      <c r="A213" s="8">
        <f>'ICICI PRUDENTIAL MULTICAP FUND'!A213</f>
        <v>45945</v>
      </c>
      <c r="B213" s="9">
        <f>'ICICI PRUDENTIAL MULTICAP FUND'!B213</f>
        <v>795.18</v>
      </c>
      <c r="C213" s="10">
        <f t="shared" si="12"/>
        <v>7.360299986064767E-3</v>
      </c>
      <c r="D213" s="9">
        <f>'QUANT ACTIVE FUND'!B213</f>
        <v>622.21799999999996</v>
      </c>
      <c r="E213" s="10">
        <f t="shared" si="13"/>
        <v>7.6029556793834989E-3</v>
      </c>
      <c r="F213" s="9">
        <f>'NIPPON INDIA '!B213</f>
        <v>301.89499999999998</v>
      </c>
      <c r="G213" s="10">
        <f t="shared" si="14"/>
        <v>5.6663357695355835E-3</v>
      </c>
      <c r="H213" s="9">
        <f>'NIFTY500 TRI'!B213</f>
        <v>37268.03</v>
      </c>
      <c r="I213" s="10">
        <f t="shared" si="15"/>
        <v>8.3949870352026668E-3</v>
      </c>
    </row>
    <row r="214" spans="1:9" ht="14.25" customHeight="1" x14ac:dyDescent="0.3">
      <c r="A214" s="8">
        <f>'ICICI PRUDENTIAL MULTICAP FUND'!A214</f>
        <v>45944</v>
      </c>
      <c r="B214" s="9">
        <f>'ICICI PRUDENTIAL MULTICAP FUND'!B214</f>
        <v>789.37</v>
      </c>
      <c r="C214" s="10">
        <f t="shared" si="12"/>
        <v>-7.6309966810822307E-3</v>
      </c>
      <c r="D214" s="9">
        <f>'QUANT ACTIVE FUND'!B214</f>
        <v>617.52300000000002</v>
      </c>
      <c r="E214" s="10">
        <f t="shared" si="13"/>
        <v>-8.6353872679811889E-3</v>
      </c>
      <c r="F214" s="9">
        <f>'NIPPON INDIA '!B214</f>
        <v>300.19400000000002</v>
      </c>
      <c r="G214" s="10">
        <f t="shared" si="14"/>
        <v>-7.0979691737777283E-3</v>
      </c>
      <c r="H214" s="9">
        <f>'NIFTY500 TRI'!B214</f>
        <v>36957.769999999997</v>
      </c>
      <c r="I214" s="10">
        <f t="shared" si="15"/>
        <v>-6.5767191614314949E-3</v>
      </c>
    </row>
    <row r="215" spans="1:9" ht="14.25" customHeight="1" x14ac:dyDescent="0.3">
      <c r="A215" s="8">
        <f>'ICICI PRUDENTIAL MULTICAP FUND'!A215</f>
        <v>45940</v>
      </c>
      <c r="B215" s="9">
        <f>'ICICI PRUDENTIAL MULTICAP FUND'!B215</f>
        <v>795.44</v>
      </c>
      <c r="C215" s="10">
        <f t="shared" si="12"/>
        <v>3.7604421674280316E-3</v>
      </c>
      <c r="D215" s="9">
        <f>'QUANT ACTIVE FUND'!B215</f>
        <v>622.90200000000004</v>
      </c>
      <c r="E215" s="10">
        <f t="shared" si="13"/>
        <v>6.4744423529032582E-3</v>
      </c>
      <c r="F215" s="9">
        <f>'NIPPON INDIA '!B215</f>
        <v>302.33999999999997</v>
      </c>
      <c r="G215" s="10">
        <f t="shared" si="14"/>
        <v>3.8948490372451229E-3</v>
      </c>
      <c r="H215" s="9">
        <f>'NIFTY500 TRI'!B215</f>
        <v>37202.44</v>
      </c>
      <c r="I215" s="10">
        <f t="shared" si="15"/>
        <v>4.1258227488678838E-3</v>
      </c>
    </row>
    <row r="216" spans="1:9" ht="14.25" customHeight="1" x14ac:dyDescent="0.3">
      <c r="A216" s="8">
        <f>'ICICI PRUDENTIAL MULTICAP FUND'!A216</f>
        <v>45939</v>
      </c>
      <c r="B216" s="9">
        <f>'ICICI PRUDENTIAL MULTICAP FUND'!B216</f>
        <v>792.46</v>
      </c>
      <c r="C216" s="10">
        <f t="shared" si="12"/>
        <v>5.379208850320988E-3</v>
      </c>
      <c r="D216" s="9">
        <f>'QUANT ACTIVE FUND'!B216</f>
        <v>618.89499999999998</v>
      </c>
      <c r="E216" s="10">
        <f t="shared" si="13"/>
        <v>7.668699170445447E-3</v>
      </c>
      <c r="F216" s="9">
        <f>'NIPPON INDIA '!B216</f>
        <v>301.16699999999997</v>
      </c>
      <c r="G216" s="10">
        <f t="shared" si="14"/>
        <v>3.1042350159040735E-3</v>
      </c>
      <c r="H216" s="9">
        <f>'NIFTY500 TRI'!B216</f>
        <v>37049.58</v>
      </c>
      <c r="I216" s="10">
        <f t="shared" si="15"/>
        <v>5.7298749949102638E-3</v>
      </c>
    </row>
    <row r="217" spans="1:9" ht="14.25" customHeight="1" x14ac:dyDescent="0.3">
      <c r="A217" s="8">
        <f>'ICICI PRUDENTIAL MULTICAP FUND'!A217</f>
        <v>45938</v>
      </c>
      <c r="B217" s="9">
        <f>'ICICI PRUDENTIAL MULTICAP FUND'!B217</f>
        <v>788.22</v>
      </c>
      <c r="C217" s="10">
        <f t="shared" si="12"/>
        <v>-5.6013927787449107E-3</v>
      </c>
      <c r="D217" s="9">
        <f>'QUANT ACTIVE FUND'!B217</f>
        <v>614.18499999999995</v>
      </c>
      <c r="E217" s="10">
        <f t="shared" si="13"/>
        <v>-1.1090483727355776E-2</v>
      </c>
      <c r="F217" s="9">
        <f>'NIPPON INDIA '!B217</f>
        <v>300.23500000000001</v>
      </c>
      <c r="G217" s="10">
        <f t="shared" si="14"/>
        <v>-4.664469801950598E-3</v>
      </c>
      <c r="H217" s="9">
        <f>'NIFTY500 TRI'!B217</f>
        <v>36838.5</v>
      </c>
      <c r="I217" s="10">
        <f t="shared" si="15"/>
        <v>-4.3148115013349163E-3</v>
      </c>
    </row>
    <row r="218" spans="1:9" ht="14.25" customHeight="1" x14ac:dyDescent="0.3">
      <c r="A218" s="8">
        <f>'ICICI PRUDENTIAL MULTICAP FUND'!A218</f>
        <v>45937</v>
      </c>
      <c r="B218" s="9">
        <f>'ICICI PRUDENTIAL MULTICAP FUND'!B218</f>
        <v>792.66</v>
      </c>
      <c r="C218" s="10">
        <f t="shared" si="12"/>
        <v>1.832636089028111E-3</v>
      </c>
      <c r="D218" s="9">
        <f>'QUANT ACTIVE FUND'!B218</f>
        <v>621.07299999999998</v>
      </c>
      <c r="E218" s="10">
        <f t="shared" si="13"/>
        <v>-2.5070908430956797E-3</v>
      </c>
      <c r="F218" s="9">
        <f>'NIPPON INDIA '!B218</f>
        <v>301.642</v>
      </c>
      <c r="G218" s="10">
        <f t="shared" si="14"/>
        <v>-4.6722313715490783E-4</v>
      </c>
      <c r="H218" s="9">
        <f>'NIFTY500 TRI'!B218</f>
        <v>36998.14</v>
      </c>
      <c r="I218" s="10">
        <f t="shared" si="15"/>
        <v>1.7187108260911545E-3</v>
      </c>
    </row>
    <row r="219" spans="1:9" ht="14.25" customHeight="1" x14ac:dyDescent="0.3">
      <c r="A219" s="8">
        <f>'ICICI PRUDENTIAL MULTICAP FUND'!A219</f>
        <v>45936</v>
      </c>
      <c r="B219" s="9">
        <f>'ICICI PRUDENTIAL MULTICAP FUND'!B219</f>
        <v>791.21</v>
      </c>
      <c r="C219" s="10">
        <f t="shared" si="12"/>
        <v>4.9791055392550054E-3</v>
      </c>
      <c r="D219" s="9">
        <f>'QUANT ACTIVE FUND'!B219</f>
        <v>622.63400000000001</v>
      </c>
      <c r="E219" s="10">
        <f t="shared" si="13"/>
        <v>2.0729191143099191E-3</v>
      </c>
      <c r="F219" s="9">
        <f>'NIPPON INDIA '!B219</f>
        <v>301.78300000000002</v>
      </c>
      <c r="G219" s="10">
        <f t="shared" si="14"/>
        <v>3.7284392440682153E-3</v>
      </c>
      <c r="H219" s="9">
        <f>'NIFTY500 TRI'!B219</f>
        <v>36934.660000000003</v>
      </c>
      <c r="I219" s="10">
        <f t="shared" si="15"/>
        <v>6.163985944357791E-3</v>
      </c>
    </row>
    <row r="220" spans="1:9" ht="14.25" customHeight="1" x14ac:dyDescent="0.3">
      <c r="A220" s="8">
        <f>'ICICI PRUDENTIAL MULTICAP FUND'!A220</f>
        <v>45933</v>
      </c>
      <c r="B220" s="9">
        <f>'ICICI PRUDENTIAL MULTICAP FUND'!B220</f>
        <v>787.29</v>
      </c>
      <c r="C220" s="10">
        <f t="shared" si="12"/>
        <v>5.6844310459352254E-3</v>
      </c>
      <c r="D220" s="9">
        <f>'QUANT ACTIVE FUND'!B220</f>
        <v>621.346</v>
      </c>
      <c r="E220" s="10">
        <f t="shared" si="13"/>
        <v>6.5967463395509981E-3</v>
      </c>
      <c r="F220" s="9">
        <f>'NIPPON INDIA '!B220</f>
        <v>300.66199999999998</v>
      </c>
      <c r="G220" s="10">
        <f t="shared" si="14"/>
        <v>5.8310110765792574E-3</v>
      </c>
      <c r="H220" s="9">
        <f>'NIFTY500 TRI'!B220</f>
        <v>36708.39</v>
      </c>
      <c r="I220" s="10">
        <f t="shared" si="15"/>
        <v>4.3390114309790062E-3</v>
      </c>
    </row>
    <row r="221" spans="1:9" ht="14.25" customHeight="1" x14ac:dyDescent="0.3">
      <c r="A221" s="8">
        <f>'ICICI PRUDENTIAL MULTICAP FUND'!A221</f>
        <v>45931</v>
      </c>
      <c r="B221" s="9">
        <f>'ICICI PRUDENTIAL MULTICAP FUND'!B221</f>
        <v>782.84</v>
      </c>
      <c r="C221" s="10">
        <f t="shared" si="12"/>
        <v>7.7884627762974147E-3</v>
      </c>
      <c r="D221" s="9">
        <f>'QUANT ACTIVE FUND'!B221</f>
        <v>617.274</v>
      </c>
      <c r="E221" s="10">
        <f t="shared" si="13"/>
        <v>1.3582878217148792E-2</v>
      </c>
      <c r="F221" s="9">
        <f>'NIPPON INDIA '!B221</f>
        <v>298.91899999999998</v>
      </c>
      <c r="G221" s="10">
        <f t="shared" si="14"/>
        <v>7.7404651695923525E-3</v>
      </c>
      <c r="H221" s="9">
        <f>'NIFTY500 TRI'!B221</f>
        <v>36549.800000000003</v>
      </c>
      <c r="I221" s="10">
        <f t="shared" si="15"/>
        <v>8.3198568095206264E-3</v>
      </c>
    </row>
    <row r="222" spans="1:9" ht="14.25" customHeight="1" x14ac:dyDescent="0.3">
      <c r="A222" s="8">
        <f>'ICICI PRUDENTIAL MULTICAP FUND'!A222</f>
        <v>45930</v>
      </c>
      <c r="B222" s="9">
        <f>'ICICI PRUDENTIAL MULTICAP FUND'!B222</f>
        <v>776.79</v>
      </c>
      <c r="C222" s="10">
        <f t="shared" si="12"/>
        <v>2.0601830987724935E-4</v>
      </c>
      <c r="D222" s="9">
        <f>'QUANT ACTIVE FUND'!B222</f>
        <v>609.00199999999995</v>
      </c>
      <c r="E222" s="10">
        <f t="shared" si="13"/>
        <v>-9.7933231517783595E-4</v>
      </c>
      <c r="F222" s="9">
        <f>'NIPPON INDIA '!B222</f>
        <v>296.62299999999999</v>
      </c>
      <c r="G222" s="10">
        <f t="shared" si="14"/>
        <v>-1.4576376171496039E-3</v>
      </c>
      <c r="H222" s="9">
        <f>'NIFTY500 TRI'!B222</f>
        <v>36248.22</v>
      </c>
      <c r="I222" s="10">
        <f t="shared" si="15"/>
        <v>0</v>
      </c>
    </row>
    <row r="223" spans="1:9" ht="14.25" customHeight="1" x14ac:dyDescent="0.3">
      <c r="A223" s="8">
        <f>'ICICI PRUDENTIAL MULTICAP FUND'!A223</f>
        <v>45929</v>
      </c>
      <c r="B223" s="9">
        <f>'ICICI PRUDENTIAL MULTICAP FUND'!B223</f>
        <v>776.63</v>
      </c>
      <c r="C223" s="10">
        <f t="shared" si="12"/>
        <v>6.9579559071752451E-4</v>
      </c>
      <c r="D223" s="9">
        <f>'QUANT ACTIVE FUND'!B223</f>
        <v>609.59900000000005</v>
      </c>
      <c r="E223" s="10">
        <f t="shared" si="13"/>
        <v>-7.818697998281779E-4</v>
      </c>
      <c r="F223" s="9">
        <f>'NIPPON INDIA '!B223</f>
        <v>297.05599999999998</v>
      </c>
      <c r="G223" s="10">
        <f t="shared" si="14"/>
        <v>-2.1876609192886983E-4</v>
      </c>
      <c r="H223" s="9">
        <f>'NIFTY500 TRI'!B223</f>
        <v>36248.22</v>
      </c>
      <c r="I223" s="10">
        <f t="shared" si="15"/>
        <v>1.1428779755428716E-3</v>
      </c>
    </row>
    <row r="224" spans="1:9" ht="14.25" customHeight="1" x14ac:dyDescent="0.3">
      <c r="A224" s="8">
        <f>'ICICI PRUDENTIAL MULTICAP FUND'!A224</f>
        <v>45926</v>
      </c>
      <c r="B224" s="9">
        <f>'ICICI PRUDENTIAL MULTICAP FUND'!B224</f>
        <v>776.09</v>
      </c>
      <c r="C224" s="10">
        <f t="shared" si="12"/>
        <v>-1.6649139034248552E-2</v>
      </c>
      <c r="D224" s="9">
        <f>'QUANT ACTIVE FUND'!B224</f>
        <v>610.07600000000002</v>
      </c>
      <c r="E224" s="10">
        <f t="shared" si="13"/>
        <v>-1.5668286040204156E-2</v>
      </c>
      <c r="F224" s="9">
        <f>'NIPPON INDIA '!B224</f>
        <v>297.12099999999998</v>
      </c>
      <c r="G224" s="10">
        <f t="shared" si="14"/>
        <v>-1.3575246505760098E-2</v>
      </c>
      <c r="H224" s="9">
        <f>'NIFTY500 TRI'!B224</f>
        <v>36206.839999999997</v>
      </c>
      <c r="I224" s="10">
        <f t="shared" si="15"/>
        <v>-1.343276343044743E-2</v>
      </c>
    </row>
    <row r="225" spans="1:9" ht="14.25" customHeight="1" x14ac:dyDescent="0.3">
      <c r="A225" s="8">
        <f>'ICICI PRUDENTIAL MULTICAP FUND'!A225</f>
        <v>45925</v>
      </c>
      <c r="B225" s="9">
        <f>'ICICI PRUDENTIAL MULTICAP FUND'!B225</f>
        <v>789.23</v>
      </c>
      <c r="C225" s="10">
        <f t="shared" si="12"/>
        <v>-3.4345602626428781E-3</v>
      </c>
      <c r="D225" s="9">
        <f>'QUANT ACTIVE FUND'!B225</f>
        <v>619.78700000000003</v>
      </c>
      <c r="E225" s="10">
        <f t="shared" si="13"/>
        <v>-5.0183572986917538E-3</v>
      </c>
      <c r="F225" s="9">
        <f>'NIPPON INDIA '!B225</f>
        <v>301.20999999999998</v>
      </c>
      <c r="G225" s="10">
        <f t="shared" si="14"/>
        <v>-7.633587786259566E-3</v>
      </c>
      <c r="H225" s="9">
        <f>'NIFTY500 TRI'!B225</f>
        <v>36699.82</v>
      </c>
      <c r="I225" s="10">
        <f t="shared" si="15"/>
        <v>-6.7237284580460585E-3</v>
      </c>
    </row>
    <row r="226" spans="1:9" ht="14.25" customHeight="1" x14ac:dyDescent="0.3">
      <c r="A226" s="8">
        <f>'ICICI PRUDENTIAL MULTICAP FUND'!A226</f>
        <v>45924</v>
      </c>
      <c r="B226" s="9">
        <f>'ICICI PRUDENTIAL MULTICAP FUND'!B226</f>
        <v>791.95</v>
      </c>
      <c r="C226" s="10">
        <f t="shared" si="12"/>
        <v>-7.4073145664652548E-3</v>
      </c>
      <c r="D226" s="9">
        <f>'QUANT ACTIVE FUND'!B226</f>
        <v>622.91300000000001</v>
      </c>
      <c r="E226" s="10">
        <f t="shared" si="13"/>
        <v>-1.5032731412668716E-2</v>
      </c>
      <c r="F226" s="9">
        <f>'NIPPON INDIA '!B226</f>
        <v>303.52699999999999</v>
      </c>
      <c r="G226" s="10">
        <f t="shared" si="14"/>
        <v>-5.1328611275907043E-3</v>
      </c>
      <c r="H226" s="9">
        <f>'NIFTY500 TRI'!B226</f>
        <v>36948.25</v>
      </c>
      <c r="I226" s="10">
        <f t="shared" si="15"/>
        <v>-6.3034809533375506E-3</v>
      </c>
    </row>
    <row r="227" spans="1:9" ht="14.25" customHeight="1" x14ac:dyDescent="0.3">
      <c r="A227" s="8">
        <f>'ICICI PRUDENTIAL MULTICAP FUND'!A227</f>
        <v>45923</v>
      </c>
      <c r="B227" s="9">
        <f>'ICICI PRUDENTIAL MULTICAP FUND'!B227</f>
        <v>797.86</v>
      </c>
      <c r="C227" s="10">
        <f t="shared" si="12"/>
        <v>-4.2184613848534717E-3</v>
      </c>
      <c r="D227" s="9">
        <f>'QUANT ACTIVE FUND'!B227</f>
        <v>632.41999999999996</v>
      </c>
      <c r="E227" s="10">
        <f t="shared" si="13"/>
        <v>-7.1120182117906999E-3</v>
      </c>
      <c r="F227" s="9">
        <f>'NIPPON INDIA '!B227</f>
        <v>305.09300000000002</v>
      </c>
      <c r="G227" s="10">
        <f t="shared" si="14"/>
        <v>-1.1142901152632122E-4</v>
      </c>
      <c r="H227" s="9">
        <f>'NIFTY500 TRI'!B227</f>
        <v>37182.629999999997</v>
      </c>
      <c r="I227" s="10">
        <f t="shared" si="15"/>
        <v>-2.4025962527548135E-3</v>
      </c>
    </row>
    <row r="228" spans="1:9" ht="14.25" customHeight="1" x14ac:dyDescent="0.3">
      <c r="A228" s="8">
        <f>'ICICI PRUDENTIAL MULTICAP FUND'!A228</f>
        <v>45922</v>
      </c>
      <c r="B228" s="9">
        <f>'ICICI PRUDENTIAL MULTICAP FUND'!B228</f>
        <v>801.24</v>
      </c>
      <c r="C228" s="10">
        <f t="shared" si="12"/>
        <v>-4.646078163432643E-3</v>
      </c>
      <c r="D228" s="9">
        <f>'QUANT ACTIVE FUND'!B228</f>
        <v>636.95000000000005</v>
      </c>
      <c r="E228" s="10">
        <f t="shared" si="13"/>
        <v>7.2171110682400915E-3</v>
      </c>
      <c r="F228" s="9">
        <f>'NIPPON INDIA '!B228</f>
        <v>305.12700000000001</v>
      </c>
      <c r="G228" s="10">
        <f t="shared" si="14"/>
        <v>-5.7188104874186024E-3</v>
      </c>
      <c r="H228" s="9">
        <f>'NIFTY500 TRI'!B228</f>
        <v>37272.18</v>
      </c>
      <c r="I228" s="10">
        <f t="shared" si="15"/>
        <v>-4.463758670701712E-3</v>
      </c>
    </row>
    <row r="229" spans="1:9" ht="14.25" customHeight="1" x14ac:dyDescent="0.3">
      <c r="A229" s="8">
        <f>'ICICI PRUDENTIAL MULTICAP FUND'!A229</f>
        <v>45919</v>
      </c>
      <c r="B229" s="9">
        <f>'ICICI PRUDENTIAL MULTICAP FUND'!B229</f>
        <v>804.98</v>
      </c>
      <c r="C229" s="10">
        <f t="shared" si="12"/>
        <v>-1.9589367189048893E-3</v>
      </c>
      <c r="D229" s="9">
        <f>'QUANT ACTIVE FUND'!B229</f>
        <v>632.38599999999997</v>
      </c>
      <c r="E229" s="10">
        <f t="shared" si="13"/>
        <v>4.9246210393666685E-3</v>
      </c>
      <c r="F229" s="9">
        <f>'NIPPON INDIA '!B229</f>
        <v>306.88200000000001</v>
      </c>
      <c r="G229" s="10">
        <f t="shared" si="14"/>
        <v>-1.4902062861975988E-3</v>
      </c>
      <c r="H229" s="9">
        <f>'NIFTY500 TRI'!B229</f>
        <v>37439.300000000003</v>
      </c>
      <c r="I229" s="10">
        <f t="shared" si="15"/>
        <v>-1.3550243931063303E-3</v>
      </c>
    </row>
    <row r="230" spans="1:9" ht="14.25" customHeight="1" x14ac:dyDescent="0.3">
      <c r="A230" s="8">
        <f>'ICICI PRUDENTIAL MULTICAP FUND'!A230</f>
        <v>45918</v>
      </c>
      <c r="B230" s="9">
        <f>'ICICI PRUDENTIAL MULTICAP FUND'!B230</f>
        <v>806.56</v>
      </c>
      <c r="C230" s="10">
        <f t="shared" si="12"/>
        <v>2.0748176769495945E-3</v>
      </c>
      <c r="D230" s="9">
        <f>'QUANT ACTIVE FUND'!B230</f>
        <v>629.28700000000003</v>
      </c>
      <c r="E230" s="10">
        <f t="shared" si="13"/>
        <v>5.4306840840533778E-3</v>
      </c>
      <c r="F230" s="9">
        <f>'NIPPON INDIA '!B230</f>
        <v>307.33999999999997</v>
      </c>
      <c r="G230" s="10">
        <f t="shared" si="14"/>
        <v>1.5479119482507482E-3</v>
      </c>
      <c r="H230" s="9">
        <f>'NIFTY500 TRI'!B230</f>
        <v>37490.1</v>
      </c>
      <c r="I230" s="10">
        <f t="shared" si="15"/>
        <v>3.1483092888769425E-3</v>
      </c>
    </row>
    <row r="231" spans="1:9" ht="14.25" customHeight="1" x14ac:dyDescent="0.3">
      <c r="A231" s="8">
        <f>'ICICI PRUDENTIAL MULTICAP FUND'!A231</f>
        <v>45917</v>
      </c>
      <c r="B231" s="9">
        <f>'ICICI PRUDENTIAL MULTICAP FUND'!B231</f>
        <v>804.89</v>
      </c>
      <c r="C231" s="10">
        <f t="shared" si="12"/>
        <v>2.46602981654235E-3</v>
      </c>
      <c r="D231" s="9">
        <f>'QUANT ACTIVE FUND'!B231</f>
        <v>625.88800000000003</v>
      </c>
      <c r="E231" s="10">
        <f t="shared" si="13"/>
        <v>1.403175304114754E-3</v>
      </c>
      <c r="F231" s="9">
        <f>'NIPPON INDIA '!B231</f>
        <v>306.86500000000001</v>
      </c>
      <c r="G231" s="10">
        <f t="shared" si="14"/>
        <v>1.8086193443919106E-3</v>
      </c>
      <c r="H231" s="9">
        <f>'NIFTY500 TRI'!B231</f>
        <v>37372.44</v>
      </c>
      <c r="I231" s="10">
        <f t="shared" si="15"/>
        <v>3.2500818090717121E-3</v>
      </c>
    </row>
    <row r="232" spans="1:9" ht="14.25" customHeight="1" x14ac:dyDescent="0.3">
      <c r="A232" s="8">
        <f>'ICICI PRUDENTIAL MULTICAP FUND'!A232</f>
        <v>45916</v>
      </c>
      <c r="B232" s="9">
        <f>'ICICI PRUDENTIAL MULTICAP FUND'!B232</f>
        <v>802.91</v>
      </c>
      <c r="C232" s="10">
        <f t="shared" si="12"/>
        <v>6.0520248596630999E-3</v>
      </c>
      <c r="D232" s="9">
        <f>'QUANT ACTIVE FUND'!B232</f>
        <v>625.01099999999997</v>
      </c>
      <c r="E232" s="10">
        <f t="shared" si="13"/>
        <v>5.1688895250378208E-3</v>
      </c>
      <c r="F232" s="9">
        <f>'NIPPON INDIA '!B232</f>
        <v>306.31099999999998</v>
      </c>
      <c r="G232" s="10">
        <f t="shared" si="14"/>
        <v>5.3366591725880052E-3</v>
      </c>
      <c r="H232" s="9">
        <f>'NIFTY500 TRI'!B232</f>
        <v>37251.370000000003</v>
      </c>
      <c r="I232" s="10">
        <f t="shared" si="15"/>
        <v>6.6104174536855903E-3</v>
      </c>
    </row>
    <row r="233" spans="1:9" ht="14.25" customHeight="1" x14ac:dyDescent="0.3">
      <c r="A233" s="8">
        <f>'ICICI PRUDENTIAL MULTICAP FUND'!A233</f>
        <v>45915</v>
      </c>
      <c r="B233" s="9">
        <f>'ICICI PRUDENTIAL MULTICAP FUND'!B233</f>
        <v>798.08</v>
      </c>
      <c r="C233" s="10">
        <f t="shared" si="12"/>
        <v>3.558629361835952E-3</v>
      </c>
      <c r="D233" s="9">
        <f>'QUANT ACTIVE FUND'!B233</f>
        <v>621.79700000000003</v>
      </c>
      <c r="E233" s="10">
        <f t="shared" si="13"/>
        <v>5.6395659135386458E-3</v>
      </c>
      <c r="F233" s="9">
        <f>'NIPPON INDIA '!B233</f>
        <v>304.685</v>
      </c>
      <c r="G233" s="10">
        <f t="shared" si="14"/>
        <v>2.8668856603052554E-3</v>
      </c>
      <c r="H233" s="9">
        <f>'NIFTY500 TRI'!B233</f>
        <v>37006.74</v>
      </c>
      <c r="I233" s="10">
        <f t="shared" si="15"/>
        <v>1.1150932003662108E-3</v>
      </c>
    </row>
    <row r="234" spans="1:9" ht="14.25" customHeight="1" x14ac:dyDescent="0.3">
      <c r="A234" s="8">
        <f>'ICICI PRUDENTIAL MULTICAP FUND'!A234</f>
        <v>45912</v>
      </c>
      <c r="B234" s="9">
        <f>'ICICI PRUDENTIAL MULTICAP FUND'!B234</f>
        <v>795.25</v>
      </c>
      <c r="C234" s="10">
        <f t="shared" si="12"/>
        <v>3.6473320207986095E-3</v>
      </c>
      <c r="D234" s="9">
        <f>'QUANT ACTIVE FUND'!B234</f>
        <v>618.30999999999995</v>
      </c>
      <c r="E234" s="10">
        <f t="shared" si="13"/>
        <v>2.5180095240102626E-3</v>
      </c>
      <c r="F234" s="9">
        <f>'NIPPON INDIA '!B234</f>
        <v>303.81400000000002</v>
      </c>
      <c r="G234" s="10">
        <f t="shared" si="14"/>
        <v>3.5906939255502352E-3</v>
      </c>
      <c r="H234" s="9">
        <f>'NIFTY500 TRI'!B234</f>
        <v>36965.519999999997</v>
      </c>
      <c r="I234" s="10">
        <f t="shared" si="15"/>
        <v>3.8036195077045826E-3</v>
      </c>
    </row>
    <row r="235" spans="1:9" ht="14.25" customHeight="1" x14ac:dyDescent="0.3">
      <c r="A235" s="8">
        <f>'ICICI PRUDENTIAL MULTICAP FUND'!A235</f>
        <v>45911</v>
      </c>
      <c r="B235" s="9">
        <f>'ICICI PRUDENTIAL MULTICAP FUND'!B235</f>
        <v>792.36</v>
      </c>
      <c r="C235" s="10">
        <f t="shared" si="12"/>
        <v>1.516760200212404E-3</v>
      </c>
      <c r="D235" s="9">
        <f>'QUANT ACTIVE FUND'!B235</f>
        <v>616.75699999999995</v>
      </c>
      <c r="E235" s="10">
        <f t="shared" si="13"/>
        <v>6.5262305836886825E-3</v>
      </c>
      <c r="F235" s="9">
        <f>'NIPPON INDIA '!B235</f>
        <v>302.72699999999998</v>
      </c>
      <c r="G235" s="10">
        <f t="shared" si="14"/>
        <v>4.362266395675677E-4</v>
      </c>
      <c r="H235" s="9">
        <f>'NIFTY500 TRI'!B235</f>
        <v>36825.449999999997</v>
      </c>
      <c r="I235" s="10">
        <f t="shared" si="15"/>
        <v>1.2357259380097088E-3</v>
      </c>
    </row>
    <row r="236" spans="1:9" ht="14.25" customHeight="1" x14ac:dyDescent="0.3">
      <c r="A236" s="8">
        <f>'ICICI PRUDENTIAL MULTICAP FUND'!A236</f>
        <v>45910</v>
      </c>
      <c r="B236" s="9">
        <f>'ICICI PRUDENTIAL MULTICAP FUND'!B236</f>
        <v>791.16</v>
      </c>
      <c r="C236" s="10">
        <f t="shared" si="12"/>
        <v>4.9028324653880529E-3</v>
      </c>
      <c r="D236" s="9">
        <f>'QUANT ACTIVE FUND'!B236</f>
        <v>612.75800000000004</v>
      </c>
      <c r="E236" s="10">
        <f t="shared" si="13"/>
        <v>5.1293323338217163E-3</v>
      </c>
      <c r="F236" s="9">
        <f>'NIPPON INDIA '!B236</f>
        <v>302.59500000000003</v>
      </c>
      <c r="G236" s="10">
        <f t="shared" si="14"/>
        <v>4.6514870814159991E-3</v>
      </c>
      <c r="H236" s="9">
        <f>'NIFTY500 TRI'!B236</f>
        <v>36780</v>
      </c>
      <c r="I236" s="10">
        <f t="shared" si="15"/>
        <v>5.4586728601608812E-3</v>
      </c>
    </row>
    <row r="237" spans="1:9" ht="14.25" customHeight="1" x14ac:dyDescent="0.3">
      <c r="A237" s="8">
        <f>'ICICI PRUDENTIAL MULTICAP FUND'!A237</f>
        <v>45909</v>
      </c>
      <c r="B237" s="9">
        <f>'ICICI PRUDENTIAL MULTICAP FUND'!B237</f>
        <v>787.3</v>
      </c>
      <c r="C237" s="10">
        <f t="shared" si="12"/>
        <v>3.1983078275716957E-3</v>
      </c>
      <c r="D237" s="9">
        <f>'QUANT ACTIVE FUND'!B237</f>
        <v>609.63099999999997</v>
      </c>
      <c r="E237" s="10">
        <f t="shared" si="13"/>
        <v>2.5671386517998286E-3</v>
      </c>
      <c r="F237" s="9">
        <f>'NIPPON INDIA '!B237</f>
        <v>301.19400000000002</v>
      </c>
      <c r="G237" s="10">
        <f t="shared" si="14"/>
        <v>1.9924684691865506E-4</v>
      </c>
      <c r="H237" s="9">
        <f>'NIFTY500 TRI'!B237</f>
        <v>36580.32</v>
      </c>
      <c r="I237" s="10">
        <f t="shared" si="15"/>
        <v>3.0802355709761285E-3</v>
      </c>
    </row>
    <row r="238" spans="1:9" ht="14.25" customHeight="1" x14ac:dyDescent="0.3">
      <c r="A238" s="8">
        <f>'ICICI PRUDENTIAL MULTICAP FUND'!A238</f>
        <v>45908</v>
      </c>
      <c r="B238" s="9">
        <f>'ICICI PRUDENTIAL MULTICAP FUND'!B238</f>
        <v>784.79</v>
      </c>
      <c r="C238" s="10">
        <f t="shared" si="12"/>
        <v>1.531413111448502E-3</v>
      </c>
      <c r="D238" s="9">
        <f>'QUANT ACTIVE FUND'!B238</f>
        <v>608.07000000000005</v>
      </c>
      <c r="E238" s="10">
        <f t="shared" si="13"/>
        <v>3.1642228351964627E-3</v>
      </c>
      <c r="F238" s="9">
        <f>'NIPPON INDIA '!B238</f>
        <v>301.13400000000001</v>
      </c>
      <c r="G238" s="10">
        <f t="shared" si="14"/>
        <v>4.0644849373989095E-3</v>
      </c>
      <c r="H238" s="9">
        <f>'NIFTY500 TRI'!B238</f>
        <v>36467.99</v>
      </c>
      <c r="I238" s="10">
        <f t="shared" si="15"/>
        <v>2.1877863207980294E-3</v>
      </c>
    </row>
    <row r="239" spans="1:9" ht="14.25" customHeight="1" x14ac:dyDescent="0.3">
      <c r="A239" s="8">
        <f>'ICICI PRUDENTIAL MULTICAP FUND'!A239</f>
        <v>45905</v>
      </c>
      <c r="B239" s="9">
        <f>'ICICI PRUDENTIAL MULTICAP FUND'!B239</f>
        <v>783.59</v>
      </c>
      <c r="C239" s="10">
        <f t="shared" si="12"/>
        <v>-1.8216096405186493E-3</v>
      </c>
      <c r="D239" s="9">
        <f>'QUANT ACTIVE FUND'!B239</f>
        <v>606.15200000000004</v>
      </c>
      <c r="E239" s="10">
        <f t="shared" si="13"/>
        <v>-5.5236138614664896E-4</v>
      </c>
      <c r="F239" s="9">
        <f>'NIPPON INDIA '!B239</f>
        <v>299.91500000000002</v>
      </c>
      <c r="G239" s="10">
        <f t="shared" si="14"/>
        <v>9.7455802792185519E-4</v>
      </c>
      <c r="H239" s="9">
        <f>'NIFTY500 TRI'!B239</f>
        <v>36388.379999999997</v>
      </c>
      <c r="I239" s="10">
        <f t="shared" si="15"/>
        <v>4.1458982275445092E-4</v>
      </c>
    </row>
    <row r="240" spans="1:9" ht="14.25" customHeight="1" x14ac:dyDescent="0.3">
      <c r="A240" s="8">
        <f>'ICICI PRUDENTIAL MULTICAP FUND'!A240</f>
        <v>45904</v>
      </c>
      <c r="B240" s="9">
        <f>'ICICI PRUDENTIAL MULTICAP FUND'!B240</f>
        <v>785.02</v>
      </c>
      <c r="C240" s="10">
        <f t="shared" si="12"/>
        <v>-3.0099442461804246E-3</v>
      </c>
      <c r="D240" s="9">
        <f>'QUANT ACTIVE FUND'!B240</f>
        <v>606.48699999999997</v>
      </c>
      <c r="E240" s="10">
        <f t="shared" si="13"/>
        <v>-5.5454532038848696E-3</v>
      </c>
      <c r="F240" s="9">
        <f>'NIPPON INDIA '!B240</f>
        <v>299.62299999999999</v>
      </c>
      <c r="G240" s="10">
        <f t="shared" si="14"/>
        <v>-3.4325056958972324E-3</v>
      </c>
      <c r="H240" s="9">
        <f>'NIFTY500 TRI'!B240</f>
        <v>36373.300000000003</v>
      </c>
      <c r="I240" s="10">
        <f t="shared" si="15"/>
        <v>-1.8298583039837093E-3</v>
      </c>
    </row>
    <row r="241" spans="1:9" ht="14.25" customHeight="1" x14ac:dyDescent="0.3">
      <c r="A241" s="8">
        <f>'ICICI PRUDENTIAL MULTICAP FUND'!A241</f>
        <v>45903</v>
      </c>
      <c r="B241" s="9">
        <f>'ICICI PRUDENTIAL MULTICAP FUND'!B241</f>
        <v>787.39</v>
      </c>
      <c r="C241" s="10">
        <f t="shared" si="12"/>
        <v>5.3755203146148229E-3</v>
      </c>
      <c r="D241" s="9">
        <f>'QUANT ACTIVE FUND'!B241</f>
        <v>609.86900000000003</v>
      </c>
      <c r="E241" s="10">
        <f t="shared" si="13"/>
        <v>5.9728032092476683E-3</v>
      </c>
      <c r="F241" s="9">
        <f>'NIPPON INDIA '!B241</f>
        <v>300.65499999999997</v>
      </c>
      <c r="G241" s="10">
        <f t="shared" si="14"/>
        <v>6.2384743851052272E-3</v>
      </c>
      <c r="H241" s="9">
        <f>'NIFTY500 TRI'!B241</f>
        <v>36439.980000000003</v>
      </c>
      <c r="I241" s="10">
        <f t="shared" si="15"/>
        <v>6.1762245176895563E-3</v>
      </c>
    </row>
    <row r="242" spans="1:9" ht="14.25" customHeight="1" x14ac:dyDescent="0.3">
      <c r="A242" s="8">
        <f>'ICICI PRUDENTIAL MULTICAP FUND'!A242</f>
        <v>45902</v>
      </c>
      <c r="B242" s="9">
        <f>'ICICI PRUDENTIAL MULTICAP FUND'!B242</f>
        <v>783.18</v>
      </c>
      <c r="C242" s="10">
        <f t="shared" si="12"/>
        <v>1.7010935601457148E-3</v>
      </c>
      <c r="D242" s="9">
        <f>'QUANT ACTIVE FUND'!B242</f>
        <v>606.24800000000005</v>
      </c>
      <c r="E242" s="10">
        <f t="shared" si="13"/>
        <v>5.6198785787745639E-3</v>
      </c>
      <c r="F242" s="9">
        <f>'NIPPON INDIA '!B242</f>
        <v>298.791</v>
      </c>
      <c r="G242" s="10">
        <f t="shared" si="14"/>
        <v>6.3630061520221872E-4</v>
      </c>
      <c r="H242" s="9">
        <f>'NIFTY500 TRI'!B242</f>
        <v>36216.300000000003</v>
      </c>
      <c r="I242" s="10">
        <f t="shared" si="15"/>
        <v>4.8123035850848231E-4</v>
      </c>
    </row>
    <row r="243" spans="1:9" ht="14.25" customHeight="1" x14ac:dyDescent="0.3">
      <c r="A243" s="8">
        <f>'ICICI PRUDENTIAL MULTICAP FUND'!A243</f>
        <v>45901</v>
      </c>
      <c r="B243" s="9">
        <f>'ICICI PRUDENTIAL MULTICAP FUND'!B243</f>
        <v>781.85</v>
      </c>
      <c r="C243" s="10">
        <f t="shared" si="12"/>
        <v>9.2554345019880118E-3</v>
      </c>
      <c r="D243" s="9">
        <f>'QUANT ACTIVE FUND'!B243</f>
        <v>602.86</v>
      </c>
      <c r="E243" s="10">
        <f t="shared" si="13"/>
        <v>1.2588916043099618E-2</v>
      </c>
      <c r="F243" s="9">
        <f>'NIPPON INDIA '!B243</f>
        <v>298.601</v>
      </c>
      <c r="G243" s="10">
        <f t="shared" si="14"/>
        <v>9.2065283884857196E-3</v>
      </c>
      <c r="H243" s="9">
        <f>'NIFTY500 TRI'!B243</f>
        <v>36198.879999999997</v>
      </c>
      <c r="I243" s="10">
        <f t="shared" si="15"/>
        <v>1.1159411140639867E-2</v>
      </c>
    </row>
    <row r="244" spans="1:9" ht="14.25" customHeight="1" x14ac:dyDescent="0.3">
      <c r="A244" s="8">
        <f>'ICICI PRUDENTIAL MULTICAP FUND'!A244</f>
        <v>45898</v>
      </c>
      <c r="B244" s="9">
        <f>'ICICI PRUDENTIAL MULTICAP FUND'!B244</f>
        <v>774.68</v>
      </c>
      <c r="C244" s="10">
        <f t="shared" si="12"/>
        <v>-3.6013788136030097E-3</v>
      </c>
      <c r="D244" s="9">
        <f>'QUANT ACTIVE FUND'!B244</f>
        <v>595.36500000000001</v>
      </c>
      <c r="E244" s="10">
        <f t="shared" si="13"/>
        <v>-4.1648894798906244E-3</v>
      </c>
      <c r="F244" s="9">
        <f>'NIPPON INDIA '!B244</f>
        <v>295.87700000000001</v>
      </c>
      <c r="G244" s="10">
        <f t="shared" si="14"/>
        <v>-9.9604283997142156E-4</v>
      </c>
      <c r="H244" s="9">
        <f>'NIFTY500 TRI'!B244</f>
        <v>35799.379999999997</v>
      </c>
      <c r="I244" s="10">
        <f t="shared" si="15"/>
        <v>-3.4828598867069163E-3</v>
      </c>
    </row>
    <row r="245" spans="1:9" ht="14.25" customHeight="1" x14ac:dyDescent="0.3">
      <c r="A245" s="8">
        <f>'ICICI PRUDENTIAL MULTICAP FUND'!A245</f>
        <v>45897</v>
      </c>
      <c r="B245" s="9">
        <f>'ICICI PRUDENTIAL MULTICAP FUND'!B245</f>
        <v>777.48</v>
      </c>
      <c r="C245" s="10">
        <f t="shared" si="12"/>
        <v>-9.4786729857819149E-3</v>
      </c>
      <c r="D245" s="9">
        <f>'QUANT ACTIVE FUND'!B245</f>
        <v>597.85500000000002</v>
      </c>
      <c r="E245" s="10">
        <f t="shared" si="13"/>
        <v>-8.6885150763975974E-3</v>
      </c>
      <c r="F245" s="9">
        <f>'NIPPON INDIA '!B245</f>
        <v>296.17200000000003</v>
      </c>
      <c r="G245" s="10">
        <f t="shared" si="14"/>
        <v>-9.1698922428933675E-3</v>
      </c>
      <c r="H245" s="9">
        <f>'NIFTY500 TRI'!B245</f>
        <v>35924.5</v>
      </c>
      <c r="I245" s="10">
        <f t="shared" si="15"/>
        <v>-9.9647027179569064E-3</v>
      </c>
    </row>
    <row r="246" spans="1:9" ht="14.25" customHeight="1" x14ac:dyDescent="0.3">
      <c r="A246" s="8">
        <f>'ICICI PRUDENTIAL MULTICAP FUND'!A246</f>
        <v>45895</v>
      </c>
      <c r="B246" s="9">
        <f>'ICICI PRUDENTIAL MULTICAP FUND'!B246</f>
        <v>784.92</v>
      </c>
      <c r="C246" s="10">
        <f t="shared" si="12"/>
        <v>-1.4055846553868252E-2</v>
      </c>
      <c r="D246" s="9">
        <f>'QUANT ACTIVE FUND'!B246</f>
        <v>603.09500000000003</v>
      </c>
      <c r="E246" s="10">
        <f t="shared" si="13"/>
        <v>-1.71923506261763E-2</v>
      </c>
      <c r="F246" s="9">
        <f>'NIPPON INDIA '!B246</f>
        <v>298.91300000000001</v>
      </c>
      <c r="G246" s="10">
        <f t="shared" si="14"/>
        <v>-1.0614987422216317E-2</v>
      </c>
      <c r="H246" s="9">
        <f>'NIFTY500 TRI'!B246</f>
        <v>36286.080000000002</v>
      </c>
      <c r="I246" s="10">
        <f t="shared" si="15"/>
        <v>-1.2288254623610823E-2</v>
      </c>
    </row>
    <row r="247" spans="1:9" ht="14.25" customHeight="1" x14ac:dyDescent="0.3">
      <c r="A247" s="8">
        <f>'ICICI PRUDENTIAL MULTICAP FUND'!A247</f>
        <v>45894</v>
      </c>
      <c r="B247" s="9">
        <f>'ICICI PRUDENTIAL MULTICAP FUND'!B247</f>
        <v>796.11</v>
      </c>
      <c r="C247" s="10">
        <f t="shared" si="12"/>
        <v>1.988597032207772E-3</v>
      </c>
      <c r="D247" s="9">
        <f>'QUANT ACTIVE FUND'!B247</f>
        <v>613.64499999999998</v>
      </c>
      <c r="E247" s="10">
        <f t="shared" si="13"/>
        <v>1.6943978766158581E-3</v>
      </c>
      <c r="F247" s="9">
        <f>'NIPPON INDIA '!B247</f>
        <v>302.12</v>
      </c>
      <c r="G247" s="10">
        <f t="shared" si="14"/>
        <v>1.3257324671880459E-3</v>
      </c>
      <c r="H247" s="9">
        <f>'NIFTY500 TRI'!B247</f>
        <v>36737.519999999997</v>
      </c>
      <c r="I247" s="10">
        <f t="shared" si="15"/>
        <v>2.6875696831657448E-3</v>
      </c>
    </row>
    <row r="248" spans="1:9" ht="14.25" customHeight="1" x14ac:dyDescent="0.3">
      <c r="A248" s="8">
        <f>'ICICI PRUDENTIAL MULTICAP FUND'!A248</f>
        <v>45891</v>
      </c>
      <c r="B248" s="9">
        <f>'ICICI PRUDENTIAL MULTICAP FUND'!B248</f>
        <v>794.53</v>
      </c>
      <c r="C248" s="10">
        <f t="shared" si="12"/>
        <v>-4.7350026931893283E-3</v>
      </c>
      <c r="D248" s="9">
        <f>'QUANT ACTIVE FUND'!B248</f>
        <v>612.60699999999997</v>
      </c>
      <c r="E248" s="10">
        <f t="shared" si="13"/>
        <v>-4.7147970216520696E-3</v>
      </c>
      <c r="F248" s="9">
        <f>'NIPPON INDIA '!B248</f>
        <v>301.72000000000003</v>
      </c>
      <c r="G248" s="10">
        <f t="shared" si="14"/>
        <v>-4.9895624816559438E-3</v>
      </c>
      <c r="H248" s="9">
        <f>'NIFTY500 TRI'!B248</f>
        <v>36639.050000000003</v>
      </c>
      <c r="I248" s="10">
        <f t="shared" si="15"/>
        <v>-6.2393728730487687E-3</v>
      </c>
    </row>
    <row r="249" spans="1:9" ht="14.25" customHeight="1" x14ac:dyDescent="0.3">
      <c r="A249" s="8">
        <f>'ICICI PRUDENTIAL MULTICAP FUND'!A249</f>
        <v>45890</v>
      </c>
      <c r="B249" s="9">
        <f>'ICICI PRUDENTIAL MULTICAP FUND'!B249</f>
        <v>798.31</v>
      </c>
      <c r="C249" s="10">
        <f t="shared" si="12"/>
        <v>3.1325965466255673E-4</v>
      </c>
      <c r="D249" s="9">
        <f>'QUANT ACTIVE FUND'!B249</f>
        <v>615.50900000000001</v>
      </c>
      <c r="E249" s="10">
        <f t="shared" si="13"/>
        <v>-4.5461896752491187E-3</v>
      </c>
      <c r="F249" s="9">
        <f>'NIPPON INDIA '!B249</f>
        <v>303.233</v>
      </c>
      <c r="G249" s="10">
        <f t="shared" si="14"/>
        <v>2.5729412346829638E-4</v>
      </c>
      <c r="H249" s="9">
        <f>'NIFTY500 TRI'!B249</f>
        <v>36869.089999999997</v>
      </c>
      <c r="I249" s="10">
        <f t="shared" si="15"/>
        <v>-1.7843743584867059E-4</v>
      </c>
    </row>
    <row r="250" spans="1:9" ht="14.25" customHeight="1" x14ac:dyDescent="0.3">
      <c r="A250" s="8">
        <f>'ICICI PRUDENTIAL MULTICAP FUND'!A250</f>
        <v>45889</v>
      </c>
      <c r="B250" s="9">
        <f>'ICICI PRUDENTIAL MULTICAP FUND'!B250</f>
        <v>798.06</v>
      </c>
      <c r="C250" s="10">
        <f t="shared" si="12"/>
        <v>2.7895054282266706E-3</v>
      </c>
      <c r="D250" s="9">
        <f>'QUANT ACTIVE FUND'!B250</f>
        <v>618.32000000000005</v>
      </c>
      <c r="E250" s="10">
        <f t="shared" si="13"/>
        <v>4.1281111049761929E-3</v>
      </c>
      <c r="F250" s="9">
        <f>'NIPPON INDIA '!B250</f>
        <v>303.15499999999997</v>
      </c>
      <c r="G250" s="10">
        <f t="shared" si="14"/>
        <v>2.5994728295557564E-3</v>
      </c>
      <c r="H250" s="9">
        <f>'NIFTY500 TRI'!B250</f>
        <v>36875.67</v>
      </c>
      <c r="I250" s="10">
        <f t="shared" si="15"/>
        <v>3.3193964031347075E-3</v>
      </c>
    </row>
    <row r="251" spans="1:9" ht="14.25" customHeight="1" x14ac:dyDescent="0.3">
      <c r="A251" s="8">
        <f>'ICICI PRUDENTIAL MULTICAP FUND'!A251</f>
        <v>45888</v>
      </c>
      <c r="B251" s="9">
        <f>'ICICI PRUDENTIAL MULTICAP FUND'!B251</f>
        <v>795.84</v>
      </c>
      <c r="C251" s="10">
        <f t="shared" si="12"/>
        <v>6.5387582683041892E-3</v>
      </c>
      <c r="D251" s="9">
        <f>'QUANT ACTIVE FUND'!B251</f>
        <v>615.77800000000002</v>
      </c>
      <c r="E251" s="10">
        <f t="shared" si="13"/>
        <v>1.3186039317893146E-2</v>
      </c>
      <c r="F251" s="9">
        <f>'NIPPON INDIA '!B251</f>
        <v>302.36900000000003</v>
      </c>
      <c r="G251" s="10">
        <f t="shared" si="14"/>
        <v>7.839555758507125E-3</v>
      </c>
      <c r="H251" s="9">
        <f>'NIFTY500 TRI'!B251</f>
        <v>36753.67</v>
      </c>
      <c r="I251" s="10">
        <f t="shared" si="15"/>
        <v>5.9287764064147302E-3</v>
      </c>
    </row>
    <row r="252" spans="1:9" ht="14.25" customHeight="1" x14ac:dyDescent="0.3">
      <c r="A252" s="8">
        <f>'ICICI PRUDENTIAL MULTICAP FUND'!A252</f>
        <v>45887</v>
      </c>
      <c r="B252" s="9">
        <f>'ICICI PRUDENTIAL MULTICAP FUND'!B252</f>
        <v>790.67</v>
      </c>
      <c r="C252" s="10">
        <f t="shared" si="12"/>
        <v>1.0854279066199608E-2</v>
      </c>
      <c r="D252" s="9">
        <f>'QUANT ACTIVE FUND'!B252</f>
        <v>607.76400000000001</v>
      </c>
      <c r="E252" s="10">
        <f t="shared" si="13"/>
        <v>9.4741387901539128E-3</v>
      </c>
      <c r="F252" s="9">
        <f>'NIPPON INDIA '!B252</f>
        <v>300.017</v>
      </c>
      <c r="G252" s="10">
        <f t="shared" si="14"/>
        <v>9.5090362763341485E-3</v>
      </c>
      <c r="H252" s="9">
        <f>'NIFTY500 TRI'!B252</f>
        <v>36537.050000000003</v>
      </c>
      <c r="I252" s="10">
        <f t="shared" si="15"/>
        <v>1.1108143896678252E-2</v>
      </c>
    </row>
    <row r="253" spans="1:9" ht="14.25" customHeight="1" x14ac:dyDescent="0.3">
      <c r="A253" s="8">
        <f>'ICICI PRUDENTIAL MULTICAP FUND'!A253</f>
        <v>45883</v>
      </c>
      <c r="B253" s="9">
        <f>'ICICI PRUDENTIAL MULTICAP FUND'!B253</f>
        <v>782.18</v>
      </c>
      <c r="C253" s="10">
        <f t="shared" si="12"/>
        <v>2.1524663677129404E-3</v>
      </c>
      <c r="D253" s="9">
        <f>'QUANT ACTIVE FUND'!B253</f>
        <v>602.05999999999995</v>
      </c>
      <c r="E253" s="10">
        <f t="shared" si="13"/>
        <v>7.3801228690719659E-4</v>
      </c>
      <c r="F253" s="9">
        <f>'NIPPON INDIA '!B253</f>
        <v>297.19099999999997</v>
      </c>
      <c r="G253" s="10">
        <f t="shared" si="14"/>
        <v>7.6388935979764764E-3</v>
      </c>
      <c r="H253" s="9">
        <f>'NIFTY500 TRI'!B253</f>
        <v>36135.65</v>
      </c>
      <c r="I253" s="10">
        <f t="shared" si="15"/>
        <v>5.2910715289219371E-3</v>
      </c>
    </row>
    <row r="254" spans="1:9" ht="14.25" customHeight="1" x14ac:dyDescent="0.3">
      <c r="A254" s="8">
        <f>'ICICI PRUDENTIAL MULTICAP FUND'!A254</f>
        <v>45881</v>
      </c>
      <c r="B254" s="9">
        <f>'ICICI PRUDENTIAL MULTICAP FUND'!B254</f>
        <v>780.5</v>
      </c>
      <c r="C254" s="10">
        <f t="shared" si="12"/>
        <v>7.6932940120531194E-4</v>
      </c>
      <c r="D254" s="9">
        <f>'QUANT ACTIVE FUND'!B254</f>
        <v>601.61599999999999</v>
      </c>
      <c r="E254" s="10">
        <f t="shared" si="13"/>
        <v>-5.5486336074434754E-4</v>
      </c>
      <c r="F254" s="9">
        <f>'NIPPON INDIA '!B254</f>
        <v>294.93799999999999</v>
      </c>
      <c r="G254" s="10">
        <f t="shared" si="14"/>
        <v>-1.1649880453261428E-3</v>
      </c>
      <c r="H254" s="9">
        <f>'NIFTY500 TRI'!B254</f>
        <v>35945.46</v>
      </c>
      <c r="I254" s="10">
        <f t="shared" si="15"/>
        <v>-2.4286091321365413E-3</v>
      </c>
    </row>
    <row r="255" spans="1:9" ht="14.25" customHeight="1" x14ac:dyDescent="0.3">
      <c r="A255" s="8">
        <f>'ICICI PRUDENTIAL MULTICAP FUND'!A255</f>
        <v>45880</v>
      </c>
      <c r="B255" s="9">
        <f>'ICICI PRUDENTIAL MULTICAP FUND'!B255</f>
        <v>779.9</v>
      </c>
      <c r="C255" s="10">
        <f t="shared" si="12"/>
        <v>4.7020933977455423E-3</v>
      </c>
      <c r="D255" s="9">
        <f>'QUANT ACTIVE FUND'!B255</f>
        <v>601.95000000000005</v>
      </c>
      <c r="E255" s="10">
        <f t="shared" si="13"/>
        <v>7.6821218660074152E-3</v>
      </c>
      <c r="F255" s="9">
        <f>'NIPPON INDIA '!B255</f>
        <v>295.28199999999998</v>
      </c>
      <c r="G255" s="10">
        <f t="shared" si="14"/>
        <v>6.1401117623005449E-3</v>
      </c>
      <c r="H255" s="9">
        <f>'NIFTY500 TRI'!B255</f>
        <v>36032.97</v>
      </c>
      <c r="I255" s="10">
        <f t="shared" si="15"/>
        <v>8.49664659822073E-3</v>
      </c>
    </row>
    <row r="256" spans="1:9" ht="14.25" customHeight="1" x14ac:dyDescent="0.3">
      <c r="A256" s="8">
        <f>'ICICI PRUDENTIAL MULTICAP FUND'!A256</f>
        <v>45877</v>
      </c>
      <c r="B256" s="9">
        <f>'ICICI PRUDENTIAL MULTICAP FUND'!B256</f>
        <v>776.25</v>
      </c>
      <c r="C256" s="10">
        <f t="shared" si="12"/>
        <v>-7.5052421623280369E-3</v>
      </c>
      <c r="D256" s="9">
        <f>'QUANT ACTIVE FUND'!B256</f>
        <v>597.36099999999999</v>
      </c>
      <c r="E256" s="10">
        <f t="shared" si="13"/>
        <v>-8.5228781601869412E-3</v>
      </c>
      <c r="F256" s="9">
        <f>'NIPPON INDIA '!B256</f>
        <v>293.48</v>
      </c>
      <c r="G256" s="10">
        <f t="shared" si="14"/>
        <v>-8.1683829170284706E-3</v>
      </c>
      <c r="H256" s="9">
        <f>'NIFTY500 TRI'!B256</f>
        <v>35729.39</v>
      </c>
      <c r="I256" s="10">
        <f t="shared" si="15"/>
        <v>-1.0990839122028256E-2</v>
      </c>
    </row>
    <row r="257" spans="1:9" ht="14.25" customHeight="1" x14ac:dyDescent="0.3">
      <c r="A257" s="8">
        <f>'ICICI PRUDENTIAL MULTICAP FUND'!A257</f>
        <v>45876</v>
      </c>
      <c r="B257" s="9">
        <f>'ICICI PRUDENTIAL MULTICAP FUND'!B257</f>
        <v>782.12</v>
      </c>
      <c r="C257" s="10">
        <f t="shared" si="12"/>
        <v>1.2033078163804175E-3</v>
      </c>
      <c r="D257" s="9">
        <f>'QUANT ACTIVE FUND'!B257</f>
        <v>602.49599999999998</v>
      </c>
      <c r="E257" s="10">
        <f t="shared" si="13"/>
        <v>6.639489024918603E-5</v>
      </c>
      <c r="F257" s="9">
        <f>'NIPPON INDIA '!B257</f>
        <v>295.89699999999999</v>
      </c>
      <c r="G257" s="10">
        <f t="shared" si="14"/>
        <v>1.194407600898711E-3</v>
      </c>
      <c r="H257" s="9">
        <f>'NIFTY500 TRI'!B257</f>
        <v>36126.449999999997</v>
      </c>
      <c r="I257" s="10">
        <f t="shared" si="15"/>
        <v>1.2391309288299049E-3</v>
      </c>
    </row>
    <row r="258" spans="1:9" ht="14.25" customHeight="1" x14ac:dyDescent="0.3">
      <c r="A258" s="8">
        <f>'ICICI PRUDENTIAL MULTICAP FUND'!A258</f>
        <v>45875</v>
      </c>
      <c r="B258" s="9">
        <f>'ICICI PRUDENTIAL MULTICAP FUND'!B258</f>
        <v>781.18</v>
      </c>
      <c r="C258" s="10">
        <f t="shared" ref="C258:C321" si="16">(B258-B259)/B259</f>
        <v>-5.9299602972616326E-3</v>
      </c>
      <c r="D258" s="9">
        <f>'QUANT ACTIVE FUND'!B258</f>
        <v>602.45600000000002</v>
      </c>
      <c r="E258" s="10">
        <f t="shared" ref="E258:E321" si="17">(D258-D259)/D259</f>
        <v>-1.1034541628226856E-2</v>
      </c>
      <c r="F258" s="9">
        <f>'NIPPON INDIA '!B258</f>
        <v>295.54399999999998</v>
      </c>
      <c r="G258" s="10">
        <f t="shared" ref="G258:G321" si="18">(F258-F259)/F259</f>
        <v>-6.8618819433710924E-3</v>
      </c>
      <c r="H258" s="9">
        <f>'NIFTY500 TRI'!B258</f>
        <v>36081.74</v>
      </c>
      <c r="I258" s="10">
        <f t="shared" ref="I258:I321" si="19">(H258-H259)/H259</f>
        <v>-5.7015087917321088E-3</v>
      </c>
    </row>
    <row r="259" spans="1:9" ht="14.25" customHeight="1" x14ac:dyDescent="0.3">
      <c r="A259" s="8">
        <f>'ICICI PRUDENTIAL MULTICAP FUND'!A259</f>
        <v>45874</v>
      </c>
      <c r="B259" s="9">
        <f>'ICICI PRUDENTIAL MULTICAP FUND'!B259</f>
        <v>785.84</v>
      </c>
      <c r="C259" s="10">
        <f t="shared" si="16"/>
        <v>1.4144992545206804E-3</v>
      </c>
      <c r="D259" s="9">
        <f>'QUANT ACTIVE FUND'!B259</f>
        <v>609.178</v>
      </c>
      <c r="E259" s="10">
        <f t="shared" si="17"/>
        <v>3.0362205969039296E-3</v>
      </c>
      <c r="F259" s="9">
        <f>'NIPPON INDIA '!B259</f>
        <v>297.58600000000001</v>
      </c>
      <c r="G259" s="10">
        <f t="shared" si="18"/>
        <v>1.7639415340905296E-3</v>
      </c>
      <c r="H259" s="9">
        <f>'NIFTY500 TRI'!B259</f>
        <v>36288.639999999999</v>
      </c>
      <c r="I259" s="10">
        <f t="shared" si="19"/>
        <v>5.6018194066533335E-3</v>
      </c>
    </row>
    <row r="260" spans="1:9" ht="14.25" customHeight="1" x14ac:dyDescent="0.3">
      <c r="A260" s="8">
        <f>'ICICI PRUDENTIAL MULTICAP FUND'!A260</f>
        <v>45870</v>
      </c>
      <c r="B260" s="9">
        <f>'ICICI PRUDENTIAL MULTICAP FUND'!B260</f>
        <v>784.73</v>
      </c>
      <c r="C260" s="10">
        <f t="shared" si="16"/>
        <v>-1.1338868380935582E-2</v>
      </c>
      <c r="D260" s="9">
        <f>'QUANT ACTIVE FUND'!B260</f>
        <v>607.33399999999995</v>
      </c>
      <c r="E260" s="10">
        <f t="shared" si="17"/>
        <v>-1.6625593829035574E-2</v>
      </c>
      <c r="F260" s="9">
        <f>'NIPPON INDIA '!B260</f>
        <v>297.06200000000001</v>
      </c>
      <c r="G260" s="10">
        <f t="shared" si="18"/>
        <v>-7.6432269918156361E-3</v>
      </c>
      <c r="H260" s="9">
        <f>'NIFTY500 TRI'!B260</f>
        <v>36086.49</v>
      </c>
      <c r="I260" s="10">
        <f t="shared" si="19"/>
        <v>-1.029079546735469E-2</v>
      </c>
    </row>
    <row r="261" spans="1:9" ht="14.25" customHeight="1" x14ac:dyDescent="0.3">
      <c r="A261" s="8">
        <f>'ICICI PRUDENTIAL MULTICAP FUND'!A261</f>
        <v>45869</v>
      </c>
      <c r="B261" s="9">
        <f>'ICICI PRUDENTIAL MULTICAP FUND'!B261</f>
        <v>793.73</v>
      </c>
      <c r="C261" s="10">
        <f t="shared" si="16"/>
        <v>-6.5833114306812239E-3</v>
      </c>
      <c r="D261" s="9">
        <f>'QUANT ACTIVE FUND'!B261</f>
        <v>617.60199999999998</v>
      </c>
      <c r="E261" s="10">
        <f t="shared" si="17"/>
        <v>-9.0001620638917434E-3</v>
      </c>
      <c r="F261" s="9">
        <f>'NIPPON INDIA '!B261</f>
        <v>299.35000000000002</v>
      </c>
      <c r="G261" s="10">
        <f t="shared" si="18"/>
        <v>-3.9197678752062939E-3</v>
      </c>
      <c r="H261" s="9">
        <f>'NIFTY500 TRI'!B261</f>
        <v>36461.71</v>
      </c>
      <c r="I261" s="10">
        <f t="shared" si="19"/>
        <v>-5.0742652943556611E-3</v>
      </c>
    </row>
    <row r="262" spans="1:9" ht="14.25" customHeight="1" x14ac:dyDescent="0.3">
      <c r="A262" s="8">
        <f>'ICICI PRUDENTIAL MULTICAP FUND'!A262</f>
        <v>45868</v>
      </c>
      <c r="B262" s="9">
        <f>'ICICI PRUDENTIAL MULTICAP FUND'!B262</f>
        <v>798.99</v>
      </c>
      <c r="C262" s="10">
        <f t="shared" si="16"/>
        <v>3.6175905339714304E-3</v>
      </c>
      <c r="D262" s="9">
        <f>'QUANT ACTIVE FUND'!B262</f>
        <v>623.21100000000001</v>
      </c>
      <c r="E262" s="10">
        <f t="shared" si="17"/>
        <v>-2.3742337882347821E-4</v>
      </c>
      <c r="F262" s="9">
        <f>'NIPPON INDIA '!B262</f>
        <v>300.52800000000002</v>
      </c>
      <c r="G262" s="10">
        <f t="shared" si="18"/>
        <v>4.7239356100496829E-3</v>
      </c>
      <c r="H262" s="9">
        <f>'NIFTY500 TRI'!B262</f>
        <v>36647.67</v>
      </c>
      <c r="I262" s="10">
        <f t="shared" si="19"/>
        <v>1.1454487738808256E-3</v>
      </c>
    </row>
    <row r="263" spans="1:9" ht="14.25" customHeight="1" x14ac:dyDescent="0.3">
      <c r="A263" s="8">
        <f>'ICICI PRUDENTIAL MULTICAP FUND'!A263</f>
        <v>45867</v>
      </c>
      <c r="B263" s="9">
        <f>'ICICI PRUDENTIAL MULTICAP FUND'!B263</f>
        <v>796.11</v>
      </c>
      <c r="C263" s="10">
        <f t="shared" si="16"/>
        <v>6.8929754888321726E-3</v>
      </c>
      <c r="D263" s="9">
        <f>'QUANT ACTIVE FUND'!B263</f>
        <v>623.35900000000004</v>
      </c>
      <c r="E263" s="10">
        <f t="shared" si="17"/>
        <v>1.1849514413392334E-2</v>
      </c>
      <c r="F263" s="9">
        <f>'NIPPON INDIA '!B263</f>
        <v>299.11500000000001</v>
      </c>
      <c r="G263" s="10">
        <f t="shared" si="18"/>
        <v>5.9492981240709657E-3</v>
      </c>
      <c r="H263" s="9">
        <f>'NIFTY500 TRI'!B263</f>
        <v>36605.74</v>
      </c>
      <c r="I263" s="10">
        <f t="shared" si="19"/>
        <v>7.0543272886534952E-3</v>
      </c>
    </row>
    <row r="264" spans="1:9" ht="14.25" customHeight="1" x14ac:dyDescent="0.3">
      <c r="A264" s="8">
        <f>'ICICI PRUDENTIAL MULTICAP FUND'!A264</f>
        <v>45866</v>
      </c>
      <c r="B264" s="9">
        <f>'ICICI PRUDENTIAL MULTICAP FUND'!B264</f>
        <v>790.66</v>
      </c>
      <c r="C264" s="10">
        <f t="shared" si="16"/>
        <v>-4.4698505433072716E-3</v>
      </c>
      <c r="D264" s="9">
        <f>'QUANT ACTIVE FUND'!B264</f>
        <v>616.05899999999997</v>
      </c>
      <c r="E264" s="10">
        <f t="shared" si="17"/>
        <v>-7.2211299835626954E-3</v>
      </c>
      <c r="F264" s="9">
        <f>'NIPPON INDIA '!B264</f>
        <v>297.346</v>
      </c>
      <c r="G264" s="10">
        <f t="shared" si="18"/>
        <v>-5.8243727598566927E-3</v>
      </c>
      <c r="H264" s="9">
        <f>'NIFTY500 TRI'!B264</f>
        <v>36349.32</v>
      </c>
      <c r="I264" s="10">
        <f t="shared" si="19"/>
        <v>-7.1915093757289944E-3</v>
      </c>
    </row>
    <row r="265" spans="1:9" ht="14.25" customHeight="1" x14ac:dyDescent="0.3">
      <c r="A265" s="8">
        <f>'ICICI PRUDENTIAL MULTICAP FUND'!A265</f>
        <v>45863</v>
      </c>
      <c r="B265" s="9">
        <f>'ICICI PRUDENTIAL MULTICAP FUND'!B265</f>
        <v>794.21</v>
      </c>
      <c r="C265" s="10">
        <f t="shared" si="16"/>
        <v>-8.3778654547269679E-3</v>
      </c>
      <c r="D265" s="9">
        <f>'QUANT ACTIVE FUND'!B265</f>
        <v>620.54</v>
      </c>
      <c r="E265" s="10">
        <f t="shared" si="17"/>
        <v>-1.8514945132116323E-2</v>
      </c>
      <c r="F265" s="9">
        <f>'NIPPON INDIA '!B265</f>
        <v>299.08800000000002</v>
      </c>
      <c r="G265" s="10">
        <f t="shared" si="18"/>
        <v>-1.3343977725948543E-2</v>
      </c>
      <c r="H265" s="9">
        <f>'NIFTY500 TRI'!B265</f>
        <v>36612.620000000003</v>
      </c>
      <c r="I265" s="10">
        <f t="shared" si="19"/>
        <v>-1.192727052904119E-2</v>
      </c>
    </row>
    <row r="266" spans="1:9" ht="14.25" customHeight="1" x14ac:dyDescent="0.3">
      <c r="A266" s="8">
        <f>'ICICI PRUDENTIAL MULTICAP FUND'!A266</f>
        <v>45862</v>
      </c>
      <c r="B266" s="9">
        <f>'ICICI PRUDENTIAL MULTICAP FUND'!B266</f>
        <v>800.92</v>
      </c>
      <c r="C266" s="10">
        <f t="shared" si="16"/>
        <v>-6.0684280413496813E-3</v>
      </c>
      <c r="D266" s="9">
        <f>'QUANT ACTIVE FUND'!B266</f>
        <v>632.24599999999998</v>
      </c>
      <c r="E266" s="10">
        <f t="shared" si="17"/>
        <v>-5.4396385739274413E-3</v>
      </c>
      <c r="F266" s="9">
        <f>'NIPPON INDIA '!B266</f>
        <v>303.13299999999998</v>
      </c>
      <c r="G266" s="10">
        <f t="shared" si="18"/>
        <v>-3.5337663703783116E-3</v>
      </c>
      <c r="H266" s="9">
        <f>'NIFTY500 TRI'!B266</f>
        <v>37054.58</v>
      </c>
      <c r="I266" s="10">
        <f t="shared" si="19"/>
        <v>-5.3775447645571786E-3</v>
      </c>
    </row>
    <row r="267" spans="1:9" ht="14.25" customHeight="1" x14ac:dyDescent="0.3">
      <c r="A267" s="8">
        <f>'ICICI PRUDENTIAL MULTICAP FUND'!A267</f>
        <v>45861</v>
      </c>
      <c r="B267" s="9">
        <f>'ICICI PRUDENTIAL MULTICAP FUND'!B267</f>
        <v>805.81</v>
      </c>
      <c r="C267" s="10">
        <f t="shared" si="16"/>
        <v>3.1620750183623983E-3</v>
      </c>
      <c r="D267" s="9">
        <f>'QUANT ACTIVE FUND'!B267</f>
        <v>635.70399999999995</v>
      </c>
      <c r="E267" s="10">
        <f t="shared" si="17"/>
        <v>5.5886777470018417E-3</v>
      </c>
      <c r="F267" s="9">
        <f>'NIPPON INDIA '!B267</f>
        <v>304.20800000000003</v>
      </c>
      <c r="G267" s="10">
        <f t="shared" si="18"/>
        <v>3.9139072410585224E-3</v>
      </c>
      <c r="H267" s="9">
        <f>'NIFTY500 TRI'!B267</f>
        <v>37254.92</v>
      </c>
      <c r="I267" s="10">
        <f t="shared" si="19"/>
        <v>4.6320228998884072E-3</v>
      </c>
    </row>
    <row r="268" spans="1:9" ht="14.25" customHeight="1" x14ac:dyDescent="0.3">
      <c r="A268" s="8">
        <f>'ICICI PRUDENTIAL MULTICAP FUND'!A268</f>
        <v>45860</v>
      </c>
      <c r="B268" s="9">
        <f>'ICICI PRUDENTIAL MULTICAP FUND'!B268</f>
        <v>803.27</v>
      </c>
      <c r="C268" s="10">
        <f t="shared" si="16"/>
        <v>-2.1614638327474307E-3</v>
      </c>
      <c r="D268" s="9">
        <f>'QUANT ACTIVE FUND'!B268</f>
        <v>632.17100000000005</v>
      </c>
      <c r="E268" s="10">
        <f t="shared" si="17"/>
        <v>-5.9719892007314848E-3</v>
      </c>
      <c r="F268" s="9">
        <f>'NIPPON INDIA '!B268</f>
        <v>303.02199999999999</v>
      </c>
      <c r="G268" s="10">
        <f t="shared" si="18"/>
        <v>1.3647974779336072E-3</v>
      </c>
      <c r="H268" s="9">
        <f>'NIFTY500 TRI'!B268</f>
        <v>37083.15</v>
      </c>
      <c r="I268" s="10">
        <f t="shared" si="19"/>
        <v>-2.4621597280729472E-3</v>
      </c>
    </row>
    <row r="269" spans="1:9" ht="14.25" customHeight="1" x14ac:dyDescent="0.3">
      <c r="A269" s="8">
        <f>'ICICI PRUDENTIAL MULTICAP FUND'!A269</f>
        <v>45859</v>
      </c>
      <c r="B269" s="9">
        <f>'ICICI PRUDENTIAL MULTICAP FUND'!B269</f>
        <v>805.01</v>
      </c>
      <c r="C269" s="10">
        <f t="shared" si="16"/>
        <v>1.6424243178339113E-3</v>
      </c>
      <c r="D269" s="9">
        <f>'QUANT ACTIVE FUND'!B269</f>
        <v>635.96900000000005</v>
      </c>
      <c r="E269" s="10">
        <f t="shared" si="17"/>
        <v>1.5512201882252365E-3</v>
      </c>
      <c r="F269" s="9">
        <f>'NIPPON INDIA '!B269</f>
        <v>302.60899999999998</v>
      </c>
      <c r="G269" s="10">
        <f t="shared" si="18"/>
        <v>4.044593383987505E-3</v>
      </c>
      <c r="H269" s="9">
        <f>'NIFTY500 TRI'!B269</f>
        <v>37174.68</v>
      </c>
      <c r="I269" s="10">
        <f t="shared" si="19"/>
        <v>4.4420090850434378E-3</v>
      </c>
    </row>
    <row r="270" spans="1:9" ht="14.25" customHeight="1" x14ac:dyDescent="0.3">
      <c r="A270" s="8">
        <f>'ICICI PRUDENTIAL MULTICAP FUND'!A270</f>
        <v>45856</v>
      </c>
      <c r="B270" s="9">
        <f>'ICICI PRUDENTIAL MULTICAP FUND'!B270</f>
        <v>803.69</v>
      </c>
      <c r="C270" s="10">
        <f t="shared" si="16"/>
        <v>-5.420322496813389E-3</v>
      </c>
      <c r="D270" s="9">
        <f>'QUANT ACTIVE FUND'!B270</f>
        <v>634.98400000000004</v>
      </c>
      <c r="E270" s="10">
        <f t="shared" si="17"/>
        <v>-6.2148351605355676E-3</v>
      </c>
      <c r="F270" s="9">
        <f>'NIPPON INDIA '!B270</f>
        <v>301.39</v>
      </c>
      <c r="G270" s="10">
        <f t="shared" si="18"/>
        <v>-6.1106109621656846E-3</v>
      </c>
      <c r="H270" s="9">
        <f>'NIFTY500 TRI'!B270</f>
        <v>37010.28</v>
      </c>
      <c r="I270" s="10">
        <f t="shared" si="19"/>
        <v>-5.7863281476658443E-3</v>
      </c>
    </row>
    <row r="271" spans="1:9" ht="14.25" customHeight="1" x14ac:dyDescent="0.3">
      <c r="A271" s="8">
        <f>'ICICI PRUDENTIAL MULTICAP FUND'!A271</f>
        <v>45855</v>
      </c>
      <c r="B271" s="9">
        <f>'ICICI PRUDENTIAL MULTICAP FUND'!B271</f>
        <v>808.07</v>
      </c>
      <c r="C271" s="10">
        <f t="shared" si="16"/>
        <v>8.6701264599879299E-4</v>
      </c>
      <c r="D271" s="9">
        <f>'QUANT ACTIVE FUND'!B271</f>
        <v>638.95500000000004</v>
      </c>
      <c r="E271" s="10">
        <f t="shared" si="17"/>
        <v>-1.0381180046246082E-3</v>
      </c>
      <c r="F271" s="9">
        <f>'NIPPON INDIA '!B271</f>
        <v>303.24299999999999</v>
      </c>
      <c r="G271" s="10">
        <f t="shared" si="18"/>
        <v>3.23557143566079E-3</v>
      </c>
      <c r="H271" s="9">
        <f>'NIFTY500 TRI'!B271</f>
        <v>37225.68</v>
      </c>
      <c r="I271" s="10">
        <f t="shared" si="19"/>
        <v>-2.2439385248757995E-3</v>
      </c>
    </row>
    <row r="272" spans="1:9" ht="14.25" customHeight="1" x14ac:dyDescent="0.3">
      <c r="A272" s="8">
        <f>'ICICI PRUDENTIAL MULTICAP FUND'!A272</f>
        <v>45854</v>
      </c>
      <c r="B272" s="9">
        <f>'ICICI PRUDENTIAL MULTICAP FUND'!B272</f>
        <v>807.37</v>
      </c>
      <c r="C272" s="10">
        <f t="shared" si="16"/>
        <v>1.066322798229425E-3</v>
      </c>
      <c r="D272" s="9">
        <f>'QUANT ACTIVE FUND'!B272</f>
        <v>639.61900000000003</v>
      </c>
      <c r="E272" s="10">
        <f t="shared" si="17"/>
        <v>2.3161025541378246E-3</v>
      </c>
      <c r="F272" s="9">
        <f>'NIPPON INDIA '!B272</f>
        <v>302.26499999999999</v>
      </c>
      <c r="G272" s="10">
        <f t="shared" si="18"/>
        <v>2.1916154958157102E-3</v>
      </c>
      <c r="H272" s="9">
        <f>'NIFTY500 TRI'!B272</f>
        <v>37309.4</v>
      </c>
      <c r="I272" s="10">
        <f t="shared" si="19"/>
        <v>1.0547331653882497E-3</v>
      </c>
    </row>
    <row r="273" spans="1:9" ht="14.25" customHeight="1" x14ac:dyDescent="0.3">
      <c r="A273" s="8">
        <f>'ICICI PRUDENTIAL MULTICAP FUND'!A273</f>
        <v>45853</v>
      </c>
      <c r="B273" s="9">
        <f>'ICICI PRUDENTIAL MULTICAP FUND'!B273</f>
        <v>806.51</v>
      </c>
      <c r="C273" s="10">
        <f t="shared" si="16"/>
        <v>6.1754578571785587E-3</v>
      </c>
      <c r="D273" s="9">
        <f>'QUANT ACTIVE FUND'!B273</f>
        <v>638.14099999999996</v>
      </c>
      <c r="E273" s="10">
        <f t="shared" si="17"/>
        <v>8.2634051233112064E-3</v>
      </c>
      <c r="F273" s="9">
        <f>'NIPPON INDIA '!B273</f>
        <v>301.60399999999998</v>
      </c>
      <c r="G273" s="10">
        <f t="shared" si="18"/>
        <v>5.2964018465743333E-3</v>
      </c>
      <c r="H273" s="9">
        <f>'NIFTY500 TRI'!B273</f>
        <v>37270.089999999997</v>
      </c>
      <c r="I273" s="10">
        <f t="shared" si="19"/>
        <v>6.0163791055734151E-3</v>
      </c>
    </row>
    <row r="274" spans="1:9" ht="14.25" customHeight="1" x14ac:dyDescent="0.3">
      <c r="A274" s="8">
        <f>'ICICI PRUDENTIAL MULTICAP FUND'!A274</f>
        <v>45852</v>
      </c>
      <c r="B274" s="9">
        <f>'ICICI PRUDENTIAL MULTICAP FUND'!B274</f>
        <v>801.56</v>
      </c>
      <c r="C274" s="10">
        <f t="shared" si="16"/>
        <v>1.8372933045031354E-3</v>
      </c>
      <c r="D274" s="9">
        <f>'QUANT ACTIVE FUND'!B274</f>
        <v>632.91099999999994</v>
      </c>
      <c r="E274" s="10">
        <f t="shared" si="17"/>
        <v>-2.6063221477370377E-4</v>
      </c>
      <c r="F274" s="9">
        <f>'NIPPON INDIA '!B274</f>
        <v>300.01499999999999</v>
      </c>
      <c r="G274" s="10">
        <f t="shared" si="18"/>
        <v>6.2369091612528467E-4</v>
      </c>
      <c r="H274" s="9">
        <f>'NIFTY500 TRI'!B274</f>
        <v>37047.199999999997</v>
      </c>
      <c r="I274" s="10">
        <f t="shared" si="19"/>
        <v>1.1395748091542759E-3</v>
      </c>
    </row>
    <row r="275" spans="1:9" ht="14.25" customHeight="1" x14ac:dyDescent="0.3">
      <c r="A275" s="8">
        <f>'ICICI PRUDENTIAL MULTICAP FUND'!A275</f>
        <v>45849</v>
      </c>
      <c r="B275" s="9">
        <f>'ICICI PRUDENTIAL MULTICAP FUND'!B275</f>
        <v>800.09</v>
      </c>
      <c r="C275" s="10">
        <f t="shared" si="16"/>
        <v>-3.5742751818272447E-3</v>
      </c>
      <c r="D275" s="9">
        <f>'QUANT ACTIVE FUND'!B275</f>
        <v>633.07600000000002</v>
      </c>
      <c r="E275" s="10">
        <f t="shared" si="17"/>
        <v>-9.4923984147522646E-3</v>
      </c>
      <c r="F275" s="9">
        <f>'NIPPON INDIA '!B275</f>
        <v>299.82799999999997</v>
      </c>
      <c r="G275" s="10">
        <f t="shared" si="18"/>
        <v>-6.4320722141771713E-3</v>
      </c>
      <c r="H275" s="9">
        <f>'NIFTY500 TRI'!B275</f>
        <v>37005.03</v>
      </c>
      <c r="I275" s="10">
        <f t="shared" si="19"/>
        <v>-7.9726709493188903E-3</v>
      </c>
    </row>
    <row r="276" spans="1:9" ht="14.25" customHeight="1" x14ac:dyDescent="0.3">
      <c r="A276" s="8">
        <f>'ICICI PRUDENTIAL MULTICAP FUND'!A276</f>
        <v>45848</v>
      </c>
      <c r="B276" s="9">
        <f>'ICICI PRUDENTIAL MULTICAP FUND'!B276</f>
        <v>802.96</v>
      </c>
      <c r="C276" s="10">
        <f t="shared" si="16"/>
        <v>-2.3234720375731577E-3</v>
      </c>
      <c r="D276" s="9">
        <f>'QUANT ACTIVE FUND'!B276</f>
        <v>639.14300000000003</v>
      </c>
      <c r="E276" s="10">
        <f t="shared" si="17"/>
        <v>6.2587720602277422E-5</v>
      </c>
      <c r="F276" s="9">
        <f>'NIPPON INDIA '!B276</f>
        <v>301.76900000000001</v>
      </c>
      <c r="G276" s="10">
        <f t="shared" si="18"/>
        <v>-1.0063792526971084E-3</v>
      </c>
      <c r="H276" s="9">
        <f>'NIFTY500 TRI'!B276</f>
        <v>37302.43</v>
      </c>
      <c r="I276" s="10">
        <f t="shared" si="19"/>
        <v>-3.6262436832550406E-3</v>
      </c>
    </row>
    <row r="277" spans="1:9" ht="14.25" customHeight="1" x14ac:dyDescent="0.3">
      <c r="A277" s="8">
        <f>'ICICI PRUDENTIAL MULTICAP FUND'!A277</f>
        <v>45847</v>
      </c>
      <c r="B277" s="9">
        <f>'ICICI PRUDENTIAL MULTICAP FUND'!B277</f>
        <v>804.83</v>
      </c>
      <c r="C277" s="10">
        <f t="shared" si="16"/>
        <v>-1.987602330463337E-4</v>
      </c>
      <c r="D277" s="9">
        <f>'QUANT ACTIVE FUND'!B277</f>
        <v>639.10299999999995</v>
      </c>
      <c r="E277" s="10">
        <f t="shared" si="17"/>
        <v>5.0408512463583413E-4</v>
      </c>
      <c r="F277" s="9">
        <f>'NIPPON INDIA '!B277</f>
        <v>302.07299999999998</v>
      </c>
      <c r="G277" s="10">
        <f t="shared" si="18"/>
        <v>3.4714378728887647E-3</v>
      </c>
      <c r="H277" s="9">
        <f>'NIFTY500 TRI'!B277</f>
        <v>37438.19</v>
      </c>
      <c r="I277" s="10">
        <f t="shared" si="19"/>
        <v>-6.3477708193132489E-4</v>
      </c>
    </row>
    <row r="278" spans="1:9" ht="14.25" customHeight="1" x14ac:dyDescent="0.3">
      <c r="A278" s="8">
        <f>'ICICI PRUDENTIAL MULTICAP FUND'!A278</f>
        <v>45846</v>
      </c>
      <c r="B278" s="9">
        <f>'ICICI PRUDENTIAL MULTICAP FUND'!B278</f>
        <v>804.99</v>
      </c>
      <c r="C278" s="10">
        <f t="shared" si="16"/>
        <v>9.5744945412944442E-4</v>
      </c>
      <c r="D278" s="9">
        <f>'QUANT ACTIVE FUND'!B278</f>
        <v>638.78099999999995</v>
      </c>
      <c r="E278" s="10">
        <f t="shared" si="17"/>
        <v>-1.2430109947841582E-3</v>
      </c>
      <c r="F278" s="9">
        <f>'NIPPON INDIA '!B278</f>
        <v>301.02800000000002</v>
      </c>
      <c r="G278" s="10">
        <f t="shared" si="18"/>
        <v>2.617888236822301E-3</v>
      </c>
      <c r="H278" s="9">
        <f>'NIFTY500 TRI'!B278</f>
        <v>37461.97</v>
      </c>
      <c r="I278" s="10">
        <f t="shared" si="19"/>
        <v>9.4799164976473087E-4</v>
      </c>
    </row>
    <row r="279" spans="1:9" ht="14.25" customHeight="1" x14ac:dyDescent="0.3">
      <c r="A279" s="8">
        <f>'ICICI PRUDENTIAL MULTICAP FUND'!A279</f>
        <v>45845</v>
      </c>
      <c r="B279" s="9">
        <f>'ICICI PRUDENTIAL MULTICAP FUND'!B279</f>
        <v>804.22</v>
      </c>
      <c r="C279" s="10">
        <f t="shared" si="16"/>
        <v>-8.4482544415449118E-4</v>
      </c>
      <c r="D279" s="9">
        <f>'QUANT ACTIVE FUND'!B279</f>
        <v>639.57600000000002</v>
      </c>
      <c r="E279" s="10">
        <f t="shared" si="17"/>
        <v>6.3206773763556032E-4</v>
      </c>
      <c r="F279" s="9">
        <f>'NIPPON INDIA '!B279</f>
        <v>300.24200000000002</v>
      </c>
      <c r="G279" s="10">
        <f t="shared" si="18"/>
        <v>-2.2762995676692426E-3</v>
      </c>
      <c r="H279" s="9">
        <f>'NIFTY500 TRI'!B279</f>
        <v>37426.49</v>
      </c>
      <c r="I279" s="10">
        <f t="shared" si="19"/>
        <v>-4.4627595931969296E-4</v>
      </c>
    </row>
    <row r="280" spans="1:9" ht="14.25" customHeight="1" x14ac:dyDescent="0.3">
      <c r="A280" s="8">
        <f>'ICICI PRUDENTIAL MULTICAP FUND'!A280</f>
        <v>45842</v>
      </c>
      <c r="B280" s="9">
        <f>'ICICI PRUDENTIAL MULTICAP FUND'!B280</f>
        <v>804.9</v>
      </c>
      <c r="C280" s="10">
        <f t="shared" si="16"/>
        <v>2.3910931779122257E-3</v>
      </c>
      <c r="D280" s="9">
        <f>'QUANT ACTIVE FUND'!B280</f>
        <v>639.17200000000003</v>
      </c>
      <c r="E280" s="10">
        <f t="shared" si="17"/>
        <v>3.792655597033213E-3</v>
      </c>
      <c r="F280" s="9">
        <f>'NIPPON INDIA '!B280</f>
        <v>300.92700000000002</v>
      </c>
      <c r="G280" s="10">
        <f t="shared" si="18"/>
        <v>2.4484330028782032E-3</v>
      </c>
      <c r="H280" s="9">
        <f>'NIFTY500 TRI'!B280</f>
        <v>37443.199999999997</v>
      </c>
      <c r="I280" s="10">
        <f t="shared" si="19"/>
        <v>1.9319793422706668E-3</v>
      </c>
    </row>
    <row r="281" spans="1:9" ht="14.25" customHeight="1" x14ac:dyDescent="0.3">
      <c r="A281" s="8">
        <f>'ICICI PRUDENTIAL MULTICAP FUND'!A281</f>
        <v>45841</v>
      </c>
      <c r="B281" s="9">
        <f>'ICICI PRUDENTIAL MULTICAP FUND'!B281</f>
        <v>802.98</v>
      </c>
      <c r="C281" s="10">
        <f t="shared" si="16"/>
        <v>1.9215412257935262E-3</v>
      </c>
      <c r="D281" s="9">
        <f>'QUANT ACTIVE FUND'!B281</f>
        <v>636.75699999999995</v>
      </c>
      <c r="E281" s="10">
        <f t="shared" si="17"/>
        <v>-1.3800955716183276E-3</v>
      </c>
      <c r="F281" s="9">
        <f>'NIPPON INDIA '!B281</f>
        <v>300.19200000000001</v>
      </c>
      <c r="G281" s="10">
        <f t="shared" si="18"/>
        <v>-1.7690639922320209E-3</v>
      </c>
      <c r="H281" s="9">
        <f>'NIFTY500 TRI'!B281</f>
        <v>37371</v>
      </c>
      <c r="I281" s="10">
        <f t="shared" si="19"/>
        <v>-1.0804187598331808E-3</v>
      </c>
    </row>
    <row r="282" spans="1:9" ht="14.25" customHeight="1" x14ac:dyDescent="0.3">
      <c r="A282" s="8">
        <f>'ICICI PRUDENTIAL MULTICAP FUND'!A282</f>
        <v>45840</v>
      </c>
      <c r="B282" s="9">
        <f>'ICICI PRUDENTIAL MULTICAP FUND'!B282</f>
        <v>801.44</v>
      </c>
      <c r="C282" s="10">
        <f t="shared" si="16"/>
        <v>-1.9960079840315389E-4</v>
      </c>
      <c r="D282" s="9">
        <f>'QUANT ACTIVE FUND'!B282</f>
        <v>637.63699999999994</v>
      </c>
      <c r="E282" s="10">
        <f t="shared" si="17"/>
        <v>-4.7713885255676134E-3</v>
      </c>
      <c r="F282" s="9">
        <f>'NIPPON INDIA '!B282</f>
        <v>300.72399999999999</v>
      </c>
      <c r="G282" s="10">
        <f t="shared" si="18"/>
        <v>-2.6002626795971974E-3</v>
      </c>
      <c r="H282" s="9">
        <f>'NIFTY500 TRI'!B282</f>
        <v>37411.42</v>
      </c>
      <c r="I282" s="10">
        <f t="shared" si="19"/>
        <v>-2.8862163380260902E-3</v>
      </c>
    </row>
    <row r="283" spans="1:9" ht="14.25" customHeight="1" x14ac:dyDescent="0.3">
      <c r="A283" s="8">
        <f>'ICICI PRUDENTIAL MULTICAP FUND'!A283</f>
        <v>45839</v>
      </c>
      <c r="B283" s="9">
        <f>'ICICI PRUDENTIAL MULTICAP FUND'!B283</f>
        <v>801.6</v>
      </c>
      <c r="C283" s="10">
        <f t="shared" si="16"/>
        <v>1.6220195390968527E-4</v>
      </c>
      <c r="D283" s="9">
        <f>'QUANT ACTIVE FUND'!B283</f>
        <v>640.69399999999996</v>
      </c>
      <c r="E283" s="10">
        <f t="shared" si="17"/>
        <v>-2.5951139623981378E-3</v>
      </c>
      <c r="F283" s="9">
        <f>'NIPPON INDIA '!B283</f>
        <v>301.50799999999998</v>
      </c>
      <c r="G283" s="10">
        <f t="shared" si="18"/>
        <v>-3.9938292200306005E-3</v>
      </c>
      <c r="H283" s="9">
        <f>'NIFTY500 TRI'!B283</f>
        <v>37519.71</v>
      </c>
      <c r="I283" s="10">
        <f t="shared" si="19"/>
        <v>-7.1157533184149145E-5</v>
      </c>
    </row>
    <row r="284" spans="1:9" ht="14.25" customHeight="1" x14ac:dyDescent="0.3">
      <c r="A284" s="8">
        <f>'ICICI PRUDENTIAL MULTICAP FUND'!A284</f>
        <v>45838</v>
      </c>
      <c r="B284" s="9">
        <f>'ICICI PRUDENTIAL MULTICAP FUND'!B284</f>
        <v>801.47</v>
      </c>
      <c r="C284" s="10">
        <f t="shared" si="16"/>
        <v>-7.8543822466026105E-4</v>
      </c>
      <c r="D284" s="9">
        <f>'QUANT ACTIVE FUND'!B284</f>
        <v>642.36099999999999</v>
      </c>
      <c r="E284" s="10">
        <f t="shared" si="17"/>
        <v>1.9200474162806211E-3</v>
      </c>
      <c r="F284" s="9">
        <f>'NIPPON INDIA '!B284</f>
        <v>302.71699999999998</v>
      </c>
      <c r="G284" s="10">
        <f t="shared" si="18"/>
        <v>-8.5881424178297955E-5</v>
      </c>
      <c r="H284" s="9">
        <f>'NIFTY500 TRI'!B284</f>
        <v>37522.379999999997</v>
      </c>
      <c r="I284" s="10">
        <f t="shared" si="19"/>
        <v>-1.1591737409589965E-4</v>
      </c>
    </row>
    <row r="285" spans="1:9" ht="14.25" customHeight="1" x14ac:dyDescent="0.3">
      <c r="A285" s="8">
        <f>'ICICI PRUDENTIAL MULTICAP FUND'!A285</f>
        <v>45835</v>
      </c>
      <c r="B285" s="9">
        <f>'ICICI PRUDENTIAL MULTICAP FUND'!B285</f>
        <v>802.1</v>
      </c>
      <c r="C285" s="10">
        <f t="shared" si="16"/>
        <v>3.5030651820343655E-3</v>
      </c>
      <c r="D285" s="9">
        <f>'QUANT ACTIVE FUND'!B285</f>
        <v>641.13</v>
      </c>
      <c r="E285" s="10">
        <f t="shared" si="17"/>
        <v>5.4480785878279932E-3</v>
      </c>
      <c r="F285" s="9">
        <f>'NIPPON INDIA '!B285</f>
        <v>302.74299999999999</v>
      </c>
      <c r="G285" s="10">
        <f t="shared" si="18"/>
        <v>3.074731209515754E-3</v>
      </c>
      <c r="H285" s="9">
        <f>'NIFTY500 TRI'!B285</f>
        <v>37526.730000000003</v>
      </c>
      <c r="I285" s="10">
        <f t="shared" si="19"/>
        <v>5.2826810302729335E-3</v>
      </c>
    </row>
    <row r="286" spans="1:9" ht="14.25" customHeight="1" x14ac:dyDescent="0.3">
      <c r="A286" s="8">
        <f>'ICICI PRUDENTIAL MULTICAP FUND'!A286</f>
        <v>45834</v>
      </c>
      <c r="B286" s="9">
        <f>'ICICI PRUDENTIAL MULTICAP FUND'!B286</f>
        <v>799.3</v>
      </c>
      <c r="C286" s="10">
        <f t="shared" si="16"/>
        <v>4.9537316435324143E-3</v>
      </c>
      <c r="D286" s="9">
        <f>'QUANT ACTIVE FUND'!B286</f>
        <v>637.65599999999995</v>
      </c>
      <c r="E286" s="10">
        <f t="shared" si="17"/>
        <v>9.1569468403309932E-3</v>
      </c>
      <c r="F286" s="9">
        <f>'NIPPON INDIA '!B286</f>
        <v>301.815</v>
      </c>
      <c r="G286" s="10">
        <f t="shared" si="18"/>
        <v>6.0399396006040338E-3</v>
      </c>
      <c r="H286" s="9">
        <f>'NIFTY500 TRI'!B286</f>
        <v>37329.53</v>
      </c>
      <c r="I286" s="10">
        <f t="shared" si="19"/>
        <v>9.4728851844669455E-3</v>
      </c>
    </row>
    <row r="287" spans="1:9" ht="14.25" customHeight="1" x14ac:dyDescent="0.3">
      <c r="A287" s="8">
        <f>'ICICI PRUDENTIAL MULTICAP FUND'!A287</f>
        <v>45833</v>
      </c>
      <c r="B287" s="9">
        <f>'ICICI PRUDENTIAL MULTICAP FUND'!B287</f>
        <v>795.36</v>
      </c>
      <c r="C287" s="10">
        <f t="shared" si="16"/>
        <v>9.673242440399122E-3</v>
      </c>
      <c r="D287" s="9">
        <f>'QUANT ACTIVE FUND'!B287</f>
        <v>631.87</v>
      </c>
      <c r="E287" s="10">
        <f t="shared" si="17"/>
        <v>1.1670223717980514E-2</v>
      </c>
      <c r="F287" s="9">
        <f>'NIPPON INDIA '!B287</f>
        <v>300.00299999999999</v>
      </c>
      <c r="G287" s="10">
        <f t="shared" si="18"/>
        <v>9.0137661734881157E-3</v>
      </c>
      <c r="H287" s="9">
        <f>'NIFTY500 TRI'!B287</f>
        <v>36979.230000000003</v>
      </c>
      <c r="I287" s="10">
        <f t="shared" si="19"/>
        <v>7.9476336042238124E-3</v>
      </c>
    </row>
    <row r="288" spans="1:9" ht="14.25" customHeight="1" x14ac:dyDescent="0.3">
      <c r="A288" s="8">
        <f>'ICICI PRUDENTIAL MULTICAP FUND'!A288</f>
        <v>45832</v>
      </c>
      <c r="B288" s="9">
        <f>'ICICI PRUDENTIAL MULTICAP FUND'!B288</f>
        <v>787.74</v>
      </c>
      <c r="C288" s="10">
        <f t="shared" si="16"/>
        <v>2.6219325934223338E-3</v>
      </c>
      <c r="D288" s="9">
        <f>'QUANT ACTIVE FUND'!B288</f>
        <v>624.58100000000002</v>
      </c>
      <c r="E288" s="10">
        <f t="shared" si="17"/>
        <v>4.8603513739624042E-3</v>
      </c>
      <c r="F288" s="9">
        <f>'NIPPON INDIA '!B288</f>
        <v>297.32299999999998</v>
      </c>
      <c r="G288" s="10">
        <f t="shared" si="18"/>
        <v>6.9768308253997362E-3</v>
      </c>
      <c r="H288" s="9">
        <f>'NIFTY500 TRI'!B288</f>
        <v>36687.65</v>
      </c>
      <c r="I288" s="10">
        <f t="shared" si="19"/>
        <v>4.9279960906920975E-3</v>
      </c>
    </row>
    <row r="289" spans="1:9" ht="14.25" customHeight="1" x14ac:dyDescent="0.3">
      <c r="A289" s="8">
        <f>'ICICI PRUDENTIAL MULTICAP FUND'!A289</f>
        <v>45831</v>
      </c>
      <c r="B289" s="9">
        <f>'ICICI PRUDENTIAL MULTICAP FUND'!B289</f>
        <v>785.68</v>
      </c>
      <c r="C289" s="10">
        <f t="shared" si="16"/>
        <v>-6.232748642151305E-4</v>
      </c>
      <c r="D289" s="9">
        <f>'QUANT ACTIVE FUND'!B289</f>
        <v>621.55999999999995</v>
      </c>
      <c r="E289" s="10">
        <f t="shared" si="17"/>
        <v>6.1496060710448236E-4</v>
      </c>
      <c r="F289" s="9">
        <f>'NIPPON INDIA '!B289</f>
        <v>295.26299999999998</v>
      </c>
      <c r="G289" s="10">
        <f t="shared" si="18"/>
        <v>-5.0438032307421811E-4</v>
      </c>
      <c r="H289" s="9">
        <f>'NIFTY500 TRI'!B289</f>
        <v>36507.74</v>
      </c>
      <c r="I289" s="10">
        <f t="shared" si="19"/>
        <v>-1.588368591214466E-3</v>
      </c>
    </row>
    <row r="290" spans="1:9" ht="14.25" customHeight="1" x14ac:dyDescent="0.3">
      <c r="A290" s="8">
        <f>'ICICI PRUDENTIAL MULTICAP FUND'!A290</f>
        <v>45828</v>
      </c>
      <c r="B290" s="9">
        <f>'ICICI PRUDENTIAL MULTICAP FUND'!B290</f>
        <v>786.17</v>
      </c>
      <c r="C290" s="10">
        <f t="shared" si="16"/>
        <v>6.8775614754098425E-3</v>
      </c>
      <c r="D290" s="9">
        <f>'QUANT ACTIVE FUND'!B290</f>
        <v>621.178</v>
      </c>
      <c r="E290" s="10">
        <f t="shared" si="17"/>
        <v>8.5695729826270831E-3</v>
      </c>
      <c r="F290" s="9">
        <f>'NIPPON INDIA '!B290</f>
        <v>295.41199999999998</v>
      </c>
      <c r="G290" s="10">
        <f t="shared" si="18"/>
        <v>1.0366610689477107E-2</v>
      </c>
      <c r="H290" s="9">
        <f>'NIFTY500 TRI'!B290</f>
        <v>36565.82</v>
      </c>
      <c r="I290" s="10">
        <f t="shared" si="19"/>
        <v>1.2247743082805913E-2</v>
      </c>
    </row>
    <row r="291" spans="1:9" ht="14.25" customHeight="1" x14ac:dyDescent="0.3">
      <c r="A291" s="8">
        <f>'ICICI PRUDENTIAL MULTICAP FUND'!A291</f>
        <v>45827</v>
      </c>
      <c r="B291" s="9">
        <f>'ICICI PRUDENTIAL MULTICAP FUND'!B291</f>
        <v>780.8</v>
      </c>
      <c r="C291" s="10">
        <f t="shared" si="16"/>
        <v>-8.4575724481244525E-3</v>
      </c>
      <c r="D291" s="9">
        <f>'QUANT ACTIVE FUND'!B291</f>
        <v>615.9</v>
      </c>
      <c r="E291" s="10">
        <f t="shared" si="17"/>
        <v>-9.9566946474328212E-3</v>
      </c>
      <c r="F291" s="9">
        <f>'NIPPON INDIA '!B291</f>
        <v>292.38099999999997</v>
      </c>
      <c r="G291" s="10">
        <f t="shared" si="18"/>
        <v>-1.0226741863629952E-2</v>
      </c>
      <c r="H291" s="9">
        <f>'NIFTY500 TRI'!B291</f>
        <v>36123.39</v>
      </c>
      <c r="I291" s="10">
        <f t="shared" si="19"/>
        <v>-7.0372243632385919E-3</v>
      </c>
    </row>
    <row r="292" spans="1:9" ht="14.25" customHeight="1" x14ac:dyDescent="0.3">
      <c r="A292" s="8">
        <f>'ICICI PRUDENTIAL MULTICAP FUND'!A292</f>
        <v>45826</v>
      </c>
      <c r="B292" s="9">
        <f>'ICICI PRUDENTIAL MULTICAP FUND'!B292</f>
        <v>787.46</v>
      </c>
      <c r="C292" s="10">
        <f t="shared" si="16"/>
        <v>-3.7574484774109203E-3</v>
      </c>
      <c r="D292" s="9">
        <f>'QUANT ACTIVE FUND'!B292</f>
        <v>622.09400000000005</v>
      </c>
      <c r="E292" s="10">
        <f t="shared" si="17"/>
        <v>-4.0504367427443913E-3</v>
      </c>
      <c r="F292" s="9">
        <f>'NIPPON INDIA '!B292</f>
        <v>295.40199999999999</v>
      </c>
      <c r="G292" s="10">
        <f t="shared" si="18"/>
        <v>-3.3840718506143014E-4</v>
      </c>
      <c r="H292" s="9">
        <f>'NIFTY500 TRI'!B292</f>
        <v>36379.4</v>
      </c>
      <c r="I292" s="10">
        <f t="shared" si="19"/>
        <v>-2.4484016289041603E-3</v>
      </c>
    </row>
    <row r="293" spans="1:9" ht="14.25" customHeight="1" x14ac:dyDescent="0.3">
      <c r="A293" s="8">
        <f>'ICICI PRUDENTIAL MULTICAP FUND'!A293</f>
        <v>45825</v>
      </c>
      <c r="B293" s="9">
        <f>'ICICI PRUDENTIAL MULTICAP FUND'!B293</f>
        <v>790.43</v>
      </c>
      <c r="C293" s="10">
        <f t="shared" si="16"/>
        <v>-4.4460678119805606E-3</v>
      </c>
      <c r="D293" s="9">
        <f>'QUANT ACTIVE FUND'!B293</f>
        <v>624.62400000000002</v>
      </c>
      <c r="E293" s="10">
        <f t="shared" si="17"/>
        <v>-5.9741111241959754E-3</v>
      </c>
      <c r="F293" s="9">
        <f>'NIPPON INDIA '!B293</f>
        <v>295.50200000000001</v>
      </c>
      <c r="G293" s="10">
        <f t="shared" si="18"/>
        <v>-4.269313843427029E-3</v>
      </c>
      <c r="H293" s="9">
        <f>'NIFTY500 TRI'!B293</f>
        <v>36468.69</v>
      </c>
      <c r="I293" s="10">
        <f t="shared" si="19"/>
        <v>-4.8979226532060655E-3</v>
      </c>
    </row>
    <row r="294" spans="1:9" ht="14.25" customHeight="1" x14ac:dyDescent="0.3">
      <c r="A294" s="8">
        <f>'ICICI PRUDENTIAL MULTICAP FUND'!A294</f>
        <v>45824</v>
      </c>
      <c r="B294" s="9">
        <f>'ICICI PRUDENTIAL MULTICAP FUND'!B294</f>
        <v>793.96</v>
      </c>
      <c r="C294" s="10">
        <f t="shared" si="16"/>
        <v>6.6436758291916129E-3</v>
      </c>
      <c r="D294" s="9">
        <f>'QUANT ACTIVE FUND'!B294</f>
        <v>628.37800000000004</v>
      </c>
      <c r="E294" s="10">
        <f t="shared" si="17"/>
        <v>4.7151635117656347E-3</v>
      </c>
      <c r="F294" s="9">
        <f>'NIPPON INDIA '!B294</f>
        <v>296.76900000000001</v>
      </c>
      <c r="G294" s="10">
        <f t="shared" si="18"/>
        <v>6.3377416073246125E-3</v>
      </c>
      <c r="H294" s="9">
        <f>'NIFTY500 TRI'!B294</f>
        <v>36648.19</v>
      </c>
      <c r="I294" s="10">
        <f t="shared" si="19"/>
        <v>8.2537832705792159E-3</v>
      </c>
    </row>
    <row r="295" spans="1:9" ht="14.25" customHeight="1" x14ac:dyDescent="0.3">
      <c r="A295" s="8">
        <f>'ICICI PRUDENTIAL MULTICAP FUND'!A295</f>
        <v>45821</v>
      </c>
      <c r="B295" s="9">
        <f>'ICICI PRUDENTIAL MULTICAP FUND'!B295</f>
        <v>788.72</v>
      </c>
      <c r="C295" s="10">
        <f t="shared" si="16"/>
        <v>-4.6315576925503336E-3</v>
      </c>
      <c r="D295" s="9">
        <f>'QUANT ACTIVE FUND'!B295</f>
        <v>625.42899999999997</v>
      </c>
      <c r="E295" s="10">
        <f t="shared" si="17"/>
        <v>-6.3975877583183627E-3</v>
      </c>
      <c r="F295" s="9">
        <f>'NIPPON INDIA '!B295</f>
        <v>294.89999999999998</v>
      </c>
      <c r="G295" s="10">
        <f t="shared" si="18"/>
        <v>-5.5639858371270747E-3</v>
      </c>
      <c r="H295" s="9">
        <f>'NIFTY500 TRI'!B295</f>
        <v>36348.18</v>
      </c>
      <c r="I295" s="10">
        <f t="shared" si="19"/>
        <v>-6.0226829597778073E-3</v>
      </c>
    </row>
    <row r="296" spans="1:9" ht="14.25" customHeight="1" x14ac:dyDescent="0.3">
      <c r="A296" s="8">
        <f>'ICICI PRUDENTIAL MULTICAP FUND'!A296</f>
        <v>45820</v>
      </c>
      <c r="B296" s="9">
        <f>'ICICI PRUDENTIAL MULTICAP FUND'!B296</f>
        <v>792.39</v>
      </c>
      <c r="C296" s="10">
        <f t="shared" si="16"/>
        <v>-1.0254808893330048E-2</v>
      </c>
      <c r="D296" s="9">
        <f>'QUANT ACTIVE FUND'!B296</f>
        <v>629.45600000000002</v>
      </c>
      <c r="E296" s="10">
        <f t="shared" si="17"/>
        <v>-1.6836005529219735E-2</v>
      </c>
      <c r="F296" s="9">
        <f>'NIPPON INDIA '!B296</f>
        <v>296.55</v>
      </c>
      <c r="G296" s="10">
        <f t="shared" si="18"/>
        <v>-1.4813510559484943E-2</v>
      </c>
      <c r="H296" s="9">
        <f>'NIFTY500 TRI'!B296</f>
        <v>36568.42</v>
      </c>
      <c r="I296" s="10">
        <f t="shared" si="19"/>
        <v>-1.2469028615871207E-2</v>
      </c>
    </row>
    <row r="297" spans="1:9" ht="14.25" customHeight="1" x14ac:dyDescent="0.3">
      <c r="A297" s="8">
        <f>'ICICI PRUDENTIAL MULTICAP FUND'!A297</f>
        <v>45819</v>
      </c>
      <c r="B297" s="9">
        <f>'ICICI PRUDENTIAL MULTICAP FUND'!B297</f>
        <v>800.6</v>
      </c>
      <c r="C297" s="10">
        <f t="shared" si="16"/>
        <v>1.9899625786911701E-3</v>
      </c>
      <c r="D297" s="9">
        <f>'QUANT ACTIVE FUND'!B297</f>
        <v>640.23500000000001</v>
      </c>
      <c r="E297" s="10">
        <f t="shared" si="17"/>
        <v>2.3750700622184638E-3</v>
      </c>
      <c r="F297" s="9">
        <f>'NIPPON INDIA '!B297</f>
        <v>301.00900000000001</v>
      </c>
      <c r="G297" s="10">
        <f t="shared" si="18"/>
        <v>6.548940866720833E-4</v>
      </c>
      <c r="H297" s="9">
        <f>'NIFTY500 TRI'!B297</f>
        <v>37030.15</v>
      </c>
      <c r="I297" s="10">
        <f t="shared" si="19"/>
        <v>-7.587835268900114E-5</v>
      </c>
    </row>
    <row r="298" spans="1:9" ht="14.25" customHeight="1" x14ac:dyDescent="0.3">
      <c r="A298" s="8">
        <f>'ICICI PRUDENTIAL MULTICAP FUND'!A298</f>
        <v>45818</v>
      </c>
      <c r="B298" s="9">
        <f>'ICICI PRUDENTIAL MULTICAP FUND'!B298</f>
        <v>799.01</v>
      </c>
      <c r="C298" s="10">
        <f t="shared" si="16"/>
        <v>6.7629341114877649E-4</v>
      </c>
      <c r="D298" s="9">
        <f>'QUANT ACTIVE FUND'!B298</f>
        <v>638.71799999999996</v>
      </c>
      <c r="E298" s="10">
        <f t="shared" si="17"/>
        <v>3.2072828251731118E-3</v>
      </c>
      <c r="F298" s="9">
        <f>'NIPPON INDIA '!B298</f>
        <v>300.81200000000001</v>
      </c>
      <c r="G298" s="10">
        <f t="shared" si="18"/>
        <v>-7.8392814434904068E-4</v>
      </c>
      <c r="H298" s="9">
        <f>'NIFTY500 TRI'!B298</f>
        <v>37032.959999999999</v>
      </c>
      <c r="I298" s="10">
        <f t="shared" si="19"/>
        <v>4.5142336136154058E-4</v>
      </c>
    </row>
    <row r="299" spans="1:9" ht="14.25" customHeight="1" x14ac:dyDescent="0.3">
      <c r="A299" s="8">
        <f>'ICICI PRUDENTIAL MULTICAP FUND'!A299</f>
        <v>45817</v>
      </c>
      <c r="B299" s="9">
        <f>'ICICI PRUDENTIAL MULTICAP FUND'!B299</f>
        <v>798.47</v>
      </c>
      <c r="C299" s="10">
        <f t="shared" si="16"/>
        <v>7.7747346366953364E-3</v>
      </c>
      <c r="D299" s="9">
        <f>'QUANT ACTIVE FUND'!B299</f>
        <v>636.67600000000004</v>
      </c>
      <c r="E299" s="10">
        <f t="shared" si="17"/>
        <v>9.7937988996053427E-3</v>
      </c>
      <c r="F299" s="9">
        <f>'NIPPON INDIA '!B299</f>
        <v>301.048</v>
      </c>
      <c r="G299" s="10">
        <f t="shared" si="18"/>
        <v>7.2301572166069495E-3</v>
      </c>
      <c r="H299" s="9">
        <f>'NIFTY500 TRI'!B299</f>
        <v>37016.25</v>
      </c>
      <c r="I299" s="10">
        <f t="shared" si="19"/>
        <v>7.1421283542495665E-3</v>
      </c>
    </row>
    <row r="300" spans="1:9" ht="14.25" customHeight="1" x14ac:dyDescent="0.3">
      <c r="A300" s="8">
        <f>'ICICI PRUDENTIAL MULTICAP FUND'!A300</f>
        <v>45814</v>
      </c>
      <c r="B300" s="9">
        <f>'ICICI PRUDENTIAL MULTICAP FUND'!B300</f>
        <v>792.31</v>
      </c>
      <c r="C300" s="10">
        <f t="shared" si="16"/>
        <v>7.0158492100814472E-3</v>
      </c>
      <c r="D300" s="9">
        <f>'QUANT ACTIVE FUND'!B300</f>
        <v>630.50099999999998</v>
      </c>
      <c r="E300" s="10">
        <f t="shared" si="17"/>
        <v>3.88017781627352E-3</v>
      </c>
      <c r="F300" s="9">
        <f>'NIPPON INDIA '!B300</f>
        <v>298.887</v>
      </c>
      <c r="G300" s="10">
        <f t="shared" si="18"/>
        <v>6.1604338561285681E-3</v>
      </c>
      <c r="H300" s="9">
        <f>'NIFTY500 TRI'!B300</f>
        <v>36753.75</v>
      </c>
      <c r="I300" s="10">
        <f t="shared" si="19"/>
        <v>1.0084145852811548E-2</v>
      </c>
    </row>
    <row r="301" spans="1:9" ht="14.25" customHeight="1" x14ac:dyDescent="0.3">
      <c r="A301" s="8">
        <f>'ICICI PRUDENTIAL MULTICAP FUND'!A301</f>
        <v>45813</v>
      </c>
      <c r="B301" s="9">
        <f>'ICICI PRUDENTIAL MULTICAP FUND'!B301</f>
        <v>786.79</v>
      </c>
      <c r="C301" s="10">
        <f t="shared" si="16"/>
        <v>2.8423574997451036E-3</v>
      </c>
      <c r="D301" s="9">
        <f>'QUANT ACTIVE FUND'!B301</f>
        <v>628.06399999999996</v>
      </c>
      <c r="E301" s="10">
        <f t="shared" si="17"/>
        <v>6.043655923279225E-3</v>
      </c>
      <c r="F301" s="9">
        <f>'NIPPON INDIA '!B301</f>
        <v>297.05700000000002</v>
      </c>
      <c r="G301" s="10">
        <f t="shared" si="18"/>
        <v>4.3751246775291016E-3</v>
      </c>
      <c r="H301" s="9">
        <f>'NIFTY500 TRI'!B301</f>
        <v>36386.82</v>
      </c>
      <c r="I301" s="10">
        <f t="shared" si="19"/>
        <v>5.555495679381294E-3</v>
      </c>
    </row>
    <row r="302" spans="1:9" ht="14.25" customHeight="1" x14ac:dyDescent="0.3">
      <c r="A302" s="8">
        <f>'ICICI PRUDENTIAL MULTICAP FUND'!A302</f>
        <v>45812</v>
      </c>
      <c r="B302" s="9">
        <f>'ICICI PRUDENTIAL MULTICAP FUND'!B302</f>
        <v>784.56</v>
      </c>
      <c r="C302" s="10">
        <f t="shared" si="16"/>
        <v>2.6710289212364922E-3</v>
      </c>
      <c r="D302" s="9">
        <f>'QUANT ACTIVE FUND'!B302</f>
        <v>624.29100000000005</v>
      </c>
      <c r="E302" s="10">
        <f t="shared" si="17"/>
        <v>6.6709236737972459E-3</v>
      </c>
      <c r="F302" s="9">
        <f>'NIPPON INDIA '!B302</f>
        <v>295.76299999999998</v>
      </c>
      <c r="G302" s="10">
        <f t="shared" si="18"/>
        <v>5.4118182961610242E-3</v>
      </c>
      <c r="H302" s="9">
        <f>'NIFTY500 TRI'!B302</f>
        <v>36185.79</v>
      </c>
      <c r="I302" s="10">
        <f t="shared" si="19"/>
        <v>4.4802979314847932E-3</v>
      </c>
    </row>
    <row r="303" spans="1:9" ht="14.25" customHeight="1" x14ac:dyDescent="0.3">
      <c r="A303" s="8">
        <f>'ICICI PRUDENTIAL MULTICAP FUND'!A303</f>
        <v>45811</v>
      </c>
      <c r="B303" s="9">
        <f>'ICICI PRUDENTIAL MULTICAP FUND'!B303</f>
        <v>782.47</v>
      </c>
      <c r="C303" s="10">
        <f t="shared" si="16"/>
        <v>-3.3118065904951437E-3</v>
      </c>
      <c r="D303" s="9">
        <f>'QUANT ACTIVE FUND'!B303</f>
        <v>620.154</v>
      </c>
      <c r="E303" s="10">
        <f t="shared" si="17"/>
        <v>-4.1861966308101677E-3</v>
      </c>
      <c r="F303" s="9">
        <f>'NIPPON INDIA '!B303</f>
        <v>294.17099999999999</v>
      </c>
      <c r="G303" s="10">
        <f t="shared" si="18"/>
        <v>-4.0660590712729089E-3</v>
      </c>
      <c r="H303" s="9">
        <f>'NIFTY500 TRI'!B303</f>
        <v>36024.39</v>
      </c>
      <c r="I303" s="10">
        <f t="shared" si="19"/>
        <v>-5.1781320505138373E-3</v>
      </c>
    </row>
    <row r="304" spans="1:9" ht="14.25" customHeight="1" x14ac:dyDescent="0.3">
      <c r="A304" s="8">
        <f>'ICICI PRUDENTIAL MULTICAP FUND'!A304</f>
        <v>45810</v>
      </c>
      <c r="B304" s="9">
        <f>'ICICI PRUDENTIAL MULTICAP FUND'!B304</f>
        <v>785.07</v>
      </c>
      <c r="C304" s="10">
        <f t="shared" si="16"/>
        <v>-8.9156074075879895E-5</v>
      </c>
      <c r="D304" s="9">
        <f>'QUANT ACTIVE FUND'!B304</f>
        <v>622.76099999999997</v>
      </c>
      <c r="E304" s="10">
        <f t="shared" si="17"/>
        <v>-1.3534208353044811E-3</v>
      </c>
      <c r="F304" s="9">
        <f>'NIPPON INDIA '!B304</f>
        <v>295.37200000000001</v>
      </c>
      <c r="G304" s="10">
        <f t="shared" si="18"/>
        <v>2.4945950440712255E-3</v>
      </c>
      <c r="H304" s="9">
        <f>'NIFTY500 TRI'!B304</f>
        <v>36211.9</v>
      </c>
      <c r="I304" s="10">
        <f t="shared" si="19"/>
        <v>1.4280870768075067E-3</v>
      </c>
    </row>
    <row r="305" spans="1:9" ht="14.25" customHeight="1" x14ac:dyDescent="0.3">
      <c r="A305" s="8">
        <f>'ICICI PRUDENTIAL MULTICAP FUND'!A305</f>
        <v>45807</v>
      </c>
      <c r="B305" s="9">
        <f>'ICICI PRUDENTIAL MULTICAP FUND'!B305</f>
        <v>785.14</v>
      </c>
      <c r="C305" s="10">
        <f t="shared" si="16"/>
        <v>-2.6928841805756733E-3</v>
      </c>
      <c r="D305" s="9">
        <f>'QUANT ACTIVE FUND'!B305</f>
        <v>623.60500000000002</v>
      </c>
      <c r="E305" s="10">
        <f t="shared" si="17"/>
        <v>-2.8079781118425548E-3</v>
      </c>
      <c r="F305" s="9">
        <f>'NIPPON INDIA '!B305</f>
        <v>294.637</v>
      </c>
      <c r="G305" s="10">
        <f t="shared" si="18"/>
        <v>3.2253464701138476E-4</v>
      </c>
      <c r="H305" s="9">
        <f>'NIFTY500 TRI'!B305</f>
        <v>36160.26</v>
      </c>
      <c r="I305" s="10">
        <f t="shared" si="19"/>
        <v>-2.1001005619769356E-3</v>
      </c>
    </row>
    <row r="306" spans="1:9" ht="14.25" customHeight="1" x14ac:dyDescent="0.3">
      <c r="A306" s="8">
        <f>'ICICI PRUDENTIAL MULTICAP FUND'!A306</f>
        <v>45806</v>
      </c>
      <c r="B306" s="9">
        <f>'ICICI PRUDENTIAL MULTICAP FUND'!B306</f>
        <v>787.26</v>
      </c>
      <c r="C306" s="10">
        <f t="shared" si="16"/>
        <v>3.3263238386541947E-3</v>
      </c>
      <c r="D306" s="9">
        <f>'QUANT ACTIVE FUND'!B306</f>
        <v>625.36099999999999</v>
      </c>
      <c r="E306" s="10">
        <f t="shared" si="17"/>
        <v>3.8364546664290734E-3</v>
      </c>
      <c r="F306" s="9">
        <f>'NIPPON INDIA '!B306</f>
        <v>294.54199999999997</v>
      </c>
      <c r="G306" s="10">
        <f t="shared" si="18"/>
        <v>2.4982301366878387E-3</v>
      </c>
      <c r="H306" s="9">
        <f>'NIFTY500 TRI'!B306</f>
        <v>36236.36</v>
      </c>
      <c r="I306" s="10">
        <f t="shared" si="19"/>
        <v>3.6263243506586208E-3</v>
      </c>
    </row>
    <row r="307" spans="1:9" ht="14.25" customHeight="1" x14ac:dyDescent="0.3">
      <c r="A307" s="8">
        <f>'ICICI PRUDENTIAL MULTICAP FUND'!A307</f>
        <v>45805</v>
      </c>
      <c r="B307" s="9">
        <f>'ICICI PRUDENTIAL MULTICAP FUND'!B307</f>
        <v>784.65</v>
      </c>
      <c r="C307" s="10">
        <f t="shared" si="16"/>
        <v>1.5444705401816638E-3</v>
      </c>
      <c r="D307" s="9">
        <f>'QUANT ACTIVE FUND'!B307</f>
        <v>622.971</v>
      </c>
      <c r="E307" s="10">
        <f t="shared" si="17"/>
        <v>-8.3561617470626439E-4</v>
      </c>
      <c r="F307" s="9">
        <f>'NIPPON INDIA '!B307</f>
        <v>293.80799999999999</v>
      </c>
      <c r="G307" s="10">
        <f t="shared" si="18"/>
        <v>6.5391531796634816E-4</v>
      </c>
      <c r="H307" s="9">
        <f>'NIFTY500 TRI'!B307</f>
        <v>36105.43</v>
      </c>
      <c r="I307" s="10">
        <f t="shared" si="19"/>
        <v>-1.2207617464776164E-3</v>
      </c>
    </row>
    <row r="308" spans="1:9" ht="14.25" customHeight="1" x14ac:dyDescent="0.3">
      <c r="A308" s="8">
        <f>'ICICI PRUDENTIAL MULTICAP FUND'!A308</f>
        <v>45804</v>
      </c>
      <c r="B308" s="9">
        <f>'ICICI PRUDENTIAL MULTICAP FUND'!B308</f>
        <v>783.44</v>
      </c>
      <c r="C308" s="10">
        <f t="shared" si="16"/>
        <v>-1.6820429175798159E-3</v>
      </c>
      <c r="D308" s="9">
        <f>'QUANT ACTIVE FUND'!B308</f>
        <v>623.49199999999996</v>
      </c>
      <c r="E308" s="10">
        <f t="shared" si="17"/>
        <v>3.0631221966961981E-3</v>
      </c>
      <c r="F308" s="9">
        <f>'NIPPON INDIA '!B308</f>
        <v>293.61599999999999</v>
      </c>
      <c r="G308" s="10">
        <f t="shared" si="18"/>
        <v>1.9076168415309706E-4</v>
      </c>
      <c r="H308" s="9">
        <f>'NIFTY500 TRI'!B308</f>
        <v>36149.56</v>
      </c>
      <c r="I308" s="10">
        <f t="shared" si="19"/>
        <v>-3.9942658025879157E-3</v>
      </c>
    </row>
    <row r="309" spans="1:9" ht="14.25" customHeight="1" x14ac:dyDescent="0.3">
      <c r="A309" s="8">
        <f>'ICICI PRUDENTIAL MULTICAP FUND'!A309</f>
        <v>45803</v>
      </c>
      <c r="B309" s="9">
        <f>'ICICI PRUDENTIAL MULTICAP FUND'!B309</f>
        <v>784.76</v>
      </c>
      <c r="C309" s="10">
        <f t="shared" si="16"/>
        <v>2.7344049474840744E-3</v>
      </c>
      <c r="D309" s="9">
        <f>'QUANT ACTIVE FUND'!B309</f>
        <v>621.58799999999997</v>
      </c>
      <c r="E309" s="10">
        <f t="shared" si="17"/>
        <v>3.2052833915965249E-3</v>
      </c>
      <c r="F309" s="9">
        <f>'NIPPON INDIA '!B309</f>
        <v>293.56</v>
      </c>
      <c r="G309" s="10">
        <f t="shared" si="18"/>
        <v>1.0530084233789302E-2</v>
      </c>
      <c r="H309" s="9">
        <f>'NIFTY500 TRI'!B309</f>
        <v>36294.53</v>
      </c>
      <c r="I309" s="10">
        <f t="shared" si="19"/>
        <v>5.5869744946926226E-3</v>
      </c>
    </row>
    <row r="310" spans="1:9" ht="14.25" customHeight="1" x14ac:dyDescent="0.3">
      <c r="A310" s="8">
        <f>'ICICI PRUDENTIAL MULTICAP FUND'!A310</f>
        <v>45800</v>
      </c>
      <c r="B310" s="9">
        <f>'ICICI PRUDENTIAL MULTICAP FUND'!B310</f>
        <v>782.62</v>
      </c>
      <c r="C310" s="10">
        <f t="shared" si="16"/>
        <v>6.8182987701332198E-3</v>
      </c>
      <c r="D310" s="9">
        <f>'QUANT ACTIVE FUND'!B310</f>
        <v>619.60199999999998</v>
      </c>
      <c r="E310" s="10">
        <f t="shared" si="17"/>
        <v>3.6673588860559533E-3</v>
      </c>
      <c r="F310" s="9">
        <f>'NIPPON INDIA '!B310</f>
        <v>290.50099999999998</v>
      </c>
      <c r="G310" s="10">
        <f t="shared" si="18"/>
        <v>7.7252891346426501E-3</v>
      </c>
      <c r="H310" s="9">
        <f>'NIFTY500 TRI'!B310</f>
        <v>36092.879999999997</v>
      </c>
      <c r="I310" s="10">
        <f t="shared" si="19"/>
        <v>8.2646521233744399E-3</v>
      </c>
    </row>
    <row r="311" spans="1:9" ht="14.25" customHeight="1" x14ac:dyDescent="0.3">
      <c r="A311" s="8">
        <f>'ICICI PRUDENTIAL MULTICAP FUND'!A311</f>
        <v>45799</v>
      </c>
      <c r="B311" s="9">
        <f>'ICICI PRUDENTIAL MULTICAP FUND'!B311</f>
        <v>777.32</v>
      </c>
      <c r="C311" s="10">
        <f t="shared" si="16"/>
        <v>-3.3336752487433444E-3</v>
      </c>
      <c r="D311" s="9">
        <f>'QUANT ACTIVE FUND'!B311</f>
        <v>617.33799999999997</v>
      </c>
      <c r="E311" s="10">
        <f t="shared" si="17"/>
        <v>-6.7925863955209161E-3</v>
      </c>
      <c r="F311" s="9">
        <f>'NIPPON INDIA '!B311</f>
        <v>288.274</v>
      </c>
      <c r="G311" s="10">
        <f t="shared" si="18"/>
        <v>-2.7260587693989902E-3</v>
      </c>
      <c r="H311" s="9">
        <f>'NIFTY500 TRI'!B311</f>
        <v>35797.03</v>
      </c>
      <c r="I311" s="10">
        <f t="shared" si="19"/>
        <v>-5.9335142054999842E-3</v>
      </c>
    </row>
    <row r="312" spans="1:9" ht="14.25" customHeight="1" x14ac:dyDescent="0.3">
      <c r="A312" s="8">
        <f>'ICICI PRUDENTIAL MULTICAP FUND'!A312</f>
        <v>45798</v>
      </c>
      <c r="B312" s="9">
        <f>'ICICI PRUDENTIAL MULTICAP FUND'!B312</f>
        <v>779.92</v>
      </c>
      <c r="C312" s="10">
        <f t="shared" si="16"/>
        <v>6.0238632699128785E-3</v>
      </c>
      <c r="D312" s="9">
        <f>'QUANT ACTIVE FUND'!B312</f>
        <v>621.55999999999995</v>
      </c>
      <c r="E312" s="10">
        <f t="shared" si="17"/>
        <v>4.6453289714005327E-3</v>
      </c>
      <c r="F312" s="9">
        <f>'NIPPON INDIA '!B312</f>
        <v>289.06200000000001</v>
      </c>
      <c r="G312" s="10">
        <f t="shared" si="18"/>
        <v>8.182312811283652E-3</v>
      </c>
      <c r="H312" s="9">
        <f>'NIFTY500 TRI'!B312</f>
        <v>36010.699999999997</v>
      </c>
      <c r="I312" s="10">
        <f t="shared" si="19"/>
        <v>6.4302966242618057E-3</v>
      </c>
    </row>
    <row r="313" spans="1:9" ht="14.25" customHeight="1" x14ac:dyDescent="0.3">
      <c r="A313" s="8">
        <f>'ICICI PRUDENTIAL MULTICAP FUND'!A313</f>
        <v>45797</v>
      </c>
      <c r="B313" s="9">
        <f>'ICICI PRUDENTIAL MULTICAP FUND'!B313</f>
        <v>775.25</v>
      </c>
      <c r="C313" s="10">
        <f t="shared" si="16"/>
        <v>-8.8851956021478457E-3</v>
      </c>
      <c r="D313" s="9">
        <f>'QUANT ACTIVE FUND'!B313</f>
        <v>618.68600000000004</v>
      </c>
      <c r="E313" s="10">
        <f t="shared" si="17"/>
        <v>-1.1007525912285024E-2</v>
      </c>
      <c r="F313" s="9">
        <f>'NIPPON INDIA '!B313</f>
        <v>286.71600000000001</v>
      </c>
      <c r="G313" s="10">
        <f t="shared" si="18"/>
        <v>-1.2825324248298161E-2</v>
      </c>
      <c r="H313" s="9">
        <f>'NIFTY500 TRI'!B313</f>
        <v>35780.620000000003</v>
      </c>
      <c r="I313" s="10">
        <f t="shared" si="19"/>
        <v>-1.2254130627541627E-2</v>
      </c>
    </row>
    <row r="314" spans="1:9" ht="14.25" customHeight="1" x14ac:dyDescent="0.3">
      <c r="A314" s="8">
        <f>'ICICI PRUDENTIAL MULTICAP FUND'!A314</f>
        <v>45796</v>
      </c>
      <c r="B314" s="9">
        <f>'ICICI PRUDENTIAL MULTICAP FUND'!B314</f>
        <v>782.2</v>
      </c>
      <c r="C314" s="10">
        <f t="shared" si="16"/>
        <v>2.0459311544177006E-4</v>
      </c>
      <c r="D314" s="9">
        <f>'QUANT ACTIVE FUND'!B314</f>
        <v>625.572</v>
      </c>
      <c r="E314" s="10">
        <f t="shared" si="17"/>
        <v>3.6934233959600511E-3</v>
      </c>
      <c r="F314" s="9">
        <f>'NIPPON INDIA '!B314</f>
        <v>290.44099999999997</v>
      </c>
      <c r="G314" s="10">
        <f t="shared" si="18"/>
        <v>4.6906619160454353E-3</v>
      </c>
      <c r="H314" s="9">
        <f>'NIFTY500 TRI'!B314</f>
        <v>36224.519999999997</v>
      </c>
      <c r="I314" s="10">
        <f t="shared" si="19"/>
        <v>-2.2327952637151403E-4</v>
      </c>
    </row>
    <row r="315" spans="1:9" ht="14.25" customHeight="1" x14ac:dyDescent="0.3">
      <c r="A315" s="8">
        <f>'ICICI PRUDENTIAL MULTICAP FUND'!A315</f>
        <v>45793</v>
      </c>
      <c r="B315" s="9">
        <f>'ICICI PRUDENTIAL MULTICAP FUND'!B315</f>
        <v>782.04</v>
      </c>
      <c r="C315" s="10">
        <f t="shared" si="16"/>
        <v>4.4568889117226626E-3</v>
      </c>
      <c r="D315" s="9">
        <f>'QUANT ACTIVE FUND'!B315</f>
        <v>623.27</v>
      </c>
      <c r="E315" s="10">
        <f t="shared" si="17"/>
        <v>1.1017424790503522E-2</v>
      </c>
      <c r="F315" s="9">
        <f>'NIPPON INDIA '!B315</f>
        <v>289.08499999999998</v>
      </c>
      <c r="G315" s="10">
        <f t="shared" si="18"/>
        <v>7.9812828630803339E-3</v>
      </c>
      <c r="H315" s="9">
        <f>'NIFTY500 TRI'!B315</f>
        <v>36232.61</v>
      </c>
      <c r="I315" s="10">
        <f t="shared" si="19"/>
        <v>3.9339850814464365E-3</v>
      </c>
    </row>
    <row r="316" spans="1:9" ht="14.25" customHeight="1" x14ac:dyDescent="0.3">
      <c r="A316" s="8">
        <f>'ICICI PRUDENTIAL MULTICAP FUND'!A316</f>
        <v>45792</v>
      </c>
      <c r="B316" s="9">
        <f>'ICICI PRUDENTIAL MULTICAP FUND'!B316</f>
        <v>778.57</v>
      </c>
      <c r="C316" s="10">
        <f t="shared" si="16"/>
        <v>1.0486833054290179E-2</v>
      </c>
      <c r="D316" s="9">
        <f>'QUANT ACTIVE FUND'!B316</f>
        <v>616.47799999999995</v>
      </c>
      <c r="E316" s="10">
        <f t="shared" si="17"/>
        <v>8.3368635924243317E-3</v>
      </c>
      <c r="F316" s="9">
        <f>'NIPPON INDIA '!B316</f>
        <v>286.79599999999999</v>
      </c>
      <c r="G316" s="10">
        <f t="shared" si="18"/>
        <v>1.0713429848179495E-2</v>
      </c>
      <c r="H316" s="9">
        <f>'NIFTY500 TRI'!B316</f>
        <v>36090.629999999997</v>
      </c>
      <c r="I316" s="10">
        <f t="shared" si="19"/>
        <v>1.2863620532736214E-2</v>
      </c>
    </row>
    <row r="317" spans="1:9" ht="14.25" customHeight="1" x14ac:dyDescent="0.3">
      <c r="A317" s="8">
        <f>'ICICI PRUDENTIAL MULTICAP FUND'!A317</f>
        <v>45791</v>
      </c>
      <c r="B317" s="9">
        <f>'ICICI PRUDENTIAL MULTICAP FUND'!B317</f>
        <v>770.49</v>
      </c>
      <c r="C317" s="10">
        <f t="shared" si="16"/>
        <v>7.9274753738080139E-3</v>
      </c>
      <c r="D317" s="9">
        <f>'QUANT ACTIVE FUND'!B317</f>
        <v>611.38099999999997</v>
      </c>
      <c r="E317" s="10">
        <f t="shared" si="17"/>
        <v>5.4847824013313506E-3</v>
      </c>
      <c r="F317" s="9">
        <f>'NIPPON INDIA '!B317</f>
        <v>283.75599999999997</v>
      </c>
      <c r="G317" s="10">
        <f t="shared" si="18"/>
        <v>9.3265133352776856E-3</v>
      </c>
      <c r="H317" s="9">
        <f>'NIFTY500 TRI'!B317</f>
        <v>35632.269999999997</v>
      </c>
      <c r="I317" s="10">
        <f t="shared" si="19"/>
        <v>6.7336385833279494E-3</v>
      </c>
    </row>
    <row r="318" spans="1:9" ht="14.25" customHeight="1" x14ac:dyDescent="0.3">
      <c r="A318" s="8">
        <f>'ICICI PRUDENTIAL MULTICAP FUND'!A318</f>
        <v>45790</v>
      </c>
      <c r="B318" s="9">
        <f>'ICICI PRUDENTIAL MULTICAP FUND'!B318</f>
        <v>764.43</v>
      </c>
      <c r="C318" s="10">
        <f t="shared" si="16"/>
        <v>-3.2077612173845487E-3</v>
      </c>
      <c r="D318" s="9">
        <f>'QUANT ACTIVE FUND'!B318</f>
        <v>608.04600000000005</v>
      </c>
      <c r="E318" s="10">
        <f t="shared" si="17"/>
        <v>5.3807763127366125E-4</v>
      </c>
      <c r="F318" s="9">
        <f>'NIPPON INDIA '!B318</f>
        <v>281.13400000000001</v>
      </c>
      <c r="G318" s="10">
        <f t="shared" si="18"/>
        <v>-2.6394397576255378E-3</v>
      </c>
      <c r="H318" s="9">
        <f>'NIFTY500 TRI'!B318</f>
        <v>35393.94</v>
      </c>
      <c r="I318" s="10">
        <f t="shared" si="19"/>
        <v>-7.1826086956521089E-3</v>
      </c>
    </row>
    <row r="319" spans="1:9" ht="14.25" customHeight="1" x14ac:dyDescent="0.3">
      <c r="A319" s="8">
        <f>'ICICI PRUDENTIAL MULTICAP FUND'!A319</f>
        <v>45789</v>
      </c>
      <c r="B319" s="9">
        <f>'ICICI PRUDENTIAL MULTICAP FUND'!B319</f>
        <v>766.89</v>
      </c>
      <c r="C319" s="10">
        <f t="shared" si="16"/>
        <v>3.0530658317320006E-2</v>
      </c>
      <c r="D319" s="9">
        <f>'QUANT ACTIVE FUND'!B319</f>
        <v>607.71900000000005</v>
      </c>
      <c r="E319" s="10">
        <f t="shared" si="17"/>
        <v>3.9624946112947278E-2</v>
      </c>
      <c r="F319" s="9">
        <f>'NIPPON INDIA '!B319</f>
        <v>281.87799999999999</v>
      </c>
      <c r="G319" s="10">
        <f t="shared" si="18"/>
        <v>3.5703131602250082E-2</v>
      </c>
      <c r="H319" s="9">
        <f>'NIFTY500 TRI'!B319</f>
        <v>35650</v>
      </c>
      <c r="I319" s="10">
        <f t="shared" si="19"/>
        <v>3.8560150694640805E-2</v>
      </c>
    </row>
    <row r="320" spans="1:9" ht="14.25" customHeight="1" x14ac:dyDescent="0.3">
      <c r="A320" s="8">
        <f>'ICICI PRUDENTIAL MULTICAP FUND'!A320</f>
        <v>45786</v>
      </c>
      <c r="B320" s="9">
        <f>'ICICI PRUDENTIAL MULTICAP FUND'!B320</f>
        <v>744.17</v>
      </c>
      <c r="C320" s="10">
        <f t="shared" si="16"/>
        <v>-5.2400112285955871E-3</v>
      </c>
      <c r="D320" s="9">
        <f>'QUANT ACTIVE FUND'!B320</f>
        <v>584.55600000000004</v>
      </c>
      <c r="E320" s="10">
        <f t="shared" si="17"/>
        <v>-5.0584823191405E-3</v>
      </c>
      <c r="F320" s="9">
        <f>'NIPPON INDIA '!B320</f>
        <v>272.161</v>
      </c>
      <c r="G320" s="10">
        <f t="shared" si="18"/>
        <v>-6.2692147598565227E-3</v>
      </c>
      <c r="H320" s="9">
        <f>'NIFTY500 TRI'!B320</f>
        <v>34326.370000000003</v>
      </c>
      <c r="I320" s="10">
        <f t="shared" si="19"/>
        <v>-7.6387804779331943E-3</v>
      </c>
    </row>
    <row r="321" spans="1:9" ht="14.25" customHeight="1" x14ac:dyDescent="0.3">
      <c r="A321" s="8">
        <f>'ICICI PRUDENTIAL MULTICAP FUND'!A321</f>
        <v>45785</v>
      </c>
      <c r="B321" s="9">
        <f>'ICICI PRUDENTIAL MULTICAP FUND'!B321</f>
        <v>748.09</v>
      </c>
      <c r="C321" s="10">
        <f t="shared" si="16"/>
        <v>-9.0079349309170279E-3</v>
      </c>
      <c r="D321" s="9">
        <f>'QUANT ACTIVE FUND'!B321</f>
        <v>587.52800000000002</v>
      </c>
      <c r="E321" s="10">
        <f t="shared" si="17"/>
        <v>-9.7920578152755188E-3</v>
      </c>
      <c r="F321" s="9">
        <f>'NIPPON INDIA '!B321</f>
        <v>273.87799999999999</v>
      </c>
      <c r="G321" s="10">
        <f t="shared" si="18"/>
        <v>-1.0645714801770081E-2</v>
      </c>
      <c r="H321" s="9">
        <f>'NIFTY500 TRI'!B321</f>
        <v>34590.6</v>
      </c>
      <c r="I321" s="10">
        <f t="shared" si="19"/>
        <v>-1.0391991266195588E-2</v>
      </c>
    </row>
    <row r="322" spans="1:9" ht="14.25" customHeight="1" x14ac:dyDescent="0.3">
      <c r="A322" s="8">
        <f>'ICICI PRUDENTIAL MULTICAP FUND'!A322</f>
        <v>45784</v>
      </c>
      <c r="B322" s="9">
        <f>'ICICI PRUDENTIAL MULTICAP FUND'!B322</f>
        <v>754.89</v>
      </c>
      <c r="C322" s="10">
        <f t="shared" ref="C322:C385" si="20">(B322-B323)/B323</f>
        <v>4.4307839693438194E-3</v>
      </c>
      <c r="D322" s="9">
        <f>'QUANT ACTIVE FUND'!B322</f>
        <v>593.33799999999997</v>
      </c>
      <c r="E322" s="10">
        <f t="shared" ref="E322:E385" si="21">(D322-D323)/D323</f>
        <v>3.7386149869400916E-3</v>
      </c>
      <c r="F322" s="9">
        <f>'NIPPON INDIA '!B322</f>
        <v>276.82499999999999</v>
      </c>
      <c r="G322" s="10">
        <f t="shared" ref="G322:G385" si="22">(F322-F323)/F323</f>
        <v>1.0277034695940549E-2</v>
      </c>
      <c r="H322" s="9">
        <f>'NIFTY500 TRI'!B322</f>
        <v>34953.839999999997</v>
      </c>
      <c r="I322" s="10">
        <f t="shared" ref="I322:I385" si="23">(H322-H323)/H323</f>
        <v>5.2844254114885478E-3</v>
      </c>
    </row>
    <row r="323" spans="1:9" ht="14.25" customHeight="1" x14ac:dyDescent="0.3">
      <c r="A323" s="8">
        <f>'ICICI PRUDENTIAL MULTICAP FUND'!A323</f>
        <v>45783</v>
      </c>
      <c r="B323" s="9">
        <f>'ICICI PRUDENTIAL MULTICAP FUND'!B323</f>
        <v>751.56</v>
      </c>
      <c r="C323" s="10">
        <f t="shared" si="20"/>
        <v>-1.1651455774440459E-2</v>
      </c>
      <c r="D323" s="9">
        <f>'QUANT ACTIVE FUND'!B323</f>
        <v>591.12800000000004</v>
      </c>
      <c r="E323" s="10">
        <f t="shared" si="21"/>
        <v>-1.9873523081871736E-2</v>
      </c>
      <c r="F323" s="9">
        <f>'NIPPON INDIA '!B323</f>
        <v>274.00900000000001</v>
      </c>
      <c r="G323" s="10">
        <f t="shared" si="22"/>
        <v>-1.5432764171553263E-2</v>
      </c>
      <c r="H323" s="9">
        <f>'NIFTY500 TRI'!B323</f>
        <v>34770.1</v>
      </c>
      <c r="I323" s="10">
        <f t="shared" si="23"/>
        <v>-1.0747738269129387E-2</v>
      </c>
    </row>
    <row r="324" spans="1:9" ht="14.25" customHeight="1" x14ac:dyDescent="0.3">
      <c r="A324" s="8">
        <f>'ICICI PRUDENTIAL MULTICAP FUND'!A324</f>
        <v>45782</v>
      </c>
      <c r="B324" s="9">
        <f>'ICICI PRUDENTIAL MULTICAP FUND'!B324</f>
        <v>760.42</v>
      </c>
      <c r="C324" s="10">
        <f t="shared" si="20"/>
        <v>4.3188271808756286E-3</v>
      </c>
      <c r="D324" s="9">
        <f>'QUANT ACTIVE FUND'!B324</f>
        <v>603.11400000000003</v>
      </c>
      <c r="E324" s="10">
        <f t="shared" si="21"/>
        <v>1.5584507433582711E-2</v>
      </c>
      <c r="F324" s="9">
        <f>'NIPPON INDIA '!B324</f>
        <v>278.30399999999997</v>
      </c>
      <c r="G324" s="10">
        <f t="shared" si="22"/>
        <v>8.7864288821225822E-3</v>
      </c>
      <c r="H324" s="9">
        <f>'NIFTY500 TRI'!B324</f>
        <v>35147.86</v>
      </c>
      <c r="I324" s="10">
        <f t="shared" si="23"/>
        <v>8.5966940118709367E-3</v>
      </c>
    </row>
    <row r="325" spans="1:9" ht="14.25" customHeight="1" x14ac:dyDescent="0.3">
      <c r="A325" s="8">
        <f>'ICICI PRUDENTIAL MULTICAP FUND'!A325</f>
        <v>45779</v>
      </c>
      <c r="B325" s="9">
        <f>'ICICI PRUDENTIAL MULTICAP FUND'!B325</f>
        <v>757.15</v>
      </c>
      <c r="C325" s="10">
        <f t="shared" si="20"/>
        <v>-3.5647329090858683E-4</v>
      </c>
      <c r="D325" s="9">
        <f>'QUANT ACTIVE FUND'!B325</f>
        <v>593.85900000000004</v>
      </c>
      <c r="E325" s="10">
        <f t="shared" si="21"/>
        <v>-2.6183286363528967E-3</v>
      </c>
      <c r="F325" s="9">
        <f>'NIPPON INDIA '!B325</f>
        <v>275.88</v>
      </c>
      <c r="G325" s="10">
        <f t="shared" si="22"/>
        <v>-4.239176512788858E-4</v>
      </c>
      <c r="H325" s="9">
        <f>'NIFTY500 TRI'!B325</f>
        <v>34848.28</v>
      </c>
      <c r="I325" s="10">
        <f t="shared" si="23"/>
        <v>-1.0835267246994476E-3</v>
      </c>
    </row>
    <row r="326" spans="1:9" ht="14.25" customHeight="1" x14ac:dyDescent="0.3">
      <c r="A326" s="8">
        <f>'ICICI PRUDENTIAL MULTICAP FUND'!A326</f>
        <v>45777</v>
      </c>
      <c r="B326" s="9">
        <f>'ICICI PRUDENTIAL MULTICAP FUND'!B326</f>
        <v>757.42</v>
      </c>
      <c r="C326" s="10">
        <f t="shared" si="20"/>
        <v>-2.659854629727293E-3</v>
      </c>
      <c r="D326" s="9">
        <f>'QUANT ACTIVE FUND'!B326</f>
        <v>595.41800000000001</v>
      </c>
      <c r="E326" s="10">
        <f t="shared" si="21"/>
        <v>-7.4232626681402748E-3</v>
      </c>
      <c r="F326" s="9">
        <f>'NIPPON INDIA '!B326</f>
        <v>275.99700000000001</v>
      </c>
      <c r="G326" s="10">
        <f t="shared" si="22"/>
        <v>-7.8438703137187205E-3</v>
      </c>
      <c r="H326" s="9">
        <f>'NIFTY500 TRI'!B326</f>
        <v>34886.080000000002</v>
      </c>
      <c r="I326" s="10">
        <f t="shared" si="23"/>
        <v>-3.7208311426912858E-3</v>
      </c>
    </row>
    <row r="327" spans="1:9" ht="14.25" customHeight="1" x14ac:dyDescent="0.3">
      <c r="A327" s="8">
        <f>'ICICI PRUDENTIAL MULTICAP FUND'!A327</f>
        <v>45776</v>
      </c>
      <c r="B327" s="9">
        <f>'ICICI PRUDENTIAL MULTICAP FUND'!B327</f>
        <v>759.44</v>
      </c>
      <c r="C327" s="10">
        <f t="shared" si="20"/>
        <v>6.3244439759673518E-4</v>
      </c>
      <c r="D327" s="9">
        <f>'QUANT ACTIVE FUND'!B327</f>
        <v>599.87099999999998</v>
      </c>
      <c r="E327" s="10">
        <f t="shared" si="21"/>
        <v>-2.3001925974713484E-3</v>
      </c>
      <c r="F327" s="9">
        <f>'NIPPON INDIA '!B327</f>
        <v>278.17899999999997</v>
      </c>
      <c r="G327" s="10">
        <f t="shared" si="22"/>
        <v>2.7901443737495756E-3</v>
      </c>
      <c r="H327" s="9">
        <f>'NIFTY500 TRI'!B327</f>
        <v>35016.370000000003</v>
      </c>
      <c r="I327" s="10">
        <f t="shared" si="23"/>
        <v>4.8172102980871962E-4</v>
      </c>
    </row>
    <row r="328" spans="1:9" ht="14.25" customHeight="1" x14ac:dyDescent="0.3">
      <c r="A328" s="8">
        <f>'ICICI PRUDENTIAL MULTICAP FUND'!A328</f>
        <v>45775</v>
      </c>
      <c r="B328" s="9">
        <f>'ICICI PRUDENTIAL MULTICAP FUND'!B328</f>
        <v>758.96</v>
      </c>
      <c r="C328" s="10">
        <f t="shared" si="20"/>
        <v>9.9805711548186186E-3</v>
      </c>
      <c r="D328" s="9">
        <f>'QUANT ACTIVE FUND'!B328</f>
        <v>601.25400000000002</v>
      </c>
      <c r="E328" s="10">
        <f t="shared" si="21"/>
        <v>1.4509284490977123E-2</v>
      </c>
      <c r="F328" s="9">
        <f>'NIPPON INDIA '!B328</f>
        <v>277.40499999999997</v>
      </c>
      <c r="G328" s="10">
        <f t="shared" si="22"/>
        <v>9.2666031187011791E-3</v>
      </c>
      <c r="H328" s="9">
        <f>'NIFTY500 TRI'!B328</f>
        <v>34999.51</v>
      </c>
      <c r="I328" s="10">
        <f t="shared" si="23"/>
        <v>1.1717588089315695E-2</v>
      </c>
    </row>
    <row r="329" spans="1:9" ht="14.25" customHeight="1" x14ac:dyDescent="0.3">
      <c r="A329" s="8">
        <f>'ICICI PRUDENTIAL MULTICAP FUND'!A329</f>
        <v>45772</v>
      </c>
      <c r="B329" s="9">
        <f>'ICICI PRUDENTIAL MULTICAP FUND'!B329</f>
        <v>751.46</v>
      </c>
      <c r="C329" s="10">
        <f t="shared" si="20"/>
        <v>-1.3443612970985964E-2</v>
      </c>
      <c r="D329" s="9">
        <f>'QUANT ACTIVE FUND'!B329</f>
        <v>592.65499999999997</v>
      </c>
      <c r="E329" s="10">
        <f t="shared" si="21"/>
        <v>-2.2324757336007996E-2</v>
      </c>
      <c r="F329" s="9">
        <f>'NIPPON INDIA '!B329</f>
        <v>274.858</v>
      </c>
      <c r="G329" s="10">
        <f t="shared" si="22"/>
        <v>-1.7820579249227333E-2</v>
      </c>
      <c r="H329" s="9">
        <f>'NIFTY500 TRI'!B329</f>
        <v>34594.15</v>
      </c>
      <c r="I329" s="10">
        <f t="shared" si="23"/>
        <v>-1.497575462484438E-2</v>
      </c>
    </row>
    <row r="330" spans="1:9" ht="14.25" customHeight="1" x14ac:dyDescent="0.3">
      <c r="A330" s="8">
        <f>'ICICI PRUDENTIAL MULTICAP FUND'!A330</f>
        <v>45771</v>
      </c>
      <c r="B330" s="9">
        <f>'ICICI PRUDENTIAL MULTICAP FUND'!B330</f>
        <v>761.7</v>
      </c>
      <c r="C330" s="10">
        <f t="shared" si="20"/>
        <v>-2.5535258298958054E-3</v>
      </c>
      <c r="D330" s="9">
        <f>'QUANT ACTIVE FUND'!B330</f>
        <v>606.18799999999999</v>
      </c>
      <c r="E330" s="10">
        <f t="shared" si="21"/>
        <v>-4.9959521245986711E-4</v>
      </c>
      <c r="F330" s="9">
        <f>'NIPPON INDIA '!B330</f>
        <v>279.84500000000003</v>
      </c>
      <c r="G330" s="10">
        <f t="shared" si="22"/>
        <v>-1.0887024808136712E-3</v>
      </c>
      <c r="H330" s="9">
        <f>'NIFTY500 TRI'!B330</f>
        <v>35120.1</v>
      </c>
      <c r="I330" s="10">
        <f t="shared" si="23"/>
        <v>-2.5609005554344871E-3</v>
      </c>
    </row>
    <row r="331" spans="1:9" ht="14.25" customHeight="1" x14ac:dyDescent="0.3">
      <c r="A331" s="8">
        <f>'ICICI PRUDENTIAL MULTICAP FUND'!A331</f>
        <v>45770</v>
      </c>
      <c r="B331" s="9">
        <f>'ICICI PRUDENTIAL MULTICAP FUND'!B331</f>
        <v>763.65</v>
      </c>
      <c r="C331" s="10">
        <f t="shared" si="20"/>
        <v>7.1747932630800712E-3</v>
      </c>
      <c r="D331" s="9">
        <f>'QUANT ACTIVE FUND'!B331</f>
        <v>606.49099999999999</v>
      </c>
      <c r="E331" s="10">
        <f t="shared" si="21"/>
        <v>7.4166232023202194E-3</v>
      </c>
      <c r="F331" s="9">
        <f>'NIPPON INDIA '!B331</f>
        <v>280.14999999999998</v>
      </c>
      <c r="G331" s="10">
        <f t="shared" si="22"/>
        <v>4.4422772855856382E-3</v>
      </c>
      <c r="H331" s="9">
        <f>'NIFTY500 TRI'!B331</f>
        <v>35210.269999999997</v>
      </c>
      <c r="I331" s="10">
        <f t="shared" si="23"/>
        <v>6.9084658304327225E-3</v>
      </c>
    </row>
    <row r="332" spans="1:9" ht="14.25" customHeight="1" x14ac:dyDescent="0.3">
      <c r="A332" s="8">
        <f>'ICICI PRUDENTIAL MULTICAP FUND'!A332</f>
        <v>45769</v>
      </c>
      <c r="B332" s="9">
        <f>'ICICI PRUDENTIAL MULTICAP FUND'!B332</f>
        <v>758.21</v>
      </c>
      <c r="C332" s="10">
        <f t="shared" si="20"/>
        <v>1.9160632168719878E-3</v>
      </c>
      <c r="D332" s="9">
        <f>'QUANT ACTIVE FUND'!B332</f>
        <v>602.02599999999995</v>
      </c>
      <c r="E332" s="10">
        <f t="shared" si="21"/>
        <v>2.3125448482194905E-3</v>
      </c>
      <c r="F332" s="9">
        <f>'NIPPON INDIA '!B332</f>
        <v>278.911</v>
      </c>
      <c r="G332" s="10">
        <f t="shared" si="22"/>
        <v>4.7226224783860895E-3</v>
      </c>
      <c r="H332" s="9">
        <f>'NIFTY500 TRI'!B332</f>
        <v>34968.69</v>
      </c>
      <c r="I332" s="10">
        <f t="shared" si="23"/>
        <v>3.6099166229226786E-3</v>
      </c>
    </row>
    <row r="333" spans="1:9" ht="14.25" customHeight="1" x14ac:dyDescent="0.3">
      <c r="A333" s="8">
        <f>'ICICI PRUDENTIAL MULTICAP FUND'!A333</f>
        <v>45768</v>
      </c>
      <c r="B333" s="9">
        <f>'ICICI PRUDENTIAL MULTICAP FUND'!B333</f>
        <v>756.76</v>
      </c>
      <c r="C333" s="10">
        <f t="shared" si="20"/>
        <v>1.1211031976161506E-2</v>
      </c>
      <c r="D333" s="9">
        <f>'QUANT ACTIVE FUND'!B333</f>
        <v>600.63699999999994</v>
      </c>
      <c r="E333" s="10">
        <f t="shared" si="21"/>
        <v>9.4077867165008617E-3</v>
      </c>
      <c r="F333" s="9">
        <f>'NIPPON INDIA '!B333</f>
        <v>277.60000000000002</v>
      </c>
      <c r="G333" s="10">
        <f t="shared" si="22"/>
        <v>1.6484924825520542E-2</v>
      </c>
      <c r="H333" s="9">
        <f>'NIFTY500 TRI'!B333</f>
        <v>34842.910000000003</v>
      </c>
      <c r="I333" s="10">
        <f t="shared" si="23"/>
        <v>1.4952993890400107E-2</v>
      </c>
    </row>
    <row r="334" spans="1:9" ht="14.25" customHeight="1" x14ac:dyDescent="0.3">
      <c r="A334" s="8">
        <f>'ICICI PRUDENTIAL MULTICAP FUND'!A334</f>
        <v>45764</v>
      </c>
      <c r="B334" s="9">
        <f>'ICICI PRUDENTIAL MULTICAP FUND'!B334</f>
        <v>748.37</v>
      </c>
      <c r="C334" s="10">
        <f t="shared" si="20"/>
        <v>1.0546073241871097E-2</v>
      </c>
      <c r="D334" s="9">
        <f>'QUANT ACTIVE FUND'!B334</f>
        <v>595.03899999999999</v>
      </c>
      <c r="E334" s="10">
        <f t="shared" si="21"/>
        <v>8.6859971351805326E-3</v>
      </c>
      <c r="F334" s="9">
        <f>'NIPPON INDIA '!B334</f>
        <v>273.09800000000001</v>
      </c>
      <c r="G334" s="10">
        <f t="shared" si="22"/>
        <v>1.0500999037963525E-2</v>
      </c>
      <c r="H334" s="9">
        <f>'NIFTY500 TRI'!B334</f>
        <v>34329.58</v>
      </c>
      <c r="I334" s="10">
        <f t="shared" si="23"/>
        <v>1.2948669754629253E-2</v>
      </c>
    </row>
    <row r="335" spans="1:9" ht="14.25" customHeight="1" x14ac:dyDescent="0.3">
      <c r="A335" s="8">
        <f>'ICICI PRUDENTIAL MULTICAP FUND'!A335</f>
        <v>45763</v>
      </c>
      <c r="B335" s="9">
        <f>'ICICI PRUDENTIAL MULTICAP FUND'!B335</f>
        <v>740.56</v>
      </c>
      <c r="C335" s="10">
        <f t="shared" si="20"/>
        <v>6.3734083465828758E-3</v>
      </c>
      <c r="D335" s="9">
        <f>'QUANT ACTIVE FUND'!B335</f>
        <v>589.91499999999996</v>
      </c>
      <c r="E335" s="10">
        <f t="shared" si="21"/>
        <v>9.9969866935123875E-3</v>
      </c>
      <c r="F335" s="9">
        <f>'NIPPON INDIA '!B335</f>
        <v>270.26</v>
      </c>
      <c r="G335" s="10">
        <f t="shared" si="22"/>
        <v>6.6411647925148729E-3</v>
      </c>
      <c r="H335" s="9">
        <f>'NIFTY500 TRI'!B335</f>
        <v>33890.74</v>
      </c>
      <c r="I335" s="10">
        <f t="shared" si="23"/>
        <v>5.8748456643554423E-3</v>
      </c>
    </row>
    <row r="336" spans="1:9" ht="14.25" customHeight="1" x14ac:dyDescent="0.3">
      <c r="A336" s="8">
        <f>'ICICI PRUDENTIAL MULTICAP FUND'!A336</f>
        <v>45762</v>
      </c>
      <c r="B336" s="9">
        <f>'ICICI PRUDENTIAL MULTICAP FUND'!B336</f>
        <v>735.87</v>
      </c>
      <c r="C336" s="10">
        <f t="shared" si="20"/>
        <v>2.2581362385703567E-2</v>
      </c>
      <c r="D336" s="9">
        <f>'QUANT ACTIVE FUND'!B336</f>
        <v>584.07600000000002</v>
      </c>
      <c r="E336" s="10">
        <f t="shared" si="21"/>
        <v>2.7163533404850299E-2</v>
      </c>
      <c r="F336" s="9">
        <f>'NIPPON INDIA '!B336</f>
        <v>268.47699999999998</v>
      </c>
      <c r="G336" s="10">
        <f t="shared" si="22"/>
        <v>2.7804788411034544E-2</v>
      </c>
      <c r="H336" s="9">
        <f>'NIFTY500 TRI'!B336</f>
        <v>33692.800000000003</v>
      </c>
      <c r="I336" s="10">
        <f t="shared" si="23"/>
        <v>2.5371030821570918E-2</v>
      </c>
    </row>
    <row r="337" spans="1:9" ht="14.25" customHeight="1" x14ac:dyDescent="0.3">
      <c r="A337" s="8">
        <f>'ICICI PRUDENTIAL MULTICAP FUND'!A337</f>
        <v>45758</v>
      </c>
      <c r="B337" s="9">
        <f>'ICICI PRUDENTIAL MULTICAP FUND'!B337</f>
        <v>719.62</v>
      </c>
      <c r="C337" s="10">
        <f t="shared" si="20"/>
        <v>1.6814559430283128E-2</v>
      </c>
      <c r="D337" s="9">
        <f>'QUANT ACTIVE FUND'!B337</f>
        <v>568.63</v>
      </c>
      <c r="E337" s="10">
        <f t="shared" si="21"/>
        <v>1.6474382121291223E-2</v>
      </c>
      <c r="F337" s="9">
        <f>'NIPPON INDIA '!B337</f>
        <v>261.214</v>
      </c>
      <c r="G337" s="10">
        <f t="shared" si="22"/>
        <v>1.9495041351343986E-2</v>
      </c>
      <c r="H337" s="9">
        <f>'NIFTY500 TRI'!B337</f>
        <v>32859.129999999997</v>
      </c>
      <c r="I337" s="10">
        <f t="shared" si="23"/>
        <v>1.9461179094225303E-2</v>
      </c>
    </row>
    <row r="338" spans="1:9" ht="14.25" customHeight="1" x14ac:dyDescent="0.3">
      <c r="A338" s="8">
        <f>'ICICI PRUDENTIAL MULTICAP FUND'!A338</f>
        <v>45756</v>
      </c>
      <c r="B338" s="9">
        <f>'ICICI PRUDENTIAL MULTICAP FUND'!B338</f>
        <v>707.72</v>
      </c>
      <c r="C338" s="10">
        <f t="shared" si="20"/>
        <v>-5.0889869823150732E-3</v>
      </c>
      <c r="D338" s="9">
        <f>'QUANT ACTIVE FUND'!B338</f>
        <v>559.41399999999999</v>
      </c>
      <c r="E338" s="10">
        <f t="shared" si="21"/>
        <v>-7.5610811884842654E-3</v>
      </c>
      <c r="F338" s="9">
        <f>'NIPPON INDIA '!B338</f>
        <v>256.21899999999999</v>
      </c>
      <c r="G338" s="10">
        <f t="shared" si="22"/>
        <v>-7.8068426046044087E-3</v>
      </c>
      <c r="H338" s="9">
        <f>'NIFTY500 TRI'!B338</f>
        <v>32231.86</v>
      </c>
      <c r="I338" s="10">
        <f t="shared" si="23"/>
        <v>-6.0564458284224259E-3</v>
      </c>
    </row>
    <row r="339" spans="1:9" ht="14.25" customHeight="1" x14ac:dyDescent="0.3">
      <c r="A339" s="8">
        <f>'ICICI PRUDENTIAL MULTICAP FUND'!A339</f>
        <v>45755</v>
      </c>
      <c r="B339" s="9">
        <f>'ICICI PRUDENTIAL MULTICAP FUND'!B339</f>
        <v>711.34</v>
      </c>
      <c r="C339" s="10">
        <f t="shared" si="20"/>
        <v>1.6200000000000044E-2</v>
      </c>
      <c r="D339" s="9">
        <f>'QUANT ACTIVE FUND'!B339</f>
        <v>563.67600000000004</v>
      </c>
      <c r="E339" s="10">
        <f t="shared" si="21"/>
        <v>2.2684347745626224E-2</v>
      </c>
      <c r="F339" s="9">
        <f>'NIPPON INDIA '!B339</f>
        <v>258.23500000000001</v>
      </c>
      <c r="G339" s="10">
        <f t="shared" si="22"/>
        <v>1.6769301036318449E-2</v>
      </c>
      <c r="H339" s="9">
        <f>'NIFTY500 TRI'!B339</f>
        <v>32428.26</v>
      </c>
      <c r="I339" s="10">
        <f t="shared" si="23"/>
        <v>1.865690278388132E-2</v>
      </c>
    </row>
    <row r="340" spans="1:9" ht="14.25" customHeight="1" x14ac:dyDescent="0.3">
      <c r="A340" s="8">
        <f>'ICICI PRUDENTIAL MULTICAP FUND'!A340</f>
        <v>45754</v>
      </c>
      <c r="B340" s="9">
        <f>'ICICI PRUDENTIAL MULTICAP FUND'!B340</f>
        <v>700</v>
      </c>
      <c r="C340" s="10">
        <f t="shared" si="20"/>
        <v>-2.8573807574348839E-2</v>
      </c>
      <c r="D340" s="9">
        <f>'QUANT ACTIVE FUND'!B340</f>
        <v>551.173</v>
      </c>
      <c r="E340" s="10">
        <f t="shared" si="21"/>
        <v>-3.3474087349323549E-2</v>
      </c>
      <c r="F340" s="9">
        <f>'NIPPON INDIA '!B340</f>
        <v>253.976</v>
      </c>
      <c r="G340" s="10">
        <f t="shared" si="22"/>
        <v>-3.1590667312333988E-2</v>
      </c>
      <c r="H340" s="9">
        <f>'NIFTY500 TRI'!B340</f>
        <v>31834.33</v>
      </c>
      <c r="I340" s="10">
        <f t="shared" si="23"/>
        <v>-3.3627496008905168E-2</v>
      </c>
    </row>
    <row r="341" spans="1:9" ht="14.25" customHeight="1" x14ac:dyDescent="0.3">
      <c r="A341" s="8">
        <f>'ICICI PRUDENTIAL MULTICAP FUND'!A341</f>
        <v>45751</v>
      </c>
      <c r="B341" s="9">
        <f>'ICICI PRUDENTIAL MULTICAP FUND'!B341</f>
        <v>720.59</v>
      </c>
      <c r="C341" s="10">
        <f t="shared" si="20"/>
        <v>-2.0844373785550145E-2</v>
      </c>
      <c r="D341" s="9">
        <f>'QUANT ACTIVE FUND'!B341</f>
        <v>570.26199999999994</v>
      </c>
      <c r="E341" s="10">
        <f t="shared" si="21"/>
        <v>-3.2832955406947917E-2</v>
      </c>
      <c r="F341" s="9">
        <f>'NIPPON INDIA '!B341</f>
        <v>262.26100000000002</v>
      </c>
      <c r="G341" s="10">
        <f t="shared" si="22"/>
        <v>-2.2100168538487792E-2</v>
      </c>
      <c r="H341" s="9">
        <f>'NIFTY500 TRI'!B341</f>
        <v>32942.089999999997</v>
      </c>
      <c r="I341" s="10">
        <f t="shared" si="23"/>
        <v>-2.0617168258830868E-2</v>
      </c>
    </row>
    <row r="342" spans="1:9" ht="14.25" customHeight="1" x14ac:dyDescent="0.3">
      <c r="A342" s="8">
        <f>'ICICI PRUDENTIAL MULTICAP FUND'!A342</f>
        <v>45750</v>
      </c>
      <c r="B342" s="9">
        <f>'ICICI PRUDENTIAL MULTICAP FUND'!B342</f>
        <v>735.93</v>
      </c>
      <c r="C342" s="10">
        <f t="shared" si="20"/>
        <v>1.2925521782904729E-3</v>
      </c>
      <c r="D342" s="9">
        <f>'QUANT ACTIVE FUND'!B342</f>
        <v>589.62099999999998</v>
      </c>
      <c r="E342" s="10">
        <f t="shared" si="21"/>
        <v>5.3968243141854864E-3</v>
      </c>
      <c r="F342" s="9">
        <f>'NIPPON INDIA '!B342</f>
        <v>268.18799999999999</v>
      </c>
      <c r="G342" s="10">
        <f t="shared" si="22"/>
        <v>-1.0429548400555356E-3</v>
      </c>
      <c r="H342" s="9">
        <f>'NIFTY500 TRI'!B342</f>
        <v>33635.56</v>
      </c>
      <c r="I342" s="10">
        <f t="shared" si="23"/>
        <v>-1.0409671817648361E-3</v>
      </c>
    </row>
    <row r="343" spans="1:9" ht="14.25" customHeight="1" x14ac:dyDescent="0.3">
      <c r="A343" s="8">
        <f>'ICICI PRUDENTIAL MULTICAP FUND'!A343</f>
        <v>45749</v>
      </c>
      <c r="B343" s="9">
        <f>'ICICI PRUDENTIAL MULTICAP FUND'!B343</f>
        <v>734.98</v>
      </c>
      <c r="C343" s="10">
        <f t="shared" si="20"/>
        <v>7.6363087975213533E-3</v>
      </c>
      <c r="D343" s="9">
        <f>'QUANT ACTIVE FUND'!B343</f>
        <v>586.45600000000002</v>
      </c>
      <c r="E343" s="10">
        <f t="shared" si="21"/>
        <v>8.925315000997797E-3</v>
      </c>
      <c r="F343" s="9">
        <f>'NIPPON INDIA '!B343</f>
        <v>268.46800000000002</v>
      </c>
      <c r="G343" s="10">
        <f t="shared" si="22"/>
        <v>8.7396953506023931E-3</v>
      </c>
      <c r="H343" s="9">
        <f>'NIFTY500 TRI'!B343</f>
        <v>33670.61</v>
      </c>
      <c r="I343" s="10">
        <f t="shared" si="23"/>
        <v>9.2515547647680618E-3</v>
      </c>
    </row>
    <row r="344" spans="1:9" ht="14.25" customHeight="1" x14ac:dyDescent="0.3">
      <c r="A344" s="8">
        <f>'ICICI PRUDENTIAL MULTICAP FUND'!A344</f>
        <v>45748</v>
      </c>
      <c r="B344" s="9">
        <f>'ICICI PRUDENTIAL MULTICAP FUND'!B344</f>
        <v>729.41</v>
      </c>
      <c r="C344" s="10">
        <f t="shared" si="20"/>
        <v>-6.442912795924508E-3</v>
      </c>
      <c r="D344" s="9">
        <f>'QUANT ACTIVE FUND'!B344</f>
        <v>581.26800000000003</v>
      </c>
      <c r="E344" s="10">
        <f t="shared" si="21"/>
        <v>-5.1380354972871325E-3</v>
      </c>
      <c r="F344" s="9">
        <f>'NIPPON INDIA '!B344</f>
        <v>266.142</v>
      </c>
      <c r="G344" s="10">
        <f t="shared" si="22"/>
        <v>-1.1601910378584832E-2</v>
      </c>
      <c r="H344" s="9">
        <f>'NIFTY500 TRI'!B344</f>
        <v>33361.96</v>
      </c>
      <c r="I344" s="10">
        <f t="shared" si="23"/>
        <v>-1.2596352030155435E-2</v>
      </c>
    </row>
    <row r="345" spans="1:9" ht="14.25" customHeight="1" x14ac:dyDescent="0.3">
      <c r="A345" s="8">
        <f>'ICICI PRUDENTIAL MULTICAP FUND'!A345</f>
        <v>45744</v>
      </c>
      <c r="B345" s="9">
        <f>'ICICI PRUDENTIAL MULTICAP FUND'!B345</f>
        <v>734.14</v>
      </c>
      <c r="C345" s="10">
        <f t="shared" si="20"/>
        <v>-8.3021435862540131E-4</v>
      </c>
      <c r="D345" s="9">
        <f>'QUANT ACTIVE FUND'!B345</f>
        <v>584.27</v>
      </c>
      <c r="E345" s="10">
        <f t="shared" si="21"/>
        <v>-7.6936141304347365E-3</v>
      </c>
      <c r="F345" s="9">
        <f>'NIPPON INDIA '!B345</f>
        <v>269.26600000000002</v>
      </c>
      <c r="G345" s="10">
        <f t="shared" si="22"/>
        <v>-3.4935790681320457E-3</v>
      </c>
      <c r="H345" s="9">
        <f>'NIFTY500 TRI'!B345</f>
        <v>33787.56</v>
      </c>
      <c r="I345" s="10">
        <f t="shared" si="23"/>
        <v>-3.1833171758106089E-3</v>
      </c>
    </row>
    <row r="346" spans="1:9" ht="14.25" customHeight="1" x14ac:dyDescent="0.3">
      <c r="A346" s="8">
        <f>'ICICI PRUDENTIAL MULTICAP FUND'!A346</f>
        <v>45743</v>
      </c>
      <c r="B346" s="9">
        <f>'ICICI PRUDENTIAL MULTICAP FUND'!B346</f>
        <v>734.75</v>
      </c>
      <c r="C346" s="10">
        <f t="shared" si="20"/>
        <v>5.0337177014512288E-3</v>
      </c>
      <c r="D346" s="9">
        <f>'QUANT ACTIVE FUND'!B346</f>
        <v>588.79999999999995</v>
      </c>
      <c r="E346" s="10">
        <f t="shared" si="21"/>
        <v>1.7632276641122158E-2</v>
      </c>
      <c r="F346" s="9">
        <f>'NIPPON INDIA '!B346</f>
        <v>270.20999999999998</v>
      </c>
      <c r="G346" s="10">
        <f t="shared" si="22"/>
        <v>7.9867496801195315E-3</v>
      </c>
      <c r="H346" s="9">
        <f>'NIFTY500 TRI'!B346</f>
        <v>33895.46</v>
      </c>
      <c r="I346" s="10">
        <f t="shared" si="23"/>
        <v>6.2287669167039638E-3</v>
      </c>
    </row>
    <row r="347" spans="1:9" ht="14.25" customHeight="1" x14ac:dyDescent="0.3">
      <c r="A347" s="8">
        <f>'ICICI PRUDENTIAL MULTICAP FUND'!A347</f>
        <v>45742</v>
      </c>
      <c r="B347" s="9">
        <f>'ICICI PRUDENTIAL MULTICAP FUND'!B347</f>
        <v>731.07</v>
      </c>
      <c r="C347" s="10">
        <f t="shared" si="20"/>
        <v>-8.5304328957360905E-3</v>
      </c>
      <c r="D347" s="9">
        <f>'QUANT ACTIVE FUND'!B347</f>
        <v>578.59799999999996</v>
      </c>
      <c r="E347" s="10">
        <f t="shared" si="21"/>
        <v>-1.1249510835109279E-2</v>
      </c>
      <c r="F347" s="9">
        <f>'NIPPON INDIA '!B347</f>
        <v>268.06900000000002</v>
      </c>
      <c r="G347" s="10">
        <f t="shared" si="22"/>
        <v>-1.1599653411499948E-2</v>
      </c>
      <c r="H347" s="9">
        <f>'NIFTY500 TRI'!B347</f>
        <v>33685.64</v>
      </c>
      <c r="I347" s="10">
        <f t="shared" si="23"/>
        <v>-7.531246630207677E-3</v>
      </c>
    </row>
    <row r="348" spans="1:9" ht="14.25" customHeight="1" x14ac:dyDescent="0.3">
      <c r="A348" s="8">
        <f>'ICICI PRUDENTIAL MULTICAP FUND'!A348</f>
        <v>45741</v>
      </c>
      <c r="B348" s="9">
        <f>'ICICI PRUDENTIAL MULTICAP FUND'!B348</f>
        <v>737.36</v>
      </c>
      <c r="C348" s="10">
        <f t="shared" si="20"/>
        <v>-4.6705002564726063E-3</v>
      </c>
      <c r="D348" s="9">
        <f>'QUANT ACTIVE FUND'!B348</f>
        <v>585.18100000000004</v>
      </c>
      <c r="E348" s="10">
        <f t="shared" si="21"/>
        <v>-1.0734855823278763E-2</v>
      </c>
      <c r="F348" s="9">
        <f>'NIPPON INDIA '!B348</f>
        <v>271.21499999999997</v>
      </c>
      <c r="G348" s="10">
        <f t="shared" si="22"/>
        <v>-5.6606748081641286E-3</v>
      </c>
      <c r="H348" s="9">
        <f>'NIFTY500 TRI'!B348</f>
        <v>33941.26</v>
      </c>
      <c r="I348" s="10">
        <f t="shared" si="23"/>
        <v>-4.658634632370812E-3</v>
      </c>
    </row>
    <row r="349" spans="1:9" ht="14.25" customHeight="1" x14ac:dyDescent="0.3">
      <c r="A349" s="8">
        <f>'ICICI PRUDENTIAL MULTICAP FUND'!A349</f>
        <v>45740</v>
      </c>
      <c r="B349" s="9">
        <f>'ICICI PRUDENTIAL MULTICAP FUND'!B349</f>
        <v>740.82</v>
      </c>
      <c r="C349" s="10">
        <f t="shared" si="20"/>
        <v>1.0282566004800455E-2</v>
      </c>
      <c r="D349" s="9">
        <f>'QUANT ACTIVE FUND'!B349</f>
        <v>591.53099999999995</v>
      </c>
      <c r="E349" s="10">
        <f t="shared" si="21"/>
        <v>1.1316232185354231E-2</v>
      </c>
      <c r="F349" s="9">
        <f>'NIPPON INDIA '!B349</f>
        <v>272.75900000000001</v>
      </c>
      <c r="G349" s="10">
        <f t="shared" si="22"/>
        <v>1.2318141330166333E-2</v>
      </c>
      <c r="H349" s="9">
        <f>'NIFTY500 TRI'!B349</f>
        <v>34100.120000000003</v>
      </c>
      <c r="I349" s="10">
        <f t="shared" si="23"/>
        <v>1.2418561456262666E-2</v>
      </c>
    </row>
    <row r="350" spans="1:9" ht="14.25" customHeight="1" x14ac:dyDescent="0.3">
      <c r="A350" s="8">
        <f>'ICICI PRUDENTIAL MULTICAP FUND'!A350</f>
        <v>45737</v>
      </c>
      <c r="B350" s="9">
        <f>'ICICI PRUDENTIAL MULTICAP FUND'!B350</f>
        <v>733.28</v>
      </c>
      <c r="C350" s="10">
        <f t="shared" si="20"/>
        <v>1.1951091606635158E-2</v>
      </c>
      <c r="D350" s="9">
        <f>'QUANT ACTIVE FUND'!B350</f>
        <v>584.91200000000003</v>
      </c>
      <c r="E350" s="10">
        <f t="shared" si="21"/>
        <v>1.0411394318388011E-2</v>
      </c>
      <c r="F350" s="9">
        <f>'NIPPON INDIA '!B350</f>
        <v>269.44</v>
      </c>
      <c r="G350" s="10">
        <f t="shared" si="22"/>
        <v>1.3355197093523943E-2</v>
      </c>
      <c r="H350" s="9">
        <f>'NIFTY500 TRI'!B350</f>
        <v>33681.839999999997</v>
      </c>
      <c r="I350" s="10">
        <f t="shared" si="23"/>
        <v>9.6868283236456899E-3</v>
      </c>
    </row>
    <row r="351" spans="1:9" ht="14.25" customHeight="1" x14ac:dyDescent="0.3">
      <c r="A351" s="8">
        <f>'ICICI PRUDENTIAL MULTICAP FUND'!A351</f>
        <v>45736</v>
      </c>
      <c r="B351" s="9">
        <f>'ICICI PRUDENTIAL MULTICAP FUND'!B351</f>
        <v>724.62</v>
      </c>
      <c r="C351" s="10">
        <f t="shared" si="20"/>
        <v>8.9671113091426315E-3</v>
      </c>
      <c r="D351" s="9">
        <f>'QUANT ACTIVE FUND'!B351</f>
        <v>578.88499999999999</v>
      </c>
      <c r="E351" s="10">
        <f t="shared" si="21"/>
        <v>9.1240144268902833E-3</v>
      </c>
      <c r="F351" s="9">
        <f>'NIPPON INDIA '!B351</f>
        <v>265.88900000000001</v>
      </c>
      <c r="G351" s="10">
        <f t="shared" si="22"/>
        <v>4.8297311903134034E-3</v>
      </c>
      <c r="H351" s="9">
        <f>'NIFTY500 TRI'!B351</f>
        <v>33358.699999999997</v>
      </c>
      <c r="I351" s="10">
        <f t="shared" si="23"/>
        <v>9.8555571768229634E-3</v>
      </c>
    </row>
    <row r="352" spans="1:9" ht="14.25" customHeight="1" x14ac:dyDescent="0.3">
      <c r="A352" s="8">
        <f>'ICICI PRUDENTIAL MULTICAP FUND'!A352</f>
        <v>45735</v>
      </c>
      <c r="B352" s="9">
        <f>'ICICI PRUDENTIAL MULTICAP FUND'!B352</f>
        <v>718.18</v>
      </c>
      <c r="C352" s="10">
        <f t="shared" si="20"/>
        <v>1.0155282997636876E-2</v>
      </c>
      <c r="D352" s="9">
        <f>'QUANT ACTIVE FUND'!B352</f>
        <v>573.65099999999995</v>
      </c>
      <c r="E352" s="10">
        <f t="shared" si="21"/>
        <v>1.5760956175298723E-2</v>
      </c>
      <c r="F352" s="9">
        <f>'NIPPON INDIA '!B352</f>
        <v>264.61099999999999</v>
      </c>
      <c r="G352" s="10">
        <f t="shared" si="22"/>
        <v>1.2857317838715035E-2</v>
      </c>
      <c r="H352" s="9">
        <f>'NIFTY500 TRI'!B352</f>
        <v>33033.14</v>
      </c>
      <c r="I352" s="10">
        <f t="shared" si="23"/>
        <v>1.0065138880692413E-2</v>
      </c>
    </row>
    <row r="353" spans="1:9" ht="14.25" customHeight="1" x14ac:dyDescent="0.3">
      <c r="A353" s="8">
        <f>'ICICI PRUDENTIAL MULTICAP FUND'!A353</f>
        <v>45734</v>
      </c>
      <c r="B353" s="9">
        <f>'ICICI PRUDENTIAL MULTICAP FUND'!B353</f>
        <v>710.96</v>
      </c>
      <c r="C353" s="10">
        <f t="shared" si="20"/>
        <v>1.5454052046733582E-2</v>
      </c>
      <c r="D353" s="9">
        <f>'QUANT ACTIVE FUND'!B353</f>
        <v>564.75</v>
      </c>
      <c r="E353" s="10">
        <f t="shared" si="21"/>
        <v>1.6814575152454769E-2</v>
      </c>
      <c r="F353" s="9">
        <f>'NIPPON INDIA '!B353</f>
        <v>261.25200000000001</v>
      </c>
      <c r="G353" s="10">
        <f t="shared" si="22"/>
        <v>1.7637618609869041E-2</v>
      </c>
      <c r="H353" s="9">
        <f>'NIFTY500 TRI'!B353</f>
        <v>32703.97</v>
      </c>
      <c r="I353" s="10">
        <f t="shared" si="23"/>
        <v>1.8182152157101131E-2</v>
      </c>
    </row>
    <row r="354" spans="1:9" ht="14.25" customHeight="1" x14ac:dyDescent="0.3">
      <c r="A354" s="8">
        <f>'ICICI PRUDENTIAL MULTICAP FUND'!A354</f>
        <v>45733</v>
      </c>
      <c r="B354" s="9">
        <f>'ICICI PRUDENTIAL MULTICAP FUND'!B354</f>
        <v>700.14</v>
      </c>
      <c r="C354" s="10">
        <f t="shared" si="20"/>
        <v>5.8037638270362927E-3</v>
      </c>
      <c r="D354" s="9">
        <f>'QUANT ACTIVE FUND'!B354</f>
        <v>555.41099999999994</v>
      </c>
      <c r="E354" s="10">
        <f t="shared" si="21"/>
        <v>5.8729744093230431E-4</v>
      </c>
      <c r="F354" s="9">
        <f>'NIPPON INDIA '!B354</f>
        <v>256.72399999999999</v>
      </c>
      <c r="G354" s="10">
        <f t="shared" si="22"/>
        <v>8.5682969085772668E-3</v>
      </c>
      <c r="H354" s="9">
        <f>'NIFTY500 TRI'!B354</f>
        <v>32119.96</v>
      </c>
      <c r="I354" s="10">
        <f t="shared" si="23"/>
        <v>5.5634778389123847E-3</v>
      </c>
    </row>
    <row r="355" spans="1:9" ht="14.25" customHeight="1" x14ac:dyDescent="0.3">
      <c r="A355" s="8">
        <f>'ICICI PRUDENTIAL MULTICAP FUND'!A355</f>
        <v>45729</v>
      </c>
      <c r="B355" s="9">
        <f>'ICICI PRUDENTIAL MULTICAP FUND'!B355</f>
        <v>696.1</v>
      </c>
      <c r="C355" s="10">
        <f t="shared" si="20"/>
        <v>-4.7325603008249034E-3</v>
      </c>
      <c r="D355" s="9">
        <f>'QUANT ACTIVE FUND'!B355</f>
        <v>555.08500000000004</v>
      </c>
      <c r="E355" s="10">
        <f t="shared" si="21"/>
        <v>-7.003577817531241E-3</v>
      </c>
      <c r="F355" s="9">
        <f>'NIPPON INDIA '!B355</f>
        <v>254.54300000000001</v>
      </c>
      <c r="G355" s="10">
        <f t="shared" si="22"/>
        <v>-6.1495092105981952E-3</v>
      </c>
      <c r="H355" s="9">
        <f>'NIFTY500 TRI'!B355</f>
        <v>31942.25</v>
      </c>
      <c r="I355" s="10">
        <f t="shared" si="23"/>
        <v>-4.3504389713551073E-3</v>
      </c>
    </row>
    <row r="356" spans="1:9" ht="14.25" customHeight="1" x14ac:dyDescent="0.3">
      <c r="A356" s="8">
        <f>'ICICI PRUDENTIAL MULTICAP FUND'!A356</f>
        <v>45728</v>
      </c>
      <c r="B356" s="9">
        <f>'ICICI PRUDENTIAL MULTICAP FUND'!B356</f>
        <v>699.41</v>
      </c>
      <c r="C356" s="10">
        <f t="shared" si="20"/>
        <v>-4.9085166320462755E-3</v>
      </c>
      <c r="D356" s="9">
        <f>'QUANT ACTIVE FUND'!B356</f>
        <v>559</v>
      </c>
      <c r="E356" s="10">
        <f t="shared" si="21"/>
        <v>8.2357575106534252E-4</v>
      </c>
      <c r="F356" s="9">
        <f>'NIPPON INDIA '!B356</f>
        <v>256.11799999999999</v>
      </c>
      <c r="G356" s="10">
        <f t="shared" si="22"/>
        <v>-2.3138770295116477E-3</v>
      </c>
      <c r="H356" s="9">
        <f>'NIFTY500 TRI'!B356</f>
        <v>32081.82</v>
      </c>
      <c r="I356" s="10">
        <f t="shared" si="23"/>
        <v>-1.8775956943790214E-3</v>
      </c>
    </row>
    <row r="357" spans="1:9" ht="14.25" customHeight="1" x14ac:dyDescent="0.3">
      <c r="A357" s="8">
        <f>'ICICI PRUDENTIAL MULTICAP FUND'!A357</f>
        <v>45727</v>
      </c>
      <c r="B357" s="9">
        <f>'ICICI PRUDENTIAL MULTICAP FUND'!B357</f>
        <v>702.86</v>
      </c>
      <c r="C357" s="10">
        <f t="shared" si="20"/>
        <v>-7.6523408821369508E-3</v>
      </c>
      <c r="D357" s="9">
        <f>'QUANT ACTIVE FUND'!B357</f>
        <v>558.54</v>
      </c>
      <c r="E357" s="10">
        <f t="shared" si="21"/>
        <v>-1.6365727247271658E-2</v>
      </c>
      <c r="F357" s="9">
        <f>'NIPPON INDIA '!B357</f>
        <v>256.71199999999999</v>
      </c>
      <c r="G357" s="10">
        <f t="shared" si="22"/>
        <v>-8.3745364647713465E-3</v>
      </c>
      <c r="H357" s="9">
        <f>'NIFTY500 TRI'!B357</f>
        <v>32142.17</v>
      </c>
      <c r="I357" s="10">
        <f t="shared" si="23"/>
        <v>-6.8612786400294801E-3</v>
      </c>
    </row>
    <row r="358" spans="1:9" ht="14.25" customHeight="1" x14ac:dyDescent="0.3">
      <c r="A358" s="8">
        <f>'ICICI PRUDENTIAL MULTICAP FUND'!A358</f>
        <v>45723</v>
      </c>
      <c r="B358" s="9">
        <f>'ICICI PRUDENTIAL MULTICAP FUND'!B358</f>
        <v>708.28</v>
      </c>
      <c r="C358" s="10">
        <f t="shared" si="20"/>
        <v>2.1182551226466505E-4</v>
      </c>
      <c r="D358" s="9">
        <f>'QUANT ACTIVE FUND'!B358</f>
        <v>567.83299999999997</v>
      </c>
      <c r="E358" s="10">
        <f t="shared" si="21"/>
        <v>3.4973685791740059E-3</v>
      </c>
      <c r="F358" s="9">
        <f>'NIPPON INDIA '!B358</f>
        <v>258.88</v>
      </c>
      <c r="G358" s="10">
        <f t="shared" si="22"/>
        <v>4.7921594088648636E-4</v>
      </c>
      <c r="H358" s="9">
        <f>'NIFTY500 TRI'!B358</f>
        <v>32364.23</v>
      </c>
      <c r="I358" s="10">
        <f t="shared" si="23"/>
        <v>-1.6898519294281886E-4</v>
      </c>
    </row>
    <row r="359" spans="1:9" ht="14.25" customHeight="1" x14ac:dyDescent="0.3">
      <c r="A359" s="8">
        <f>'ICICI PRUDENTIAL MULTICAP FUND'!A359</f>
        <v>45722</v>
      </c>
      <c r="B359" s="9">
        <f>'ICICI PRUDENTIAL MULTICAP FUND'!B359</f>
        <v>708.13</v>
      </c>
      <c r="C359" s="10">
        <f t="shared" si="20"/>
        <v>1.125312388432702E-2</v>
      </c>
      <c r="D359" s="9">
        <f>'QUANT ACTIVE FUND'!B359</f>
        <v>565.85400000000004</v>
      </c>
      <c r="E359" s="10">
        <f t="shared" si="21"/>
        <v>1.0863332100690846E-2</v>
      </c>
      <c r="F359" s="9">
        <f>'NIPPON INDIA '!B359</f>
        <v>258.75599999999997</v>
      </c>
      <c r="G359" s="10">
        <f t="shared" si="22"/>
        <v>9.5234379572009999E-3</v>
      </c>
      <c r="H359" s="9">
        <f>'NIFTY500 TRI'!B359</f>
        <v>32369.7</v>
      </c>
      <c r="I359" s="10">
        <f t="shared" si="23"/>
        <v>9.4081327179743272E-3</v>
      </c>
    </row>
    <row r="360" spans="1:9" ht="14.25" customHeight="1" x14ac:dyDescent="0.3">
      <c r="A360" s="8">
        <f>'ICICI PRUDENTIAL MULTICAP FUND'!A360</f>
        <v>45721</v>
      </c>
      <c r="B360" s="9">
        <f>'ICICI PRUDENTIAL MULTICAP FUND'!B360</f>
        <v>700.25</v>
      </c>
      <c r="C360" s="10">
        <f t="shared" si="20"/>
        <v>1.8456571062889136E-2</v>
      </c>
      <c r="D360" s="9">
        <f>'QUANT ACTIVE FUND'!B360</f>
        <v>559.77300000000002</v>
      </c>
      <c r="E360" s="10">
        <f t="shared" si="21"/>
        <v>2.6855831512676696E-2</v>
      </c>
      <c r="F360" s="9">
        <f>'NIPPON INDIA '!B360</f>
        <v>256.315</v>
      </c>
      <c r="G360" s="10">
        <f t="shared" si="22"/>
        <v>1.7389475021235723E-2</v>
      </c>
      <c r="H360" s="9">
        <f>'NIFTY500 TRI'!B360</f>
        <v>32068</v>
      </c>
      <c r="I360" s="10">
        <f t="shared" si="23"/>
        <v>1.7002474955505317E-2</v>
      </c>
    </row>
    <row r="361" spans="1:9" ht="14.25" customHeight="1" x14ac:dyDescent="0.3">
      <c r="A361" s="8">
        <f>'ICICI PRUDENTIAL MULTICAP FUND'!A361</f>
        <v>45720</v>
      </c>
      <c r="B361" s="9">
        <f>'ICICI PRUDENTIAL MULTICAP FUND'!B361</f>
        <v>687.56</v>
      </c>
      <c r="C361" s="10">
        <f t="shared" si="20"/>
        <v>-8.7257496873359007E-5</v>
      </c>
      <c r="D361" s="9">
        <f>'QUANT ACTIVE FUND'!B361</f>
        <v>545.13300000000004</v>
      </c>
      <c r="E361" s="10">
        <f t="shared" si="21"/>
        <v>4.7701112350129098E-3</v>
      </c>
      <c r="F361" s="9">
        <f>'NIPPON INDIA '!B361</f>
        <v>251.934</v>
      </c>
      <c r="G361" s="10">
        <f t="shared" si="22"/>
        <v>4.8661024115127152E-3</v>
      </c>
      <c r="H361" s="9">
        <f>'NIFTY500 TRI'!B361</f>
        <v>31531.88</v>
      </c>
      <c r="I361" s="10">
        <f t="shared" si="23"/>
        <v>1.0514699626271834E-3</v>
      </c>
    </row>
    <row r="362" spans="1:9" ht="14.25" customHeight="1" x14ac:dyDescent="0.3">
      <c r="A362" s="8">
        <f>'ICICI PRUDENTIAL MULTICAP FUND'!A362</f>
        <v>45719</v>
      </c>
      <c r="B362" s="9">
        <f>'ICICI PRUDENTIAL MULTICAP FUND'!B362</f>
        <v>687.62</v>
      </c>
      <c r="C362" s="10">
        <f t="shared" si="20"/>
        <v>1.4543127645018114E-5</v>
      </c>
      <c r="D362" s="9">
        <f>'QUANT ACTIVE FUND'!B362</f>
        <v>542.54499999999996</v>
      </c>
      <c r="E362" s="10">
        <f t="shared" si="21"/>
        <v>-4.6598236972216758E-3</v>
      </c>
      <c r="F362" s="9">
        <f>'NIPPON INDIA '!B362</f>
        <v>250.714</v>
      </c>
      <c r="G362" s="10">
        <f t="shared" si="22"/>
        <v>-2.512192106931185E-4</v>
      </c>
      <c r="H362" s="9">
        <f>'NIFTY500 TRI'!B362</f>
        <v>31498.76</v>
      </c>
      <c r="I362" s="10">
        <f t="shared" si="23"/>
        <v>8.0671373926590698E-4</v>
      </c>
    </row>
    <row r="363" spans="1:9" ht="14.25" customHeight="1" x14ac:dyDescent="0.3">
      <c r="A363" s="8">
        <f>'ICICI PRUDENTIAL MULTICAP FUND'!A363</f>
        <v>45716</v>
      </c>
      <c r="B363" s="9">
        <f>'ICICI PRUDENTIAL MULTICAP FUND'!B363</f>
        <v>687.61</v>
      </c>
      <c r="C363" s="10">
        <f t="shared" si="20"/>
        <v>-1.7980576978006327E-2</v>
      </c>
      <c r="D363" s="9">
        <f>'QUANT ACTIVE FUND'!B363</f>
        <v>545.08500000000004</v>
      </c>
      <c r="E363" s="10">
        <f t="shared" si="21"/>
        <v>-2.1451114294639025E-2</v>
      </c>
      <c r="F363" s="9">
        <f>'NIPPON INDIA '!B363</f>
        <v>250.77699999999999</v>
      </c>
      <c r="G363" s="10">
        <f t="shared" si="22"/>
        <v>-1.6819110272987176E-2</v>
      </c>
      <c r="H363" s="9">
        <f>'NIFTY500 TRI'!B363</f>
        <v>31473.37</v>
      </c>
      <c r="I363" s="10">
        <f t="shared" si="23"/>
        <v>-2.1365346112574856E-2</v>
      </c>
    </row>
    <row r="364" spans="1:9" ht="14.25" customHeight="1" x14ac:dyDescent="0.3">
      <c r="A364" s="8">
        <f>'ICICI PRUDENTIAL MULTICAP FUND'!A364</f>
        <v>45715</v>
      </c>
      <c r="B364" s="9">
        <f>'ICICI PRUDENTIAL MULTICAP FUND'!B364</f>
        <v>700.2</v>
      </c>
      <c r="C364" s="10">
        <f t="shared" si="20"/>
        <v>-7.1887362286782884E-3</v>
      </c>
      <c r="D364" s="9">
        <f>'QUANT ACTIVE FUND'!B364</f>
        <v>557.03399999999999</v>
      </c>
      <c r="E364" s="10">
        <f t="shared" si="21"/>
        <v>-1.3517701583411175E-2</v>
      </c>
      <c r="F364" s="9">
        <f>'NIPPON INDIA '!B364</f>
        <v>255.06700000000001</v>
      </c>
      <c r="G364" s="10">
        <f t="shared" si="22"/>
        <v>-6.6594749529746812E-3</v>
      </c>
      <c r="H364" s="9">
        <f>'NIFTY500 TRI'!B364</f>
        <v>32160.49</v>
      </c>
      <c r="I364" s="10">
        <f t="shared" si="23"/>
        <v>-5.0529300064162622E-3</v>
      </c>
    </row>
    <row r="365" spans="1:9" ht="14.25" customHeight="1" x14ac:dyDescent="0.3">
      <c r="A365" s="8">
        <f>'ICICI PRUDENTIAL MULTICAP FUND'!A365</f>
        <v>45713</v>
      </c>
      <c r="B365" s="9">
        <f>'ICICI PRUDENTIAL MULTICAP FUND'!B365</f>
        <v>705.27</v>
      </c>
      <c r="C365" s="10">
        <f t="shared" si="20"/>
        <v>-4.5027242187280223E-3</v>
      </c>
      <c r="D365" s="9">
        <f>'QUANT ACTIVE FUND'!B365</f>
        <v>564.66700000000003</v>
      </c>
      <c r="E365" s="10">
        <f t="shared" si="21"/>
        <v>-3.8388054540674068E-3</v>
      </c>
      <c r="F365" s="9">
        <f>'NIPPON INDIA '!B365</f>
        <v>256.77699999999999</v>
      </c>
      <c r="G365" s="10">
        <f t="shared" si="22"/>
        <v>1.0905592621573274E-4</v>
      </c>
      <c r="H365" s="9">
        <f>'NIFTY500 TRI'!B365</f>
        <v>32323.82</v>
      </c>
      <c r="I365" s="10">
        <f t="shared" si="23"/>
        <v>-2.4245132610629621E-3</v>
      </c>
    </row>
    <row r="366" spans="1:9" ht="14.25" customHeight="1" x14ac:dyDescent="0.3">
      <c r="A366" s="8">
        <f>'ICICI PRUDENTIAL MULTICAP FUND'!A366</f>
        <v>45712</v>
      </c>
      <c r="B366" s="9">
        <f>'ICICI PRUDENTIAL MULTICAP FUND'!B366</f>
        <v>708.46</v>
      </c>
      <c r="C366" s="10">
        <f t="shared" si="20"/>
        <v>-1.0281914447766216E-2</v>
      </c>
      <c r="D366" s="9">
        <f>'QUANT ACTIVE FUND'!B366</f>
        <v>566.84299999999996</v>
      </c>
      <c r="E366" s="10">
        <f t="shared" si="21"/>
        <v>-8.7713929482618556E-3</v>
      </c>
      <c r="F366" s="9">
        <f>'NIPPON INDIA '!B366</f>
        <v>256.74900000000002</v>
      </c>
      <c r="G366" s="10">
        <f t="shared" si="22"/>
        <v>-8.6490159813735427E-3</v>
      </c>
      <c r="H366" s="9">
        <f>'NIFTY500 TRI'!B366</f>
        <v>32402.38</v>
      </c>
      <c r="I366" s="10">
        <f t="shared" si="23"/>
        <v>-1.0720075717098905E-2</v>
      </c>
    </row>
    <row r="367" spans="1:9" ht="14.25" customHeight="1" x14ac:dyDescent="0.3">
      <c r="A367" s="8">
        <f>'ICICI PRUDENTIAL MULTICAP FUND'!A367</f>
        <v>45709</v>
      </c>
      <c r="B367" s="9">
        <f>'ICICI PRUDENTIAL MULTICAP FUND'!B367</f>
        <v>715.82</v>
      </c>
      <c r="C367" s="10">
        <f t="shared" si="20"/>
        <v>-4.9072078960171999E-3</v>
      </c>
      <c r="D367" s="9">
        <f>'QUANT ACTIVE FUND'!B367</f>
        <v>571.85900000000004</v>
      </c>
      <c r="E367" s="10">
        <f t="shared" si="21"/>
        <v>-2.8283413051172703E-3</v>
      </c>
      <c r="F367" s="9">
        <f>'NIPPON INDIA '!B367</f>
        <v>258.98899999999998</v>
      </c>
      <c r="G367" s="10">
        <f t="shared" si="22"/>
        <v>-5.1014724355306464E-3</v>
      </c>
      <c r="H367" s="9">
        <f>'NIFTY500 TRI'!B367</f>
        <v>32753.5</v>
      </c>
      <c r="I367" s="10">
        <f t="shared" si="23"/>
        <v>-6.7428133012492038E-3</v>
      </c>
    </row>
    <row r="368" spans="1:9" ht="14.25" customHeight="1" x14ac:dyDescent="0.3">
      <c r="A368" s="8">
        <f>'ICICI PRUDENTIAL MULTICAP FUND'!A368</f>
        <v>45708</v>
      </c>
      <c r="B368" s="9">
        <f>'ICICI PRUDENTIAL MULTICAP FUND'!B368</f>
        <v>719.35</v>
      </c>
      <c r="C368" s="10">
        <f t="shared" si="20"/>
        <v>2.6762192827175795E-3</v>
      </c>
      <c r="D368" s="9">
        <f>'QUANT ACTIVE FUND'!B368</f>
        <v>573.48099999999999</v>
      </c>
      <c r="E368" s="10">
        <f t="shared" si="21"/>
        <v>5.7770520899283612E-3</v>
      </c>
      <c r="F368" s="9">
        <f>'NIPPON INDIA '!B368</f>
        <v>260.31700000000001</v>
      </c>
      <c r="G368" s="10">
        <f t="shared" si="22"/>
        <v>7.7151174494046043E-3</v>
      </c>
      <c r="H368" s="9">
        <f>'NIFTY500 TRI'!B368</f>
        <v>32975.85</v>
      </c>
      <c r="I368" s="10">
        <f t="shared" si="23"/>
        <v>4.8178210931039307E-3</v>
      </c>
    </row>
    <row r="369" spans="1:9" ht="14.25" customHeight="1" x14ac:dyDescent="0.3">
      <c r="A369" s="8">
        <f>'ICICI PRUDENTIAL MULTICAP FUND'!A369</f>
        <v>45707</v>
      </c>
      <c r="B369" s="9">
        <f>'ICICI PRUDENTIAL MULTICAP FUND'!B369</f>
        <v>717.43</v>
      </c>
      <c r="C369" s="10">
        <f t="shared" si="20"/>
        <v>5.0572973578771954E-3</v>
      </c>
      <c r="D369" s="9">
        <f>'QUANT ACTIVE FUND'!B369</f>
        <v>570.18700000000001</v>
      </c>
      <c r="E369" s="10">
        <f t="shared" si="21"/>
        <v>1.1836377607064132E-2</v>
      </c>
      <c r="F369" s="9">
        <f>'NIPPON INDIA '!B369</f>
        <v>258.32400000000001</v>
      </c>
      <c r="G369" s="10">
        <f t="shared" si="22"/>
        <v>1.0131660755553676E-2</v>
      </c>
      <c r="H369" s="9">
        <f>'NIFTY500 TRI'!B369</f>
        <v>32817.74</v>
      </c>
      <c r="I369" s="10">
        <f t="shared" si="23"/>
        <v>5.8229574518622327E-3</v>
      </c>
    </row>
    <row r="370" spans="1:9" ht="14.25" customHeight="1" x14ac:dyDescent="0.3">
      <c r="A370" s="8">
        <f>'ICICI PRUDENTIAL MULTICAP FUND'!A370</f>
        <v>45706</v>
      </c>
      <c r="B370" s="9">
        <f>'ICICI PRUDENTIAL MULTICAP FUND'!B370</f>
        <v>713.82</v>
      </c>
      <c r="C370" s="10">
        <f t="shared" si="20"/>
        <v>-3.183912861332178E-3</v>
      </c>
      <c r="D370" s="9">
        <f>'QUANT ACTIVE FUND'!B370</f>
        <v>563.51700000000005</v>
      </c>
      <c r="E370" s="10">
        <f t="shared" si="21"/>
        <v>-8.8976671544348847E-3</v>
      </c>
      <c r="F370" s="9">
        <f>'NIPPON INDIA '!B370</f>
        <v>255.733</v>
      </c>
      <c r="G370" s="10">
        <f t="shared" si="22"/>
        <v>-2.9241704128538733E-3</v>
      </c>
      <c r="H370" s="9">
        <f>'NIFTY500 TRI'!B370</f>
        <v>32627.75</v>
      </c>
      <c r="I370" s="10">
        <f t="shared" si="23"/>
        <v>-1.9421104858672108E-3</v>
      </c>
    </row>
    <row r="371" spans="1:9" ht="14.25" customHeight="1" x14ac:dyDescent="0.3">
      <c r="A371" s="8">
        <f>'ICICI PRUDENTIAL MULTICAP FUND'!A371</f>
        <v>45705</v>
      </c>
      <c r="B371" s="9">
        <f>'ICICI PRUDENTIAL MULTICAP FUND'!B371</f>
        <v>716.1</v>
      </c>
      <c r="C371" s="10">
        <f t="shared" si="20"/>
        <v>1.2023936021475499E-3</v>
      </c>
      <c r="D371" s="9">
        <f>'QUANT ACTIVE FUND'!B371</f>
        <v>568.57600000000002</v>
      </c>
      <c r="E371" s="10">
        <f t="shared" si="21"/>
        <v>1.5589466805004675E-3</v>
      </c>
      <c r="F371" s="9">
        <f>'NIPPON INDIA '!B371</f>
        <v>256.483</v>
      </c>
      <c r="G371" s="10">
        <f t="shared" si="22"/>
        <v>-1.0010126976708149E-3</v>
      </c>
      <c r="H371" s="9">
        <f>'NIFTY500 TRI'!B371</f>
        <v>32691.24</v>
      </c>
      <c r="I371" s="10">
        <f t="shared" si="23"/>
        <v>9.5958652659684025E-4</v>
      </c>
    </row>
    <row r="372" spans="1:9" ht="14.25" customHeight="1" x14ac:dyDescent="0.3">
      <c r="A372" s="8">
        <f>'ICICI PRUDENTIAL MULTICAP FUND'!A372</f>
        <v>45702</v>
      </c>
      <c r="B372" s="9">
        <f>'ICICI PRUDENTIAL MULTICAP FUND'!B372</f>
        <v>715.24</v>
      </c>
      <c r="C372" s="10">
        <f t="shared" si="20"/>
        <v>-1.2454091072266841E-2</v>
      </c>
      <c r="D372" s="9">
        <f>'QUANT ACTIVE FUND'!B372</f>
        <v>567.69100000000003</v>
      </c>
      <c r="E372" s="10">
        <f t="shared" si="21"/>
        <v>-2.1795843815694247E-2</v>
      </c>
      <c r="F372" s="9">
        <f>'NIPPON INDIA '!B372</f>
        <v>256.74</v>
      </c>
      <c r="G372" s="10">
        <f t="shared" si="22"/>
        <v>-1.5571259312655928E-2</v>
      </c>
      <c r="H372" s="9">
        <f>'NIFTY500 TRI'!B372</f>
        <v>32659.9</v>
      </c>
      <c r="I372" s="10">
        <f t="shared" si="23"/>
        <v>-1.2901233000753189E-2</v>
      </c>
    </row>
    <row r="373" spans="1:9" ht="14.25" customHeight="1" x14ac:dyDescent="0.3">
      <c r="A373" s="8">
        <f>'ICICI PRUDENTIAL MULTICAP FUND'!A373</f>
        <v>45701</v>
      </c>
      <c r="B373" s="9">
        <f>'ICICI PRUDENTIAL MULTICAP FUND'!B373</f>
        <v>724.26</v>
      </c>
      <c r="C373" s="10">
        <f t="shared" si="20"/>
        <v>-8.0017659069593411E-4</v>
      </c>
      <c r="D373" s="9">
        <f>'QUANT ACTIVE FUND'!B373</f>
        <v>580.34</v>
      </c>
      <c r="E373" s="10">
        <f t="shared" si="21"/>
        <v>-1.9433504737991563E-3</v>
      </c>
      <c r="F373" s="9">
        <f>'NIPPON INDIA '!B373</f>
        <v>260.80099999999999</v>
      </c>
      <c r="G373" s="10">
        <f t="shared" si="22"/>
        <v>-8.6963850621401639E-4</v>
      </c>
      <c r="H373" s="9">
        <f>'NIFTY500 TRI'!B373</f>
        <v>33086.76</v>
      </c>
      <c r="I373" s="10">
        <f t="shared" si="23"/>
        <v>-1.3236171373961068E-4</v>
      </c>
    </row>
    <row r="374" spans="1:9" ht="14.25" customHeight="1" x14ac:dyDescent="0.3">
      <c r="A374" s="8">
        <f>'ICICI PRUDENTIAL MULTICAP FUND'!A374</f>
        <v>45700</v>
      </c>
      <c r="B374" s="9">
        <f>'ICICI PRUDENTIAL MULTICAP FUND'!B374</f>
        <v>724.84</v>
      </c>
      <c r="C374" s="10">
        <f t="shared" si="20"/>
        <v>-1.8177812052439359E-3</v>
      </c>
      <c r="D374" s="9">
        <f>'QUANT ACTIVE FUND'!B374</f>
        <v>581.47</v>
      </c>
      <c r="E374" s="10">
        <f t="shared" si="21"/>
        <v>-1.6928317332124485E-3</v>
      </c>
      <c r="F374" s="9">
        <f>'NIPPON INDIA '!B374</f>
        <v>261.02800000000002</v>
      </c>
      <c r="G374" s="10">
        <f t="shared" si="22"/>
        <v>-3.2876524023536307E-3</v>
      </c>
      <c r="H374" s="9">
        <f>'NIFTY500 TRI'!B374</f>
        <v>33091.14</v>
      </c>
      <c r="I374" s="10">
        <f t="shared" si="23"/>
        <v>-1.6647398564908651E-3</v>
      </c>
    </row>
    <row r="375" spans="1:9" ht="14.25" customHeight="1" x14ac:dyDescent="0.3">
      <c r="A375" s="8">
        <f>'ICICI PRUDENTIAL MULTICAP FUND'!A375</f>
        <v>45699</v>
      </c>
      <c r="B375" s="9">
        <f>'ICICI PRUDENTIAL MULTICAP FUND'!B375</f>
        <v>726.16</v>
      </c>
      <c r="C375" s="10">
        <f t="shared" si="20"/>
        <v>-1.736153398557496E-2</v>
      </c>
      <c r="D375" s="9">
        <f>'QUANT ACTIVE FUND'!B375</f>
        <v>582.45600000000002</v>
      </c>
      <c r="E375" s="10">
        <f t="shared" si="21"/>
        <v>-2.4103531587924387E-2</v>
      </c>
      <c r="F375" s="9">
        <f>'NIPPON INDIA '!B375</f>
        <v>261.88900000000001</v>
      </c>
      <c r="G375" s="10">
        <f t="shared" si="22"/>
        <v>-2.1487819458974655E-2</v>
      </c>
      <c r="H375" s="9">
        <f>'NIFTY500 TRI'!B375</f>
        <v>33146.32</v>
      </c>
      <c r="I375" s="10">
        <f t="shared" si="23"/>
        <v>-1.9694353197053358E-2</v>
      </c>
    </row>
    <row r="376" spans="1:9" ht="14.25" customHeight="1" x14ac:dyDescent="0.3">
      <c r="A376" s="8">
        <f>'ICICI PRUDENTIAL MULTICAP FUND'!A376</f>
        <v>45698</v>
      </c>
      <c r="B376" s="9">
        <f>'ICICI PRUDENTIAL MULTICAP FUND'!B376</f>
        <v>738.99</v>
      </c>
      <c r="C376" s="10">
        <f t="shared" si="20"/>
        <v>-1.2652646768030391E-2</v>
      </c>
      <c r="D376" s="9">
        <f>'QUANT ACTIVE FUND'!B376</f>
        <v>596.84199999999998</v>
      </c>
      <c r="E376" s="10">
        <f t="shared" si="21"/>
        <v>-1.9024780701394021E-2</v>
      </c>
      <c r="F376" s="9">
        <f>'NIPPON INDIA '!B376</f>
        <v>267.64</v>
      </c>
      <c r="G376" s="10">
        <f t="shared" si="22"/>
        <v>-1.5674765172746064E-2</v>
      </c>
      <c r="H376" s="9">
        <f>'NIFTY500 TRI'!B376</f>
        <v>33812.230000000003</v>
      </c>
      <c r="I376" s="10">
        <f t="shared" si="23"/>
        <v>-1.2690513927708173E-2</v>
      </c>
    </row>
    <row r="377" spans="1:9" ht="14.25" customHeight="1" x14ac:dyDescent="0.3">
      <c r="A377" s="8">
        <f>'ICICI PRUDENTIAL MULTICAP FUND'!A377</f>
        <v>45695</v>
      </c>
      <c r="B377" s="9">
        <f>'ICICI PRUDENTIAL MULTICAP FUND'!B377</f>
        <v>748.46</v>
      </c>
      <c r="C377" s="10">
        <f t="shared" si="20"/>
        <v>-1.9867991199413416E-3</v>
      </c>
      <c r="D377" s="9">
        <f>'QUANT ACTIVE FUND'!B377</f>
        <v>608.41700000000003</v>
      </c>
      <c r="E377" s="10">
        <f t="shared" si="21"/>
        <v>-5.0417007358952905E-3</v>
      </c>
      <c r="F377" s="9">
        <f>'NIPPON INDIA '!B377</f>
        <v>271.90199999999999</v>
      </c>
      <c r="G377" s="10">
        <f t="shared" si="22"/>
        <v>-3.6862239289431917E-3</v>
      </c>
      <c r="H377" s="9">
        <f>'NIFTY500 TRI'!B377</f>
        <v>34246.839999999997</v>
      </c>
      <c r="I377" s="10">
        <f t="shared" si="23"/>
        <v>-9.5654474683655791E-4</v>
      </c>
    </row>
    <row r="378" spans="1:9" ht="14.25" customHeight="1" x14ac:dyDescent="0.3">
      <c r="A378" s="8">
        <f>'ICICI PRUDENTIAL MULTICAP FUND'!A378</f>
        <v>45694</v>
      </c>
      <c r="B378" s="9">
        <f>'ICICI PRUDENTIAL MULTICAP FUND'!B378</f>
        <v>749.95</v>
      </c>
      <c r="C378" s="10">
        <f t="shared" si="20"/>
        <v>-2.3413284378284056E-3</v>
      </c>
      <c r="D378" s="9">
        <f>'QUANT ACTIVE FUND'!B378</f>
        <v>611.5</v>
      </c>
      <c r="E378" s="10">
        <f t="shared" si="21"/>
        <v>-4.2986941088350968E-3</v>
      </c>
      <c r="F378" s="9">
        <f>'NIPPON INDIA '!B378</f>
        <v>272.90800000000002</v>
      </c>
      <c r="G378" s="10">
        <f t="shared" si="22"/>
        <v>-3.1777571609114116E-3</v>
      </c>
      <c r="H378" s="9">
        <f>'NIFTY500 TRI'!B378</f>
        <v>34279.629999999997</v>
      </c>
      <c r="I378" s="10">
        <f t="shared" si="23"/>
        <v>-5.0600845127572753E-3</v>
      </c>
    </row>
    <row r="379" spans="1:9" ht="14.25" customHeight="1" x14ac:dyDescent="0.3">
      <c r="A379" s="8">
        <f>'ICICI PRUDENTIAL MULTICAP FUND'!A379</f>
        <v>45693</v>
      </c>
      <c r="B379" s="9">
        <f>'ICICI PRUDENTIAL MULTICAP FUND'!B379</f>
        <v>751.71</v>
      </c>
      <c r="C379" s="10">
        <f t="shared" si="20"/>
        <v>3.6583574776025861E-3</v>
      </c>
      <c r="D379" s="9">
        <f>'QUANT ACTIVE FUND'!B379</f>
        <v>614.14</v>
      </c>
      <c r="E379" s="10">
        <f t="shared" si="21"/>
        <v>4.1760275742086534E-3</v>
      </c>
      <c r="F379" s="9">
        <f>'NIPPON INDIA '!B379</f>
        <v>273.77800000000002</v>
      </c>
      <c r="G379" s="10">
        <f t="shared" si="22"/>
        <v>4.9406824455277042E-3</v>
      </c>
      <c r="H379" s="9">
        <f>'NIFTY500 TRI'!B379</f>
        <v>34453.97</v>
      </c>
      <c r="I379" s="10">
        <f t="shared" si="23"/>
        <v>2.6263163592300251E-3</v>
      </c>
    </row>
    <row r="380" spans="1:9" ht="14.25" customHeight="1" x14ac:dyDescent="0.3">
      <c r="A380" s="8">
        <f>'ICICI PRUDENTIAL MULTICAP FUND'!A380</f>
        <v>45692</v>
      </c>
      <c r="B380" s="9">
        <f>'ICICI PRUDENTIAL MULTICAP FUND'!B380</f>
        <v>748.97</v>
      </c>
      <c r="C380" s="10">
        <f t="shared" si="20"/>
        <v>1.2901829787809634E-2</v>
      </c>
      <c r="D380" s="9">
        <f>'QUANT ACTIVE FUND'!B380</f>
        <v>611.58600000000001</v>
      </c>
      <c r="E380" s="10">
        <f t="shared" si="21"/>
        <v>2.1434583934584035E-2</v>
      </c>
      <c r="F380" s="9">
        <f>'NIPPON INDIA '!B380</f>
        <v>272.43200000000002</v>
      </c>
      <c r="G380" s="10">
        <f t="shared" si="22"/>
        <v>1.3594862674772475E-2</v>
      </c>
      <c r="H380" s="9">
        <f>'NIFTY500 TRI'!B380</f>
        <v>34363.72</v>
      </c>
      <c r="I380" s="10">
        <f t="shared" si="23"/>
        <v>1.5191061849935171E-2</v>
      </c>
    </row>
    <row r="381" spans="1:9" ht="14.25" customHeight="1" x14ac:dyDescent="0.3">
      <c r="A381" s="8">
        <f>'ICICI PRUDENTIAL MULTICAP FUND'!A381</f>
        <v>45691</v>
      </c>
      <c r="B381" s="9">
        <f>'ICICI PRUDENTIAL MULTICAP FUND'!B381</f>
        <v>739.43</v>
      </c>
      <c r="C381" s="10">
        <f t="shared" si="20"/>
        <v>-7.742887815351711E-3</v>
      </c>
      <c r="D381" s="9">
        <f>'QUANT ACTIVE FUND'!B381</f>
        <v>598.75199999999995</v>
      </c>
      <c r="E381" s="10">
        <f t="shared" si="21"/>
        <v>-2.2124811570817568E-2</v>
      </c>
      <c r="F381" s="9">
        <f>'NIPPON INDIA '!B381</f>
        <v>268.77800000000002</v>
      </c>
      <c r="G381" s="10">
        <f t="shared" si="22"/>
        <v>-7.1624611679353889E-3</v>
      </c>
      <c r="H381" s="9">
        <f>'NIFTY500 TRI'!B381</f>
        <v>33849.51</v>
      </c>
      <c r="I381" s="10">
        <f t="shared" si="23"/>
        <v>-8.2453071158623062E-3</v>
      </c>
    </row>
    <row r="382" spans="1:9" ht="14.25" customHeight="1" x14ac:dyDescent="0.3">
      <c r="A382" s="8">
        <f>'ICICI PRUDENTIAL MULTICAP FUND'!A382</f>
        <v>45688</v>
      </c>
      <c r="B382" s="9">
        <f>'ICICI PRUDENTIAL MULTICAP FUND'!B382</f>
        <v>745.2</v>
      </c>
      <c r="C382" s="10">
        <f t="shared" si="20"/>
        <v>1.1263400732799659E-2</v>
      </c>
      <c r="D382" s="9">
        <f>'QUANT ACTIVE FUND'!B382</f>
        <v>612.29899999999998</v>
      </c>
      <c r="E382" s="10">
        <f t="shared" si="21"/>
        <v>1.6824208526524113E-2</v>
      </c>
      <c r="F382" s="9">
        <f>'NIPPON INDIA '!B382</f>
        <v>270.71699999999998</v>
      </c>
      <c r="G382" s="10">
        <f t="shared" si="22"/>
        <v>1.4183440664441379E-2</v>
      </c>
      <c r="H382" s="9">
        <f>'NIFTY500 TRI'!B382</f>
        <v>34130.93</v>
      </c>
      <c r="I382" s="10">
        <f t="shared" si="23"/>
        <v>1.3505716663830819E-2</v>
      </c>
    </row>
    <row r="383" spans="1:9" ht="14.25" customHeight="1" x14ac:dyDescent="0.3">
      <c r="A383" s="8">
        <f>'ICICI PRUDENTIAL MULTICAP FUND'!A383</f>
        <v>45687</v>
      </c>
      <c r="B383" s="9">
        <f>'ICICI PRUDENTIAL MULTICAP FUND'!B383</f>
        <v>736.9</v>
      </c>
      <c r="C383" s="10">
        <f t="shared" si="20"/>
        <v>3.5954566502328692E-3</v>
      </c>
      <c r="D383" s="9">
        <f>'QUANT ACTIVE FUND'!B383</f>
        <v>602.16800000000001</v>
      </c>
      <c r="E383" s="10">
        <f t="shared" si="21"/>
        <v>1.9400933773931763E-3</v>
      </c>
      <c r="F383" s="9">
        <f>'NIPPON INDIA '!B383</f>
        <v>266.93099999999998</v>
      </c>
      <c r="G383" s="10">
        <f t="shared" si="22"/>
        <v>1.8616172800119386E-3</v>
      </c>
      <c r="H383" s="9">
        <f>'NIFTY500 TRI'!B383</f>
        <v>33676.11</v>
      </c>
      <c r="I383" s="10">
        <f t="shared" si="23"/>
        <v>2.4680590119429973E-3</v>
      </c>
    </row>
    <row r="384" spans="1:9" ht="14.25" customHeight="1" x14ac:dyDescent="0.3">
      <c r="A384" s="8">
        <f>'ICICI PRUDENTIAL MULTICAP FUND'!A384</f>
        <v>45686</v>
      </c>
      <c r="B384" s="9">
        <f>'ICICI PRUDENTIAL MULTICAP FUND'!B384</f>
        <v>734.26</v>
      </c>
      <c r="C384" s="10">
        <f t="shared" si="20"/>
        <v>1.2493105350248132E-2</v>
      </c>
      <c r="D384" s="9">
        <f>'QUANT ACTIVE FUND'!B384</f>
        <v>601.00199999999995</v>
      </c>
      <c r="E384" s="10">
        <f t="shared" si="21"/>
        <v>2.1415667206547917E-2</v>
      </c>
      <c r="F384" s="9">
        <f>'NIPPON INDIA '!B384</f>
        <v>266.435</v>
      </c>
      <c r="G384" s="10">
        <f t="shared" si="22"/>
        <v>2.1473427543955155E-2</v>
      </c>
      <c r="H384" s="9">
        <f>'NIFTY500 TRI'!B384</f>
        <v>33593.199999999997</v>
      </c>
      <c r="I384" s="10">
        <f t="shared" si="23"/>
        <v>1.5384373577493921E-2</v>
      </c>
    </row>
    <row r="385" spans="1:9" ht="14.25" customHeight="1" x14ac:dyDescent="0.3">
      <c r="A385" s="8">
        <f>'ICICI PRUDENTIAL MULTICAP FUND'!A385</f>
        <v>45685</v>
      </c>
      <c r="B385" s="9">
        <f>'ICICI PRUDENTIAL MULTICAP FUND'!B385</f>
        <v>725.2</v>
      </c>
      <c r="C385" s="10">
        <f t="shared" si="20"/>
        <v>1.0352681344468217E-3</v>
      </c>
      <c r="D385" s="9">
        <f>'QUANT ACTIVE FUND'!B385</f>
        <v>588.40099999999995</v>
      </c>
      <c r="E385" s="10">
        <f t="shared" si="21"/>
        <v>-5.2947172854262764E-3</v>
      </c>
      <c r="F385" s="9">
        <f>'NIPPON INDIA '!B385</f>
        <v>260.834</v>
      </c>
      <c r="G385" s="10">
        <f t="shared" si="22"/>
        <v>-2.1423598093299858E-3</v>
      </c>
      <c r="H385" s="9">
        <f>'NIFTY500 TRI'!B385</f>
        <v>33084.22</v>
      </c>
      <c r="I385" s="10">
        <f t="shared" si="23"/>
        <v>6.6178014018380602E-4</v>
      </c>
    </row>
    <row r="386" spans="1:9" ht="14.25" customHeight="1" x14ac:dyDescent="0.3">
      <c r="A386" s="8">
        <f>'ICICI PRUDENTIAL MULTICAP FUND'!A386</f>
        <v>45684</v>
      </c>
      <c r="B386" s="9">
        <f>'ICICI PRUDENTIAL MULTICAP FUND'!B386</f>
        <v>724.45</v>
      </c>
      <c r="C386" s="10">
        <f t="shared" ref="C386:C449" si="24">(B386-B387)/B387</f>
        <v>-1.2189967138902823E-2</v>
      </c>
      <c r="D386" s="9">
        <f>'QUANT ACTIVE FUND'!B386</f>
        <v>591.53300000000002</v>
      </c>
      <c r="E386" s="10">
        <f t="shared" ref="E386:E449" si="25">(D386-D387)/D387</f>
        <v>-2.540559153674166E-2</v>
      </c>
      <c r="F386" s="9">
        <f>'NIPPON INDIA '!B386</f>
        <v>261.39400000000001</v>
      </c>
      <c r="G386" s="10">
        <f t="shared" ref="G386:G449" si="26">(F386-F387)/F387</f>
        <v>-2.3599988046856264E-2</v>
      </c>
      <c r="H386" s="9">
        <f>'NIFTY500 TRI'!B386</f>
        <v>33062.339999999997</v>
      </c>
      <c r="I386" s="10">
        <f t="shared" ref="I386:I449" si="27">(H386-H387)/H387</f>
        <v>-1.9132679171394981E-2</v>
      </c>
    </row>
    <row r="387" spans="1:9" ht="14.25" customHeight="1" x14ac:dyDescent="0.3">
      <c r="A387" s="8">
        <f>'ICICI PRUDENTIAL MULTICAP FUND'!A387</f>
        <v>45681</v>
      </c>
      <c r="B387" s="9">
        <f>'ICICI PRUDENTIAL MULTICAP FUND'!B387</f>
        <v>733.39</v>
      </c>
      <c r="C387" s="10">
        <f t="shared" si="24"/>
        <v>-1.1310631184448201E-2</v>
      </c>
      <c r="D387" s="9">
        <f>'QUANT ACTIVE FUND'!B387</f>
        <v>606.95299999999997</v>
      </c>
      <c r="E387" s="10">
        <f t="shared" si="25"/>
        <v>-1.5624721247772033E-2</v>
      </c>
      <c r="F387" s="9">
        <f>'NIPPON INDIA '!B387</f>
        <v>267.71199999999999</v>
      </c>
      <c r="G387" s="10">
        <f t="shared" si="26"/>
        <v>-1.3501562407876849E-2</v>
      </c>
      <c r="H387" s="9">
        <f>'NIFTY500 TRI'!B387</f>
        <v>33707.25</v>
      </c>
      <c r="I387" s="10">
        <f t="shared" si="27"/>
        <v>-1.0172474852923399E-2</v>
      </c>
    </row>
    <row r="388" spans="1:9" ht="14.25" customHeight="1" x14ac:dyDescent="0.3">
      <c r="A388" s="8">
        <f>'ICICI PRUDENTIAL MULTICAP FUND'!A388</f>
        <v>45680</v>
      </c>
      <c r="B388" s="9">
        <f>'ICICI PRUDENTIAL MULTICAP FUND'!B388</f>
        <v>741.78</v>
      </c>
      <c r="C388" s="10">
        <f t="shared" si="24"/>
        <v>5.9534303421527098E-3</v>
      </c>
      <c r="D388" s="9">
        <f>'QUANT ACTIVE FUND'!B388</f>
        <v>616.58699999999999</v>
      </c>
      <c r="E388" s="10">
        <f t="shared" si="25"/>
        <v>3.8030056117124966E-3</v>
      </c>
      <c r="F388" s="9">
        <f>'NIPPON INDIA '!B388</f>
        <v>271.37599999999998</v>
      </c>
      <c r="G388" s="10">
        <f t="shared" si="26"/>
        <v>4.0699137178290554E-3</v>
      </c>
      <c r="H388" s="9">
        <f>'NIFTY500 TRI'!B388</f>
        <v>34053.660000000003</v>
      </c>
      <c r="I388" s="10">
        <f t="shared" si="27"/>
        <v>6.6136721576641406E-3</v>
      </c>
    </row>
    <row r="389" spans="1:9" ht="14.25" customHeight="1" x14ac:dyDescent="0.3">
      <c r="A389" s="8">
        <f>'ICICI PRUDENTIAL MULTICAP FUND'!A389</f>
        <v>45679</v>
      </c>
      <c r="B389" s="9">
        <f>'ICICI PRUDENTIAL MULTICAP FUND'!B389</f>
        <v>737.39</v>
      </c>
      <c r="C389" s="10">
        <f t="shared" si="24"/>
        <v>-2.7184203408168665E-3</v>
      </c>
      <c r="D389" s="9">
        <f>'QUANT ACTIVE FUND'!B389</f>
        <v>614.25099999999998</v>
      </c>
      <c r="E389" s="10">
        <f t="shared" si="25"/>
        <v>-7.6848764474773531E-3</v>
      </c>
      <c r="F389" s="9">
        <f>'NIPPON INDIA '!B389</f>
        <v>270.27600000000001</v>
      </c>
      <c r="G389" s="10">
        <f t="shared" si="26"/>
        <v>-6.966183148891197E-3</v>
      </c>
      <c r="H389" s="9">
        <f>'NIFTY500 TRI'!B389</f>
        <v>33829.919999999998</v>
      </c>
      <c r="I389" s="10">
        <f t="shared" si="27"/>
        <v>-1.7047488335736095E-3</v>
      </c>
    </row>
    <row r="390" spans="1:9" ht="14.25" customHeight="1" x14ac:dyDescent="0.3">
      <c r="A390" s="8">
        <f>'ICICI PRUDENTIAL MULTICAP FUND'!A390</f>
        <v>45678</v>
      </c>
      <c r="B390" s="9">
        <f>'ICICI PRUDENTIAL MULTICAP FUND'!B390</f>
        <v>739.4</v>
      </c>
      <c r="C390" s="10">
        <f t="shared" si="24"/>
        <v>-1.1444462270709742E-2</v>
      </c>
      <c r="D390" s="9">
        <f>'QUANT ACTIVE FUND'!B390</f>
        <v>619.00800000000004</v>
      </c>
      <c r="E390" s="10">
        <f t="shared" si="25"/>
        <v>-1.558817448831906E-2</v>
      </c>
      <c r="F390" s="9">
        <f>'NIPPON INDIA '!B390</f>
        <v>272.17200000000003</v>
      </c>
      <c r="G390" s="10">
        <f t="shared" si="26"/>
        <v>-1.8184572873566524E-2</v>
      </c>
      <c r="H390" s="9">
        <f>'NIFTY500 TRI'!B390</f>
        <v>33887.69</v>
      </c>
      <c r="I390" s="10">
        <f t="shared" si="27"/>
        <v>-1.7227103876228785E-2</v>
      </c>
    </row>
    <row r="391" spans="1:9" ht="14.25" customHeight="1" x14ac:dyDescent="0.3">
      <c r="A391" s="8">
        <f>'ICICI PRUDENTIAL MULTICAP FUND'!A391</f>
        <v>45677</v>
      </c>
      <c r="B391" s="9">
        <f>'ICICI PRUDENTIAL MULTICAP FUND'!B391</f>
        <v>747.96</v>
      </c>
      <c r="C391" s="10">
        <f t="shared" si="24"/>
        <v>3.1383278345538368E-3</v>
      </c>
      <c r="D391" s="9">
        <f>'QUANT ACTIVE FUND'!B391</f>
        <v>628.80999999999995</v>
      </c>
      <c r="E391" s="10">
        <f t="shared" si="25"/>
        <v>1.5258372992360779E-3</v>
      </c>
      <c r="F391" s="9">
        <f>'NIPPON INDIA '!B391</f>
        <v>277.21300000000002</v>
      </c>
      <c r="G391" s="10">
        <f t="shared" si="26"/>
        <v>3.8820747371813773E-3</v>
      </c>
      <c r="H391" s="9">
        <f>'NIFTY500 TRI'!B391</f>
        <v>34481.71</v>
      </c>
      <c r="I391" s="10">
        <f t="shared" si="27"/>
        <v>5.9390637703982613E-3</v>
      </c>
    </row>
    <row r="392" spans="1:9" ht="14.25" customHeight="1" x14ac:dyDescent="0.3">
      <c r="A392" s="8">
        <f>'ICICI PRUDENTIAL MULTICAP FUND'!A392</f>
        <v>45674</v>
      </c>
      <c r="B392" s="9">
        <f>'ICICI PRUDENTIAL MULTICAP FUND'!B392</f>
        <v>745.62</v>
      </c>
      <c r="C392" s="10">
        <f t="shared" si="24"/>
        <v>-1.5132239705389963E-3</v>
      </c>
      <c r="D392" s="9">
        <f>'QUANT ACTIVE FUND'!B392</f>
        <v>627.85199999999998</v>
      </c>
      <c r="E392" s="10">
        <f t="shared" si="25"/>
        <v>9.1390400632627329E-3</v>
      </c>
      <c r="F392" s="9">
        <f>'NIPPON INDIA '!B392</f>
        <v>276.14100000000002</v>
      </c>
      <c r="G392" s="10">
        <f t="shared" si="26"/>
        <v>-4.1185359362095617E-3</v>
      </c>
      <c r="H392" s="9">
        <f>'NIFTY500 TRI'!B392</f>
        <v>34278.129999999997</v>
      </c>
      <c r="I392" s="10">
        <f t="shared" si="27"/>
        <v>-1.0395234570349402E-3</v>
      </c>
    </row>
    <row r="393" spans="1:9" ht="14.25" customHeight="1" x14ac:dyDescent="0.3">
      <c r="A393" s="8">
        <f>'ICICI PRUDENTIAL MULTICAP FUND'!A393</f>
        <v>45673</v>
      </c>
      <c r="B393" s="9">
        <f>'ICICI PRUDENTIAL MULTICAP FUND'!B393</f>
        <v>746.75</v>
      </c>
      <c r="C393" s="10">
        <f t="shared" si="24"/>
        <v>9.2307276462320811E-3</v>
      </c>
      <c r="D393" s="9">
        <f>'QUANT ACTIVE FUND'!B393</f>
        <v>622.16600000000005</v>
      </c>
      <c r="E393" s="10">
        <f t="shared" si="25"/>
        <v>1.1984424152323286E-2</v>
      </c>
      <c r="F393" s="9">
        <f>'NIPPON INDIA '!B393</f>
        <v>277.28300000000002</v>
      </c>
      <c r="G393" s="10">
        <f t="shared" si="26"/>
        <v>8.1881678792572812E-3</v>
      </c>
      <c r="H393" s="9">
        <f>'NIFTY500 TRI'!B393</f>
        <v>34313.800000000003</v>
      </c>
      <c r="I393" s="10">
        <f t="shared" si="27"/>
        <v>7.5855655493816919E-3</v>
      </c>
    </row>
    <row r="394" spans="1:9" ht="14.25" customHeight="1" x14ac:dyDescent="0.3">
      <c r="A394" s="8">
        <f>'ICICI PRUDENTIAL MULTICAP FUND'!A394</f>
        <v>45672</v>
      </c>
      <c r="B394" s="9">
        <f>'ICICI PRUDENTIAL MULTICAP FUND'!B394</f>
        <v>739.92</v>
      </c>
      <c r="C394" s="10">
        <f t="shared" si="24"/>
        <v>1.5837563451776096E-3</v>
      </c>
      <c r="D394" s="9">
        <f>'QUANT ACTIVE FUND'!B394</f>
        <v>614.798</v>
      </c>
      <c r="E394" s="10">
        <f t="shared" si="25"/>
        <v>1.2996742671009802E-3</v>
      </c>
      <c r="F394" s="9">
        <f>'NIPPON INDIA '!B394</f>
        <v>275.03100000000001</v>
      </c>
      <c r="G394" s="10">
        <f t="shared" si="26"/>
        <v>2.9391922691220096E-3</v>
      </c>
      <c r="H394" s="9">
        <f>'NIFTY500 TRI'!B394</f>
        <v>34055.47</v>
      </c>
      <c r="I394" s="10">
        <f t="shared" si="27"/>
        <v>3.2638398712257965E-3</v>
      </c>
    </row>
    <row r="395" spans="1:9" ht="14.25" customHeight="1" x14ac:dyDescent="0.3">
      <c r="A395" s="8">
        <f>'ICICI PRUDENTIAL MULTICAP FUND'!A395</f>
        <v>45671</v>
      </c>
      <c r="B395" s="9">
        <f>'ICICI PRUDENTIAL MULTICAP FUND'!B395</f>
        <v>738.75</v>
      </c>
      <c r="C395" s="10">
        <f t="shared" si="24"/>
        <v>1.1044506487107969E-2</v>
      </c>
      <c r="D395" s="9">
        <f>'QUANT ACTIVE FUND'!B395</f>
        <v>614</v>
      </c>
      <c r="E395" s="10">
        <f t="shared" si="25"/>
        <v>2.2168061742946426E-2</v>
      </c>
      <c r="F395" s="9">
        <f>'NIPPON INDIA '!B395</f>
        <v>274.22500000000002</v>
      </c>
      <c r="G395" s="10">
        <f t="shared" si="26"/>
        <v>1.1452493360873481E-2</v>
      </c>
      <c r="H395" s="9">
        <f>'NIFTY500 TRI'!B395</f>
        <v>33944.68</v>
      </c>
      <c r="I395" s="10">
        <f t="shared" si="27"/>
        <v>1.1184650700850335E-2</v>
      </c>
    </row>
    <row r="396" spans="1:9" ht="14.25" customHeight="1" x14ac:dyDescent="0.3">
      <c r="A396" s="8">
        <f>'ICICI PRUDENTIAL MULTICAP FUND'!A396</f>
        <v>45670</v>
      </c>
      <c r="B396" s="9">
        <f>'ICICI PRUDENTIAL MULTICAP FUND'!B396</f>
        <v>730.68</v>
      </c>
      <c r="C396" s="10">
        <f t="shared" si="24"/>
        <v>-2.4667627743072268E-2</v>
      </c>
      <c r="D396" s="9">
        <f>'QUANT ACTIVE FUND'!B396</f>
        <v>600.68399999999997</v>
      </c>
      <c r="E396" s="10">
        <f t="shared" si="25"/>
        <v>-3.170301974204931E-2</v>
      </c>
      <c r="F396" s="9">
        <f>'NIPPON INDIA '!B396</f>
        <v>271.12</v>
      </c>
      <c r="G396" s="10">
        <f t="shared" si="26"/>
        <v>-2.7790726861978698E-2</v>
      </c>
      <c r="H396" s="9">
        <f>'NIFTY500 TRI'!B396</f>
        <v>33569.22</v>
      </c>
      <c r="I396" s="10">
        <f t="shared" si="27"/>
        <v>-2.5483742299052418E-2</v>
      </c>
    </row>
    <row r="397" spans="1:9" ht="14.25" customHeight="1" x14ac:dyDescent="0.3">
      <c r="A397" s="8">
        <f>'ICICI PRUDENTIAL MULTICAP FUND'!A397</f>
        <v>45667</v>
      </c>
      <c r="B397" s="9">
        <f>'ICICI PRUDENTIAL MULTICAP FUND'!B397</f>
        <v>749.16</v>
      </c>
      <c r="C397" s="10">
        <f t="shared" si="24"/>
        <v>-1.2092360845542273E-2</v>
      </c>
      <c r="D397" s="9">
        <f>'QUANT ACTIVE FUND'!B397</f>
        <v>620.351</v>
      </c>
      <c r="E397" s="10">
        <f t="shared" si="25"/>
        <v>-1.7606565009525489E-2</v>
      </c>
      <c r="F397" s="9">
        <f>'NIPPON INDIA '!B397</f>
        <v>278.87</v>
      </c>
      <c r="G397" s="10">
        <f t="shared" si="26"/>
        <v>-1.4847760118414596E-2</v>
      </c>
      <c r="H397" s="9">
        <f>'NIFTY500 TRI'!B397</f>
        <v>34447.06</v>
      </c>
      <c r="I397" s="10">
        <f t="shared" si="27"/>
        <v>-1.1229885278525531E-2</v>
      </c>
    </row>
    <row r="398" spans="1:9" ht="14.25" customHeight="1" x14ac:dyDescent="0.3">
      <c r="A398" s="8">
        <f>'ICICI PRUDENTIAL MULTICAP FUND'!A398</f>
        <v>45666</v>
      </c>
      <c r="B398" s="9">
        <f>'ICICI PRUDENTIAL MULTICAP FUND'!B398</f>
        <v>758.33</v>
      </c>
      <c r="C398" s="10">
        <f t="shared" si="24"/>
        <v>-3.6001944630586003E-3</v>
      </c>
      <c r="D398" s="9">
        <f>'QUANT ACTIVE FUND'!B398</f>
        <v>631.46900000000005</v>
      </c>
      <c r="E398" s="10">
        <f t="shared" si="25"/>
        <v>-1.4055281191498058E-2</v>
      </c>
      <c r="F398" s="9">
        <f>'NIPPON INDIA '!B398</f>
        <v>283.07299999999998</v>
      </c>
      <c r="G398" s="10">
        <f t="shared" si="26"/>
        <v>-9.8361229165573986E-3</v>
      </c>
      <c r="H398" s="9">
        <f>'NIFTY500 TRI'!B398</f>
        <v>34838.29</v>
      </c>
      <c r="I398" s="10">
        <f t="shared" si="27"/>
        <v>-8.3322398075091255E-3</v>
      </c>
    </row>
    <row r="399" spans="1:9" ht="14.25" customHeight="1" x14ac:dyDescent="0.3">
      <c r="A399" s="8">
        <f>'ICICI PRUDENTIAL MULTICAP FUND'!A399</f>
        <v>45665</v>
      </c>
      <c r="B399" s="9">
        <f>'ICICI PRUDENTIAL MULTICAP FUND'!B399</f>
        <v>761.07</v>
      </c>
      <c r="C399" s="10">
        <f t="shared" si="24"/>
        <v>-4.2521456981369056E-3</v>
      </c>
      <c r="D399" s="9">
        <f>'QUANT ACTIVE FUND'!B399</f>
        <v>640.471</v>
      </c>
      <c r="E399" s="10">
        <f t="shared" si="25"/>
        <v>-5.1739509973563564E-3</v>
      </c>
      <c r="F399" s="9">
        <f>'NIPPON INDIA '!B399</f>
        <v>285.88499999999999</v>
      </c>
      <c r="G399" s="10">
        <f t="shared" si="26"/>
        <v>-7.8845906918797448E-3</v>
      </c>
      <c r="H399" s="9">
        <f>'NIFTY500 TRI'!B399</f>
        <v>35131.01</v>
      </c>
      <c r="I399" s="10">
        <f t="shared" si="27"/>
        <v>-4.9155137227354789E-3</v>
      </c>
    </row>
    <row r="400" spans="1:9" ht="14.25" customHeight="1" x14ac:dyDescent="0.3">
      <c r="A400" s="8">
        <f>'ICICI PRUDENTIAL MULTICAP FUND'!A400</f>
        <v>45664</v>
      </c>
      <c r="B400" s="9">
        <f>'ICICI PRUDENTIAL MULTICAP FUND'!B400</f>
        <v>764.32</v>
      </c>
      <c r="C400" s="10">
        <f t="shared" si="24"/>
        <v>7.553487391080845E-3</v>
      </c>
      <c r="D400" s="9">
        <f>'QUANT ACTIVE FUND'!B400</f>
        <v>643.80200000000002</v>
      </c>
      <c r="E400" s="10">
        <f t="shared" si="25"/>
        <v>1.9009420822042683E-2</v>
      </c>
      <c r="F400" s="9">
        <f>'NIPPON INDIA '!B400</f>
        <v>288.15699999999998</v>
      </c>
      <c r="G400" s="10">
        <f t="shared" si="26"/>
        <v>5.1871489866395729E-3</v>
      </c>
      <c r="H400" s="9">
        <f>'NIFTY500 TRI'!B400</f>
        <v>35304.550000000003</v>
      </c>
      <c r="I400" s="10">
        <f t="shared" si="27"/>
        <v>5.2299387799903665E-3</v>
      </c>
    </row>
    <row r="401" spans="1:9" ht="14.25" customHeight="1" x14ac:dyDescent="0.3">
      <c r="A401" s="8">
        <f>'ICICI PRUDENTIAL MULTICAP FUND'!A401</f>
        <v>45663</v>
      </c>
      <c r="B401" s="9">
        <f>'ICICI PRUDENTIAL MULTICAP FUND'!B401</f>
        <v>758.59</v>
      </c>
      <c r="C401" s="10">
        <f t="shared" si="24"/>
        <v>-1.843848662077532E-2</v>
      </c>
      <c r="D401" s="9">
        <f>'QUANT ACTIVE FUND'!B401</f>
        <v>631.79200000000003</v>
      </c>
      <c r="E401" s="10">
        <f t="shared" si="25"/>
        <v>-2.8750457344725696E-2</v>
      </c>
      <c r="F401" s="9">
        <f>'NIPPON INDIA '!B401</f>
        <v>286.67</v>
      </c>
      <c r="G401" s="10">
        <f t="shared" si="26"/>
        <v>-1.9707078202528365E-2</v>
      </c>
      <c r="H401" s="9">
        <f>'NIFTY500 TRI'!B401</f>
        <v>35120.870000000003</v>
      </c>
      <c r="I401" s="10">
        <f t="shared" si="27"/>
        <v>-2.1258944167438565E-2</v>
      </c>
    </row>
    <row r="402" spans="1:9" ht="14.25" customHeight="1" x14ac:dyDescent="0.3">
      <c r="A402" s="8">
        <f>'ICICI PRUDENTIAL MULTICAP FUND'!A402</f>
        <v>45660</v>
      </c>
      <c r="B402" s="9">
        <f>'ICICI PRUDENTIAL MULTICAP FUND'!B402</f>
        <v>772.84</v>
      </c>
      <c r="C402" s="10">
        <f t="shared" si="24"/>
        <v>-2.014462809917285E-3</v>
      </c>
      <c r="D402" s="9">
        <f>'QUANT ACTIVE FUND'!B402</f>
        <v>650.49400000000003</v>
      </c>
      <c r="E402" s="10">
        <f t="shared" si="25"/>
        <v>2.3064716519254002E-4</v>
      </c>
      <c r="F402" s="9">
        <f>'NIPPON INDIA '!B402</f>
        <v>292.43299999999999</v>
      </c>
      <c r="G402" s="10">
        <f t="shared" si="26"/>
        <v>-3.8424722630049156E-3</v>
      </c>
      <c r="H402" s="9">
        <f>'NIFTY500 TRI'!B402</f>
        <v>35883.72</v>
      </c>
      <c r="I402" s="10">
        <f t="shared" si="27"/>
        <v>-4.8898989324751832E-3</v>
      </c>
    </row>
    <row r="403" spans="1:9" ht="14.25" customHeight="1" x14ac:dyDescent="0.3">
      <c r="A403" s="8">
        <f>'ICICI PRUDENTIAL MULTICAP FUND'!A403</f>
        <v>45659</v>
      </c>
      <c r="B403" s="9">
        <f>'ICICI PRUDENTIAL MULTICAP FUND'!B403</f>
        <v>774.4</v>
      </c>
      <c r="C403" s="10">
        <f t="shared" si="24"/>
        <v>1.1256496643944743E-2</v>
      </c>
      <c r="D403" s="9">
        <f>'QUANT ACTIVE FUND'!B403</f>
        <v>650.34400000000005</v>
      </c>
      <c r="E403" s="10">
        <f t="shared" si="25"/>
        <v>8.5948864922876008E-3</v>
      </c>
      <c r="F403" s="9">
        <f>'NIPPON INDIA '!B403</f>
        <v>293.56099999999998</v>
      </c>
      <c r="G403" s="10">
        <f t="shared" si="26"/>
        <v>1.1459679225455113E-2</v>
      </c>
      <c r="H403" s="9">
        <f>'NIFTY500 TRI'!B403</f>
        <v>36060.050000000003</v>
      </c>
      <c r="I403" s="10">
        <f t="shared" si="27"/>
        <v>1.5030366423765333E-2</v>
      </c>
    </row>
    <row r="404" spans="1:9" ht="14.25" customHeight="1" x14ac:dyDescent="0.3">
      <c r="A404" s="8">
        <f>'ICICI PRUDENTIAL MULTICAP FUND'!A404</f>
        <v>45658</v>
      </c>
      <c r="B404" s="9">
        <f>'ICICI PRUDENTIAL MULTICAP FUND'!B404</f>
        <v>765.78</v>
      </c>
      <c r="C404" s="10">
        <f t="shared" si="24"/>
        <v>4.4597182507410708E-3</v>
      </c>
      <c r="D404" s="9">
        <f>'QUANT ACTIVE FUND'!B404</f>
        <v>644.80200000000002</v>
      </c>
      <c r="E404" s="10">
        <f t="shared" si="25"/>
        <v>6.8219470264649518E-3</v>
      </c>
      <c r="F404" s="9">
        <f>'NIPPON INDIA '!B404</f>
        <v>290.23500000000001</v>
      </c>
      <c r="G404" s="10">
        <f t="shared" si="26"/>
        <v>4.5618637878700134E-3</v>
      </c>
      <c r="H404" s="9">
        <f>'NIFTY500 TRI'!B404</f>
        <v>35526.080000000002</v>
      </c>
      <c r="I404" s="10">
        <f t="shared" si="27"/>
        <v>4.7565042041524041E-3</v>
      </c>
    </row>
    <row r="405" spans="1:9" ht="14.25" customHeight="1" x14ac:dyDescent="0.3">
      <c r="A405" s="8">
        <f>'ICICI PRUDENTIAL MULTICAP FUND'!A405</f>
        <v>45657</v>
      </c>
      <c r="B405" s="9">
        <f>'ICICI PRUDENTIAL MULTICAP FUND'!B405</f>
        <v>762.38</v>
      </c>
      <c r="C405" s="10">
        <f t="shared" si="24"/>
        <v>1.6422950087370094E-3</v>
      </c>
      <c r="D405" s="9">
        <f>'QUANT ACTIVE FUND'!B405</f>
        <v>640.43299999999999</v>
      </c>
      <c r="E405" s="10">
        <f t="shared" si="25"/>
        <v>6.0526563825441448E-3</v>
      </c>
      <c r="F405" s="9">
        <f>'NIPPON INDIA '!B405</f>
        <v>288.91699999999997</v>
      </c>
      <c r="G405" s="10">
        <f t="shared" si="26"/>
        <v>2.4461160534605918E-3</v>
      </c>
      <c r="H405" s="9">
        <f>'NIFTY500 TRI'!B405</f>
        <v>35357.9</v>
      </c>
      <c r="I405" s="10">
        <f t="shared" si="27"/>
        <v>8.1689171287984558E-4</v>
      </c>
    </row>
    <row r="406" spans="1:9" ht="14.25" customHeight="1" x14ac:dyDescent="0.3">
      <c r="A406" s="8">
        <f>'ICICI PRUDENTIAL MULTICAP FUND'!A406</f>
        <v>45656</v>
      </c>
      <c r="B406" s="9">
        <f>'ICICI PRUDENTIAL MULTICAP FUND'!B406</f>
        <v>761.13</v>
      </c>
      <c r="C406" s="10">
        <f t="shared" si="24"/>
        <v>-5.6047660108175428E-3</v>
      </c>
      <c r="D406" s="9">
        <f>'QUANT ACTIVE FUND'!B406</f>
        <v>636.58000000000004</v>
      </c>
      <c r="E406" s="10">
        <f t="shared" si="25"/>
        <v>-1.4137850324172349E-5</v>
      </c>
      <c r="F406" s="9">
        <f>'NIPPON INDIA '!B406</f>
        <v>288.21199999999999</v>
      </c>
      <c r="G406" s="10">
        <f t="shared" si="26"/>
        <v>-3.7194767843810382E-3</v>
      </c>
      <c r="H406" s="9">
        <f>'NIFTY500 TRI'!B406</f>
        <v>35329.040000000001</v>
      </c>
      <c r="I406" s="10">
        <f t="shared" si="27"/>
        <v>-3.9249187653746416E-3</v>
      </c>
    </row>
    <row r="407" spans="1:9" ht="14.25" customHeight="1" x14ac:dyDescent="0.3">
      <c r="A407" s="8">
        <f>'ICICI PRUDENTIAL MULTICAP FUND'!A407</f>
        <v>45653</v>
      </c>
      <c r="B407" s="9">
        <f>'ICICI PRUDENTIAL MULTICAP FUND'!B407</f>
        <v>765.42</v>
      </c>
      <c r="C407" s="10">
        <f t="shared" si="24"/>
        <v>8.6301584810916912E-4</v>
      </c>
      <c r="D407" s="9">
        <f>'QUANT ACTIVE FUND'!B407</f>
        <v>636.58900000000006</v>
      </c>
      <c r="E407" s="10">
        <f t="shared" si="25"/>
        <v>2.073981431582367E-4</v>
      </c>
      <c r="F407" s="9">
        <f>'NIPPON INDIA '!B407</f>
        <v>289.28800000000001</v>
      </c>
      <c r="G407" s="10">
        <f t="shared" si="26"/>
        <v>-3.2828466081273068E-4</v>
      </c>
      <c r="H407" s="9">
        <f>'NIFTY500 TRI'!B407</f>
        <v>35468.25</v>
      </c>
      <c r="I407" s="10">
        <f t="shared" si="27"/>
        <v>6.6272137263725191E-4</v>
      </c>
    </row>
    <row r="408" spans="1:9" ht="14.25" customHeight="1" x14ac:dyDescent="0.3">
      <c r="A408" s="8">
        <f>'ICICI PRUDENTIAL MULTICAP FUND'!A408</f>
        <v>45652</v>
      </c>
      <c r="B408" s="9">
        <f>'ICICI PRUDENTIAL MULTICAP FUND'!B408</f>
        <v>764.76</v>
      </c>
      <c r="C408" s="10">
        <f t="shared" si="24"/>
        <v>-1.1885015737850095E-3</v>
      </c>
      <c r="D408" s="9">
        <f>'QUANT ACTIVE FUND'!B408</f>
        <v>636.45699999999999</v>
      </c>
      <c r="E408" s="10">
        <f t="shared" si="25"/>
        <v>-2.9998182877694567E-3</v>
      </c>
      <c r="F408" s="9">
        <f>'NIPPON INDIA '!B408</f>
        <v>289.38299999999998</v>
      </c>
      <c r="G408" s="10">
        <f t="shared" si="26"/>
        <v>-5.5286991316554491E-5</v>
      </c>
      <c r="H408" s="9">
        <f>'NIFTY500 TRI'!B408</f>
        <v>35444.76</v>
      </c>
      <c r="I408" s="10">
        <f t="shared" si="27"/>
        <v>1.2355576195263651E-3</v>
      </c>
    </row>
    <row r="409" spans="1:9" ht="14.25" customHeight="1" x14ac:dyDescent="0.3">
      <c r="A409" s="8">
        <f>'ICICI PRUDENTIAL MULTICAP FUND'!A409</f>
        <v>45650</v>
      </c>
      <c r="B409" s="9">
        <f>'ICICI PRUDENTIAL MULTICAP FUND'!B409</f>
        <v>765.67</v>
      </c>
      <c r="C409" s="10">
        <f t="shared" si="24"/>
        <v>2.0153638778741363E-3</v>
      </c>
      <c r="D409" s="9">
        <f>'QUANT ACTIVE FUND'!B409</f>
        <v>638.37199999999996</v>
      </c>
      <c r="E409" s="10">
        <f t="shared" si="25"/>
        <v>8.3563407066658156E-4</v>
      </c>
      <c r="F409" s="9">
        <f>'NIPPON INDIA '!B409</f>
        <v>289.399</v>
      </c>
      <c r="G409" s="10">
        <f t="shared" si="26"/>
        <v>2.2129103753982895E-3</v>
      </c>
      <c r="H409" s="9">
        <f>'NIFTY500 TRI'!B409</f>
        <v>35401.019999999997</v>
      </c>
      <c r="I409" s="10">
        <f t="shared" si="27"/>
        <v>-3.4986746546030709E-4</v>
      </c>
    </row>
    <row r="410" spans="1:9" ht="14.25" customHeight="1" x14ac:dyDescent="0.3">
      <c r="A410" s="8">
        <f>'ICICI PRUDENTIAL MULTICAP FUND'!A410</f>
        <v>45649</v>
      </c>
      <c r="B410" s="9">
        <f>'ICICI PRUDENTIAL MULTICAP FUND'!B410</f>
        <v>764.13</v>
      </c>
      <c r="C410" s="10">
        <f t="shared" si="24"/>
        <v>1.8355119111611935E-3</v>
      </c>
      <c r="D410" s="9">
        <f>'QUANT ACTIVE FUND'!B410</f>
        <v>637.83900000000006</v>
      </c>
      <c r="E410" s="10">
        <f t="shared" si="25"/>
        <v>3.5037098103876097E-3</v>
      </c>
      <c r="F410" s="9">
        <f>'NIPPON INDIA '!B410</f>
        <v>288.76</v>
      </c>
      <c r="G410" s="10">
        <f t="shared" si="26"/>
        <v>-8.3736444730492742E-4</v>
      </c>
      <c r="H410" s="9">
        <f>'NIFTY500 TRI'!B410</f>
        <v>35413.410000000003</v>
      </c>
      <c r="I410" s="10">
        <f t="shared" si="27"/>
        <v>4.1622928423535018E-3</v>
      </c>
    </row>
    <row r="411" spans="1:9" ht="14.25" customHeight="1" x14ac:dyDescent="0.3">
      <c r="A411" s="8">
        <f>'ICICI PRUDENTIAL MULTICAP FUND'!A411</f>
        <v>45646</v>
      </c>
      <c r="B411" s="9">
        <f>'ICICI PRUDENTIAL MULTICAP FUND'!B411</f>
        <v>762.73</v>
      </c>
      <c r="C411" s="10">
        <f t="shared" si="24"/>
        <v>-1.7265148879697958E-2</v>
      </c>
      <c r="D411" s="9">
        <f>'QUANT ACTIVE FUND'!B411</f>
        <v>635.61199999999997</v>
      </c>
      <c r="E411" s="10">
        <f t="shared" si="25"/>
        <v>-1.6050032508746481E-2</v>
      </c>
      <c r="F411" s="9">
        <f>'NIPPON INDIA '!B411</f>
        <v>289.00200000000001</v>
      </c>
      <c r="G411" s="10">
        <f t="shared" si="26"/>
        <v>-1.6591919095679079E-2</v>
      </c>
      <c r="H411" s="9">
        <f>'NIFTY500 TRI'!B411</f>
        <v>35266.620000000003</v>
      </c>
      <c r="I411" s="10">
        <f t="shared" si="27"/>
        <v>-1.9021458702185773E-2</v>
      </c>
    </row>
    <row r="412" spans="1:9" ht="14.25" customHeight="1" x14ac:dyDescent="0.3">
      <c r="A412" s="8">
        <f>'ICICI PRUDENTIAL MULTICAP FUND'!A412</f>
        <v>45645</v>
      </c>
      <c r="B412" s="9">
        <f>'ICICI PRUDENTIAL MULTICAP FUND'!B412</f>
        <v>776.13</v>
      </c>
      <c r="C412" s="10">
        <f t="shared" si="24"/>
        <v>-7.1127940743773857E-3</v>
      </c>
      <c r="D412" s="9">
        <f>'QUANT ACTIVE FUND'!B412</f>
        <v>645.98</v>
      </c>
      <c r="E412" s="10">
        <f t="shared" si="25"/>
        <v>-1.1153190277773442E-2</v>
      </c>
      <c r="F412" s="9">
        <f>'NIPPON INDIA '!B412</f>
        <v>293.87799999999999</v>
      </c>
      <c r="G412" s="10">
        <f t="shared" si="26"/>
        <v>-6.3632675142007208E-3</v>
      </c>
      <c r="H412" s="9">
        <f>'NIFTY500 TRI'!B412</f>
        <v>35950.449999999997</v>
      </c>
      <c r="I412" s="10">
        <f t="shared" si="27"/>
        <v>-7.9457172352304373E-3</v>
      </c>
    </row>
    <row r="413" spans="1:9" ht="14.25" customHeight="1" x14ac:dyDescent="0.3">
      <c r="A413" s="8">
        <f>'ICICI PRUDENTIAL MULTICAP FUND'!A413</f>
        <v>45644</v>
      </c>
      <c r="B413" s="9">
        <f>'ICICI PRUDENTIAL MULTICAP FUND'!B413</f>
        <v>781.69</v>
      </c>
      <c r="C413" s="10">
        <f t="shared" si="24"/>
        <v>-6.658787948101986E-3</v>
      </c>
      <c r="D413" s="9">
        <f>'QUANT ACTIVE FUND'!B413</f>
        <v>653.26599999999996</v>
      </c>
      <c r="E413" s="10">
        <f t="shared" si="25"/>
        <v>-6.4017643256398492E-3</v>
      </c>
      <c r="F413" s="9">
        <f>'NIPPON INDIA '!B413</f>
        <v>295.76</v>
      </c>
      <c r="G413" s="10">
        <f t="shared" si="26"/>
        <v>-8.2323156112200403E-3</v>
      </c>
      <c r="H413" s="9">
        <f>'NIFTY500 TRI'!B413</f>
        <v>36238.39</v>
      </c>
      <c r="I413" s="10">
        <f t="shared" si="27"/>
        <v>-6.9862062502362657E-3</v>
      </c>
    </row>
    <row r="414" spans="1:9" ht="14.25" customHeight="1" x14ac:dyDescent="0.3">
      <c r="A414" s="8">
        <f>'ICICI PRUDENTIAL MULTICAP FUND'!A414</f>
        <v>45643</v>
      </c>
      <c r="B414" s="9">
        <f>'ICICI PRUDENTIAL MULTICAP FUND'!B414</f>
        <v>786.93</v>
      </c>
      <c r="C414" s="10">
        <f t="shared" si="24"/>
        <v>-1.0474561778537889E-2</v>
      </c>
      <c r="D414" s="9">
        <f>'QUANT ACTIVE FUND'!B414</f>
        <v>657.47500000000002</v>
      </c>
      <c r="E414" s="10">
        <f t="shared" si="25"/>
        <v>-1.2619428784251799E-2</v>
      </c>
      <c r="F414" s="9">
        <f>'NIPPON INDIA '!B414</f>
        <v>298.21499999999997</v>
      </c>
      <c r="G414" s="10">
        <f t="shared" si="26"/>
        <v>-6.7545288316464332E-3</v>
      </c>
      <c r="H414" s="9">
        <f>'NIFTY500 TRI'!B414</f>
        <v>36493.339999999997</v>
      </c>
      <c r="I414" s="10">
        <f t="shared" si="27"/>
        <v>-1.0993257808210597E-2</v>
      </c>
    </row>
    <row r="415" spans="1:9" ht="14.25" customHeight="1" x14ac:dyDescent="0.3">
      <c r="A415" s="8">
        <f>'ICICI PRUDENTIAL MULTICAP FUND'!A415</f>
        <v>45642</v>
      </c>
      <c r="B415" s="9">
        <f>'ICICI PRUDENTIAL MULTICAP FUND'!B415</f>
        <v>795.26</v>
      </c>
      <c r="C415" s="10">
        <f t="shared" si="24"/>
        <v>1.6499779583096484E-3</v>
      </c>
      <c r="D415" s="9">
        <f>'QUANT ACTIVE FUND'!B415</f>
        <v>665.87800000000004</v>
      </c>
      <c r="E415" s="10">
        <f t="shared" si="25"/>
        <v>-3.4539668809494009E-5</v>
      </c>
      <c r="F415" s="9">
        <f>'NIPPON INDIA '!B415</f>
        <v>300.24299999999999</v>
      </c>
      <c r="G415" s="10">
        <f t="shared" si="26"/>
        <v>2.6649301207233443E-3</v>
      </c>
      <c r="H415" s="9">
        <f>'NIFTY500 TRI'!B415</f>
        <v>36898.980000000003</v>
      </c>
      <c r="I415" s="10">
        <f t="shared" si="27"/>
        <v>-2.7770831306965765E-4</v>
      </c>
    </row>
    <row r="416" spans="1:9" ht="14.25" customHeight="1" x14ac:dyDescent="0.3">
      <c r="A416" s="8">
        <f>'ICICI PRUDENTIAL MULTICAP FUND'!A416</f>
        <v>45639</v>
      </c>
      <c r="B416" s="9">
        <f>'ICICI PRUDENTIAL MULTICAP FUND'!B416</f>
        <v>793.95</v>
      </c>
      <c r="C416" s="10">
        <f t="shared" si="24"/>
        <v>2.3229096968855737E-3</v>
      </c>
      <c r="D416" s="9">
        <f>'QUANT ACTIVE FUND'!B416</f>
        <v>665.90099999999995</v>
      </c>
      <c r="E416" s="10">
        <f t="shared" si="25"/>
        <v>3.8062878367622244E-3</v>
      </c>
      <c r="F416" s="9">
        <f>'NIPPON INDIA '!B416</f>
        <v>299.44499999999999</v>
      </c>
      <c r="G416" s="10">
        <f t="shared" si="26"/>
        <v>3.444843959962134E-3</v>
      </c>
      <c r="H416" s="9">
        <f>'NIFTY500 TRI'!B416</f>
        <v>36909.230000000003</v>
      </c>
      <c r="I416" s="10">
        <f t="shared" si="27"/>
        <v>4.4093155396875442E-3</v>
      </c>
    </row>
    <row r="417" spans="1:9" ht="14.25" customHeight="1" x14ac:dyDescent="0.3">
      <c r="A417" s="8">
        <f>'ICICI PRUDENTIAL MULTICAP FUND'!A417</f>
        <v>45638</v>
      </c>
      <c r="B417" s="9">
        <f>'ICICI PRUDENTIAL MULTICAP FUND'!B417</f>
        <v>792.11</v>
      </c>
      <c r="C417" s="10">
        <f t="shared" si="24"/>
        <v>-8.039773083040035E-3</v>
      </c>
      <c r="D417" s="9">
        <f>'QUANT ACTIVE FUND'!B417</f>
        <v>663.37599999999998</v>
      </c>
      <c r="E417" s="10">
        <f t="shared" si="25"/>
        <v>-8.6629317082428988E-3</v>
      </c>
      <c r="F417" s="9">
        <f>'NIPPON INDIA '!B417</f>
        <v>298.41699999999997</v>
      </c>
      <c r="G417" s="10">
        <f t="shared" si="26"/>
        <v>-7.1729663010317163E-3</v>
      </c>
      <c r="H417" s="9">
        <f>'NIFTY500 TRI'!B417</f>
        <v>36747.199999999997</v>
      </c>
      <c r="I417" s="10">
        <f t="shared" si="27"/>
        <v>-4.3554301986428404E-3</v>
      </c>
    </row>
    <row r="418" spans="1:9" ht="14.25" customHeight="1" x14ac:dyDescent="0.3">
      <c r="A418" s="8">
        <f>'ICICI PRUDENTIAL MULTICAP FUND'!A418</f>
        <v>45637</v>
      </c>
      <c r="B418" s="9">
        <f>'ICICI PRUDENTIAL MULTICAP FUND'!B418</f>
        <v>798.53</v>
      </c>
      <c r="C418" s="10">
        <f t="shared" si="24"/>
        <v>1.5427066348927859E-3</v>
      </c>
      <c r="D418" s="9">
        <f>'QUANT ACTIVE FUND'!B418</f>
        <v>669.173</v>
      </c>
      <c r="E418" s="10">
        <f t="shared" si="25"/>
        <v>5.3741308541517653E-3</v>
      </c>
      <c r="F418" s="9">
        <f>'NIPPON INDIA '!B418</f>
        <v>300.57299999999998</v>
      </c>
      <c r="G418" s="10">
        <f t="shared" si="26"/>
        <v>2.0068606631973604E-3</v>
      </c>
      <c r="H418" s="9">
        <f>'NIFTY500 TRI'!B418</f>
        <v>36907.949999999997</v>
      </c>
      <c r="I418" s="10">
        <f t="shared" si="27"/>
        <v>1.8553404488647692E-3</v>
      </c>
    </row>
    <row r="419" spans="1:9" ht="14.25" customHeight="1" x14ac:dyDescent="0.3">
      <c r="A419" s="8">
        <f>'ICICI PRUDENTIAL MULTICAP FUND'!A419</f>
        <v>45636</v>
      </c>
      <c r="B419" s="9">
        <f>'ICICI PRUDENTIAL MULTICAP FUND'!B419</f>
        <v>797.3</v>
      </c>
      <c r="C419" s="10">
        <f t="shared" si="24"/>
        <v>4.1561712846347031E-3</v>
      </c>
      <c r="D419" s="9">
        <f>'QUANT ACTIVE FUND'!B419</f>
        <v>665.596</v>
      </c>
      <c r="E419" s="10">
        <f t="shared" si="25"/>
        <v>-2.0615588983628973E-3</v>
      </c>
      <c r="F419" s="9">
        <f>'NIPPON INDIA '!B419</f>
        <v>299.971</v>
      </c>
      <c r="G419" s="10">
        <f t="shared" si="26"/>
        <v>8.2075235632656895E-4</v>
      </c>
      <c r="H419" s="9">
        <f>'NIFTY500 TRI'!B419</f>
        <v>36839.599999999999</v>
      </c>
      <c r="I419" s="10">
        <f t="shared" si="27"/>
        <v>9.8224487106511648E-4</v>
      </c>
    </row>
    <row r="420" spans="1:9" ht="14.25" customHeight="1" x14ac:dyDescent="0.3">
      <c r="A420" s="8">
        <f>'ICICI PRUDENTIAL MULTICAP FUND'!A420</f>
        <v>45635</v>
      </c>
      <c r="B420" s="9">
        <f>'ICICI PRUDENTIAL MULTICAP FUND'!B420</f>
        <v>794</v>
      </c>
      <c r="C420" s="10">
        <f t="shared" si="24"/>
        <v>-2.312022517088902E-3</v>
      </c>
      <c r="D420" s="9">
        <f>'QUANT ACTIVE FUND'!B420</f>
        <v>666.971</v>
      </c>
      <c r="E420" s="10">
        <f t="shared" si="25"/>
        <v>-3.9247370441115393E-3</v>
      </c>
      <c r="F420" s="9">
        <f>'NIPPON INDIA '!B420</f>
        <v>299.72500000000002</v>
      </c>
      <c r="G420" s="10">
        <f t="shared" si="26"/>
        <v>2.769972166786593E-4</v>
      </c>
      <c r="H420" s="9">
        <f>'NIFTY500 TRI'!B420</f>
        <v>36803.449999999997</v>
      </c>
      <c r="I420" s="10">
        <f t="shared" si="27"/>
        <v>-8.6113353080768094E-4</v>
      </c>
    </row>
    <row r="421" spans="1:9" ht="14.25" customHeight="1" x14ac:dyDescent="0.3">
      <c r="A421" s="8">
        <f>'ICICI PRUDENTIAL MULTICAP FUND'!A421</f>
        <v>45632</v>
      </c>
      <c r="B421" s="9">
        <f>'ICICI PRUDENTIAL MULTICAP FUND'!B421</f>
        <v>795.84</v>
      </c>
      <c r="C421" s="10">
        <f t="shared" si="24"/>
        <v>-3.2659213666623655E-4</v>
      </c>
      <c r="D421" s="9">
        <f>'QUANT ACTIVE FUND'!B421</f>
        <v>669.59900000000005</v>
      </c>
      <c r="E421" s="10">
        <f t="shared" si="25"/>
        <v>-1.0577227185114102E-3</v>
      </c>
      <c r="F421" s="9">
        <f>'NIPPON INDIA '!B421</f>
        <v>299.642</v>
      </c>
      <c r="G421" s="10">
        <f t="shared" si="26"/>
        <v>2.1303991572047304E-3</v>
      </c>
      <c r="H421" s="9">
        <f>'NIFTY500 TRI'!B421</f>
        <v>36835.17</v>
      </c>
      <c r="I421" s="10">
        <f t="shared" si="27"/>
        <v>1.465692039913701E-3</v>
      </c>
    </row>
    <row r="422" spans="1:9" ht="14.25" customHeight="1" x14ac:dyDescent="0.3">
      <c r="A422" s="8">
        <f>'ICICI PRUDENTIAL MULTICAP FUND'!A422</f>
        <v>45631</v>
      </c>
      <c r="B422" s="9">
        <f>'ICICI PRUDENTIAL MULTICAP FUND'!B422</f>
        <v>796.1</v>
      </c>
      <c r="C422" s="10">
        <f t="shared" si="24"/>
        <v>1.8877422602567328E-3</v>
      </c>
      <c r="D422" s="9">
        <f>'QUANT ACTIVE FUND'!B422</f>
        <v>670.30799999999999</v>
      </c>
      <c r="E422" s="10">
        <f t="shared" si="25"/>
        <v>2.4166581924114322E-3</v>
      </c>
      <c r="F422" s="9">
        <f>'NIPPON INDIA '!B422</f>
        <v>299.005</v>
      </c>
      <c r="G422" s="10">
        <f t="shared" si="26"/>
        <v>4.5185782436335765E-3</v>
      </c>
      <c r="H422" s="9">
        <f>'NIFTY500 TRI'!B422</f>
        <v>36781.26</v>
      </c>
      <c r="I422" s="10">
        <f t="shared" si="27"/>
        <v>7.7261840377037773E-3</v>
      </c>
    </row>
    <row r="423" spans="1:9" ht="14.25" customHeight="1" x14ac:dyDescent="0.3">
      <c r="A423" s="8">
        <f>'ICICI PRUDENTIAL MULTICAP FUND'!A423</f>
        <v>45630</v>
      </c>
      <c r="B423" s="9">
        <f>'ICICI PRUDENTIAL MULTICAP FUND'!B423</f>
        <v>794.6</v>
      </c>
      <c r="C423" s="10">
        <f t="shared" si="24"/>
        <v>3.4348638682629028E-3</v>
      </c>
      <c r="D423" s="9">
        <f>'QUANT ACTIVE FUND'!B423</f>
        <v>668.69200000000001</v>
      </c>
      <c r="E423" s="10">
        <f t="shared" si="25"/>
        <v>2.8900737141271979E-3</v>
      </c>
      <c r="F423" s="9">
        <f>'NIPPON INDIA '!B423</f>
        <v>297.66000000000003</v>
      </c>
      <c r="G423" s="10">
        <f t="shared" si="26"/>
        <v>6.0057522737029289E-3</v>
      </c>
      <c r="H423" s="9">
        <f>'NIFTY500 TRI'!B423</f>
        <v>36499.26</v>
      </c>
      <c r="I423" s="10">
        <f t="shared" si="27"/>
        <v>3.4193927237699388E-3</v>
      </c>
    </row>
    <row r="424" spans="1:9" ht="14.25" customHeight="1" x14ac:dyDescent="0.3">
      <c r="A424" s="8">
        <f>'ICICI PRUDENTIAL MULTICAP FUND'!A424</f>
        <v>45629</v>
      </c>
      <c r="B424" s="9">
        <f>'ICICI PRUDENTIAL MULTICAP FUND'!B424</f>
        <v>791.88</v>
      </c>
      <c r="C424" s="10">
        <f t="shared" si="24"/>
        <v>9.6646691317098573E-3</v>
      </c>
      <c r="D424" s="9">
        <f>'QUANT ACTIVE FUND'!B424</f>
        <v>666.76499999999999</v>
      </c>
      <c r="E424" s="10">
        <f t="shared" si="25"/>
        <v>7.0153446505164955E-3</v>
      </c>
      <c r="F424" s="9">
        <f>'NIPPON INDIA '!B424</f>
        <v>295.88299999999998</v>
      </c>
      <c r="G424" s="10">
        <f t="shared" si="26"/>
        <v>1.0974780555640939E-2</v>
      </c>
      <c r="H424" s="9">
        <f>'NIFTY500 TRI'!B424</f>
        <v>36374.879999999997</v>
      </c>
      <c r="I424" s="10">
        <f t="shared" si="27"/>
        <v>8.1000238064817594E-3</v>
      </c>
    </row>
    <row r="425" spans="1:9" ht="14.25" customHeight="1" x14ac:dyDescent="0.3">
      <c r="A425" s="8">
        <f>'ICICI PRUDENTIAL MULTICAP FUND'!A425</f>
        <v>45628</v>
      </c>
      <c r="B425" s="9">
        <f>'ICICI PRUDENTIAL MULTICAP FUND'!B425</f>
        <v>784.3</v>
      </c>
      <c r="C425" s="10">
        <f t="shared" si="24"/>
        <v>5.3968131882217727E-3</v>
      </c>
      <c r="D425" s="9">
        <f>'QUANT ACTIVE FUND'!B425</f>
        <v>662.12</v>
      </c>
      <c r="E425" s="10">
        <f t="shared" si="25"/>
        <v>1.2142436985590832E-3</v>
      </c>
      <c r="F425" s="9">
        <f>'NIPPON INDIA '!B425</f>
        <v>292.67099999999999</v>
      </c>
      <c r="G425" s="10">
        <f t="shared" si="26"/>
        <v>3.8518528681383184E-3</v>
      </c>
      <c r="H425" s="9">
        <f>'NIFTY500 TRI'!B425</f>
        <v>36082.61</v>
      </c>
      <c r="I425" s="10">
        <f t="shared" si="27"/>
        <v>6.5614242594999673E-3</v>
      </c>
    </row>
    <row r="426" spans="1:9" ht="14.25" customHeight="1" x14ac:dyDescent="0.3">
      <c r="A426" s="8">
        <f>'ICICI PRUDENTIAL MULTICAP FUND'!A426</f>
        <v>45625</v>
      </c>
      <c r="B426" s="9">
        <f>'ICICI PRUDENTIAL MULTICAP FUND'!B426</f>
        <v>780.09</v>
      </c>
      <c r="C426" s="10">
        <f t="shared" si="24"/>
        <v>8.624033513485653E-3</v>
      </c>
      <c r="D426" s="9">
        <f>'QUANT ACTIVE FUND'!B426</f>
        <v>661.31700000000001</v>
      </c>
      <c r="E426" s="10">
        <f t="shared" si="25"/>
        <v>9.3252971961532982E-3</v>
      </c>
      <c r="F426" s="9">
        <f>'NIPPON INDIA '!B426</f>
        <v>291.548</v>
      </c>
      <c r="G426" s="10">
        <f t="shared" si="26"/>
        <v>3.3140045081474349E-3</v>
      </c>
      <c r="H426" s="9">
        <f>'NIFTY500 TRI'!B426</f>
        <v>35847.4</v>
      </c>
      <c r="I426" s="10">
        <f t="shared" si="27"/>
        <v>7.6910535281583224E-3</v>
      </c>
    </row>
    <row r="427" spans="1:9" ht="14.25" customHeight="1" x14ac:dyDescent="0.3">
      <c r="A427" s="8">
        <f>'ICICI PRUDENTIAL MULTICAP FUND'!A427</f>
        <v>45624</v>
      </c>
      <c r="B427" s="9">
        <f>'ICICI PRUDENTIAL MULTICAP FUND'!B427</f>
        <v>773.42</v>
      </c>
      <c r="C427" s="10">
        <f t="shared" si="24"/>
        <v>-5.656835771772506E-3</v>
      </c>
      <c r="D427" s="9">
        <f>'QUANT ACTIVE FUND'!B427</f>
        <v>655.20699999999999</v>
      </c>
      <c r="E427" s="10">
        <f t="shared" si="25"/>
        <v>5.208557068602575E-3</v>
      </c>
      <c r="F427" s="9">
        <f>'NIPPON INDIA '!B427</f>
        <v>290.58499999999998</v>
      </c>
      <c r="G427" s="10">
        <f t="shared" si="26"/>
        <v>-8.066277974247988E-3</v>
      </c>
      <c r="H427" s="9">
        <f>'NIFTY500 TRI'!B427</f>
        <v>35573.800000000003</v>
      </c>
      <c r="I427" s="10">
        <f t="shared" si="27"/>
        <v>-7.8103231928080994E-3</v>
      </c>
    </row>
    <row r="428" spans="1:9" ht="14.25" customHeight="1" x14ac:dyDescent="0.3">
      <c r="A428" s="8">
        <f>'ICICI PRUDENTIAL MULTICAP FUND'!A428</f>
        <v>45623</v>
      </c>
      <c r="B428" s="9">
        <f>'ICICI PRUDENTIAL MULTICAP FUND'!B428</f>
        <v>777.82</v>
      </c>
      <c r="C428" s="10">
        <f t="shared" si="24"/>
        <v>4.818561149220398E-3</v>
      </c>
      <c r="D428" s="9">
        <f>'QUANT ACTIVE FUND'!B428</f>
        <v>651.81200000000001</v>
      </c>
      <c r="E428" s="10">
        <f t="shared" si="25"/>
        <v>1.2871214817047895E-2</v>
      </c>
      <c r="F428" s="9">
        <f>'NIPPON INDIA '!B428</f>
        <v>292.94799999999998</v>
      </c>
      <c r="G428" s="10">
        <f t="shared" si="26"/>
        <v>6.1098537275602709E-3</v>
      </c>
      <c r="H428" s="9">
        <f>'NIFTY500 TRI'!B428</f>
        <v>35853.83</v>
      </c>
      <c r="I428" s="10">
        <f t="shared" si="27"/>
        <v>5.7313550733235803E-3</v>
      </c>
    </row>
    <row r="429" spans="1:9" ht="14.25" customHeight="1" x14ac:dyDescent="0.3">
      <c r="A429" s="8">
        <f>'ICICI PRUDENTIAL MULTICAP FUND'!A429</f>
        <v>45622</v>
      </c>
      <c r="B429" s="9">
        <f>'ICICI PRUDENTIAL MULTICAP FUND'!B429</f>
        <v>774.09</v>
      </c>
      <c r="C429" s="10">
        <f t="shared" si="24"/>
        <v>7.4982870292567764E-4</v>
      </c>
      <c r="D429" s="9">
        <f>'QUANT ACTIVE FUND'!B429</f>
        <v>643.529</v>
      </c>
      <c r="E429" s="10">
        <f t="shared" si="25"/>
        <v>4.340239844681449E-3</v>
      </c>
      <c r="F429" s="9">
        <f>'NIPPON INDIA '!B429</f>
        <v>291.16899999999998</v>
      </c>
      <c r="G429" s="10">
        <f t="shared" si="26"/>
        <v>-8.2419563657096527E-5</v>
      </c>
      <c r="H429" s="9">
        <f>'NIFTY500 TRI'!B429</f>
        <v>35649.51</v>
      </c>
      <c r="I429" s="10">
        <f t="shared" si="27"/>
        <v>4.021307034229025E-4</v>
      </c>
    </row>
    <row r="430" spans="1:9" ht="14.25" customHeight="1" x14ac:dyDescent="0.3">
      <c r="A430" s="8">
        <f>'ICICI PRUDENTIAL MULTICAP FUND'!A430</f>
        <v>45621</v>
      </c>
      <c r="B430" s="9">
        <f>'ICICI PRUDENTIAL MULTICAP FUND'!B430</f>
        <v>773.51</v>
      </c>
      <c r="C430" s="10">
        <f t="shared" si="24"/>
        <v>1.4173331585157919E-2</v>
      </c>
      <c r="D430" s="9">
        <f>'QUANT ACTIVE FUND'!B430</f>
        <v>640.74800000000005</v>
      </c>
      <c r="E430" s="10">
        <f t="shared" si="25"/>
        <v>1.6174793711511825E-2</v>
      </c>
      <c r="F430" s="9">
        <f>'NIPPON INDIA '!B430</f>
        <v>291.19299999999998</v>
      </c>
      <c r="G430" s="10">
        <f t="shared" si="26"/>
        <v>1.4397686894725776E-2</v>
      </c>
      <c r="H430" s="9">
        <f>'NIFTY500 TRI'!B430</f>
        <v>35635.18</v>
      </c>
      <c r="I430" s="10">
        <f t="shared" si="27"/>
        <v>1.4784713520902161E-2</v>
      </c>
    </row>
    <row r="431" spans="1:9" ht="14.25" customHeight="1" x14ac:dyDescent="0.3">
      <c r="A431" s="8">
        <f>'ICICI PRUDENTIAL MULTICAP FUND'!A431</f>
        <v>45618</v>
      </c>
      <c r="B431" s="9">
        <f>'ICICI PRUDENTIAL MULTICAP FUND'!B431</f>
        <v>762.7</v>
      </c>
      <c r="C431" s="10">
        <f t="shared" si="24"/>
        <v>1.4026457488532963E-2</v>
      </c>
      <c r="D431" s="9">
        <f>'QUANT ACTIVE FUND'!B431</f>
        <v>630.54899999999998</v>
      </c>
      <c r="E431" s="10">
        <f t="shared" si="25"/>
        <v>1.6660324790073087E-2</v>
      </c>
      <c r="F431" s="9">
        <f>'NIPPON INDIA '!B431</f>
        <v>287.06</v>
      </c>
      <c r="G431" s="10">
        <f t="shared" si="26"/>
        <v>1.6371850613944482E-2</v>
      </c>
      <c r="H431" s="9">
        <f>'NIFTY500 TRI'!B431</f>
        <v>35116</v>
      </c>
      <c r="I431" s="10">
        <f t="shared" si="27"/>
        <v>1.8546207731101119E-2</v>
      </c>
    </row>
    <row r="432" spans="1:9" ht="14.25" customHeight="1" x14ac:dyDescent="0.3">
      <c r="A432" s="8">
        <f>'ICICI PRUDENTIAL MULTICAP FUND'!A432</f>
        <v>45617</v>
      </c>
      <c r="B432" s="9">
        <f>'ICICI PRUDENTIAL MULTICAP FUND'!B432</f>
        <v>752.15</v>
      </c>
      <c r="C432" s="10">
        <f t="shared" si="24"/>
        <v>-4.1968966795531328E-3</v>
      </c>
      <c r="D432" s="9">
        <f>'QUANT ACTIVE FUND'!B432</f>
        <v>620.21600000000001</v>
      </c>
      <c r="E432" s="10">
        <f t="shared" si="25"/>
        <v>-2.2501430275826594E-2</v>
      </c>
      <c r="F432" s="9">
        <f>'NIPPON INDIA '!B432</f>
        <v>282.43599999999998</v>
      </c>
      <c r="G432" s="10">
        <f t="shared" si="26"/>
        <v>6.3771895017291692E-4</v>
      </c>
      <c r="H432" s="9">
        <f>'NIFTY500 TRI'!B432</f>
        <v>34476.589999999997</v>
      </c>
      <c r="I432" s="10">
        <f t="shared" si="27"/>
        <v>-3.5405555464030993E-3</v>
      </c>
    </row>
    <row r="433" spans="1:9" ht="14.25" customHeight="1" x14ac:dyDescent="0.3">
      <c r="A433" s="8">
        <f>'ICICI PRUDENTIAL MULTICAP FUND'!A433</f>
        <v>45614</v>
      </c>
      <c r="B433" s="9">
        <f>'ICICI PRUDENTIAL MULTICAP FUND'!B433</f>
        <v>755.32</v>
      </c>
      <c r="C433" s="10">
        <f t="shared" si="24"/>
        <v>-4.9140372834462877E-3</v>
      </c>
      <c r="D433" s="9">
        <f>'QUANT ACTIVE FUND'!B433</f>
        <v>634.49300000000005</v>
      </c>
      <c r="E433" s="10">
        <f t="shared" si="25"/>
        <v>-1.8436520067436978E-4</v>
      </c>
      <c r="F433" s="9">
        <f>'NIPPON INDIA '!B433</f>
        <v>282.25599999999997</v>
      </c>
      <c r="G433" s="10">
        <f t="shared" si="26"/>
        <v>-4.8127606912041392E-3</v>
      </c>
      <c r="H433" s="9">
        <f>'NIFTY500 TRI'!B433</f>
        <v>34599.089999999997</v>
      </c>
      <c r="I433" s="10">
        <f t="shared" si="27"/>
        <v>-2.890253370521343E-3</v>
      </c>
    </row>
    <row r="434" spans="1:9" ht="14.25" customHeight="1" x14ac:dyDescent="0.3">
      <c r="A434" s="8">
        <f>'ICICI PRUDENTIAL MULTICAP FUND'!A434</f>
        <v>45610</v>
      </c>
      <c r="B434" s="9">
        <f>'ICICI PRUDENTIAL MULTICAP FUND'!B434</f>
        <v>759.05</v>
      </c>
      <c r="C434" s="10">
        <f t="shared" si="24"/>
        <v>1.2927566055903866E-3</v>
      </c>
      <c r="D434" s="9">
        <f>'QUANT ACTIVE FUND'!B434</f>
        <v>634.61</v>
      </c>
      <c r="E434" s="10">
        <f t="shared" si="25"/>
        <v>7.2087457226839482E-3</v>
      </c>
      <c r="F434" s="9">
        <f>'NIPPON INDIA '!B434</f>
        <v>283.62099999999998</v>
      </c>
      <c r="G434" s="10">
        <f t="shared" si="26"/>
        <v>4.789757288260402E-3</v>
      </c>
      <c r="H434" s="9">
        <f>'NIFTY500 TRI'!B434</f>
        <v>34699.379999999997</v>
      </c>
      <c r="I434" s="10">
        <f t="shared" si="27"/>
        <v>2.3484837980614647E-3</v>
      </c>
    </row>
    <row r="435" spans="1:9" ht="14.25" customHeight="1" x14ac:dyDescent="0.3">
      <c r="A435" s="8">
        <f>'ICICI PRUDENTIAL MULTICAP FUND'!A435</f>
        <v>45609</v>
      </c>
      <c r="B435" s="9">
        <f>'ICICI PRUDENTIAL MULTICAP FUND'!B435</f>
        <v>758.07</v>
      </c>
      <c r="C435" s="10">
        <f t="shared" si="24"/>
        <v>-1.7025414937759328E-2</v>
      </c>
      <c r="D435" s="9">
        <f>'QUANT ACTIVE FUND'!B435</f>
        <v>630.06799999999998</v>
      </c>
      <c r="E435" s="10">
        <f t="shared" si="25"/>
        <v>-2.1148674576381865E-2</v>
      </c>
      <c r="F435" s="9">
        <f>'NIPPON INDIA '!B435</f>
        <v>282.26900000000001</v>
      </c>
      <c r="G435" s="10">
        <f t="shared" si="26"/>
        <v>-2.1078769676812919E-2</v>
      </c>
      <c r="H435" s="9">
        <f>'NIFTY500 TRI'!B435</f>
        <v>34618.080000000002</v>
      </c>
      <c r="I435" s="10">
        <f t="shared" si="27"/>
        <v>-1.8633670669551711E-2</v>
      </c>
    </row>
    <row r="436" spans="1:9" ht="14.25" customHeight="1" x14ac:dyDescent="0.3">
      <c r="A436" s="8">
        <f>'ICICI PRUDENTIAL MULTICAP FUND'!A436</f>
        <v>45608</v>
      </c>
      <c r="B436" s="9">
        <f>'ICICI PRUDENTIAL MULTICAP FUND'!B436</f>
        <v>771.2</v>
      </c>
      <c r="C436" s="10">
        <f t="shared" si="24"/>
        <v>-1.0305044723637401E-2</v>
      </c>
      <c r="D436" s="9">
        <f>'QUANT ACTIVE FUND'!B436</f>
        <v>643.68100000000004</v>
      </c>
      <c r="E436" s="10">
        <f t="shared" si="25"/>
        <v>-1.307253678663362E-2</v>
      </c>
      <c r="F436" s="9">
        <f>'NIPPON INDIA '!B436</f>
        <v>288.34699999999998</v>
      </c>
      <c r="G436" s="10">
        <f t="shared" si="26"/>
        <v>-1.1321828636477481E-2</v>
      </c>
      <c r="H436" s="9">
        <f>'NIFTY500 TRI'!B436</f>
        <v>35275.39</v>
      </c>
      <c r="I436" s="10">
        <f t="shared" si="27"/>
        <v>-1.1504807914599379E-2</v>
      </c>
    </row>
    <row r="437" spans="1:9" ht="14.25" customHeight="1" x14ac:dyDescent="0.3">
      <c r="A437" s="8">
        <f>'ICICI PRUDENTIAL MULTICAP FUND'!A437</f>
        <v>45607</v>
      </c>
      <c r="B437" s="9">
        <f>'ICICI PRUDENTIAL MULTICAP FUND'!B437</f>
        <v>779.23</v>
      </c>
      <c r="C437" s="10">
        <f t="shared" si="24"/>
        <v>-4.7258375589132257E-3</v>
      </c>
      <c r="D437" s="9">
        <f>'QUANT ACTIVE FUND'!B437</f>
        <v>652.20699999999999</v>
      </c>
      <c r="E437" s="10">
        <f t="shared" si="25"/>
        <v>-1.1113857145239828E-2</v>
      </c>
      <c r="F437" s="9">
        <f>'NIPPON INDIA '!B437</f>
        <v>291.649</v>
      </c>
      <c r="G437" s="10">
        <f t="shared" si="26"/>
        <v>-8.5303770495181064E-4</v>
      </c>
      <c r="H437" s="9">
        <f>'NIFTY500 TRI'!B437</f>
        <v>35685.949999999997</v>
      </c>
      <c r="I437" s="10">
        <f t="shared" si="27"/>
        <v>-2.395751943228908E-3</v>
      </c>
    </row>
    <row r="438" spans="1:9" ht="14.25" customHeight="1" x14ac:dyDescent="0.3">
      <c r="A438" s="8">
        <f>'ICICI PRUDENTIAL MULTICAP FUND'!A438</f>
        <v>45604</v>
      </c>
      <c r="B438" s="9">
        <f>'ICICI PRUDENTIAL MULTICAP FUND'!B438</f>
        <v>782.93</v>
      </c>
      <c r="C438" s="10">
        <f t="shared" si="24"/>
        <v>-8.9493670886076574E-3</v>
      </c>
      <c r="D438" s="9">
        <f>'QUANT ACTIVE FUND'!B438</f>
        <v>659.53700000000003</v>
      </c>
      <c r="E438" s="10">
        <f t="shared" si="25"/>
        <v>-1.3409104848010611E-2</v>
      </c>
      <c r="F438" s="9">
        <f>'NIPPON INDIA '!B438</f>
        <v>291.89800000000002</v>
      </c>
      <c r="G438" s="10">
        <f t="shared" si="26"/>
        <v>-7.2239492282889272E-3</v>
      </c>
      <c r="H438" s="9">
        <f>'NIFTY500 TRI'!B438</f>
        <v>35771.65</v>
      </c>
      <c r="I438" s="10">
        <f t="shared" si="27"/>
        <v>-6.9959557146730697E-3</v>
      </c>
    </row>
    <row r="439" spans="1:9" ht="14.25" customHeight="1" x14ac:dyDescent="0.3">
      <c r="A439" s="8">
        <f>'ICICI PRUDENTIAL MULTICAP FUND'!A439</f>
        <v>45603</v>
      </c>
      <c r="B439" s="9">
        <f>'ICICI PRUDENTIAL MULTICAP FUND'!B439</f>
        <v>790</v>
      </c>
      <c r="C439" s="10">
        <f t="shared" si="24"/>
        <v>-5.7640514485640722E-3</v>
      </c>
      <c r="D439" s="9">
        <f>'QUANT ACTIVE FUND'!B439</f>
        <v>668.50099999999998</v>
      </c>
      <c r="E439" s="10">
        <f t="shared" si="25"/>
        <v>-6.3483617035192778E-3</v>
      </c>
      <c r="F439" s="9">
        <f>'NIPPON INDIA '!B439</f>
        <v>294.02199999999999</v>
      </c>
      <c r="G439" s="10">
        <f t="shared" si="26"/>
        <v>-4.7423524911737085E-3</v>
      </c>
      <c r="H439" s="9">
        <f>'NIFTY500 TRI'!B439</f>
        <v>36023.67</v>
      </c>
      <c r="I439" s="10">
        <f t="shared" si="27"/>
        <v>-9.7279778324819745E-3</v>
      </c>
    </row>
    <row r="440" spans="1:9" ht="14.25" customHeight="1" x14ac:dyDescent="0.3">
      <c r="A440" s="8">
        <f>'ICICI PRUDENTIAL MULTICAP FUND'!A440</f>
        <v>45602</v>
      </c>
      <c r="B440" s="9">
        <f>'ICICI PRUDENTIAL MULTICAP FUND'!B440</f>
        <v>794.58</v>
      </c>
      <c r="C440" s="10">
        <f t="shared" si="24"/>
        <v>1.1675430666785594E-2</v>
      </c>
      <c r="D440" s="9">
        <f>'QUANT ACTIVE FUND'!B440</f>
        <v>672.77200000000005</v>
      </c>
      <c r="E440" s="10">
        <f t="shared" si="25"/>
        <v>1.6677345648415772E-2</v>
      </c>
      <c r="F440" s="9">
        <f>'NIPPON INDIA '!B440</f>
        <v>295.423</v>
      </c>
      <c r="G440" s="10">
        <f t="shared" si="26"/>
        <v>1.3089579775450461E-2</v>
      </c>
      <c r="H440" s="9">
        <f>'NIFTY500 TRI'!B440</f>
        <v>36377.550000000003</v>
      </c>
      <c r="I440" s="10">
        <f t="shared" si="27"/>
        <v>1.5653225153489034E-2</v>
      </c>
    </row>
    <row r="441" spans="1:9" ht="14.25" customHeight="1" x14ac:dyDescent="0.3">
      <c r="A441" s="8">
        <f>'ICICI PRUDENTIAL MULTICAP FUND'!A441</f>
        <v>45601</v>
      </c>
      <c r="B441" s="9">
        <f>'ICICI PRUDENTIAL MULTICAP FUND'!B441</f>
        <v>785.41</v>
      </c>
      <c r="C441" s="10">
        <f t="shared" si="24"/>
        <v>6.3810976000410269E-3</v>
      </c>
      <c r="D441" s="9">
        <f>'QUANT ACTIVE FUND'!B441</f>
        <v>661.73599999999999</v>
      </c>
      <c r="E441" s="10">
        <f t="shared" si="25"/>
        <v>4.2081270116835464E-3</v>
      </c>
      <c r="F441" s="9">
        <f>'NIPPON INDIA '!B441</f>
        <v>291.60599999999999</v>
      </c>
      <c r="G441" s="10">
        <f t="shared" si="26"/>
        <v>5.6523673383523298E-3</v>
      </c>
      <c r="H441" s="9">
        <f>'NIFTY500 TRI'!B441</f>
        <v>35816.9</v>
      </c>
      <c r="I441" s="10">
        <f t="shared" si="27"/>
        <v>7.1745605391858955E-3</v>
      </c>
    </row>
    <row r="442" spans="1:9" ht="14.25" customHeight="1" x14ac:dyDescent="0.3">
      <c r="A442" s="8">
        <f>'ICICI PRUDENTIAL MULTICAP FUND'!A442</f>
        <v>45600</v>
      </c>
      <c r="B442" s="9">
        <f>'ICICI PRUDENTIAL MULTICAP FUND'!B442</f>
        <v>780.43</v>
      </c>
      <c r="C442" s="10">
        <f t="shared" si="24"/>
        <v>-8.2221375015885476E-3</v>
      </c>
      <c r="D442" s="9">
        <f>'QUANT ACTIVE FUND'!B442</f>
        <v>658.96299999999997</v>
      </c>
      <c r="E442" s="10">
        <f t="shared" si="25"/>
        <v>-7.6411404786180118E-3</v>
      </c>
      <c r="F442" s="9">
        <f>'NIPPON INDIA '!B442</f>
        <v>289.96699999999998</v>
      </c>
      <c r="G442" s="10">
        <f t="shared" si="26"/>
        <v>-7.1323403526794274E-3</v>
      </c>
      <c r="H442" s="9">
        <f>'NIFTY500 TRI'!B442</f>
        <v>35561.760000000002</v>
      </c>
      <c r="I442" s="10">
        <f t="shared" si="27"/>
        <v>-1.3348818588076522E-2</v>
      </c>
    </row>
    <row r="443" spans="1:9" ht="14.25" customHeight="1" x14ac:dyDescent="0.3">
      <c r="A443" s="8">
        <f>'ICICI PRUDENTIAL MULTICAP FUND'!A443</f>
        <v>45597</v>
      </c>
      <c r="B443" s="9">
        <f>'ICICI PRUDENTIAL MULTICAP FUND'!B443</f>
        <v>786.9</v>
      </c>
      <c r="C443" s="10">
        <f t="shared" si="24"/>
        <v>0</v>
      </c>
      <c r="D443" s="9">
        <f>'QUANT ACTIVE FUND'!B443</f>
        <v>664.03700000000003</v>
      </c>
      <c r="E443" s="10">
        <f t="shared" si="25"/>
        <v>0</v>
      </c>
      <c r="F443" s="9">
        <f>'NIPPON INDIA '!B443</f>
        <v>292.05</v>
      </c>
      <c r="G443" s="10">
        <f t="shared" si="26"/>
        <v>0</v>
      </c>
      <c r="H443" s="9">
        <f>'NIFTY500 TRI'!B443</f>
        <v>36042.89</v>
      </c>
      <c r="I443" s="10">
        <f t="shared" si="27"/>
        <v>5.9141558506073848E-3</v>
      </c>
    </row>
    <row r="444" spans="1:9" ht="14.25" customHeight="1" x14ac:dyDescent="0.3">
      <c r="A444" s="8">
        <f>'ICICI PRUDENTIAL MULTICAP FUND'!A444</f>
        <v>45596</v>
      </c>
      <c r="B444" s="9">
        <f>'ICICI PRUDENTIAL MULTICAP FUND'!B444</f>
        <v>786.9</v>
      </c>
      <c r="C444" s="10">
        <f t="shared" si="24"/>
        <v>-6.984570448918257E-4</v>
      </c>
      <c r="D444" s="9">
        <f>'QUANT ACTIVE FUND'!B444</f>
        <v>664.03700000000003</v>
      </c>
      <c r="E444" s="10">
        <f t="shared" si="25"/>
        <v>-1.7917477219194666E-4</v>
      </c>
      <c r="F444" s="9">
        <f>'NIPPON INDIA '!B444</f>
        <v>292.05</v>
      </c>
      <c r="G444" s="10">
        <f t="shared" si="26"/>
        <v>2.932732592480614E-3</v>
      </c>
      <c r="H444" s="9">
        <f>'NIFTY500 TRI'!B444</f>
        <v>35830.980000000003</v>
      </c>
      <c r="I444" s="10">
        <f t="shared" si="27"/>
        <v>-2.5274367048169844E-3</v>
      </c>
    </row>
    <row r="445" spans="1:9" ht="14.25" customHeight="1" x14ac:dyDescent="0.3">
      <c r="A445" s="8">
        <f>'ICICI PRUDENTIAL MULTICAP FUND'!A445</f>
        <v>45595</v>
      </c>
      <c r="B445" s="9">
        <f>'ICICI PRUDENTIAL MULTICAP FUND'!B445</f>
        <v>787.45</v>
      </c>
      <c r="C445" s="10">
        <f t="shared" si="24"/>
        <v>1.0296959218957327E-3</v>
      </c>
      <c r="D445" s="9">
        <f>'QUANT ACTIVE FUND'!B445</f>
        <v>664.15599999999995</v>
      </c>
      <c r="E445" s="10">
        <f t="shared" si="25"/>
        <v>1.1453851835494541E-2</v>
      </c>
      <c r="F445" s="9">
        <f>'NIPPON INDIA '!B445</f>
        <v>291.19600000000003</v>
      </c>
      <c r="G445" s="10">
        <f t="shared" si="26"/>
        <v>-6.3490756089087984E-4</v>
      </c>
      <c r="H445" s="9">
        <f>'NIFTY500 TRI'!B445</f>
        <v>35921.769999999997</v>
      </c>
      <c r="I445" s="10">
        <f t="shared" si="27"/>
        <v>-1.9762230884425723E-3</v>
      </c>
    </row>
    <row r="446" spans="1:9" ht="14.25" customHeight="1" x14ac:dyDescent="0.3">
      <c r="A446" s="8">
        <f>'ICICI PRUDENTIAL MULTICAP FUND'!A446</f>
        <v>45594</v>
      </c>
      <c r="B446" s="9">
        <f>'ICICI PRUDENTIAL MULTICAP FUND'!B446</f>
        <v>786.64</v>
      </c>
      <c r="C446" s="10">
        <f t="shared" si="24"/>
        <v>7.0152081519791317E-3</v>
      </c>
      <c r="D446" s="9">
        <f>'QUANT ACTIVE FUND'!B446</f>
        <v>656.63499999999999</v>
      </c>
      <c r="E446" s="10">
        <f t="shared" si="25"/>
        <v>9.7571852558089901E-3</v>
      </c>
      <c r="F446" s="9">
        <f>'NIPPON INDIA '!B446</f>
        <v>291.38099999999997</v>
      </c>
      <c r="G446" s="10">
        <f t="shared" si="26"/>
        <v>7.3812602421467919E-3</v>
      </c>
      <c r="H446" s="9">
        <f>'NIFTY500 TRI'!B446</f>
        <v>35992.9</v>
      </c>
      <c r="I446" s="10">
        <f t="shared" si="27"/>
        <v>6.8138378055409687E-3</v>
      </c>
    </row>
    <row r="447" spans="1:9" ht="14.25" customHeight="1" x14ac:dyDescent="0.3">
      <c r="A447" s="8">
        <f>'ICICI PRUDENTIAL MULTICAP FUND'!A447</f>
        <v>45593</v>
      </c>
      <c r="B447" s="9">
        <f>'ICICI PRUDENTIAL MULTICAP FUND'!B447</f>
        <v>781.16</v>
      </c>
      <c r="C447" s="10">
        <f t="shared" si="24"/>
        <v>6.7273242776502221E-3</v>
      </c>
      <c r="D447" s="9">
        <f>'QUANT ACTIVE FUND'!B447</f>
        <v>650.29</v>
      </c>
      <c r="E447" s="10">
        <f t="shared" si="25"/>
        <v>1.1241546291875775E-2</v>
      </c>
      <c r="F447" s="9">
        <f>'NIPPON INDIA '!B447</f>
        <v>289.24599999999998</v>
      </c>
      <c r="G447" s="10">
        <f t="shared" si="26"/>
        <v>2.4398527770654109E-3</v>
      </c>
      <c r="H447" s="9">
        <f>'NIFTY500 TRI'!B447</f>
        <v>35749.31</v>
      </c>
      <c r="I447" s="10">
        <f t="shared" si="27"/>
        <v>6.7142802431254959E-3</v>
      </c>
    </row>
    <row r="448" spans="1:9" ht="14.25" customHeight="1" x14ac:dyDescent="0.3">
      <c r="A448" s="8">
        <f>'ICICI PRUDENTIAL MULTICAP FUND'!A448</f>
        <v>45590</v>
      </c>
      <c r="B448" s="9">
        <f>'ICICI PRUDENTIAL MULTICAP FUND'!B448</f>
        <v>775.94</v>
      </c>
      <c r="C448" s="10">
        <f t="shared" si="24"/>
        <v>-1.0722254095748032E-2</v>
      </c>
      <c r="D448" s="9">
        <f>'QUANT ACTIVE FUND'!B448</f>
        <v>643.06100000000004</v>
      </c>
      <c r="E448" s="10">
        <f t="shared" si="25"/>
        <v>-1.8876071238402639E-2</v>
      </c>
      <c r="F448" s="9">
        <f>'NIPPON INDIA '!B448</f>
        <v>288.54199999999997</v>
      </c>
      <c r="G448" s="10">
        <f t="shared" si="26"/>
        <v>-1.3555231156861311E-2</v>
      </c>
      <c r="H448" s="9">
        <f>'NIFTY500 TRI'!B448</f>
        <v>35510.879999999997</v>
      </c>
      <c r="I448" s="10">
        <f t="shared" si="27"/>
        <v>-1.265829119880788E-2</v>
      </c>
    </row>
    <row r="449" spans="1:9" ht="14.25" customHeight="1" x14ac:dyDescent="0.3">
      <c r="A449" s="8">
        <f>'ICICI PRUDENTIAL MULTICAP FUND'!A449</f>
        <v>45589</v>
      </c>
      <c r="B449" s="9">
        <f>'ICICI PRUDENTIAL MULTICAP FUND'!B449</f>
        <v>784.35</v>
      </c>
      <c r="C449" s="10">
        <f t="shared" si="24"/>
        <v>-1.1970100217753199E-3</v>
      </c>
      <c r="D449" s="9">
        <f>'QUANT ACTIVE FUND'!B449</f>
        <v>655.43299999999999</v>
      </c>
      <c r="E449" s="10">
        <f t="shared" si="25"/>
        <v>-5.6707591808499705E-3</v>
      </c>
      <c r="F449" s="9">
        <f>'NIPPON INDIA '!B449</f>
        <v>292.50700000000001</v>
      </c>
      <c r="G449" s="10">
        <f t="shared" si="26"/>
        <v>-2.7479177533896665E-3</v>
      </c>
      <c r="H449" s="9">
        <f>'NIFTY500 TRI'!B449</f>
        <v>35966.15</v>
      </c>
      <c r="I449" s="10">
        <f t="shared" si="27"/>
        <v>-2.3323013473146147E-3</v>
      </c>
    </row>
    <row r="450" spans="1:9" ht="14.25" customHeight="1" x14ac:dyDescent="0.3">
      <c r="A450" s="8">
        <f>'ICICI PRUDENTIAL MULTICAP FUND'!A450</f>
        <v>45588</v>
      </c>
      <c r="B450" s="9">
        <f>'ICICI PRUDENTIAL MULTICAP FUND'!B450</f>
        <v>785.29</v>
      </c>
      <c r="C450" s="10">
        <f t="shared" ref="C450:C513" si="28">(B450-B451)/B451</f>
        <v>8.7942900841185426E-4</v>
      </c>
      <c r="D450" s="9">
        <f>'QUANT ACTIVE FUND'!B450</f>
        <v>659.17100000000005</v>
      </c>
      <c r="E450" s="10">
        <f t="shared" ref="E450:E513" si="29">(D450-D451)/D451</f>
        <v>3.034123267426704E-6</v>
      </c>
      <c r="F450" s="9">
        <f>'NIPPON INDIA '!B450</f>
        <v>293.31299999999999</v>
      </c>
      <c r="G450" s="10">
        <f t="shared" ref="G450:G513" si="30">(F450-F451)/F451</f>
        <v>2.135379653419341E-3</v>
      </c>
      <c r="H450" s="9">
        <f>'NIFTY500 TRI'!B450</f>
        <v>36050.230000000003</v>
      </c>
      <c r="I450" s="10">
        <f t="shared" ref="I450:I513" si="31">(H450-H451)/H451</f>
        <v>1.1686243253263983E-3</v>
      </c>
    </row>
    <row r="451" spans="1:9" ht="14.25" customHeight="1" x14ac:dyDescent="0.3">
      <c r="A451" s="8">
        <f>'ICICI PRUDENTIAL MULTICAP FUND'!A451</f>
        <v>45587</v>
      </c>
      <c r="B451" s="9">
        <f>'ICICI PRUDENTIAL MULTICAP FUND'!B451</f>
        <v>784.6</v>
      </c>
      <c r="C451" s="10">
        <f t="shared" si="28"/>
        <v>-1.6496189330124308E-2</v>
      </c>
      <c r="D451" s="9">
        <f>'QUANT ACTIVE FUND'!B451</f>
        <v>659.16899999999998</v>
      </c>
      <c r="E451" s="10">
        <f t="shared" si="29"/>
        <v>-2.6622937456991895E-2</v>
      </c>
      <c r="F451" s="9">
        <f>'NIPPON INDIA '!B451</f>
        <v>292.68799999999999</v>
      </c>
      <c r="G451" s="10">
        <f t="shared" si="30"/>
        <v>-2.2800041399987338E-2</v>
      </c>
      <c r="H451" s="9">
        <f>'NIFTY500 TRI'!B451</f>
        <v>36008.15</v>
      </c>
      <c r="I451" s="10">
        <f t="shared" si="31"/>
        <v>-1.9224834579316803E-2</v>
      </c>
    </row>
    <row r="452" spans="1:9" ht="14.25" customHeight="1" x14ac:dyDescent="0.3">
      <c r="A452" s="8">
        <f>'ICICI PRUDENTIAL MULTICAP FUND'!A452</f>
        <v>45586</v>
      </c>
      <c r="B452" s="9">
        <f>'ICICI PRUDENTIAL MULTICAP FUND'!B452</f>
        <v>797.76</v>
      </c>
      <c r="C452" s="10">
        <f t="shared" si="28"/>
        <v>-7.7365108584791006E-3</v>
      </c>
      <c r="D452" s="9">
        <f>'QUANT ACTIVE FUND'!B452</f>
        <v>677.19799999999998</v>
      </c>
      <c r="E452" s="10">
        <f t="shared" si="29"/>
        <v>-1.0362580722472535E-2</v>
      </c>
      <c r="F452" s="9">
        <f>'NIPPON INDIA '!B452</f>
        <v>299.517</v>
      </c>
      <c r="G452" s="10">
        <f t="shared" si="30"/>
        <v>-9.6483541918098315E-3</v>
      </c>
      <c r="H452" s="9">
        <f>'NIFTY500 TRI'!B452</f>
        <v>36713.97</v>
      </c>
      <c r="I452" s="10">
        <f t="shared" si="31"/>
        <v>-7.5706789526096552E-3</v>
      </c>
    </row>
    <row r="453" spans="1:9" ht="14.25" customHeight="1" x14ac:dyDescent="0.3">
      <c r="A453" s="8">
        <f>'ICICI PRUDENTIAL MULTICAP FUND'!A453</f>
        <v>45583</v>
      </c>
      <c r="B453" s="9">
        <f>'ICICI PRUDENTIAL MULTICAP FUND'!B453</f>
        <v>803.98</v>
      </c>
      <c r="C453" s="10">
        <f t="shared" si="28"/>
        <v>4.6861527310898118E-3</v>
      </c>
      <c r="D453" s="9">
        <f>'QUANT ACTIVE FUND'!B453</f>
        <v>684.28899999999999</v>
      </c>
      <c r="E453" s="10">
        <f t="shared" si="29"/>
        <v>5.717226837919729E-4</v>
      </c>
      <c r="F453" s="9">
        <f>'NIPPON INDIA '!B453</f>
        <v>302.435</v>
      </c>
      <c r="G453" s="10">
        <f t="shared" si="30"/>
        <v>7.312698948427394E-4</v>
      </c>
      <c r="H453" s="9">
        <f>'NIFTY500 TRI'!B453</f>
        <v>36994.04</v>
      </c>
      <c r="I453" s="10">
        <f t="shared" si="31"/>
        <v>2.7795020533185389E-3</v>
      </c>
    </row>
    <row r="454" spans="1:9" ht="14.25" customHeight="1" x14ac:dyDescent="0.3">
      <c r="A454" s="8">
        <f>'ICICI PRUDENTIAL MULTICAP FUND'!A454</f>
        <v>45582</v>
      </c>
      <c r="B454" s="9">
        <f>'ICICI PRUDENTIAL MULTICAP FUND'!B454</f>
        <v>800.23</v>
      </c>
      <c r="C454" s="10">
        <f t="shared" si="28"/>
        <v>-1.027778464887321E-2</v>
      </c>
      <c r="D454" s="9">
        <f>'QUANT ACTIVE FUND'!B454</f>
        <v>683.89800000000002</v>
      </c>
      <c r="E454" s="10">
        <f t="shared" si="29"/>
        <v>-1.1889436476253533E-2</v>
      </c>
      <c r="F454" s="9">
        <f>'NIPPON INDIA '!B454</f>
        <v>302.214</v>
      </c>
      <c r="G454" s="10">
        <f t="shared" si="30"/>
        <v>-1.3027305415035046E-2</v>
      </c>
      <c r="H454" s="9">
        <f>'NIFTY500 TRI'!B454</f>
        <v>36891.5</v>
      </c>
      <c r="I454" s="10">
        <f t="shared" si="31"/>
        <v>-1.2511075004885085E-2</v>
      </c>
    </row>
    <row r="455" spans="1:9" ht="14.25" customHeight="1" x14ac:dyDescent="0.3">
      <c r="A455" s="8">
        <f>'ICICI PRUDENTIAL MULTICAP FUND'!A455</f>
        <v>45581</v>
      </c>
      <c r="B455" s="9">
        <f>'ICICI PRUDENTIAL MULTICAP FUND'!B455</f>
        <v>808.54</v>
      </c>
      <c r="C455" s="10">
        <f t="shared" si="28"/>
        <v>5.0734411542693403E-4</v>
      </c>
      <c r="D455" s="9">
        <f>'QUANT ACTIVE FUND'!B455</f>
        <v>692.12699999999995</v>
      </c>
      <c r="E455" s="10">
        <f t="shared" si="29"/>
        <v>-1.278475295557343E-3</v>
      </c>
      <c r="F455" s="9">
        <f>'NIPPON INDIA '!B455</f>
        <v>306.20299999999997</v>
      </c>
      <c r="G455" s="10">
        <f t="shared" si="30"/>
        <v>1.8518700288249594E-3</v>
      </c>
      <c r="H455" s="9">
        <f>'NIFTY500 TRI'!B455</f>
        <v>37358.9</v>
      </c>
      <c r="I455" s="10">
        <f t="shared" si="31"/>
        <v>-2.6349792832428423E-3</v>
      </c>
    </row>
    <row r="456" spans="1:9" ht="14.25" customHeight="1" x14ac:dyDescent="0.3">
      <c r="A456" s="8">
        <f>'ICICI PRUDENTIAL MULTICAP FUND'!A456</f>
        <v>45580</v>
      </c>
      <c r="B456" s="9">
        <f>'ICICI PRUDENTIAL MULTICAP FUND'!B456</f>
        <v>808.13</v>
      </c>
      <c r="C456" s="10">
        <f t="shared" si="28"/>
        <v>1.561589847187268E-3</v>
      </c>
      <c r="D456" s="9">
        <f>'QUANT ACTIVE FUND'!B456</f>
        <v>693.01300000000003</v>
      </c>
      <c r="E456" s="10">
        <f t="shared" si="29"/>
        <v>-3.4907790062814085E-4</v>
      </c>
      <c r="F456" s="9">
        <f>'NIPPON INDIA '!B456</f>
        <v>305.637</v>
      </c>
      <c r="G456" s="10">
        <f t="shared" si="30"/>
        <v>4.9914671559487308E-3</v>
      </c>
      <c r="H456" s="9">
        <f>'NIFTY500 TRI'!B456</f>
        <v>37457.599999999999</v>
      </c>
      <c r="I456" s="10">
        <f t="shared" si="31"/>
        <v>3.6401054695849239E-4</v>
      </c>
    </row>
    <row r="457" spans="1:9" ht="14.25" customHeight="1" x14ac:dyDescent="0.3">
      <c r="A457" s="8">
        <f>'ICICI PRUDENTIAL MULTICAP FUND'!A457</f>
        <v>45579</v>
      </c>
      <c r="B457" s="9">
        <f>'ICICI PRUDENTIAL MULTICAP FUND'!B457</f>
        <v>806.87</v>
      </c>
      <c r="C457" s="10">
        <f t="shared" si="28"/>
        <v>3.1080224274898367E-3</v>
      </c>
      <c r="D457" s="9">
        <f>'QUANT ACTIVE FUND'!B457</f>
        <v>693.255</v>
      </c>
      <c r="E457" s="10">
        <f t="shared" si="29"/>
        <v>8.3444375950114484E-4</v>
      </c>
      <c r="F457" s="9">
        <f>'NIPPON INDIA '!B457</f>
        <v>304.11900000000003</v>
      </c>
      <c r="G457" s="10">
        <f t="shared" si="30"/>
        <v>2.8523943624816457E-3</v>
      </c>
      <c r="H457" s="9">
        <f>'NIFTY500 TRI'!B457</f>
        <v>37443.97</v>
      </c>
      <c r="I457" s="10">
        <f t="shared" si="31"/>
        <v>4.9059114354166261E-3</v>
      </c>
    </row>
    <row r="458" spans="1:9" ht="14.25" customHeight="1" x14ac:dyDescent="0.3">
      <c r="A458" s="8">
        <f>'ICICI PRUDENTIAL MULTICAP FUND'!A458</f>
        <v>45576</v>
      </c>
      <c r="B458" s="9">
        <f>'ICICI PRUDENTIAL MULTICAP FUND'!B458</f>
        <v>804.37</v>
      </c>
      <c r="C458" s="10">
        <f t="shared" si="28"/>
        <v>-4.100907170374561E-4</v>
      </c>
      <c r="D458" s="9">
        <f>'QUANT ACTIVE FUND'!B458</f>
        <v>692.67700000000002</v>
      </c>
      <c r="E458" s="10">
        <f t="shared" si="29"/>
        <v>4.1605840474219667E-3</v>
      </c>
      <c r="F458" s="9">
        <f>'NIPPON INDIA '!B458</f>
        <v>303.25400000000002</v>
      </c>
      <c r="G458" s="10">
        <f t="shared" si="30"/>
        <v>-7.2541183608301871E-5</v>
      </c>
      <c r="H458" s="9">
        <f>'NIFTY500 TRI'!B458</f>
        <v>37261.17</v>
      </c>
      <c r="I458" s="10">
        <f t="shared" si="31"/>
        <v>5.6068306664629577E-4</v>
      </c>
    </row>
    <row r="459" spans="1:9" ht="14.25" customHeight="1" x14ac:dyDescent="0.3">
      <c r="A459" s="8">
        <f>'ICICI PRUDENTIAL MULTICAP FUND'!A459</f>
        <v>45575</v>
      </c>
      <c r="B459" s="9">
        <f>'ICICI PRUDENTIAL MULTICAP FUND'!B459</f>
        <v>804.7</v>
      </c>
      <c r="C459" s="10">
        <f t="shared" si="28"/>
        <v>-3.4783472881310431E-4</v>
      </c>
      <c r="D459" s="9">
        <f>'QUANT ACTIVE FUND'!B459</f>
        <v>689.80700000000002</v>
      </c>
      <c r="E459" s="10">
        <f t="shared" si="29"/>
        <v>-4.3690119133875218E-3</v>
      </c>
      <c r="F459" s="9">
        <f>'NIPPON INDIA '!B459</f>
        <v>303.27600000000001</v>
      </c>
      <c r="G459" s="10">
        <f t="shared" si="30"/>
        <v>4.903974870442346E-3</v>
      </c>
      <c r="H459" s="9">
        <f>'NIFTY500 TRI'!B459</f>
        <v>37240.29</v>
      </c>
      <c r="I459" s="10">
        <f t="shared" si="31"/>
        <v>-6.0414783739240127E-5</v>
      </c>
    </row>
    <row r="460" spans="1:9" ht="14.25" customHeight="1" x14ac:dyDescent="0.3">
      <c r="A460" s="8">
        <f>'ICICI PRUDENTIAL MULTICAP FUND'!A460</f>
        <v>45574</v>
      </c>
      <c r="B460" s="9">
        <f>'ICICI PRUDENTIAL MULTICAP FUND'!B460</f>
        <v>804.98</v>
      </c>
      <c r="C460" s="10">
        <f t="shared" si="28"/>
        <v>4.4421152454394187E-3</v>
      </c>
      <c r="D460" s="9">
        <f>'QUANT ACTIVE FUND'!B460</f>
        <v>692.83399999999995</v>
      </c>
      <c r="E460" s="10">
        <f t="shared" si="29"/>
        <v>1.067772487880882E-3</v>
      </c>
      <c r="F460" s="9">
        <f>'NIPPON INDIA '!B460</f>
        <v>301.79599999999999</v>
      </c>
      <c r="G460" s="10">
        <f t="shared" si="30"/>
        <v>1.0693127664490924E-2</v>
      </c>
      <c r="H460" s="9">
        <f>'NIFTY500 TRI'!B460</f>
        <v>37242.54</v>
      </c>
      <c r="I460" s="10">
        <f t="shared" si="31"/>
        <v>3.7021795075996857E-3</v>
      </c>
    </row>
    <row r="461" spans="1:9" ht="14.25" customHeight="1" x14ac:dyDescent="0.3">
      <c r="A461" s="8">
        <f>'ICICI PRUDENTIAL MULTICAP FUND'!A461</f>
        <v>45573</v>
      </c>
      <c r="B461" s="9">
        <f>'ICICI PRUDENTIAL MULTICAP FUND'!B461</f>
        <v>801.42</v>
      </c>
      <c r="C461" s="10">
        <f t="shared" si="28"/>
        <v>1.0082932116659525E-2</v>
      </c>
      <c r="D461" s="9">
        <f>'QUANT ACTIVE FUND'!B461</f>
        <v>692.09500000000003</v>
      </c>
      <c r="E461" s="10">
        <f t="shared" si="29"/>
        <v>1.860914179241771E-2</v>
      </c>
      <c r="F461" s="9">
        <f>'NIPPON INDIA '!B461</f>
        <v>298.60300000000001</v>
      </c>
      <c r="G461" s="10">
        <f t="shared" si="30"/>
        <v>1.8594449295928468E-2</v>
      </c>
      <c r="H461" s="9">
        <f>'NIFTY500 TRI'!B461</f>
        <v>37105.17</v>
      </c>
      <c r="I461" s="10">
        <f t="shared" si="31"/>
        <v>1.4260538981129922E-2</v>
      </c>
    </row>
    <row r="462" spans="1:9" ht="14.25" customHeight="1" x14ac:dyDescent="0.3">
      <c r="A462" s="8">
        <f>'ICICI PRUDENTIAL MULTICAP FUND'!A462</f>
        <v>45572</v>
      </c>
      <c r="B462" s="9">
        <f>'ICICI PRUDENTIAL MULTICAP FUND'!B462</f>
        <v>793.42</v>
      </c>
      <c r="C462" s="10">
        <f t="shared" si="28"/>
        <v>-1.6620601613722943E-2</v>
      </c>
      <c r="D462" s="9">
        <f>'QUANT ACTIVE FUND'!B462</f>
        <v>679.45100000000002</v>
      </c>
      <c r="E462" s="10">
        <f t="shared" si="29"/>
        <v>-2.0661990873266287E-2</v>
      </c>
      <c r="F462" s="9">
        <f>'NIPPON INDIA '!B462</f>
        <v>293.15199999999999</v>
      </c>
      <c r="G462" s="10">
        <f t="shared" si="30"/>
        <v>-1.7771463800359284E-2</v>
      </c>
      <c r="H462" s="9">
        <f>'NIFTY500 TRI'!B462</f>
        <v>36583.47</v>
      </c>
      <c r="I462" s="10">
        <f t="shared" si="31"/>
        <v>-1.499764811934352E-2</v>
      </c>
    </row>
    <row r="463" spans="1:9" ht="14.25" customHeight="1" x14ac:dyDescent="0.3">
      <c r="A463" s="8">
        <f>'ICICI PRUDENTIAL MULTICAP FUND'!A463</f>
        <v>45569</v>
      </c>
      <c r="B463" s="9">
        <f>'ICICI PRUDENTIAL MULTICAP FUND'!B463</f>
        <v>806.83</v>
      </c>
      <c r="C463" s="10">
        <f t="shared" si="28"/>
        <v>-7.8820520387585073E-3</v>
      </c>
      <c r="D463" s="9">
        <f>'QUANT ACTIVE FUND'!B463</f>
        <v>693.78599999999994</v>
      </c>
      <c r="E463" s="10">
        <f t="shared" si="29"/>
        <v>-8.1091359309637262E-3</v>
      </c>
      <c r="F463" s="9">
        <f>'NIPPON INDIA '!B463</f>
        <v>298.45600000000002</v>
      </c>
      <c r="G463" s="10">
        <f t="shared" si="30"/>
        <v>-8.0036162518611689E-3</v>
      </c>
      <c r="H463" s="9">
        <f>'NIFTY500 TRI'!B463</f>
        <v>37140.49</v>
      </c>
      <c r="I463" s="10">
        <f t="shared" si="31"/>
        <v>-9.2833777602791909E-3</v>
      </c>
    </row>
    <row r="464" spans="1:9" ht="14.25" customHeight="1" x14ac:dyDescent="0.3">
      <c r="A464" s="8">
        <f>'ICICI PRUDENTIAL MULTICAP FUND'!A464</f>
        <v>45568</v>
      </c>
      <c r="B464" s="9">
        <f>'ICICI PRUDENTIAL MULTICAP FUND'!B464</f>
        <v>813.24</v>
      </c>
      <c r="C464" s="10">
        <f t="shared" si="28"/>
        <v>-1.7315755766883816E-2</v>
      </c>
      <c r="D464" s="9">
        <f>'QUANT ACTIVE FUND'!B464</f>
        <v>699.45799999999997</v>
      </c>
      <c r="E464" s="10">
        <f t="shared" si="29"/>
        <v>-2.1909425751545891E-2</v>
      </c>
      <c r="F464" s="9">
        <f>'NIPPON INDIA '!B464</f>
        <v>300.86399999999998</v>
      </c>
      <c r="G464" s="10">
        <f t="shared" si="30"/>
        <v>-1.7548442714490114E-2</v>
      </c>
      <c r="H464" s="9">
        <f>'NIFTY500 TRI'!B464</f>
        <v>37488.51</v>
      </c>
      <c r="I464" s="10">
        <f t="shared" si="31"/>
        <v>-2.0199997961391297E-2</v>
      </c>
    </row>
    <row r="465" spans="1:9" ht="14.25" customHeight="1" x14ac:dyDescent="0.3">
      <c r="A465" s="8">
        <f>'ICICI PRUDENTIAL MULTICAP FUND'!A465</f>
        <v>45565</v>
      </c>
      <c r="B465" s="9">
        <f>'ICICI PRUDENTIAL MULTICAP FUND'!B465</f>
        <v>827.57</v>
      </c>
      <c r="C465" s="10">
        <f t="shared" si="28"/>
        <v>-7.3765772681475524E-3</v>
      </c>
      <c r="D465" s="9">
        <f>'QUANT ACTIVE FUND'!B465</f>
        <v>715.12599999999998</v>
      </c>
      <c r="E465" s="10">
        <f t="shared" si="29"/>
        <v>-7.9915437509623117E-3</v>
      </c>
      <c r="F465" s="9">
        <f>'NIPPON INDIA '!B465</f>
        <v>306.238</v>
      </c>
      <c r="G465" s="10">
        <f t="shared" si="30"/>
        <v>-8.4314957162561609E-3</v>
      </c>
      <c r="H465" s="9">
        <f>'NIFTY500 TRI'!B465</f>
        <v>38261.39</v>
      </c>
      <c r="I465" s="10">
        <f t="shared" si="31"/>
        <v>-9.9764664481931352E-3</v>
      </c>
    </row>
    <row r="466" spans="1:9" ht="14.25" customHeight="1" x14ac:dyDescent="0.3">
      <c r="A466" s="8">
        <f>'ICICI PRUDENTIAL MULTICAP FUND'!A466</f>
        <v>45562</v>
      </c>
      <c r="B466" s="9">
        <f>'ICICI PRUDENTIAL MULTICAP FUND'!B466</f>
        <v>833.72</v>
      </c>
      <c r="C466" s="10">
        <f t="shared" si="28"/>
        <v>9.6047639629264305E-4</v>
      </c>
      <c r="D466" s="9">
        <f>'QUANT ACTIVE FUND'!B466</f>
        <v>720.88699999999994</v>
      </c>
      <c r="E466" s="10">
        <f t="shared" si="29"/>
        <v>3.1030101981889893E-3</v>
      </c>
      <c r="F466" s="9">
        <f>'NIPPON INDIA '!B466</f>
        <v>308.84199999999998</v>
      </c>
      <c r="G466" s="10">
        <f t="shared" si="30"/>
        <v>-4.8868420967468666E-4</v>
      </c>
      <c r="H466" s="9">
        <f>'NIFTY500 TRI'!B466</f>
        <v>38646.949999999997</v>
      </c>
      <c r="I466" s="10">
        <f t="shared" si="31"/>
        <v>-3.0083877886887353E-4</v>
      </c>
    </row>
    <row r="467" spans="1:9" ht="14.25" customHeight="1" x14ac:dyDescent="0.3">
      <c r="A467" s="8">
        <f>'ICICI PRUDENTIAL MULTICAP FUND'!A467</f>
        <v>45561</v>
      </c>
      <c r="B467" s="9">
        <f>'ICICI PRUDENTIAL MULTICAP FUND'!B467</f>
        <v>832.92</v>
      </c>
      <c r="C467" s="10">
        <f t="shared" si="28"/>
        <v>2.7931615699493574E-3</v>
      </c>
      <c r="D467" s="9">
        <f>'QUANT ACTIVE FUND'!B467</f>
        <v>718.65700000000004</v>
      </c>
      <c r="E467" s="10">
        <f t="shared" si="29"/>
        <v>3.2176918609846329E-3</v>
      </c>
      <c r="F467" s="9">
        <f>'NIPPON INDIA '!B467</f>
        <v>308.99299999999999</v>
      </c>
      <c r="G467" s="10">
        <f t="shared" si="30"/>
        <v>6.3796163162736156E-4</v>
      </c>
      <c r="H467" s="9">
        <f>'NIFTY500 TRI'!B467</f>
        <v>38658.58</v>
      </c>
      <c r="I467" s="10">
        <f t="shared" si="31"/>
        <v>5.1551846565980382E-3</v>
      </c>
    </row>
    <row r="468" spans="1:9" ht="14.25" customHeight="1" x14ac:dyDescent="0.3">
      <c r="A468" s="8">
        <f>'ICICI PRUDENTIAL MULTICAP FUND'!A468</f>
        <v>45560</v>
      </c>
      <c r="B468" s="9">
        <f>'ICICI PRUDENTIAL MULTICAP FUND'!B468</f>
        <v>830.6</v>
      </c>
      <c r="C468" s="10">
        <f t="shared" si="28"/>
        <v>1.0002771852441531E-3</v>
      </c>
      <c r="D468" s="9">
        <f>'QUANT ACTIVE FUND'!B468</f>
        <v>716.35199999999998</v>
      </c>
      <c r="E468" s="10">
        <f t="shared" si="29"/>
        <v>-1.9602680008192711E-3</v>
      </c>
      <c r="F468" s="9">
        <f>'NIPPON INDIA '!B468</f>
        <v>308.79599999999999</v>
      </c>
      <c r="G468" s="10">
        <f t="shared" si="30"/>
        <v>1.547098946221204E-3</v>
      </c>
      <c r="H468" s="9">
        <f>'NIFTY500 TRI'!B468</f>
        <v>38460.31</v>
      </c>
      <c r="I468" s="10">
        <f t="shared" si="31"/>
        <v>-7.4203269672518178E-4</v>
      </c>
    </row>
    <row r="469" spans="1:9" ht="14.25" customHeight="1" x14ac:dyDescent="0.3">
      <c r="A469" s="8">
        <f>'ICICI PRUDENTIAL MULTICAP FUND'!A469</f>
        <v>45559</v>
      </c>
      <c r="B469" s="9">
        <f>'ICICI PRUDENTIAL MULTICAP FUND'!B469</f>
        <v>829.77</v>
      </c>
      <c r="C469" s="10">
        <f t="shared" si="28"/>
        <v>5.3054875622483312E-4</v>
      </c>
      <c r="D469" s="9">
        <f>'QUANT ACTIVE FUND'!B469</f>
        <v>717.75900000000001</v>
      </c>
      <c r="E469" s="10">
        <f t="shared" si="29"/>
        <v>-1.6576632798334561E-4</v>
      </c>
      <c r="F469" s="9">
        <f>'NIPPON INDIA '!B469</f>
        <v>308.31900000000002</v>
      </c>
      <c r="G469" s="10">
        <f t="shared" si="30"/>
        <v>1.2892875468462511E-3</v>
      </c>
      <c r="H469" s="9">
        <f>'NIFTY500 TRI'!B469</f>
        <v>38488.870000000003</v>
      </c>
      <c r="I469" s="10">
        <f t="shared" si="31"/>
        <v>4.3095952957314854E-4</v>
      </c>
    </row>
    <row r="470" spans="1:9" ht="14.25" customHeight="1" x14ac:dyDescent="0.3">
      <c r="A470" s="8">
        <f>'ICICI PRUDENTIAL MULTICAP FUND'!A470</f>
        <v>45558</v>
      </c>
      <c r="B470" s="9">
        <f>'ICICI PRUDENTIAL MULTICAP FUND'!B470</f>
        <v>829.33</v>
      </c>
      <c r="C470" s="10">
        <f t="shared" si="28"/>
        <v>5.5166226145154686E-3</v>
      </c>
      <c r="D470" s="9">
        <f>'QUANT ACTIVE FUND'!B470</f>
        <v>717.87800000000004</v>
      </c>
      <c r="E470" s="10">
        <f t="shared" si="29"/>
        <v>7.6965728282765338E-3</v>
      </c>
      <c r="F470" s="9">
        <f>'NIPPON INDIA '!B470</f>
        <v>307.92200000000003</v>
      </c>
      <c r="G470" s="10">
        <f t="shared" si="30"/>
        <v>1.0212953029602142E-2</v>
      </c>
      <c r="H470" s="9">
        <f>'NIFTY500 TRI'!B470</f>
        <v>38472.29</v>
      </c>
      <c r="I470" s="10">
        <f t="shared" si="31"/>
        <v>7.6743176732726043E-3</v>
      </c>
    </row>
    <row r="471" spans="1:9" ht="14.25" customHeight="1" x14ac:dyDescent="0.3">
      <c r="A471" s="8">
        <f>'ICICI PRUDENTIAL MULTICAP FUND'!A471</f>
        <v>45555</v>
      </c>
      <c r="B471" s="9">
        <f>'ICICI PRUDENTIAL MULTICAP FUND'!B471</f>
        <v>824.78</v>
      </c>
      <c r="C471" s="10">
        <f t="shared" si="28"/>
        <v>8.8188167374046531E-3</v>
      </c>
      <c r="D471" s="9">
        <f>'QUANT ACTIVE FUND'!B471</f>
        <v>712.39499999999998</v>
      </c>
      <c r="E471" s="10">
        <f t="shared" si="29"/>
        <v>7.0269032433166023E-3</v>
      </c>
      <c r="F471" s="9">
        <f>'NIPPON INDIA '!B471</f>
        <v>304.80900000000003</v>
      </c>
      <c r="G471" s="10">
        <f t="shared" si="30"/>
        <v>7.663037908566009E-3</v>
      </c>
      <c r="H471" s="9">
        <f>'NIFTY500 TRI'!B471</f>
        <v>38179.29</v>
      </c>
      <c r="I471" s="10">
        <f t="shared" si="31"/>
        <v>1.4266139033023558E-2</v>
      </c>
    </row>
    <row r="472" spans="1:9" ht="14.25" customHeight="1" x14ac:dyDescent="0.3">
      <c r="A472" s="8">
        <f>'ICICI PRUDENTIAL MULTICAP FUND'!A472</f>
        <v>45554</v>
      </c>
      <c r="B472" s="9">
        <f>'ICICI PRUDENTIAL MULTICAP FUND'!B472</f>
        <v>817.57</v>
      </c>
      <c r="C472" s="10">
        <f t="shared" si="28"/>
        <v>-1.1362248014660354E-3</v>
      </c>
      <c r="D472" s="9">
        <f>'QUANT ACTIVE FUND'!B472</f>
        <v>707.42399999999998</v>
      </c>
      <c r="E472" s="10">
        <f t="shared" si="29"/>
        <v>-7.2565763161403724E-3</v>
      </c>
      <c r="F472" s="9">
        <f>'NIPPON INDIA '!B472</f>
        <v>302.49099999999999</v>
      </c>
      <c r="G472" s="10">
        <f t="shared" si="30"/>
        <v>-3.3573852591348079E-3</v>
      </c>
      <c r="H472" s="9">
        <f>'NIFTY500 TRI'!B472</f>
        <v>37642.28</v>
      </c>
      <c r="I472" s="10">
        <f t="shared" si="31"/>
        <v>-1.8524538782471794E-3</v>
      </c>
    </row>
    <row r="473" spans="1:9" ht="14.25" customHeight="1" x14ac:dyDescent="0.3">
      <c r="A473" s="8">
        <f>'ICICI PRUDENTIAL MULTICAP FUND'!A473</f>
        <v>45553</v>
      </c>
      <c r="B473" s="9">
        <f>'ICICI PRUDENTIAL MULTICAP FUND'!B473</f>
        <v>818.5</v>
      </c>
      <c r="C473" s="10">
        <f t="shared" si="28"/>
        <v>-3.9670950155763132E-3</v>
      </c>
      <c r="D473" s="9">
        <f>'QUANT ACTIVE FUND'!B473</f>
        <v>712.59500000000003</v>
      </c>
      <c r="E473" s="10">
        <f t="shared" si="29"/>
        <v>-6.2101839765259436E-3</v>
      </c>
      <c r="F473" s="9">
        <f>'NIPPON INDIA '!B473</f>
        <v>303.51</v>
      </c>
      <c r="G473" s="10">
        <f t="shared" si="30"/>
        <v>-2.1411512805730949E-4</v>
      </c>
      <c r="H473" s="9">
        <f>'NIFTY500 TRI'!B473</f>
        <v>37712.14</v>
      </c>
      <c r="I473" s="10">
        <f t="shared" si="31"/>
        <v>-2.9710885954401375E-3</v>
      </c>
    </row>
    <row r="474" spans="1:9" ht="14.25" customHeight="1" x14ac:dyDescent="0.3">
      <c r="A474" s="8">
        <f>'ICICI PRUDENTIAL MULTICAP FUND'!A474</f>
        <v>45552</v>
      </c>
      <c r="B474" s="9">
        <f>'ICICI PRUDENTIAL MULTICAP FUND'!B474</f>
        <v>821.76</v>
      </c>
      <c r="C474" s="10">
        <f t="shared" si="28"/>
        <v>-1.118296299897845E-3</v>
      </c>
      <c r="D474" s="9">
        <f>'QUANT ACTIVE FUND'!B474</f>
        <v>717.048</v>
      </c>
      <c r="E474" s="10">
        <f t="shared" si="29"/>
        <v>-2.0319885095225611E-3</v>
      </c>
      <c r="F474" s="9">
        <f>'NIPPON INDIA '!B474</f>
        <v>303.57499999999999</v>
      </c>
      <c r="G474" s="10">
        <f t="shared" si="30"/>
        <v>-1.8117490776848667E-3</v>
      </c>
      <c r="H474" s="9">
        <f>'NIFTY500 TRI'!B474</f>
        <v>37824.519999999997</v>
      </c>
      <c r="I474" s="10">
        <f t="shared" si="31"/>
        <v>9.2276704256810633E-5</v>
      </c>
    </row>
    <row r="475" spans="1:9" ht="14.25" customHeight="1" x14ac:dyDescent="0.3">
      <c r="A475" s="8">
        <f>'ICICI PRUDENTIAL MULTICAP FUND'!A475</f>
        <v>45551</v>
      </c>
      <c r="B475" s="9">
        <f>'ICICI PRUDENTIAL MULTICAP FUND'!B475</f>
        <v>822.68</v>
      </c>
      <c r="C475" s="10">
        <f t="shared" si="28"/>
        <v>1.0342771619433568E-3</v>
      </c>
      <c r="D475" s="9">
        <f>'QUANT ACTIVE FUND'!B475</f>
        <v>718.50800000000004</v>
      </c>
      <c r="E475" s="10">
        <f t="shared" si="29"/>
        <v>-1.6281092363884056E-4</v>
      </c>
      <c r="F475" s="9">
        <f>'NIPPON INDIA '!B475</f>
        <v>304.12599999999998</v>
      </c>
      <c r="G475" s="10">
        <f t="shared" si="30"/>
        <v>-5.9150986178388475E-4</v>
      </c>
      <c r="H475" s="9">
        <f>'NIFTY500 TRI'!B475</f>
        <v>37821.03</v>
      </c>
      <c r="I475" s="10">
        <f t="shared" si="31"/>
        <v>1.6714374096878373E-3</v>
      </c>
    </row>
    <row r="476" spans="1:9" ht="14.25" customHeight="1" x14ac:dyDescent="0.3">
      <c r="A476" s="8">
        <f>'ICICI PRUDENTIAL MULTICAP FUND'!A476</f>
        <v>45548</v>
      </c>
      <c r="B476" s="9">
        <f>'ICICI PRUDENTIAL MULTICAP FUND'!B476</f>
        <v>821.83</v>
      </c>
      <c r="C476" s="10">
        <f t="shared" si="28"/>
        <v>2.990065659401066E-3</v>
      </c>
      <c r="D476" s="9">
        <f>'QUANT ACTIVE FUND'!B476</f>
        <v>718.625</v>
      </c>
      <c r="E476" s="10">
        <f t="shared" si="29"/>
        <v>1.1493452215102333E-3</v>
      </c>
      <c r="F476" s="9">
        <f>'NIPPON INDIA '!B476</f>
        <v>304.30599999999998</v>
      </c>
      <c r="G476" s="10">
        <f t="shared" si="30"/>
        <v>2.9233502186745077E-3</v>
      </c>
      <c r="H476" s="9">
        <f>'NIFTY500 TRI'!B476</f>
        <v>37757.919999999998</v>
      </c>
      <c r="I476" s="10">
        <f t="shared" si="31"/>
        <v>8.9359061462119757E-4</v>
      </c>
    </row>
    <row r="477" spans="1:9" ht="14.25" customHeight="1" x14ac:dyDescent="0.3">
      <c r="A477" s="8">
        <f>'ICICI PRUDENTIAL MULTICAP FUND'!A477</f>
        <v>45547</v>
      </c>
      <c r="B477" s="9">
        <f>'ICICI PRUDENTIAL MULTICAP FUND'!B477</f>
        <v>819.38</v>
      </c>
      <c r="C477" s="10">
        <f t="shared" si="28"/>
        <v>1.1043520106610128E-2</v>
      </c>
      <c r="D477" s="9">
        <f>'QUANT ACTIVE FUND'!B477</f>
        <v>717.8</v>
      </c>
      <c r="E477" s="10">
        <f t="shared" si="29"/>
        <v>9.8778945354321916E-3</v>
      </c>
      <c r="F477" s="9">
        <f>'NIPPON INDIA '!B477</f>
        <v>303.41899999999998</v>
      </c>
      <c r="G477" s="10">
        <f t="shared" si="30"/>
        <v>1.1211277932378983E-2</v>
      </c>
      <c r="H477" s="9">
        <f>'NIFTY500 TRI'!B477</f>
        <v>37724.21</v>
      </c>
      <c r="I477" s="10">
        <f t="shared" si="31"/>
        <v>1.5984073560672555E-2</v>
      </c>
    </row>
    <row r="478" spans="1:9" ht="14.25" customHeight="1" x14ac:dyDescent="0.3">
      <c r="A478" s="8">
        <f>'ICICI PRUDENTIAL MULTICAP FUND'!A478</f>
        <v>45546</v>
      </c>
      <c r="B478" s="9">
        <f>'ICICI PRUDENTIAL MULTICAP FUND'!B478</f>
        <v>810.43</v>
      </c>
      <c r="C478" s="10">
        <f t="shared" si="28"/>
        <v>-5.7049614761742291E-3</v>
      </c>
      <c r="D478" s="9">
        <f>'QUANT ACTIVE FUND'!B478</f>
        <v>710.779</v>
      </c>
      <c r="E478" s="10">
        <f t="shared" si="29"/>
        <v>-7.3113095553997741E-3</v>
      </c>
      <c r="F478" s="9">
        <f>'NIPPON INDIA '!B478</f>
        <v>300.05500000000001</v>
      </c>
      <c r="G478" s="10">
        <f t="shared" si="30"/>
        <v>-4.1519252852580974E-3</v>
      </c>
      <c r="H478" s="9">
        <f>'NIFTY500 TRI'!B478</f>
        <v>37130.71</v>
      </c>
      <c r="I478" s="10">
        <f t="shared" si="31"/>
        <v>-4.7488627067525215E-3</v>
      </c>
    </row>
    <row r="479" spans="1:9" ht="14.25" customHeight="1" x14ac:dyDescent="0.3">
      <c r="A479" s="8">
        <f>'ICICI PRUDENTIAL MULTICAP FUND'!A479</f>
        <v>45545</v>
      </c>
      <c r="B479" s="9">
        <f>'ICICI PRUDENTIAL MULTICAP FUND'!B479</f>
        <v>815.08</v>
      </c>
      <c r="C479" s="10">
        <f t="shared" si="28"/>
        <v>6.0480387074478403E-3</v>
      </c>
      <c r="D479" s="9">
        <f>'QUANT ACTIVE FUND'!B479</f>
        <v>716.01400000000001</v>
      </c>
      <c r="E479" s="10">
        <f t="shared" si="29"/>
        <v>7.4983994315344559E-3</v>
      </c>
      <c r="F479" s="9">
        <f>'NIPPON INDIA '!B479</f>
        <v>301.30599999999998</v>
      </c>
      <c r="G479" s="10">
        <f t="shared" si="30"/>
        <v>1.2555029068790503E-2</v>
      </c>
      <c r="H479" s="9">
        <f>'NIFTY500 TRI'!B479</f>
        <v>37307.879999999997</v>
      </c>
      <c r="I479" s="10">
        <f t="shared" si="31"/>
        <v>6.0210993299373381E-3</v>
      </c>
    </row>
    <row r="480" spans="1:9" ht="14.25" customHeight="1" x14ac:dyDescent="0.3">
      <c r="A480" s="8">
        <f>'ICICI PRUDENTIAL MULTICAP FUND'!A480</f>
        <v>45544</v>
      </c>
      <c r="B480" s="9">
        <f>'ICICI PRUDENTIAL MULTICAP FUND'!B480</f>
        <v>810.18</v>
      </c>
      <c r="C480" s="10">
        <f t="shared" si="28"/>
        <v>-6.9072699015721329E-4</v>
      </c>
      <c r="D480" s="9">
        <f>'QUANT ACTIVE FUND'!B480</f>
        <v>710.68499999999995</v>
      </c>
      <c r="E480" s="10">
        <f t="shared" si="29"/>
        <v>-2.4689659818877196E-3</v>
      </c>
      <c r="F480" s="9">
        <f>'NIPPON INDIA '!B480</f>
        <v>297.57</v>
      </c>
      <c r="G480" s="10">
        <f t="shared" si="30"/>
        <v>3.4625689572291595E-4</v>
      </c>
      <c r="H480" s="9">
        <f>'NIFTY500 TRI'!B480</f>
        <v>37084.589999999997</v>
      </c>
      <c r="I480" s="10">
        <f t="shared" si="31"/>
        <v>1.0505951167841816E-3</v>
      </c>
    </row>
    <row r="481" spans="1:9" ht="14.25" customHeight="1" x14ac:dyDescent="0.3">
      <c r="A481" s="8">
        <f>'ICICI PRUDENTIAL MULTICAP FUND'!A481</f>
        <v>45541</v>
      </c>
      <c r="B481" s="9">
        <f>'ICICI PRUDENTIAL MULTICAP FUND'!B481</f>
        <v>810.74</v>
      </c>
      <c r="C481" s="10">
        <f t="shared" si="28"/>
        <v>-8.8753056234718714E-3</v>
      </c>
      <c r="D481" s="9">
        <f>'QUANT ACTIVE FUND'!B481</f>
        <v>712.44399999999996</v>
      </c>
      <c r="E481" s="10">
        <f t="shared" si="29"/>
        <v>-1.0966982441722414E-2</v>
      </c>
      <c r="F481" s="9">
        <f>'NIPPON INDIA '!B481</f>
        <v>297.46699999999998</v>
      </c>
      <c r="G481" s="10">
        <f t="shared" si="30"/>
        <v>-1.1418962256940061E-2</v>
      </c>
      <c r="H481" s="9">
        <f>'NIFTY500 TRI'!B481</f>
        <v>37045.67</v>
      </c>
      <c r="I481" s="10">
        <f t="shared" si="31"/>
        <v>-1.1977143466752058E-2</v>
      </c>
    </row>
    <row r="482" spans="1:9" ht="14.25" customHeight="1" x14ac:dyDescent="0.3">
      <c r="A482" s="8">
        <f>'ICICI PRUDENTIAL MULTICAP FUND'!A482</f>
        <v>45540</v>
      </c>
      <c r="B482" s="9">
        <f>'ICICI PRUDENTIAL MULTICAP FUND'!B482</f>
        <v>818</v>
      </c>
      <c r="C482" s="10">
        <f t="shared" si="28"/>
        <v>2.7950767420192868E-3</v>
      </c>
      <c r="D482" s="9">
        <f>'QUANT ACTIVE FUND'!B482</f>
        <v>720.34400000000005</v>
      </c>
      <c r="E482" s="10">
        <f t="shared" si="29"/>
        <v>-2.8833363094125358E-3</v>
      </c>
      <c r="F482" s="9">
        <f>'NIPPON INDIA '!B482</f>
        <v>300.90300000000002</v>
      </c>
      <c r="G482" s="10">
        <f t="shared" si="30"/>
        <v>6.9471634089289854E-3</v>
      </c>
      <c r="H482" s="9">
        <f>'NIFTY500 TRI'!B482</f>
        <v>37494.75</v>
      </c>
      <c r="I482" s="10">
        <f t="shared" si="31"/>
        <v>5.8842837585770206E-4</v>
      </c>
    </row>
    <row r="483" spans="1:9" ht="14.25" customHeight="1" x14ac:dyDescent="0.3">
      <c r="A483" s="8">
        <f>'ICICI PRUDENTIAL MULTICAP FUND'!A483</f>
        <v>45539</v>
      </c>
      <c r="B483" s="9">
        <f>'ICICI PRUDENTIAL MULTICAP FUND'!B483</f>
        <v>815.72</v>
      </c>
      <c r="C483" s="10">
        <f t="shared" si="28"/>
        <v>1.4713094654242832E-4</v>
      </c>
      <c r="D483" s="9">
        <f>'QUANT ACTIVE FUND'!B483</f>
        <v>722.42700000000002</v>
      </c>
      <c r="E483" s="10">
        <f t="shared" si="29"/>
        <v>-6.5016177961732763E-4</v>
      </c>
      <c r="F483" s="9">
        <f>'NIPPON INDIA '!B483</f>
        <v>298.827</v>
      </c>
      <c r="G483" s="10">
        <f t="shared" si="30"/>
        <v>-3.5280190739783342E-3</v>
      </c>
      <c r="H483" s="9">
        <f>'NIFTY500 TRI'!B483</f>
        <v>37472.699999999997</v>
      </c>
      <c r="I483" s="10">
        <f t="shared" si="31"/>
        <v>-1.6629759009696924E-3</v>
      </c>
    </row>
    <row r="484" spans="1:9" ht="14.25" customHeight="1" x14ac:dyDescent="0.3">
      <c r="A484" s="8">
        <f>'ICICI PRUDENTIAL MULTICAP FUND'!A484</f>
        <v>45538</v>
      </c>
      <c r="B484" s="9">
        <f>'ICICI PRUDENTIAL MULTICAP FUND'!B484</f>
        <v>815.6</v>
      </c>
      <c r="C484" s="10">
        <f t="shared" si="28"/>
        <v>4.0130979639067272E-3</v>
      </c>
      <c r="D484" s="9">
        <f>'QUANT ACTIVE FUND'!B484</f>
        <v>722.89700000000005</v>
      </c>
      <c r="E484" s="10">
        <f t="shared" si="29"/>
        <v>1.3835143200652844E-4</v>
      </c>
      <c r="F484" s="9">
        <f>'NIPPON INDIA '!B484</f>
        <v>299.88499999999999</v>
      </c>
      <c r="G484" s="10">
        <f t="shared" si="30"/>
        <v>3.5270771774011853E-3</v>
      </c>
      <c r="H484" s="9">
        <f>'NIFTY500 TRI'!B484</f>
        <v>37535.120000000003</v>
      </c>
      <c r="I484" s="10">
        <f t="shared" si="31"/>
        <v>1.1704067403480029E-3</v>
      </c>
    </row>
    <row r="485" spans="1:9" ht="14.25" customHeight="1" x14ac:dyDescent="0.3">
      <c r="A485" s="8">
        <f>'ICICI PRUDENTIAL MULTICAP FUND'!A485</f>
        <v>45537</v>
      </c>
      <c r="B485" s="9">
        <f>'ICICI PRUDENTIAL MULTICAP FUND'!B485</f>
        <v>812.34</v>
      </c>
      <c r="C485" s="10">
        <f t="shared" si="28"/>
        <v>1.9735056861632863E-3</v>
      </c>
      <c r="D485" s="9">
        <f>'QUANT ACTIVE FUND'!B485</f>
        <v>722.79700000000003</v>
      </c>
      <c r="E485" s="10">
        <f t="shared" si="29"/>
        <v>4.8518921684343524E-3</v>
      </c>
      <c r="F485" s="9">
        <f>'NIPPON INDIA '!B485</f>
        <v>298.83100000000002</v>
      </c>
      <c r="G485" s="10">
        <f t="shared" si="30"/>
        <v>-7.5905008393012537E-4</v>
      </c>
      <c r="H485" s="9">
        <f>'NIFTY500 TRI'!B485</f>
        <v>37491.24</v>
      </c>
      <c r="I485" s="10">
        <f t="shared" si="31"/>
        <v>1.1033401406464877E-3</v>
      </c>
    </row>
    <row r="486" spans="1:9" ht="14.25" customHeight="1" x14ac:dyDescent="0.3">
      <c r="A486" s="8">
        <f>'ICICI PRUDENTIAL MULTICAP FUND'!A486</f>
        <v>45534</v>
      </c>
      <c r="B486" s="9">
        <f>'ICICI PRUDENTIAL MULTICAP FUND'!B486</f>
        <v>810.74</v>
      </c>
      <c r="C486" s="10">
        <f t="shared" si="28"/>
        <v>5.6687795378146675E-3</v>
      </c>
      <c r="D486" s="9">
        <f>'QUANT ACTIVE FUND'!B486</f>
        <v>719.30700000000002</v>
      </c>
      <c r="E486" s="10">
        <f t="shared" si="29"/>
        <v>-9.6943771223808044E-4</v>
      </c>
      <c r="F486" s="9">
        <f>'NIPPON INDIA '!B486</f>
        <v>299.05799999999999</v>
      </c>
      <c r="G486" s="10">
        <f t="shared" si="30"/>
        <v>9.2706649432522398E-3</v>
      </c>
      <c r="H486" s="9">
        <f>'NIFTY500 TRI'!B486</f>
        <v>37449.919999999998</v>
      </c>
      <c r="I486" s="10">
        <f t="shared" si="31"/>
        <v>4.4078714634106049E-3</v>
      </c>
    </row>
    <row r="487" spans="1:9" ht="14.25" customHeight="1" x14ac:dyDescent="0.3">
      <c r="A487" s="8">
        <f>'ICICI PRUDENTIAL MULTICAP FUND'!A487</f>
        <v>45533</v>
      </c>
      <c r="B487" s="9">
        <f>'ICICI PRUDENTIAL MULTICAP FUND'!B487</f>
        <v>806.17</v>
      </c>
      <c r="C487" s="10">
        <f t="shared" si="28"/>
        <v>-4.2156947836980552E-4</v>
      </c>
      <c r="D487" s="9">
        <f>'QUANT ACTIVE FUND'!B487</f>
        <v>720.005</v>
      </c>
      <c r="E487" s="10">
        <f t="shared" si="29"/>
        <v>-3.7498333407464742E-5</v>
      </c>
      <c r="F487" s="9">
        <f>'NIPPON INDIA '!B487</f>
        <v>296.31099999999998</v>
      </c>
      <c r="G487" s="10">
        <f t="shared" si="30"/>
        <v>-2.8067105285298532E-3</v>
      </c>
      <c r="H487" s="9">
        <f>'NIFTY500 TRI'!B487</f>
        <v>37285.57</v>
      </c>
      <c r="I487" s="10">
        <f t="shared" si="31"/>
        <v>6.5537429735792519E-4</v>
      </c>
    </row>
    <row r="488" spans="1:9" ht="14.25" customHeight="1" x14ac:dyDescent="0.3">
      <c r="A488" s="8">
        <f>'ICICI PRUDENTIAL MULTICAP FUND'!A488</f>
        <v>45532</v>
      </c>
      <c r="B488" s="9">
        <f>'ICICI PRUDENTIAL MULTICAP FUND'!B488</f>
        <v>806.51</v>
      </c>
      <c r="C488" s="10">
        <f t="shared" si="28"/>
        <v>9.9202658631302075E-5</v>
      </c>
      <c r="D488" s="9">
        <f>'QUANT ACTIVE FUND'!B488</f>
        <v>720.03200000000004</v>
      </c>
      <c r="E488" s="10">
        <f t="shared" si="29"/>
        <v>-4.0844554174705901E-3</v>
      </c>
      <c r="F488" s="9">
        <f>'NIPPON INDIA '!B488</f>
        <v>297.14499999999998</v>
      </c>
      <c r="G488" s="10">
        <f t="shared" si="30"/>
        <v>-1.8039384309432029E-3</v>
      </c>
      <c r="H488" s="9">
        <f>'NIFTY500 TRI'!B488</f>
        <v>37261.15</v>
      </c>
      <c r="I488" s="10">
        <f t="shared" si="31"/>
        <v>4.7122190121263546E-4</v>
      </c>
    </row>
    <row r="489" spans="1:9" ht="14.25" customHeight="1" x14ac:dyDescent="0.3">
      <c r="A489" s="8">
        <f>'ICICI PRUDENTIAL MULTICAP FUND'!A489</f>
        <v>45531</v>
      </c>
      <c r="B489" s="9">
        <f>'ICICI PRUDENTIAL MULTICAP FUND'!B489</f>
        <v>806.43</v>
      </c>
      <c r="C489" s="10">
        <f t="shared" si="28"/>
        <v>3.1346792551404782E-3</v>
      </c>
      <c r="D489" s="9">
        <f>'QUANT ACTIVE FUND'!B489</f>
        <v>722.98500000000001</v>
      </c>
      <c r="E489" s="10">
        <f t="shared" si="29"/>
        <v>-1.2695053487755043E-3</v>
      </c>
      <c r="F489" s="9">
        <f>'NIPPON INDIA '!B489</f>
        <v>297.68200000000002</v>
      </c>
      <c r="G489" s="10">
        <f t="shared" si="30"/>
        <v>5.3088379318496593E-3</v>
      </c>
      <c r="H489" s="9">
        <f>'NIFTY500 TRI'!B489</f>
        <v>37243.599999999999</v>
      </c>
      <c r="I489" s="10">
        <f t="shared" si="31"/>
        <v>1.8302347025841944E-3</v>
      </c>
    </row>
    <row r="490" spans="1:9" ht="14.25" customHeight="1" x14ac:dyDescent="0.3">
      <c r="A490" s="8">
        <f>'ICICI PRUDENTIAL MULTICAP FUND'!A490</f>
        <v>45530</v>
      </c>
      <c r="B490" s="9">
        <f>'ICICI PRUDENTIAL MULTICAP FUND'!B490</f>
        <v>803.91</v>
      </c>
      <c r="C490" s="10">
        <f t="shared" si="28"/>
        <v>7.759614902471971E-3</v>
      </c>
      <c r="D490" s="9">
        <f>'QUANT ACTIVE FUND'!B490</f>
        <v>723.904</v>
      </c>
      <c r="E490" s="10">
        <f t="shared" si="29"/>
        <v>3.2596403308423724E-3</v>
      </c>
      <c r="F490" s="9">
        <f>'NIPPON INDIA '!B490</f>
        <v>296.11</v>
      </c>
      <c r="G490" s="10">
        <f t="shared" si="30"/>
        <v>4.0349925403499179E-3</v>
      </c>
      <c r="H490" s="9">
        <f>'NIFTY500 TRI'!B490</f>
        <v>37175.56</v>
      </c>
      <c r="I490" s="10">
        <f t="shared" si="31"/>
        <v>6.1115450338757385E-3</v>
      </c>
    </row>
    <row r="491" spans="1:9" ht="14.25" customHeight="1" x14ac:dyDescent="0.3">
      <c r="A491" s="8">
        <f>'ICICI PRUDENTIAL MULTICAP FUND'!A491</f>
        <v>45527</v>
      </c>
      <c r="B491" s="9">
        <f>'ICICI PRUDENTIAL MULTICAP FUND'!B491</f>
        <v>797.72</v>
      </c>
      <c r="C491" s="10">
        <f t="shared" si="28"/>
        <v>-6.2639372604043995E-4</v>
      </c>
      <c r="D491" s="9">
        <f>'QUANT ACTIVE FUND'!B491</f>
        <v>721.55200000000002</v>
      </c>
      <c r="E491" s="10">
        <f t="shared" si="29"/>
        <v>-3.5050891463768467E-3</v>
      </c>
      <c r="F491" s="9">
        <f>'NIPPON INDIA '!B491</f>
        <v>294.92</v>
      </c>
      <c r="G491" s="10">
        <f t="shared" si="30"/>
        <v>-7.217085178545451E-4</v>
      </c>
      <c r="H491" s="9">
        <f>'NIFTY500 TRI'!B491</f>
        <v>36949.74</v>
      </c>
      <c r="I491" s="10">
        <f t="shared" si="31"/>
        <v>-8.3260028993637663E-4</v>
      </c>
    </row>
    <row r="492" spans="1:9" ht="14.25" customHeight="1" x14ac:dyDescent="0.3">
      <c r="A492" s="8">
        <f>'ICICI PRUDENTIAL MULTICAP FUND'!A492</f>
        <v>45526</v>
      </c>
      <c r="B492" s="9">
        <f>'ICICI PRUDENTIAL MULTICAP FUND'!B492</f>
        <v>798.22</v>
      </c>
      <c r="C492" s="10">
        <f t="shared" si="28"/>
        <v>3.999798752264117E-3</v>
      </c>
      <c r="D492" s="9">
        <f>'QUANT ACTIVE FUND'!B492</f>
        <v>724.09</v>
      </c>
      <c r="E492" s="10">
        <f t="shared" si="29"/>
        <v>7.573851967128402E-4</v>
      </c>
      <c r="F492" s="9">
        <f>'NIPPON INDIA '!B492</f>
        <v>295.13299999999998</v>
      </c>
      <c r="G492" s="10">
        <f t="shared" si="30"/>
        <v>1.5168688027256223E-3</v>
      </c>
      <c r="H492" s="9">
        <f>'NIFTY500 TRI'!B492</f>
        <v>36980.53</v>
      </c>
      <c r="I492" s="10">
        <f t="shared" si="31"/>
        <v>3.0949565770268112E-3</v>
      </c>
    </row>
    <row r="493" spans="1:9" ht="14.25" customHeight="1" x14ac:dyDescent="0.3">
      <c r="A493" s="8">
        <f>'ICICI PRUDENTIAL MULTICAP FUND'!A493</f>
        <v>45525</v>
      </c>
      <c r="B493" s="9">
        <f>'ICICI PRUDENTIAL MULTICAP FUND'!B493</f>
        <v>795.04</v>
      </c>
      <c r="C493" s="10">
        <f t="shared" si="28"/>
        <v>5.4506595171549647E-3</v>
      </c>
      <c r="D493" s="9">
        <f>'QUANT ACTIVE FUND'!B493</f>
        <v>723.54200000000003</v>
      </c>
      <c r="E493" s="10">
        <f t="shared" si="29"/>
        <v>6.6727327873825374E-3</v>
      </c>
      <c r="F493" s="9">
        <f>'NIPPON INDIA '!B493</f>
        <v>294.68599999999998</v>
      </c>
      <c r="G493" s="10">
        <f t="shared" si="30"/>
        <v>5.0682128240108803E-3</v>
      </c>
      <c r="H493" s="9">
        <f>'NIFTY500 TRI'!B493</f>
        <v>36866.43</v>
      </c>
      <c r="I493" s="10">
        <f t="shared" si="31"/>
        <v>3.8086888095940777E-3</v>
      </c>
    </row>
    <row r="494" spans="1:9" ht="14.25" customHeight="1" x14ac:dyDescent="0.3">
      <c r="A494" s="8">
        <f>'ICICI PRUDENTIAL MULTICAP FUND'!A494</f>
        <v>45524</v>
      </c>
      <c r="B494" s="9">
        <f>'ICICI PRUDENTIAL MULTICAP FUND'!B494</f>
        <v>790.73</v>
      </c>
      <c r="C494" s="10">
        <f t="shared" si="28"/>
        <v>7.2223779074211819E-3</v>
      </c>
      <c r="D494" s="9">
        <f>'QUANT ACTIVE FUND'!B494</f>
        <v>718.74599999999998</v>
      </c>
      <c r="E494" s="10">
        <f t="shared" si="29"/>
        <v>8.2172795726677215E-3</v>
      </c>
      <c r="F494" s="9">
        <f>'NIPPON INDIA '!B494</f>
        <v>293.2</v>
      </c>
      <c r="G494" s="10">
        <f t="shared" si="30"/>
        <v>5.8319039451114529E-3</v>
      </c>
      <c r="H494" s="9">
        <f>'NIFTY500 TRI'!B494</f>
        <v>36726.550000000003</v>
      </c>
      <c r="I494" s="10">
        <f t="shared" si="31"/>
        <v>6.1004507468525879E-3</v>
      </c>
    </row>
    <row r="495" spans="1:9" ht="14.25" customHeight="1" x14ac:dyDescent="0.3">
      <c r="A495" s="8">
        <f>'ICICI PRUDENTIAL MULTICAP FUND'!A495</f>
        <v>45523</v>
      </c>
      <c r="B495" s="9">
        <f>'ICICI PRUDENTIAL MULTICAP FUND'!B495</f>
        <v>785.06</v>
      </c>
      <c r="C495" s="10">
        <f t="shared" si="28"/>
        <v>1.6075529471803916E-3</v>
      </c>
      <c r="D495" s="9">
        <f>'QUANT ACTIVE FUND'!B495</f>
        <v>712.88800000000003</v>
      </c>
      <c r="E495" s="10">
        <f t="shared" si="29"/>
        <v>7.5457671482823882E-3</v>
      </c>
      <c r="F495" s="9">
        <f>'NIPPON INDIA '!B495</f>
        <v>291.5</v>
      </c>
      <c r="G495" s="10">
        <f t="shared" si="30"/>
        <v>4.2651122089698255E-3</v>
      </c>
      <c r="H495" s="9">
        <f>'NIFTY500 TRI'!B495</f>
        <v>36503.86</v>
      </c>
      <c r="I495" s="10">
        <f t="shared" si="31"/>
        <v>3.7917316656203427E-3</v>
      </c>
    </row>
    <row r="496" spans="1:9" ht="14.25" customHeight="1" x14ac:dyDescent="0.3">
      <c r="A496" s="8">
        <f>'ICICI PRUDENTIAL MULTICAP FUND'!A496</f>
        <v>45520</v>
      </c>
      <c r="B496" s="9">
        <f>'ICICI PRUDENTIAL MULTICAP FUND'!B496</f>
        <v>783.8</v>
      </c>
      <c r="C496" s="10">
        <f t="shared" si="28"/>
        <v>1.2870877700816605E-2</v>
      </c>
      <c r="D496" s="9">
        <f>'QUANT ACTIVE FUND'!B496</f>
        <v>707.54899999999998</v>
      </c>
      <c r="E496" s="10">
        <f t="shared" si="29"/>
        <v>1.3159420870927332E-2</v>
      </c>
      <c r="F496" s="9">
        <f>'NIPPON INDIA '!B496</f>
        <v>290.262</v>
      </c>
      <c r="G496" s="10">
        <f t="shared" si="30"/>
        <v>1.5946462447410915E-2</v>
      </c>
      <c r="H496" s="9">
        <f>'NIFTY500 TRI'!B496</f>
        <v>36365.97</v>
      </c>
      <c r="I496" s="10">
        <f t="shared" si="31"/>
        <v>1.7107592653191315E-2</v>
      </c>
    </row>
    <row r="497" spans="1:9" ht="14.25" customHeight="1" x14ac:dyDescent="0.3">
      <c r="A497" s="8">
        <f>'ICICI PRUDENTIAL MULTICAP FUND'!A497</f>
        <v>45518</v>
      </c>
      <c r="B497" s="9">
        <f>'ICICI PRUDENTIAL MULTICAP FUND'!B497</f>
        <v>773.84</v>
      </c>
      <c r="C497" s="10">
        <f t="shared" si="28"/>
        <v>-2.2949382429539888E-3</v>
      </c>
      <c r="D497" s="9">
        <f>'QUANT ACTIVE FUND'!B497</f>
        <v>698.35900000000004</v>
      </c>
      <c r="E497" s="10">
        <f t="shared" si="29"/>
        <v>-5.4742004804877471E-3</v>
      </c>
      <c r="F497" s="9">
        <f>'NIPPON INDIA '!B497</f>
        <v>285.70600000000002</v>
      </c>
      <c r="G497" s="10">
        <f t="shared" si="30"/>
        <v>-3.3697047496791038E-3</v>
      </c>
      <c r="H497" s="9">
        <f>'NIFTY500 TRI'!B497</f>
        <v>35754.300000000003</v>
      </c>
      <c r="I497" s="10">
        <f t="shared" si="31"/>
        <v>-1.4065208271772606E-3</v>
      </c>
    </row>
    <row r="498" spans="1:9" ht="14.25" customHeight="1" x14ac:dyDescent="0.3">
      <c r="A498" s="8">
        <f>'ICICI PRUDENTIAL MULTICAP FUND'!A498</f>
        <v>45517</v>
      </c>
      <c r="B498" s="9">
        <f>'ICICI PRUDENTIAL MULTICAP FUND'!B498</f>
        <v>775.62</v>
      </c>
      <c r="C498" s="10">
        <f t="shared" si="28"/>
        <v>-9.9816195241499654E-3</v>
      </c>
      <c r="D498" s="9">
        <f>'QUANT ACTIVE FUND'!B498</f>
        <v>702.20299999999997</v>
      </c>
      <c r="E498" s="10">
        <f t="shared" si="29"/>
        <v>-8.4833474769525439E-3</v>
      </c>
      <c r="F498" s="9">
        <f>'NIPPON INDIA '!B498</f>
        <v>286.67200000000003</v>
      </c>
      <c r="G498" s="10">
        <f t="shared" si="30"/>
        <v>-1.3207852424537583E-2</v>
      </c>
      <c r="H498" s="9">
        <f>'NIFTY500 TRI'!B498</f>
        <v>35804.660000000003</v>
      </c>
      <c r="I498" s="10">
        <f t="shared" si="31"/>
        <v>-9.1552653637737985E-3</v>
      </c>
    </row>
    <row r="499" spans="1:9" ht="14.25" customHeight="1" x14ac:dyDescent="0.3">
      <c r="A499" s="8">
        <f>'ICICI PRUDENTIAL MULTICAP FUND'!A499</f>
        <v>45516</v>
      </c>
      <c r="B499" s="9">
        <f>'ICICI PRUDENTIAL MULTICAP FUND'!B499</f>
        <v>783.44</v>
      </c>
      <c r="C499" s="10">
        <f t="shared" si="28"/>
        <v>1.5852723088724226E-3</v>
      </c>
      <c r="D499" s="9">
        <f>'QUANT ACTIVE FUND'!B499</f>
        <v>708.21100000000001</v>
      </c>
      <c r="E499" s="10">
        <f t="shared" si="29"/>
        <v>-3.747494285211869E-3</v>
      </c>
      <c r="F499" s="9">
        <f>'NIPPON INDIA '!B499</f>
        <v>290.50900000000001</v>
      </c>
      <c r="G499" s="10">
        <f t="shared" si="30"/>
        <v>1.3580821398411162E-3</v>
      </c>
      <c r="H499" s="9">
        <f>'NIFTY500 TRI'!B499</f>
        <v>36135.49</v>
      </c>
      <c r="I499" s="10">
        <f t="shared" si="31"/>
        <v>5.8948295979044867E-5</v>
      </c>
    </row>
    <row r="500" spans="1:9" ht="14.25" customHeight="1" x14ac:dyDescent="0.3">
      <c r="A500" s="8">
        <f>'ICICI PRUDENTIAL MULTICAP FUND'!A500</f>
        <v>45513</v>
      </c>
      <c r="B500" s="9">
        <f>'ICICI PRUDENTIAL MULTICAP FUND'!B500</f>
        <v>782.2</v>
      </c>
      <c r="C500" s="10">
        <f t="shared" si="28"/>
        <v>6.8867863808972423E-3</v>
      </c>
      <c r="D500" s="9">
        <f>'QUANT ACTIVE FUND'!B500</f>
        <v>710.875</v>
      </c>
      <c r="E500" s="10">
        <f t="shared" si="29"/>
        <v>2.3604027631094404E-3</v>
      </c>
      <c r="F500" s="9">
        <f>'NIPPON INDIA '!B500</f>
        <v>290.11500000000001</v>
      </c>
      <c r="G500" s="10">
        <f t="shared" si="30"/>
        <v>9.4151540139662208E-3</v>
      </c>
      <c r="H500" s="9">
        <f>'NIFTY500 TRI'!B500</f>
        <v>36133.360000000001</v>
      </c>
      <c r="I500" s="10">
        <f t="shared" si="31"/>
        <v>9.6885318096362541E-3</v>
      </c>
    </row>
    <row r="501" spans="1:9" ht="14.25" customHeight="1" x14ac:dyDescent="0.3">
      <c r="A501" s="8">
        <f>'ICICI PRUDENTIAL MULTICAP FUND'!A501</f>
        <v>45512</v>
      </c>
      <c r="B501" s="9">
        <f>'ICICI PRUDENTIAL MULTICAP FUND'!B501</f>
        <v>776.85</v>
      </c>
      <c r="C501" s="10">
        <f t="shared" si="28"/>
        <v>-3.2589589294191143E-3</v>
      </c>
      <c r="D501" s="9">
        <f>'QUANT ACTIVE FUND'!B501</f>
        <v>709.20100000000002</v>
      </c>
      <c r="E501" s="10">
        <f t="shared" si="29"/>
        <v>-3.9042789205575082E-4</v>
      </c>
      <c r="F501" s="9">
        <f>'NIPPON INDIA '!B501</f>
        <v>287.40899999999999</v>
      </c>
      <c r="G501" s="10">
        <f t="shared" si="30"/>
        <v>-4.4062477267294746E-3</v>
      </c>
      <c r="H501" s="9">
        <f>'NIFTY500 TRI'!B501</f>
        <v>35786.639999999999</v>
      </c>
      <c r="I501" s="10">
        <f t="shared" si="31"/>
        <v>-6.2667442697388089E-3</v>
      </c>
    </row>
    <row r="502" spans="1:9" ht="14.25" customHeight="1" x14ac:dyDescent="0.3">
      <c r="A502" s="8">
        <f>'ICICI PRUDENTIAL MULTICAP FUND'!A502</f>
        <v>45511</v>
      </c>
      <c r="B502" s="9">
        <f>'ICICI PRUDENTIAL MULTICAP FUND'!B502</f>
        <v>779.39</v>
      </c>
      <c r="C502" s="10">
        <f t="shared" si="28"/>
        <v>1.5081856188379992E-2</v>
      </c>
      <c r="D502" s="9">
        <f>'QUANT ACTIVE FUND'!B502</f>
        <v>709.47799999999995</v>
      </c>
      <c r="E502" s="10">
        <f t="shared" si="29"/>
        <v>2.0408809011517443E-2</v>
      </c>
      <c r="F502" s="9">
        <f>'NIPPON INDIA '!B502</f>
        <v>288.68099999999998</v>
      </c>
      <c r="G502" s="10">
        <f t="shared" si="30"/>
        <v>1.3815773300508764E-2</v>
      </c>
      <c r="H502" s="9">
        <f>'NIFTY500 TRI'!B502</f>
        <v>36012.32</v>
      </c>
      <c r="I502" s="10">
        <f t="shared" si="31"/>
        <v>1.8328736397944367E-2</v>
      </c>
    </row>
    <row r="503" spans="1:9" ht="14.25" customHeight="1" x14ac:dyDescent="0.3">
      <c r="A503" s="8">
        <f>'ICICI PRUDENTIAL MULTICAP FUND'!A503</f>
        <v>45510</v>
      </c>
      <c r="B503" s="9">
        <f>'ICICI PRUDENTIAL MULTICAP FUND'!B503</f>
        <v>767.81</v>
      </c>
      <c r="C503" s="10">
        <f t="shared" si="28"/>
        <v>-2.6498668571800703E-3</v>
      </c>
      <c r="D503" s="9">
        <f>'QUANT ACTIVE FUND'!B503</f>
        <v>695.28800000000001</v>
      </c>
      <c r="E503" s="10">
        <f t="shared" si="29"/>
        <v>-3.990980898873106E-3</v>
      </c>
      <c r="F503" s="9">
        <f>'NIPPON INDIA '!B503</f>
        <v>284.74700000000001</v>
      </c>
      <c r="G503" s="10">
        <f t="shared" si="30"/>
        <v>-6.8570312472751773E-3</v>
      </c>
      <c r="H503" s="9">
        <f>'NIFTY500 TRI'!B503</f>
        <v>35364.14</v>
      </c>
      <c r="I503" s="10">
        <f t="shared" si="31"/>
        <v>-4.3739354439111073E-3</v>
      </c>
    </row>
    <row r="504" spans="1:9" ht="14.25" customHeight="1" x14ac:dyDescent="0.3">
      <c r="A504" s="8">
        <f>'ICICI PRUDENTIAL MULTICAP FUND'!A504</f>
        <v>45509</v>
      </c>
      <c r="B504" s="9">
        <f>'ICICI PRUDENTIAL MULTICAP FUND'!B504</f>
        <v>769.85</v>
      </c>
      <c r="C504" s="10">
        <f t="shared" si="28"/>
        <v>-2.438251656971956E-2</v>
      </c>
      <c r="D504" s="9">
        <f>'QUANT ACTIVE FUND'!B504</f>
        <v>698.07399999999996</v>
      </c>
      <c r="E504" s="10">
        <f t="shared" si="29"/>
        <v>-3.1823017146566247E-2</v>
      </c>
      <c r="F504" s="9">
        <f>'NIPPON INDIA '!B504</f>
        <v>286.71300000000002</v>
      </c>
      <c r="G504" s="10">
        <f t="shared" si="30"/>
        <v>-2.9479862704876424E-2</v>
      </c>
      <c r="H504" s="9">
        <f>'NIFTY500 TRI'!B504</f>
        <v>35519.5</v>
      </c>
      <c r="I504" s="10">
        <f t="shared" si="31"/>
        <v>-3.0772056044648395E-2</v>
      </c>
    </row>
    <row r="505" spans="1:9" ht="14.25" customHeight="1" x14ac:dyDescent="0.3">
      <c r="A505" s="8">
        <f>'ICICI PRUDENTIAL MULTICAP FUND'!A505</f>
        <v>45506</v>
      </c>
      <c r="B505" s="9">
        <f>'ICICI PRUDENTIAL MULTICAP FUND'!B505</f>
        <v>789.09</v>
      </c>
      <c r="C505" s="10">
        <f t="shared" si="28"/>
        <v>-8.7182643870205162E-3</v>
      </c>
      <c r="D505" s="9">
        <f>'QUANT ACTIVE FUND'!B505</f>
        <v>721.01900000000001</v>
      </c>
      <c r="E505" s="10">
        <f t="shared" si="29"/>
        <v>-7.6714199008247478E-3</v>
      </c>
      <c r="F505" s="9">
        <f>'NIPPON INDIA '!B505</f>
        <v>295.42200000000003</v>
      </c>
      <c r="G505" s="10">
        <f t="shared" si="30"/>
        <v>-4.8306249494703465E-3</v>
      </c>
      <c r="H505" s="9">
        <f>'NIFTY500 TRI'!B505</f>
        <v>36647.21</v>
      </c>
      <c r="I505" s="10">
        <f t="shared" si="31"/>
        <v>-1.0324732720075025E-2</v>
      </c>
    </row>
    <row r="506" spans="1:9" ht="14.25" customHeight="1" x14ac:dyDescent="0.3">
      <c r="A506" s="8">
        <f>'ICICI PRUDENTIAL MULTICAP FUND'!A506</f>
        <v>45505</v>
      </c>
      <c r="B506" s="9">
        <f>'ICICI PRUDENTIAL MULTICAP FUND'!B506</f>
        <v>796.03</v>
      </c>
      <c r="C506" s="10">
        <f t="shared" si="28"/>
        <v>-1.9058366246630079E-3</v>
      </c>
      <c r="D506" s="9">
        <f>'QUANT ACTIVE FUND'!B506</f>
        <v>726.59299999999996</v>
      </c>
      <c r="E506" s="10">
        <f t="shared" si="29"/>
        <v>-6.3658293766274722E-3</v>
      </c>
      <c r="F506" s="9">
        <f>'NIPPON INDIA '!B506</f>
        <v>296.85599999999999</v>
      </c>
      <c r="G506" s="10">
        <f t="shared" si="30"/>
        <v>-1.6503595426139059E-4</v>
      </c>
      <c r="H506" s="9">
        <f>'NIFTY500 TRI'!B506</f>
        <v>37029.53</v>
      </c>
      <c r="I506" s="10">
        <f t="shared" si="31"/>
        <v>-9.8607675804948647E-4</v>
      </c>
    </row>
    <row r="507" spans="1:9" ht="14.25" customHeight="1" x14ac:dyDescent="0.3">
      <c r="A507" s="8">
        <f>'ICICI PRUDENTIAL MULTICAP FUND'!A507</f>
        <v>45504</v>
      </c>
      <c r="B507" s="9">
        <f>'ICICI PRUDENTIAL MULTICAP FUND'!B507</f>
        <v>797.55</v>
      </c>
      <c r="C507" s="10">
        <f t="shared" si="28"/>
        <v>3.5988876165547567E-3</v>
      </c>
      <c r="D507" s="9">
        <f>'QUANT ACTIVE FUND'!B507</f>
        <v>731.24800000000005</v>
      </c>
      <c r="E507" s="10">
        <f t="shared" si="29"/>
        <v>4.3828985917311845E-3</v>
      </c>
      <c r="F507" s="9">
        <f>'NIPPON INDIA '!B507</f>
        <v>296.90499999999997</v>
      </c>
      <c r="G507" s="10">
        <f t="shared" si="30"/>
        <v>3.1692722499467446E-3</v>
      </c>
      <c r="H507" s="9">
        <f>'NIFTY500 TRI'!B507</f>
        <v>37066.080000000002</v>
      </c>
      <c r="I507" s="10">
        <f t="shared" si="31"/>
        <v>3.8688381271085584E-3</v>
      </c>
    </row>
    <row r="508" spans="1:9" ht="14.25" customHeight="1" x14ac:dyDescent="0.3">
      <c r="A508" s="8">
        <f>'ICICI PRUDENTIAL MULTICAP FUND'!A508</f>
        <v>45503</v>
      </c>
      <c r="B508" s="9">
        <f>'ICICI PRUDENTIAL MULTICAP FUND'!B508</f>
        <v>794.69</v>
      </c>
      <c r="C508" s="10">
        <f t="shared" si="28"/>
        <v>5.1478586425843641E-3</v>
      </c>
      <c r="D508" s="9">
        <f>'QUANT ACTIVE FUND'!B508</f>
        <v>728.05700000000002</v>
      </c>
      <c r="E508" s="10">
        <f t="shared" si="29"/>
        <v>9.1697713743662959E-4</v>
      </c>
      <c r="F508" s="9">
        <f>'NIPPON INDIA '!B508</f>
        <v>295.96699999999998</v>
      </c>
      <c r="G508" s="10">
        <f t="shared" si="30"/>
        <v>3.6794378768455842E-3</v>
      </c>
      <c r="H508" s="9">
        <f>'NIFTY500 TRI'!B508</f>
        <v>36923.230000000003</v>
      </c>
      <c r="I508" s="10">
        <f t="shared" si="31"/>
        <v>2.0410866038394035E-3</v>
      </c>
    </row>
    <row r="509" spans="1:9" ht="14.25" customHeight="1" x14ac:dyDescent="0.3">
      <c r="A509" s="8">
        <f>'ICICI PRUDENTIAL MULTICAP FUND'!A509</f>
        <v>45502</v>
      </c>
      <c r="B509" s="9">
        <f>'ICICI PRUDENTIAL MULTICAP FUND'!B509</f>
        <v>790.62</v>
      </c>
      <c r="C509" s="10">
        <f t="shared" si="28"/>
        <v>4.3189959604684547E-3</v>
      </c>
      <c r="D509" s="9">
        <f>'QUANT ACTIVE FUND'!B509</f>
        <v>727.39</v>
      </c>
      <c r="E509" s="10">
        <f t="shared" si="29"/>
        <v>3.817152067830989E-3</v>
      </c>
      <c r="F509" s="9">
        <f>'NIPPON INDIA '!B509</f>
        <v>294.88200000000001</v>
      </c>
      <c r="G509" s="10">
        <f t="shared" si="30"/>
        <v>4.4075370927966493E-3</v>
      </c>
      <c r="H509" s="9">
        <f>'NIFTY500 TRI'!B509</f>
        <v>36848.019999999997</v>
      </c>
      <c r="I509" s="10">
        <f t="shared" si="31"/>
        <v>4.3953174400471889E-3</v>
      </c>
    </row>
    <row r="510" spans="1:9" ht="14.25" customHeight="1" x14ac:dyDescent="0.3">
      <c r="A510" s="8">
        <f>'ICICI PRUDENTIAL MULTICAP FUND'!A510</f>
        <v>45499</v>
      </c>
      <c r="B510" s="9">
        <f>'ICICI PRUDENTIAL MULTICAP FUND'!B510</f>
        <v>787.22</v>
      </c>
      <c r="C510" s="10">
        <f t="shared" si="28"/>
        <v>1.1720858501477964E-2</v>
      </c>
      <c r="D510" s="9">
        <f>'QUANT ACTIVE FUND'!B510</f>
        <v>724.62400000000002</v>
      </c>
      <c r="E510" s="10">
        <f t="shared" si="29"/>
        <v>1.3652946574453309E-2</v>
      </c>
      <c r="F510" s="9">
        <f>'NIPPON INDIA '!B510</f>
        <v>293.58800000000002</v>
      </c>
      <c r="G510" s="10">
        <f t="shared" si="30"/>
        <v>1.4748324525354175E-2</v>
      </c>
      <c r="H510" s="9">
        <f>'NIFTY500 TRI'!B510</f>
        <v>36686.769999999997</v>
      </c>
      <c r="I510" s="10">
        <f t="shared" si="31"/>
        <v>1.6399578554601727E-2</v>
      </c>
    </row>
    <row r="511" spans="1:9" ht="14.25" customHeight="1" x14ac:dyDescent="0.3">
      <c r="A511" s="8">
        <f>'ICICI PRUDENTIAL MULTICAP FUND'!A511</f>
        <v>45498</v>
      </c>
      <c r="B511" s="9">
        <f>'ICICI PRUDENTIAL MULTICAP FUND'!B511</f>
        <v>778.1</v>
      </c>
      <c r="C511" s="10">
        <f t="shared" si="28"/>
        <v>2.0863383474139766E-3</v>
      </c>
      <c r="D511" s="9">
        <f>'QUANT ACTIVE FUND'!B511</f>
        <v>714.86400000000003</v>
      </c>
      <c r="E511" s="10">
        <f t="shared" si="29"/>
        <v>6.9151840082874163E-4</v>
      </c>
      <c r="F511" s="9">
        <f>'NIPPON INDIA '!B511</f>
        <v>289.32100000000003</v>
      </c>
      <c r="G511" s="10">
        <f t="shared" si="30"/>
        <v>-3.1097643144170395E-4</v>
      </c>
      <c r="H511" s="9">
        <f>'NIFTY500 TRI'!B511</f>
        <v>36094.83</v>
      </c>
      <c r="I511" s="10">
        <f t="shared" si="31"/>
        <v>-1.7534062617383336E-4</v>
      </c>
    </row>
    <row r="512" spans="1:9" ht="14.25" customHeight="1" x14ac:dyDescent="0.3">
      <c r="A512" s="8">
        <f>'ICICI PRUDENTIAL MULTICAP FUND'!A512</f>
        <v>45497</v>
      </c>
      <c r="B512" s="9">
        <f>'ICICI PRUDENTIAL MULTICAP FUND'!B512</f>
        <v>776.48</v>
      </c>
      <c r="C512" s="10">
        <f t="shared" si="28"/>
        <v>7.0815283650230041E-3</v>
      </c>
      <c r="D512" s="9">
        <f>'QUANT ACTIVE FUND'!B512</f>
        <v>714.37</v>
      </c>
      <c r="E512" s="10">
        <f t="shared" si="29"/>
        <v>9.8601205832668064E-3</v>
      </c>
      <c r="F512" s="9">
        <f>'NIPPON INDIA '!B512</f>
        <v>289.411</v>
      </c>
      <c r="G512" s="10">
        <f t="shared" si="30"/>
        <v>9.9666730645076671E-3</v>
      </c>
      <c r="H512" s="9">
        <f>'NIFTY500 TRI'!B512</f>
        <v>36101.160000000003</v>
      </c>
      <c r="I512" s="10">
        <f t="shared" si="31"/>
        <v>2.4805737447944672E-3</v>
      </c>
    </row>
    <row r="513" spans="1:9" ht="14.25" customHeight="1" x14ac:dyDescent="0.3">
      <c r="A513" s="8">
        <f>'ICICI PRUDENTIAL MULTICAP FUND'!A513</f>
        <v>45496</v>
      </c>
      <c r="B513" s="9">
        <f>'ICICI PRUDENTIAL MULTICAP FUND'!B513</f>
        <v>771.02</v>
      </c>
      <c r="C513" s="10">
        <f t="shared" si="28"/>
        <v>-7.3873430189614947E-4</v>
      </c>
      <c r="D513" s="9">
        <f>'QUANT ACTIVE FUND'!B513</f>
        <v>707.39499999999998</v>
      </c>
      <c r="E513" s="10">
        <f t="shared" si="29"/>
        <v>-4.1655287363765951E-3</v>
      </c>
      <c r="F513" s="9">
        <f>'NIPPON INDIA '!B513</f>
        <v>286.55500000000001</v>
      </c>
      <c r="G513" s="10">
        <f t="shared" si="30"/>
        <v>-3.2314841869459645E-3</v>
      </c>
      <c r="H513" s="9">
        <f>'NIFTY500 TRI'!B513</f>
        <v>36011.83</v>
      </c>
      <c r="I513" s="10">
        <f t="shared" si="31"/>
        <v>-3.278689432052694E-3</v>
      </c>
    </row>
    <row r="514" spans="1:9" ht="14.25" customHeight="1" x14ac:dyDescent="0.3">
      <c r="A514" s="8">
        <f>'ICICI PRUDENTIAL MULTICAP FUND'!A514</f>
        <v>45495</v>
      </c>
      <c r="B514" s="9">
        <f>'ICICI PRUDENTIAL MULTICAP FUND'!B514</f>
        <v>771.59</v>
      </c>
      <c r="C514" s="10">
        <f t="shared" ref="C514:C577" si="32">(B514-B515)/B515</f>
        <v>6.0105869774961717E-3</v>
      </c>
      <c r="D514" s="9">
        <f>'QUANT ACTIVE FUND'!B514</f>
        <v>710.35400000000004</v>
      </c>
      <c r="E514" s="10">
        <f t="shared" ref="E514:E577" si="33">(D514-D515)/D515</f>
        <v>1.1726204402400398E-3</v>
      </c>
      <c r="F514" s="9">
        <f>'NIPPON INDIA '!B514</f>
        <v>287.48399999999998</v>
      </c>
      <c r="G514" s="10">
        <f t="shared" ref="G514:G577" si="34">(F514-F515)/F515</f>
        <v>3.6587579773492227E-3</v>
      </c>
      <c r="H514" s="9">
        <f>'NIFTY500 TRI'!B514</f>
        <v>36130.29</v>
      </c>
      <c r="I514" s="10">
        <f t="shared" ref="I514:I577" si="35">(H514-H515)/H515</f>
        <v>3.9030481397239877E-3</v>
      </c>
    </row>
    <row r="515" spans="1:9" ht="14.25" customHeight="1" x14ac:dyDescent="0.3">
      <c r="A515" s="8">
        <f>'ICICI PRUDENTIAL MULTICAP FUND'!A515</f>
        <v>45492</v>
      </c>
      <c r="B515" s="9">
        <f>'ICICI PRUDENTIAL MULTICAP FUND'!B515</f>
        <v>766.98</v>
      </c>
      <c r="C515" s="10">
        <f t="shared" si="32"/>
        <v>-1.3911031113396678E-2</v>
      </c>
      <c r="D515" s="9">
        <f>'QUANT ACTIVE FUND'!B515</f>
        <v>709.52200000000005</v>
      </c>
      <c r="E515" s="10">
        <f t="shared" si="33"/>
        <v>-1.5982336771856443E-2</v>
      </c>
      <c r="F515" s="9">
        <f>'NIPPON INDIA '!B515</f>
        <v>286.43599999999998</v>
      </c>
      <c r="G515" s="10">
        <f t="shared" si="34"/>
        <v>-1.9521529135103601E-2</v>
      </c>
      <c r="H515" s="9">
        <f>'NIFTY500 TRI'!B515</f>
        <v>35989.82</v>
      </c>
      <c r="I515" s="10">
        <f t="shared" si="35"/>
        <v>-1.522401781854194E-2</v>
      </c>
    </row>
    <row r="516" spans="1:9" ht="14.25" customHeight="1" x14ac:dyDescent="0.3">
      <c r="A516" s="8">
        <f>'ICICI PRUDENTIAL MULTICAP FUND'!A516</f>
        <v>45491</v>
      </c>
      <c r="B516" s="9">
        <f>'ICICI PRUDENTIAL MULTICAP FUND'!B516</f>
        <v>777.8</v>
      </c>
      <c r="C516" s="10">
        <f t="shared" si="32"/>
        <v>-1.8607635547000904E-3</v>
      </c>
      <c r="D516" s="9">
        <f>'QUANT ACTIVE FUND'!B516</f>
        <v>721.04600000000005</v>
      </c>
      <c r="E516" s="10">
        <f t="shared" si="33"/>
        <v>-8.4257803851352474E-3</v>
      </c>
      <c r="F516" s="9">
        <f>'NIPPON INDIA '!B516</f>
        <v>292.13900000000001</v>
      </c>
      <c r="G516" s="10">
        <f t="shared" si="34"/>
        <v>-3.9414241633850076E-3</v>
      </c>
      <c r="H516" s="9">
        <f>'NIFTY500 TRI'!B516</f>
        <v>36546.199999999997</v>
      </c>
      <c r="I516" s="10">
        <f t="shared" si="35"/>
        <v>2.6110761082139407E-4</v>
      </c>
    </row>
    <row r="517" spans="1:9" ht="14.25" customHeight="1" x14ac:dyDescent="0.3">
      <c r="A517" s="8">
        <f>'ICICI PRUDENTIAL MULTICAP FUND'!A517</f>
        <v>45489</v>
      </c>
      <c r="B517" s="9">
        <f>'ICICI PRUDENTIAL MULTICAP FUND'!B517</f>
        <v>779.25</v>
      </c>
      <c r="C517" s="10">
        <f t="shared" si="32"/>
        <v>1.1691548680524812E-3</v>
      </c>
      <c r="D517" s="9">
        <f>'QUANT ACTIVE FUND'!B517</f>
        <v>727.173</v>
      </c>
      <c r="E517" s="10">
        <f t="shared" si="33"/>
        <v>9.4151459967042731E-4</v>
      </c>
      <c r="F517" s="9">
        <f>'NIPPON INDIA '!B517</f>
        <v>293.29500000000002</v>
      </c>
      <c r="G517" s="10">
        <f t="shared" si="34"/>
        <v>-3.2624764235101513E-3</v>
      </c>
      <c r="H517" s="9">
        <f>'NIFTY500 TRI'!B517</f>
        <v>36536.660000000003</v>
      </c>
      <c r="I517" s="10">
        <f t="shared" si="35"/>
        <v>-1.6145557399356201E-4</v>
      </c>
    </row>
    <row r="518" spans="1:9" ht="14.25" customHeight="1" x14ac:dyDescent="0.3">
      <c r="A518" s="8">
        <f>'ICICI PRUDENTIAL MULTICAP FUND'!A518</f>
        <v>45488</v>
      </c>
      <c r="B518" s="9">
        <f>'ICICI PRUDENTIAL MULTICAP FUND'!B518</f>
        <v>778.34</v>
      </c>
      <c r="C518" s="10">
        <f t="shared" si="32"/>
        <v>3.7786461355928656E-3</v>
      </c>
      <c r="D518" s="9">
        <f>'QUANT ACTIVE FUND'!B518</f>
        <v>726.48900000000003</v>
      </c>
      <c r="E518" s="10">
        <f t="shared" si="33"/>
        <v>5.9206909872850082E-3</v>
      </c>
      <c r="F518" s="9">
        <f>'NIPPON INDIA '!B518</f>
        <v>294.255</v>
      </c>
      <c r="G518" s="10">
        <f t="shared" si="34"/>
        <v>3.2594724155214213E-3</v>
      </c>
      <c r="H518" s="9">
        <f>'NIFTY500 TRI'!B518</f>
        <v>36542.559999999998</v>
      </c>
      <c r="I518" s="10">
        <f t="shared" si="35"/>
        <v>4.9573321819575428E-3</v>
      </c>
    </row>
    <row r="519" spans="1:9" ht="14.25" customHeight="1" x14ac:dyDescent="0.3">
      <c r="A519" s="8">
        <f>'ICICI PRUDENTIAL MULTICAP FUND'!A519</f>
        <v>45485</v>
      </c>
      <c r="B519" s="9">
        <f>'ICICI PRUDENTIAL MULTICAP FUND'!B519</f>
        <v>775.41</v>
      </c>
      <c r="C519" s="10">
        <f t="shared" si="32"/>
        <v>4.4691434789366439E-3</v>
      </c>
      <c r="D519" s="9">
        <f>'QUANT ACTIVE FUND'!B519</f>
        <v>722.21299999999997</v>
      </c>
      <c r="E519" s="10">
        <f t="shared" si="33"/>
        <v>-1.071940336492571E-3</v>
      </c>
      <c r="F519" s="9">
        <f>'NIPPON INDIA '!B519</f>
        <v>293.29899999999998</v>
      </c>
      <c r="G519" s="10">
        <f t="shared" si="34"/>
        <v>-2.0279351469062205E-3</v>
      </c>
      <c r="H519" s="9">
        <f>'NIFTY500 TRI'!B519</f>
        <v>36362.300000000003</v>
      </c>
      <c r="I519" s="10">
        <f t="shared" si="35"/>
        <v>3.9980672326914591E-3</v>
      </c>
    </row>
    <row r="520" spans="1:9" ht="14.25" customHeight="1" x14ac:dyDescent="0.3">
      <c r="A520" s="8">
        <f>'ICICI PRUDENTIAL MULTICAP FUND'!A520</f>
        <v>45484</v>
      </c>
      <c r="B520" s="9">
        <f>'ICICI PRUDENTIAL MULTICAP FUND'!B520</f>
        <v>771.96</v>
      </c>
      <c r="C520" s="10">
        <f t="shared" si="32"/>
        <v>1.699863751378783E-3</v>
      </c>
      <c r="D520" s="9">
        <f>'QUANT ACTIVE FUND'!B520</f>
        <v>722.98800000000006</v>
      </c>
      <c r="E520" s="10">
        <f t="shared" si="33"/>
        <v>-1.4106127867896865E-4</v>
      </c>
      <c r="F520" s="9">
        <f>'NIPPON INDIA '!B520</f>
        <v>293.89499999999998</v>
      </c>
      <c r="G520" s="10">
        <f t="shared" si="34"/>
        <v>5.6855321930484378E-4</v>
      </c>
      <c r="H520" s="9">
        <f>'NIFTY500 TRI'!B520</f>
        <v>36217.5</v>
      </c>
      <c r="I520" s="10">
        <f t="shared" si="35"/>
        <v>1.2033514706845513E-3</v>
      </c>
    </row>
    <row r="521" spans="1:9" ht="14.25" customHeight="1" x14ac:dyDescent="0.3">
      <c r="A521" s="8">
        <f>'ICICI PRUDENTIAL MULTICAP FUND'!A521</f>
        <v>45483</v>
      </c>
      <c r="B521" s="9">
        <f>'ICICI PRUDENTIAL MULTICAP FUND'!B521</f>
        <v>770.65</v>
      </c>
      <c r="C521" s="10">
        <f t="shared" si="32"/>
        <v>-5.5765938683413347E-4</v>
      </c>
      <c r="D521" s="9">
        <f>'QUANT ACTIVE FUND'!B521</f>
        <v>723.09</v>
      </c>
      <c r="E521" s="10">
        <f t="shared" si="33"/>
        <v>-6.3718949551135849E-3</v>
      </c>
      <c r="F521" s="9">
        <f>'NIPPON INDIA '!B521</f>
        <v>293.72800000000001</v>
      </c>
      <c r="G521" s="10">
        <f t="shared" si="34"/>
        <v>-3.4876304468779711E-3</v>
      </c>
      <c r="H521" s="9">
        <f>'NIFTY500 TRI'!B521</f>
        <v>36173.97</v>
      </c>
      <c r="I521" s="10">
        <f t="shared" si="35"/>
        <v>-3.8774845944267783E-3</v>
      </c>
    </row>
    <row r="522" spans="1:9" ht="14.25" customHeight="1" x14ac:dyDescent="0.3">
      <c r="A522" s="8">
        <f>'ICICI PRUDENTIAL MULTICAP FUND'!A522</f>
        <v>45482</v>
      </c>
      <c r="B522" s="9">
        <f>'ICICI PRUDENTIAL MULTICAP FUND'!B522</f>
        <v>771.08</v>
      </c>
      <c r="C522" s="10">
        <f t="shared" si="32"/>
        <v>5.9358407368270884E-3</v>
      </c>
      <c r="D522" s="9">
        <f>'QUANT ACTIVE FUND'!B522</f>
        <v>727.72699999999998</v>
      </c>
      <c r="E522" s="10">
        <f t="shared" si="33"/>
        <v>3.4942422224152631E-3</v>
      </c>
      <c r="F522" s="9">
        <f>'NIPPON INDIA '!B522</f>
        <v>294.75599999999997</v>
      </c>
      <c r="G522" s="10">
        <f t="shared" si="34"/>
        <v>1.6549483635719914E-3</v>
      </c>
      <c r="H522" s="9">
        <f>'NIFTY500 TRI'!B522</f>
        <v>36314.78</v>
      </c>
      <c r="I522" s="10">
        <f t="shared" si="35"/>
        <v>4.2470935699037019E-3</v>
      </c>
    </row>
    <row r="523" spans="1:9" ht="14.25" customHeight="1" x14ac:dyDescent="0.3">
      <c r="A523" s="8">
        <f>'ICICI PRUDENTIAL MULTICAP FUND'!A523</f>
        <v>45481</v>
      </c>
      <c r="B523" s="9">
        <f>'ICICI PRUDENTIAL MULTICAP FUND'!B523</f>
        <v>766.53</v>
      </c>
      <c r="C523" s="10">
        <f t="shared" si="32"/>
        <v>-1.0165382961253896E-3</v>
      </c>
      <c r="D523" s="9">
        <f>'QUANT ACTIVE FUND'!B523</f>
        <v>725.19299999999998</v>
      </c>
      <c r="E523" s="10">
        <f t="shared" si="33"/>
        <v>-1.2175017250236745E-3</v>
      </c>
      <c r="F523" s="9">
        <f>'NIPPON INDIA '!B523</f>
        <v>294.26900000000001</v>
      </c>
      <c r="G523" s="10">
        <f t="shared" si="34"/>
        <v>9.4220250891176218E-4</v>
      </c>
      <c r="H523" s="9">
        <f>'NIFTY500 TRI'!B523</f>
        <v>36161.199999999997</v>
      </c>
      <c r="I523" s="10">
        <f t="shared" si="35"/>
        <v>-7.1406779885848032E-4</v>
      </c>
    </row>
    <row r="524" spans="1:9" ht="14.25" customHeight="1" x14ac:dyDescent="0.3">
      <c r="A524" s="8">
        <f>'ICICI PRUDENTIAL MULTICAP FUND'!A524</f>
        <v>45478</v>
      </c>
      <c r="B524" s="9">
        <f>'ICICI PRUDENTIAL MULTICAP FUND'!B524</f>
        <v>767.31</v>
      </c>
      <c r="C524" s="10">
        <f t="shared" si="32"/>
        <v>1.48395032337419E-2</v>
      </c>
      <c r="D524" s="9">
        <f>'QUANT ACTIVE FUND'!B524</f>
        <v>726.077</v>
      </c>
      <c r="E524" s="10">
        <f t="shared" si="33"/>
        <v>2.1580355095189605E-2</v>
      </c>
      <c r="F524" s="9">
        <f>'NIPPON INDIA '!B524</f>
        <v>293.99200000000002</v>
      </c>
      <c r="G524" s="10">
        <f t="shared" si="34"/>
        <v>1.588837363594274E-2</v>
      </c>
      <c r="H524" s="9">
        <f>'NIFTY500 TRI'!B524</f>
        <v>36187.040000000001</v>
      </c>
      <c r="I524" s="10">
        <f t="shared" si="35"/>
        <v>1.3836824758581121E-2</v>
      </c>
    </row>
    <row r="525" spans="1:9" ht="14.25" customHeight="1" x14ac:dyDescent="0.3">
      <c r="A525" s="8">
        <f>'ICICI PRUDENTIAL MULTICAP FUND'!A525</f>
        <v>45475</v>
      </c>
      <c r="B525" s="9">
        <f>'ICICI PRUDENTIAL MULTICAP FUND'!B525</f>
        <v>756.09</v>
      </c>
      <c r="C525" s="10">
        <f t="shared" si="32"/>
        <v>-3.3053917550308063E-4</v>
      </c>
      <c r="D525" s="9">
        <f>'QUANT ACTIVE FUND'!B525</f>
        <v>710.73900000000003</v>
      </c>
      <c r="E525" s="10">
        <f t="shared" si="33"/>
        <v>-8.3083800767577373E-4</v>
      </c>
      <c r="F525" s="9">
        <f>'NIPPON INDIA '!B525</f>
        <v>289.39400000000001</v>
      </c>
      <c r="G525" s="10">
        <f t="shared" si="34"/>
        <v>3.3875338753392093E-4</v>
      </c>
      <c r="H525" s="9">
        <f>'NIFTY500 TRI'!B525</f>
        <v>35693.160000000003</v>
      </c>
      <c r="I525" s="10">
        <f t="shared" si="35"/>
        <v>-2.1930799312638457E-3</v>
      </c>
    </row>
    <row r="526" spans="1:9" ht="14.25" customHeight="1" x14ac:dyDescent="0.3">
      <c r="A526" s="8">
        <f>'ICICI PRUDENTIAL MULTICAP FUND'!A526</f>
        <v>45474</v>
      </c>
      <c r="B526" s="9">
        <f>'ICICI PRUDENTIAL MULTICAP FUND'!B526</f>
        <v>756.34</v>
      </c>
      <c r="C526" s="10">
        <f t="shared" si="32"/>
        <v>7.177575071575985E-3</v>
      </c>
      <c r="D526" s="9">
        <f>'QUANT ACTIVE FUND'!B526</f>
        <v>711.33</v>
      </c>
      <c r="E526" s="10">
        <f t="shared" si="33"/>
        <v>7.3612299116880319E-3</v>
      </c>
      <c r="F526" s="9">
        <f>'NIPPON INDIA '!B526</f>
        <v>289.29599999999999</v>
      </c>
      <c r="G526" s="10">
        <f t="shared" si="34"/>
        <v>1.2186289636930456E-2</v>
      </c>
      <c r="H526" s="9">
        <f>'NIFTY500 TRI'!B526</f>
        <v>35771.61</v>
      </c>
      <c r="I526" s="10">
        <f t="shared" si="35"/>
        <v>7.4531845437670243E-3</v>
      </c>
    </row>
    <row r="527" spans="1:9" ht="14.25" customHeight="1" x14ac:dyDescent="0.3">
      <c r="A527" s="8">
        <f>'ICICI PRUDENTIAL MULTICAP FUND'!A527</f>
        <v>45471</v>
      </c>
      <c r="B527" s="9">
        <f>'ICICI PRUDENTIAL MULTICAP FUND'!B527</f>
        <v>750.95</v>
      </c>
      <c r="C527" s="10">
        <f t="shared" si="32"/>
        <v>1.7608686952230435E-3</v>
      </c>
      <c r="D527" s="9">
        <f>'QUANT ACTIVE FUND'!B527</f>
        <v>706.13199999999995</v>
      </c>
      <c r="E527" s="10">
        <f t="shared" si="33"/>
        <v>1.3372301609922781E-3</v>
      </c>
      <c r="F527" s="9">
        <f>'NIPPON INDIA '!B527</f>
        <v>285.81299999999999</v>
      </c>
      <c r="G527" s="10">
        <f t="shared" si="34"/>
        <v>-3.5664979291303201E-3</v>
      </c>
      <c r="H527" s="9">
        <f>'NIFTY500 TRI'!B527</f>
        <v>35506.97</v>
      </c>
      <c r="I527" s="10">
        <f t="shared" si="35"/>
        <v>5.6235893941414426E-3</v>
      </c>
    </row>
    <row r="528" spans="1:9" ht="14.25" customHeight="1" x14ac:dyDescent="0.3">
      <c r="A528" s="8">
        <f>'ICICI PRUDENTIAL MULTICAP FUND'!A528</f>
        <v>45469</v>
      </c>
      <c r="B528" s="9">
        <f>'ICICI PRUDENTIAL MULTICAP FUND'!B528</f>
        <v>749.63</v>
      </c>
      <c r="C528" s="10">
        <f t="shared" si="32"/>
        <v>4.3408941706078712E-3</v>
      </c>
      <c r="D528" s="9">
        <f>'QUANT ACTIVE FUND'!B528</f>
        <v>705.18899999999996</v>
      </c>
      <c r="E528" s="10">
        <f t="shared" si="33"/>
        <v>1.4499380829574166E-3</v>
      </c>
      <c r="F528" s="9">
        <f>'NIPPON INDIA '!B528</f>
        <v>286.83600000000001</v>
      </c>
      <c r="G528" s="10">
        <f t="shared" si="34"/>
        <v>9.8760089756525123E-4</v>
      </c>
      <c r="H528" s="9">
        <f>'NIFTY500 TRI'!B528</f>
        <v>35308.410000000003</v>
      </c>
      <c r="I528" s="10">
        <f t="shared" si="35"/>
        <v>2.9584487786421714E-3</v>
      </c>
    </row>
    <row r="529" spans="1:9" ht="14.25" customHeight="1" x14ac:dyDescent="0.3">
      <c r="A529" s="8">
        <f>'ICICI PRUDENTIAL MULTICAP FUND'!A529</f>
        <v>45468</v>
      </c>
      <c r="B529" s="9">
        <f>'ICICI PRUDENTIAL MULTICAP FUND'!B529</f>
        <v>746.39</v>
      </c>
      <c r="C529" s="10">
        <f t="shared" si="32"/>
        <v>2.5790159442287252E-3</v>
      </c>
      <c r="D529" s="9">
        <f>'QUANT ACTIVE FUND'!B529</f>
        <v>704.16800000000001</v>
      </c>
      <c r="E529" s="10">
        <f t="shared" si="33"/>
        <v>-2.6033773084080951E-3</v>
      </c>
      <c r="F529" s="9">
        <f>'NIPPON INDIA '!B529</f>
        <v>286.553</v>
      </c>
      <c r="G529" s="10">
        <f t="shared" si="34"/>
        <v>4.9907059937572404E-3</v>
      </c>
      <c r="H529" s="9">
        <f>'NIFTY500 TRI'!B529</f>
        <v>35204.26</v>
      </c>
      <c r="I529" s="10">
        <f t="shared" si="35"/>
        <v>3.6812397612668865E-3</v>
      </c>
    </row>
    <row r="530" spans="1:9" ht="14.25" customHeight="1" x14ac:dyDescent="0.3">
      <c r="A530" s="8">
        <f>'ICICI PRUDENTIAL MULTICAP FUND'!A530</f>
        <v>45467</v>
      </c>
      <c r="B530" s="9">
        <f>'ICICI PRUDENTIAL MULTICAP FUND'!B530</f>
        <v>744.47</v>
      </c>
      <c r="C530" s="10">
        <f t="shared" si="32"/>
        <v>2.0998505875544269E-3</v>
      </c>
      <c r="D530" s="9">
        <f>'QUANT ACTIVE FUND'!B530</f>
        <v>706.00599999999997</v>
      </c>
      <c r="E530" s="10">
        <f t="shared" si="33"/>
        <v>-6.894010046321202E-3</v>
      </c>
      <c r="F530" s="9">
        <f>'NIPPON INDIA '!B530</f>
        <v>285.13</v>
      </c>
      <c r="G530" s="10">
        <f t="shared" si="34"/>
        <v>2.2989637087135516E-3</v>
      </c>
      <c r="H530" s="9">
        <f>'NIFTY500 TRI'!B530</f>
        <v>35075.14</v>
      </c>
      <c r="I530" s="10">
        <f t="shared" si="35"/>
        <v>2.3802685482476886E-3</v>
      </c>
    </row>
    <row r="531" spans="1:9" ht="14.25" customHeight="1" x14ac:dyDescent="0.3">
      <c r="A531" s="8">
        <f>'ICICI PRUDENTIAL MULTICAP FUND'!A531</f>
        <v>45464</v>
      </c>
      <c r="B531" s="9">
        <f>'ICICI PRUDENTIAL MULTICAP FUND'!B531</f>
        <v>742.91</v>
      </c>
      <c r="C531" s="10">
        <f t="shared" si="32"/>
        <v>-1.6126647941837168E-3</v>
      </c>
      <c r="D531" s="9">
        <f>'QUANT ACTIVE FUND'!B531</f>
        <v>710.90700000000004</v>
      </c>
      <c r="E531" s="10">
        <f t="shared" si="33"/>
        <v>-2.1811720220474857E-3</v>
      </c>
      <c r="F531" s="9">
        <f>'NIPPON INDIA '!B531</f>
        <v>284.476</v>
      </c>
      <c r="G531" s="10">
        <f t="shared" si="34"/>
        <v>-4.0471655836881231E-3</v>
      </c>
      <c r="H531" s="9">
        <f>'NIFTY500 TRI'!B531</f>
        <v>34991.85</v>
      </c>
      <c r="I531" s="10">
        <f t="shared" si="35"/>
        <v>-2.9684269132434723E-3</v>
      </c>
    </row>
    <row r="532" spans="1:9" ht="14.25" customHeight="1" x14ac:dyDescent="0.3">
      <c r="A532" s="8">
        <f>'ICICI PRUDENTIAL MULTICAP FUND'!A532</f>
        <v>45463</v>
      </c>
      <c r="B532" s="9">
        <f>'ICICI PRUDENTIAL MULTICAP FUND'!B532</f>
        <v>744.11</v>
      </c>
      <c r="C532" s="10">
        <f t="shared" si="32"/>
        <v>5.0243790434771236E-3</v>
      </c>
      <c r="D532" s="9">
        <f>'QUANT ACTIVE FUND'!B532</f>
        <v>712.46100000000001</v>
      </c>
      <c r="E532" s="10">
        <f t="shared" si="33"/>
        <v>1.1216961556039417E-2</v>
      </c>
      <c r="F532" s="9">
        <f>'NIPPON INDIA '!B532</f>
        <v>285.63200000000001</v>
      </c>
      <c r="G532" s="10">
        <f t="shared" si="34"/>
        <v>3.2219653988927832E-4</v>
      </c>
      <c r="H532" s="9">
        <f>'NIFTY500 TRI'!B532</f>
        <v>35096.03</v>
      </c>
      <c r="I532" s="10">
        <f t="shared" si="35"/>
        <v>3.7931082809141135E-3</v>
      </c>
    </row>
    <row r="533" spans="1:9" ht="14.25" customHeight="1" x14ac:dyDescent="0.3">
      <c r="A533" s="8">
        <f>'ICICI PRUDENTIAL MULTICAP FUND'!A533</f>
        <v>45462</v>
      </c>
      <c r="B533" s="9">
        <f>'ICICI PRUDENTIAL MULTICAP FUND'!B533</f>
        <v>740.39</v>
      </c>
      <c r="C533" s="10">
        <f t="shared" si="32"/>
        <v>-4.1025503066825404E-3</v>
      </c>
      <c r="D533" s="9">
        <f>'QUANT ACTIVE FUND'!B533</f>
        <v>704.55799999999999</v>
      </c>
      <c r="E533" s="10">
        <f t="shared" si="33"/>
        <v>-5.61018329421498E-3</v>
      </c>
      <c r="F533" s="9">
        <f>'NIPPON INDIA '!B533</f>
        <v>285.54000000000002</v>
      </c>
      <c r="G533" s="10">
        <f t="shared" si="34"/>
        <v>-5.8526361234031744E-3</v>
      </c>
      <c r="H533" s="9">
        <f>'NIFTY500 TRI'!B533</f>
        <v>34963.410000000003</v>
      </c>
      <c r="I533" s="10">
        <f t="shared" si="35"/>
        <v>-4.6599349220401076E-3</v>
      </c>
    </row>
    <row r="534" spans="1:9" ht="14.25" customHeight="1" x14ac:dyDescent="0.3">
      <c r="A534" s="8">
        <f>'ICICI PRUDENTIAL MULTICAP FUND'!A534</f>
        <v>45461</v>
      </c>
      <c r="B534" s="9">
        <f>'ICICI PRUDENTIAL MULTICAP FUND'!B534</f>
        <v>743.44</v>
      </c>
      <c r="C534" s="10">
        <f t="shared" si="32"/>
        <v>3.3740923691526975E-3</v>
      </c>
      <c r="D534" s="9">
        <f>'QUANT ACTIVE FUND'!B534</f>
        <v>708.53300000000002</v>
      </c>
      <c r="E534" s="10">
        <f t="shared" si="33"/>
        <v>4.4912917425730028E-3</v>
      </c>
      <c r="F534" s="9">
        <f>'NIPPON INDIA '!B534</f>
        <v>287.221</v>
      </c>
      <c r="G534" s="10">
        <f t="shared" si="34"/>
        <v>7.1922011431777098E-3</v>
      </c>
      <c r="H534" s="9">
        <f>'NIFTY500 TRI'!B534</f>
        <v>35127.1</v>
      </c>
      <c r="I534" s="10">
        <f t="shared" si="35"/>
        <v>5.2421136495275945E-3</v>
      </c>
    </row>
    <row r="535" spans="1:9" ht="14.25" customHeight="1" x14ac:dyDescent="0.3">
      <c r="A535" s="8">
        <f>'ICICI PRUDENTIAL MULTICAP FUND'!A535</f>
        <v>45457</v>
      </c>
      <c r="B535" s="9">
        <f>'ICICI PRUDENTIAL MULTICAP FUND'!B535</f>
        <v>740.94</v>
      </c>
      <c r="C535" s="10">
        <f t="shared" si="32"/>
        <v>3.9973441374544982E-3</v>
      </c>
      <c r="D535" s="9">
        <f>'QUANT ACTIVE FUND'!B535</f>
        <v>705.36500000000001</v>
      </c>
      <c r="E535" s="10">
        <f t="shared" si="33"/>
        <v>7.3894123174961948E-3</v>
      </c>
      <c r="F535" s="9">
        <f>'NIPPON INDIA '!B535</f>
        <v>285.17</v>
      </c>
      <c r="G535" s="10">
        <f t="shared" si="34"/>
        <v>9.2941276402968512E-3</v>
      </c>
      <c r="H535" s="9">
        <f>'NIFTY500 TRI'!B535</f>
        <v>34943.919999999998</v>
      </c>
      <c r="I535" s="10">
        <f t="shared" si="35"/>
        <v>6.5771602902327678E-3</v>
      </c>
    </row>
    <row r="536" spans="1:9" ht="14.25" customHeight="1" x14ac:dyDescent="0.3">
      <c r="A536" s="8">
        <f>'ICICI PRUDENTIAL MULTICAP FUND'!A536</f>
        <v>45456</v>
      </c>
      <c r="B536" s="9">
        <f>'ICICI PRUDENTIAL MULTICAP FUND'!B536</f>
        <v>737.99</v>
      </c>
      <c r="C536" s="10">
        <f t="shared" si="32"/>
        <v>2.6629349347173843E-3</v>
      </c>
      <c r="D536" s="9">
        <f>'QUANT ACTIVE FUND'!B536</f>
        <v>700.19100000000003</v>
      </c>
      <c r="E536" s="10">
        <f t="shared" si="33"/>
        <v>6.6000575043128349E-3</v>
      </c>
      <c r="F536" s="9">
        <f>'NIPPON INDIA '!B536</f>
        <v>282.54399999999998</v>
      </c>
      <c r="G536" s="10">
        <f t="shared" si="34"/>
        <v>5.7452034314597082E-3</v>
      </c>
      <c r="H536" s="9">
        <f>'NIFTY500 TRI'!B536</f>
        <v>34715.589999999997</v>
      </c>
      <c r="I536" s="10">
        <f t="shared" si="35"/>
        <v>5.1724312656444603E-3</v>
      </c>
    </row>
    <row r="537" spans="1:9" ht="14.25" customHeight="1" x14ac:dyDescent="0.3">
      <c r="A537" s="8">
        <f>'ICICI PRUDENTIAL MULTICAP FUND'!A537</f>
        <v>45455</v>
      </c>
      <c r="B537" s="9">
        <f>'ICICI PRUDENTIAL MULTICAP FUND'!B537</f>
        <v>736.03</v>
      </c>
      <c r="C537" s="10">
        <f t="shared" si="32"/>
        <v>9.0758284092622866E-3</v>
      </c>
      <c r="D537" s="9">
        <f>'QUANT ACTIVE FUND'!B537</f>
        <v>695.6</v>
      </c>
      <c r="E537" s="10">
        <f t="shared" si="33"/>
        <v>1.1780346501314248E-2</v>
      </c>
      <c r="F537" s="9">
        <f>'NIPPON INDIA '!B537</f>
        <v>280.93</v>
      </c>
      <c r="G537" s="10">
        <f t="shared" si="34"/>
        <v>1.310878306496688E-2</v>
      </c>
      <c r="H537" s="9">
        <f>'NIFTY500 TRI'!B537</f>
        <v>34536.949999999997</v>
      </c>
      <c r="I537" s="10">
        <f t="shared" si="35"/>
        <v>7.1680302352063324E-3</v>
      </c>
    </row>
    <row r="538" spans="1:9" ht="14.25" customHeight="1" x14ac:dyDescent="0.3">
      <c r="A538" s="8">
        <f>'ICICI PRUDENTIAL MULTICAP FUND'!A538</f>
        <v>45453</v>
      </c>
      <c r="B538" s="9">
        <f>'ICICI PRUDENTIAL MULTICAP FUND'!B538</f>
        <v>729.41</v>
      </c>
      <c r="C538" s="10">
        <f t="shared" si="32"/>
        <v>4.8907502824235448E-3</v>
      </c>
      <c r="D538" s="9">
        <f>'QUANT ACTIVE FUND'!B538</f>
        <v>687.50099999999998</v>
      </c>
      <c r="E538" s="10">
        <f t="shared" si="33"/>
        <v>-2.6243634939286668E-3</v>
      </c>
      <c r="F538" s="9">
        <f>'NIPPON INDIA '!B538</f>
        <v>277.29500000000002</v>
      </c>
      <c r="G538" s="10">
        <f t="shared" si="34"/>
        <v>7.1332323639546526E-3</v>
      </c>
      <c r="H538" s="9">
        <f>'NIFTY500 TRI'!B538</f>
        <v>34291.15</v>
      </c>
      <c r="I538" s="10">
        <f t="shared" si="35"/>
        <v>2.0261932375874856E-3</v>
      </c>
    </row>
    <row r="539" spans="1:9" ht="14.25" customHeight="1" x14ac:dyDescent="0.3">
      <c r="A539" s="8">
        <f>'ICICI PRUDENTIAL MULTICAP FUND'!A539</f>
        <v>45450</v>
      </c>
      <c r="B539" s="9">
        <f>'ICICI PRUDENTIAL MULTICAP FUND'!B539</f>
        <v>725.86</v>
      </c>
      <c r="C539" s="10">
        <f t="shared" si="32"/>
        <v>1.5984547337774983E-2</v>
      </c>
      <c r="D539" s="9">
        <f>'QUANT ACTIVE FUND'!B539</f>
        <v>689.31</v>
      </c>
      <c r="E539" s="10">
        <f t="shared" si="33"/>
        <v>1.6972408034157126E-2</v>
      </c>
      <c r="F539" s="9">
        <f>'NIPPON INDIA '!B539</f>
        <v>275.33100000000002</v>
      </c>
      <c r="G539" s="10">
        <f t="shared" si="34"/>
        <v>1.5576818094633921E-2</v>
      </c>
      <c r="H539" s="9">
        <f>'NIFTY500 TRI'!B539</f>
        <v>34221.81</v>
      </c>
      <c r="I539" s="10">
        <f t="shared" si="35"/>
        <v>3.3735699663404214E-2</v>
      </c>
    </row>
    <row r="540" spans="1:9" ht="14.25" customHeight="1" x14ac:dyDescent="0.3">
      <c r="A540" s="8">
        <f>'ICICI PRUDENTIAL MULTICAP FUND'!A540</f>
        <v>45449</v>
      </c>
      <c r="B540" s="9">
        <f>'ICICI PRUDENTIAL MULTICAP FUND'!B540</f>
        <v>714.44</v>
      </c>
      <c r="C540" s="10">
        <f t="shared" si="32"/>
        <v>1.397976127960945E-2</v>
      </c>
      <c r="D540" s="9">
        <f>'QUANT ACTIVE FUND'!B540</f>
        <v>677.80600000000004</v>
      </c>
      <c r="E540" s="10">
        <f t="shared" si="33"/>
        <v>2.2850192556106947E-2</v>
      </c>
      <c r="F540" s="9">
        <f>'NIPPON INDIA '!B540</f>
        <v>271.108</v>
      </c>
      <c r="G540" s="10">
        <f t="shared" si="34"/>
        <v>1.66880423613767E-2</v>
      </c>
      <c r="H540" s="9">
        <f>'NIFTY500 TRI'!B540</f>
        <v>33104.99</v>
      </c>
      <c r="I540" s="10">
        <f t="shared" si="35"/>
        <v>0</v>
      </c>
    </row>
    <row r="541" spans="1:9" ht="14.25" customHeight="1" x14ac:dyDescent="0.3">
      <c r="A541" s="8">
        <f>'ICICI PRUDENTIAL MULTICAP FUND'!A541</f>
        <v>45448</v>
      </c>
      <c r="B541" s="9">
        <f>'ICICI PRUDENTIAL MULTICAP FUND'!B541</f>
        <v>704.59</v>
      </c>
      <c r="C541" s="10">
        <f t="shared" si="32"/>
        <v>3.2638644624223209E-2</v>
      </c>
      <c r="D541" s="9">
        <f>'QUANT ACTIVE FUND'!B541</f>
        <v>662.66399999999999</v>
      </c>
      <c r="E541" s="10">
        <f t="shared" si="33"/>
        <v>3.8521573962048951E-2</v>
      </c>
      <c r="F541" s="9">
        <f>'NIPPON INDIA '!B541</f>
        <v>266.65800000000002</v>
      </c>
      <c r="G541" s="10">
        <f t="shared" si="34"/>
        <v>3.3145682150149382E-2</v>
      </c>
      <c r="H541" s="9">
        <f>'NIFTY500 TRI'!B541</f>
        <v>33104.99</v>
      </c>
      <c r="I541" s="10">
        <f t="shared" si="35"/>
        <v>3.5948244191584509E-2</v>
      </c>
    </row>
    <row r="542" spans="1:9" ht="14.25" customHeight="1" x14ac:dyDescent="0.3">
      <c r="A542" s="8">
        <f>'ICICI PRUDENTIAL MULTICAP FUND'!A542</f>
        <v>45447</v>
      </c>
      <c r="B542" s="9">
        <f>'ICICI PRUDENTIAL MULTICAP FUND'!B542</f>
        <v>682.32</v>
      </c>
      <c r="C542" s="10">
        <f t="shared" si="32"/>
        <v>-2.7341411261582252E-2</v>
      </c>
      <c r="D542" s="9">
        <f>'QUANT ACTIVE FUND'!B542</f>
        <v>638.08399999999995</v>
      </c>
      <c r="E542" s="10">
        <f t="shared" si="33"/>
        <v>-4.8605675110298077E-2</v>
      </c>
      <c r="F542" s="9">
        <f>'NIPPON INDIA '!B542</f>
        <v>258.10300000000001</v>
      </c>
      <c r="G542" s="10">
        <f t="shared" si="34"/>
        <v>-4.1158026911160502E-2</v>
      </c>
      <c r="H542" s="9">
        <f>'NIFTY500 TRI'!B542</f>
        <v>31956.22</v>
      </c>
      <c r="I542" s="10">
        <f t="shared" si="35"/>
        <v>-3.6540421246856809E-2</v>
      </c>
    </row>
    <row r="543" spans="1:9" ht="14.25" customHeight="1" x14ac:dyDescent="0.3">
      <c r="A543" s="8">
        <f>'ICICI PRUDENTIAL MULTICAP FUND'!A543</f>
        <v>45443</v>
      </c>
      <c r="B543" s="9">
        <f>'ICICI PRUDENTIAL MULTICAP FUND'!B543</f>
        <v>701.5</v>
      </c>
      <c r="C543" s="10">
        <f t="shared" si="32"/>
        <v>-7.8341998433153559E-4</v>
      </c>
      <c r="D543" s="9">
        <f>'QUANT ACTIVE FUND'!B543</f>
        <v>670.68299999999999</v>
      </c>
      <c r="E543" s="10">
        <f t="shared" si="33"/>
        <v>5.0742023416858869E-3</v>
      </c>
      <c r="F543" s="9">
        <f>'NIPPON INDIA '!B543</f>
        <v>269.18200000000002</v>
      </c>
      <c r="G543" s="10">
        <f t="shared" si="34"/>
        <v>5.5886374334109291E-3</v>
      </c>
      <c r="H543" s="9">
        <f>'NIFTY500 TRI'!B543</f>
        <v>33168.199999999997</v>
      </c>
      <c r="I543" s="10">
        <f t="shared" si="35"/>
        <v>3.7188333230948486E-3</v>
      </c>
    </row>
    <row r="544" spans="1:9" ht="14.25" customHeight="1" x14ac:dyDescent="0.3">
      <c r="A544" s="8">
        <f>'ICICI PRUDENTIAL MULTICAP FUND'!A544</f>
        <v>45442</v>
      </c>
      <c r="B544" s="9">
        <f>'ICICI PRUDENTIAL MULTICAP FUND'!B544</f>
        <v>702.05</v>
      </c>
      <c r="C544" s="10">
        <f t="shared" si="32"/>
        <v>-1.0025946189858444E-2</v>
      </c>
      <c r="D544" s="9">
        <f>'QUANT ACTIVE FUND'!B544</f>
        <v>667.29700000000003</v>
      </c>
      <c r="E544" s="10">
        <f t="shared" si="33"/>
        <v>-1.5104843911201E-2</v>
      </c>
      <c r="F544" s="9">
        <f>'NIPPON INDIA '!B544</f>
        <v>267.68599999999998</v>
      </c>
      <c r="G544" s="10">
        <f t="shared" si="34"/>
        <v>-5.5095497624169359E-3</v>
      </c>
      <c r="H544" s="9">
        <f>'NIFTY500 TRI'!B544</f>
        <v>33045.31</v>
      </c>
      <c r="I544" s="10">
        <f t="shared" si="35"/>
        <v>-1.0245191520027033E-2</v>
      </c>
    </row>
    <row r="545" spans="1:9" ht="14.25" customHeight="1" x14ac:dyDescent="0.3">
      <c r="A545" s="8">
        <f>'ICICI PRUDENTIAL MULTICAP FUND'!A545</f>
        <v>45441</v>
      </c>
      <c r="B545" s="9">
        <f>'ICICI PRUDENTIAL MULTICAP FUND'!B545</f>
        <v>709.16</v>
      </c>
      <c r="C545" s="10">
        <f t="shared" si="32"/>
        <v>-5.6088395311010156E-3</v>
      </c>
      <c r="D545" s="9">
        <f>'QUANT ACTIVE FUND'!B545</f>
        <v>677.53099999999995</v>
      </c>
      <c r="E545" s="10">
        <f t="shared" si="33"/>
        <v>-9.1425066098848868E-4</v>
      </c>
      <c r="F545" s="9">
        <f>'NIPPON INDIA '!B545</f>
        <v>269.16899999999998</v>
      </c>
      <c r="G545" s="10">
        <f t="shared" si="34"/>
        <v>-4.9904073281360007E-3</v>
      </c>
      <c r="H545" s="9">
        <f>'NIFTY500 TRI'!B545</f>
        <v>33387.370000000003</v>
      </c>
      <c r="I545" s="10">
        <f t="shared" si="35"/>
        <v>-6.1262453052211398E-3</v>
      </c>
    </row>
    <row r="546" spans="1:9" ht="14.25" customHeight="1" x14ac:dyDescent="0.3">
      <c r="A546" s="8">
        <f>'ICICI PRUDENTIAL MULTICAP FUND'!A546</f>
        <v>45440</v>
      </c>
      <c r="B546" s="9">
        <f>'ICICI PRUDENTIAL MULTICAP FUND'!B546</f>
        <v>713.16</v>
      </c>
      <c r="C546" s="10">
        <f t="shared" si="32"/>
        <v>-3.5628955862012099E-3</v>
      </c>
      <c r="D546" s="9">
        <f>'QUANT ACTIVE FUND'!B546</f>
        <v>678.15099999999995</v>
      </c>
      <c r="E546" s="10">
        <f t="shared" si="33"/>
        <v>-8.3844506020749644E-3</v>
      </c>
      <c r="F546" s="9">
        <f>'NIPPON INDIA '!B546</f>
        <v>270.51900000000001</v>
      </c>
      <c r="G546" s="10">
        <f t="shared" si="34"/>
        <v>-6.0003233487168255E-3</v>
      </c>
      <c r="H546" s="9">
        <f>'NIFTY500 TRI'!B546</f>
        <v>33593.17</v>
      </c>
      <c r="I546" s="10">
        <f t="shared" si="35"/>
        <v>-4.9130558549816327E-3</v>
      </c>
    </row>
    <row r="547" spans="1:9" ht="14.25" customHeight="1" x14ac:dyDescent="0.3">
      <c r="A547" s="8">
        <f>'ICICI PRUDENTIAL MULTICAP FUND'!A547</f>
        <v>45439</v>
      </c>
      <c r="B547" s="9">
        <f>'ICICI PRUDENTIAL MULTICAP FUND'!B547</f>
        <v>715.71</v>
      </c>
      <c r="C547" s="10">
        <f t="shared" si="32"/>
        <v>-6.0044125450323962E-4</v>
      </c>
      <c r="D547" s="9">
        <f>'QUANT ACTIVE FUND'!B547</f>
        <v>683.88499999999999</v>
      </c>
      <c r="E547" s="10">
        <f t="shared" si="33"/>
        <v>-4.3008623563892913E-3</v>
      </c>
      <c r="F547" s="9">
        <f>'NIPPON INDIA '!B547</f>
        <v>272.15199999999999</v>
      </c>
      <c r="G547" s="10">
        <f t="shared" si="34"/>
        <v>-1.343030552110266E-3</v>
      </c>
      <c r="H547" s="9">
        <f>'NIFTY500 TRI'!B547</f>
        <v>33759.03</v>
      </c>
      <c r="I547" s="10">
        <f t="shared" si="35"/>
        <v>4.3118163326255534E-4</v>
      </c>
    </row>
    <row r="548" spans="1:9" ht="14.25" customHeight="1" x14ac:dyDescent="0.3">
      <c r="A548" s="8">
        <f>'ICICI PRUDENTIAL MULTICAP FUND'!A548</f>
        <v>45436</v>
      </c>
      <c r="B548" s="9">
        <f>'ICICI PRUDENTIAL MULTICAP FUND'!B548</f>
        <v>716.14</v>
      </c>
      <c r="C548" s="10">
        <f t="shared" si="32"/>
        <v>8.3789520723865252E-5</v>
      </c>
      <c r="D548" s="9">
        <f>'QUANT ACTIVE FUND'!B548</f>
        <v>686.83900000000006</v>
      </c>
      <c r="E548" s="10">
        <f t="shared" si="33"/>
        <v>2.917465513893075E-3</v>
      </c>
      <c r="F548" s="9">
        <f>'NIPPON INDIA '!B548</f>
        <v>272.51799999999997</v>
      </c>
      <c r="G548" s="10">
        <f t="shared" si="34"/>
        <v>-3.3381142955664779E-4</v>
      </c>
      <c r="H548" s="9">
        <f>'NIFTY500 TRI'!B548</f>
        <v>33744.480000000003</v>
      </c>
      <c r="I548" s="10">
        <f t="shared" si="35"/>
        <v>-2.4264747055551612E-4</v>
      </c>
    </row>
    <row r="549" spans="1:9" ht="14.25" customHeight="1" x14ac:dyDescent="0.3">
      <c r="A549" s="8">
        <f>'ICICI PRUDENTIAL MULTICAP FUND'!A549</f>
        <v>45435</v>
      </c>
      <c r="B549" s="9">
        <f>'ICICI PRUDENTIAL MULTICAP FUND'!B549</f>
        <v>716.08</v>
      </c>
      <c r="C549" s="10">
        <f t="shared" si="32"/>
        <v>6.6776320413872601E-3</v>
      </c>
      <c r="D549" s="9">
        <f>'QUANT ACTIVE FUND'!B549</f>
        <v>684.84100000000001</v>
      </c>
      <c r="E549" s="10">
        <f t="shared" si="33"/>
        <v>3.4212153446270604E-3</v>
      </c>
      <c r="F549" s="9">
        <f>'NIPPON INDIA '!B549</f>
        <v>272.60899999999998</v>
      </c>
      <c r="G549" s="10">
        <f t="shared" si="34"/>
        <v>4.484288409385629E-3</v>
      </c>
      <c r="H549" s="9">
        <f>'NIFTY500 TRI'!B549</f>
        <v>33752.67</v>
      </c>
      <c r="I549" s="10">
        <f t="shared" si="35"/>
        <v>1.1856218061598671E-2</v>
      </c>
    </row>
    <row r="550" spans="1:9" ht="14.25" customHeight="1" x14ac:dyDescent="0.3">
      <c r="A550" s="8">
        <f>'ICICI PRUDENTIAL MULTICAP FUND'!A550</f>
        <v>45434</v>
      </c>
      <c r="B550" s="9">
        <f>'ICICI PRUDENTIAL MULTICAP FUND'!B550</f>
        <v>711.33</v>
      </c>
      <c r="C550" s="10">
        <f t="shared" si="32"/>
        <v>1.873239436619776E-3</v>
      </c>
      <c r="D550" s="9">
        <f>'QUANT ACTIVE FUND'!B550</f>
        <v>682.50599999999997</v>
      </c>
      <c r="E550" s="10">
        <f t="shared" si="33"/>
        <v>3.4550897147125406E-3</v>
      </c>
      <c r="F550" s="9">
        <f>'NIPPON INDIA '!B550</f>
        <v>271.392</v>
      </c>
      <c r="G550" s="10">
        <f t="shared" si="34"/>
        <v>1.5167115037585711E-3</v>
      </c>
      <c r="H550" s="9">
        <f>'NIFTY500 TRI'!B550</f>
        <v>33357.18</v>
      </c>
      <c r="I550" s="10">
        <f t="shared" si="35"/>
        <v>2.7135072058089189E-3</v>
      </c>
    </row>
    <row r="551" spans="1:9" ht="14.25" customHeight="1" x14ac:dyDescent="0.3">
      <c r="A551" s="8">
        <f>'ICICI PRUDENTIAL MULTICAP FUND'!A551</f>
        <v>45433</v>
      </c>
      <c r="B551" s="9">
        <f>'ICICI PRUDENTIAL MULTICAP FUND'!B551</f>
        <v>710</v>
      </c>
      <c r="C551" s="10">
        <f t="shared" si="32"/>
        <v>1.3680662313301656E-3</v>
      </c>
      <c r="D551" s="9">
        <f>'QUANT ACTIVE FUND'!B551</f>
        <v>680.15599999999995</v>
      </c>
      <c r="E551" s="10">
        <f t="shared" si="33"/>
        <v>1.7865427151019561E-2</v>
      </c>
      <c r="F551" s="9">
        <f>'NIPPON INDIA '!B551</f>
        <v>270.98099999999999</v>
      </c>
      <c r="G551" s="10">
        <f t="shared" si="34"/>
        <v>8.5941222010480021E-3</v>
      </c>
      <c r="H551" s="9">
        <f>'NIFTY500 TRI'!B551</f>
        <v>33266.910000000003</v>
      </c>
      <c r="I551" s="10">
        <f t="shared" si="35"/>
        <v>5.8439306480723803E-3</v>
      </c>
    </row>
    <row r="552" spans="1:9" ht="14.25" customHeight="1" x14ac:dyDescent="0.3">
      <c r="A552" s="8">
        <f>'ICICI PRUDENTIAL MULTICAP FUND'!A552</f>
        <v>45429</v>
      </c>
      <c r="B552" s="9">
        <f>'ICICI PRUDENTIAL MULTICAP FUND'!B552</f>
        <v>709.03</v>
      </c>
      <c r="C552" s="10">
        <f t="shared" si="32"/>
        <v>6.8159550146968386E-3</v>
      </c>
      <c r="D552" s="9">
        <f>'QUANT ACTIVE FUND'!B552</f>
        <v>668.21799999999996</v>
      </c>
      <c r="E552" s="10">
        <f t="shared" si="33"/>
        <v>7.8079636100933528E-3</v>
      </c>
      <c r="F552" s="9">
        <f>'NIPPON INDIA '!B552</f>
        <v>268.67200000000003</v>
      </c>
      <c r="G552" s="10">
        <f t="shared" si="34"/>
        <v>1.0424971793907667E-2</v>
      </c>
      <c r="H552" s="9">
        <f>'NIFTY500 TRI'!B552</f>
        <v>33073.629999999997</v>
      </c>
      <c r="I552" s="10">
        <f t="shared" si="35"/>
        <v>6.4742636228853276E-3</v>
      </c>
    </row>
    <row r="553" spans="1:9" ht="14.25" customHeight="1" x14ac:dyDescent="0.3">
      <c r="A553" s="8">
        <f>'ICICI PRUDENTIAL MULTICAP FUND'!A553</f>
        <v>45428</v>
      </c>
      <c r="B553" s="9">
        <f>'ICICI PRUDENTIAL MULTICAP FUND'!B553</f>
        <v>704.23</v>
      </c>
      <c r="C553" s="10">
        <f t="shared" si="32"/>
        <v>1.4199922231663253E-2</v>
      </c>
      <c r="D553" s="9">
        <f>'QUANT ACTIVE FUND'!B553</f>
        <v>663.04100000000005</v>
      </c>
      <c r="E553" s="10">
        <f t="shared" si="33"/>
        <v>8.2924262608199788E-3</v>
      </c>
      <c r="F553" s="9">
        <f>'NIPPON INDIA '!B553</f>
        <v>265.89999999999998</v>
      </c>
      <c r="G553" s="10">
        <f t="shared" si="34"/>
        <v>2.3511116585576173E-2</v>
      </c>
      <c r="H553" s="9">
        <f>'NIFTY500 TRI'!B553</f>
        <v>32860.879999999997</v>
      </c>
      <c r="I553" s="10">
        <f t="shared" si="35"/>
        <v>1.2039747520399527E-2</v>
      </c>
    </row>
    <row r="554" spans="1:9" ht="14.25" customHeight="1" x14ac:dyDescent="0.3">
      <c r="A554" s="8">
        <f>'ICICI PRUDENTIAL MULTICAP FUND'!A554</f>
        <v>45426</v>
      </c>
      <c r="B554" s="9">
        <f>'ICICI PRUDENTIAL MULTICAP FUND'!B554</f>
        <v>694.37</v>
      </c>
      <c r="C554" s="10">
        <f t="shared" si="32"/>
        <v>6.4646113261150537E-3</v>
      </c>
      <c r="D554" s="9">
        <f>'QUANT ACTIVE FUND'!B554</f>
        <v>657.58799999999997</v>
      </c>
      <c r="E554" s="10">
        <f t="shared" si="33"/>
        <v>1.7382142575341979E-2</v>
      </c>
      <c r="F554" s="9">
        <f>'NIPPON INDIA '!B554</f>
        <v>259.79199999999997</v>
      </c>
      <c r="G554" s="10">
        <f t="shared" si="34"/>
        <v>1.0140599726265813E-2</v>
      </c>
      <c r="H554" s="9">
        <f>'NIFTY500 TRI'!B554</f>
        <v>32469.95</v>
      </c>
      <c r="I554" s="10">
        <f t="shared" si="35"/>
        <v>8.4471163865299445E-3</v>
      </c>
    </row>
    <row r="555" spans="1:9" ht="14.25" customHeight="1" x14ac:dyDescent="0.3">
      <c r="A555" s="8">
        <f>'ICICI PRUDENTIAL MULTICAP FUND'!A555</f>
        <v>45425</v>
      </c>
      <c r="B555" s="9">
        <f>'ICICI PRUDENTIAL MULTICAP FUND'!B555</f>
        <v>689.91</v>
      </c>
      <c r="C555" s="10">
        <f t="shared" si="32"/>
        <v>9.8214285714284585E-3</v>
      </c>
      <c r="D555" s="9">
        <f>'QUANT ACTIVE FUND'!B555</f>
        <v>646.35299999999995</v>
      </c>
      <c r="E555" s="10">
        <f t="shared" si="33"/>
        <v>1.0831572642381274E-2</v>
      </c>
      <c r="F555" s="9">
        <f>'NIPPON INDIA '!B555</f>
        <v>257.18400000000003</v>
      </c>
      <c r="G555" s="10">
        <f t="shared" si="34"/>
        <v>1.237998889934238E-2</v>
      </c>
      <c r="H555" s="9">
        <f>'NIFTY500 TRI'!B555</f>
        <v>32197.97</v>
      </c>
      <c r="I555" s="10">
        <f t="shared" si="35"/>
        <v>9.0709286827065465E-3</v>
      </c>
    </row>
    <row r="556" spans="1:9" ht="14.25" customHeight="1" x14ac:dyDescent="0.3">
      <c r="A556" s="8">
        <f>'ICICI PRUDENTIAL MULTICAP FUND'!A556</f>
        <v>45421</v>
      </c>
      <c r="B556" s="9">
        <f>'ICICI PRUDENTIAL MULTICAP FUND'!B556</f>
        <v>683.2</v>
      </c>
      <c r="C556" s="10">
        <f t="shared" si="32"/>
        <v>-1.5022634872120123E-2</v>
      </c>
      <c r="D556" s="9">
        <f>'QUANT ACTIVE FUND'!B556</f>
        <v>639.42700000000002</v>
      </c>
      <c r="E556" s="10">
        <f t="shared" si="33"/>
        <v>-2.1602185006388143E-2</v>
      </c>
      <c r="F556" s="9">
        <f>'NIPPON INDIA '!B556</f>
        <v>254.03899999999999</v>
      </c>
      <c r="G556" s="10">
        <f t="shared" si="34"/>
        <v>-1.6876934984520087E-2</v>
      </c>
      <c r="H556" s="9">
        <f>'NIFTY500 TRI'!B556</f>
        <v>31908.53</v>
      </c>
      <c r="I556" s="10">
        <f t="shared" si="35"/>
        <v>-1.7393642049975788E-2</v>
      </c>
    </row>
    <row r="557" spans="1:9" ht="14.25" customHeight="1" x14ac:dyDescent="0.3">
      <c r="A557" s="8">
        <f>'ICICI PRUDENTIAL MULTICAP FUND'!A557</f>
        <v>45420</v>
      </c>
      <c r="B557" s="9">
        <f>'ICICI PRUDENTIAL MULTICAP FUND'!B557</f>
        <v>693.62</v>
      </c>
      <c r="C557" s="10">
        <f t="shared" si="32"/>
        <v>4.329380420775247E-3</v>
      </c>
      <c r="D557" s="9">
        <f>'QUANT ACTIVE FUND'!B557</f>
        <v>653.54499999999996</v>
      </c>
      <c r="E557" s="10">
        <f t="shared" si="33"/>
        <v>8.4699470416135618E-3</v>
      </c>
      <c r="F557" s="9">
        <f>'NIPPON INDIA '!B557</f>
        <v>258.39999999999998</v>
      </c>
      <c r="G557" s="10">
        <f t="shared" si="34"/>
        <v>4.6441785222225706E-5</v>
      </c>
      <c r="H557" s="9">
        <f>'NIFTY500 TRI'!B557</f>
        <v>32473.360000000001</v>
      </c>
      <c r="I557" s="10">
        <f t="shared" si="35"/>
        <v>3.3375209406111732E-3</v>
      </c>
    </row>
    <row r="558" spans="1:9" ht="14.25" customHeight="1" x14ac:dyDescent="0.3">
      <c r="A558" s="8">
        <f>'ICICI PRUDENTIAL MULTICAP FUND'!A558</f>
        <v>45419</v>
      </c>
      <c r="B558" s="9">
        <f>'ICICI PRUDENTIAL MULTICAP FUND'!B558</f>
        <v>690.63</v>
      </c>
      <c r="C558" s="10">
        <f t="shared" si="32"/>
        <v>-9.7358836855839584E-3</v>
      </c>
      <c r="D558" s="9">
        <f>'QUANT ACTIVE FUND'!B558</f>
        <v>648.05600000000004</v>
      </c>
      <c r="E558" s="10">
        <f t="shared" si="33"/>
        <v>-3.0001496781918848E-2</v>
      </c>
      <c r="F558" s="9">
        <f>'NIPPON INDIA '!B558</f>
        <v>258.38799999999998</v>
      </c>
      <c r="G558" s="10">
        <f t="shared" si="34"/>
        <v>-1.8659253098165261E-2</v>
      </c>
      <c r="H558" s="9">
        <f>'NIFTY500 TRI'!B558</f>
        <v>32365.34</v>
      </c>
      <c r="I558" s="10">
        <f t="shared" si="35"/>
        <v>-1.5321455453081303E-2</v>
      </c>
    </row>
    <row r="559" spans="1:9" ht="14.25" customHeight="1" x14ac:dyDescent="0.3">
      <c r="A559" s="8">
        <f>'ICICI PRUDENTIAL MULTICAP FUND'!A559</f>
        <v>45415</v>
      </c>
      <c r="B559" s="9">
        <f>'ICICI PRUDENTIAL MULTICAP FUND'!B559</f>
        <v>697.42</v>
      </c>
      <c r="C559" s="10">
        <f t="shared" si="32"/>
        <v>-5.4900394997647456E-3</v>
      </c>
      <c r="D559" s="9">
        <f>'QUANT ACTIVE FUND'!B559</f>
        <v>668.1</v>
      </c>
      <c r="E559" s="10">
        <f t="shared" si="33"/>
        <v>-4.76094003241495E-3</v>
      </c>
      <c r="F559" s="9">
        <f>'NIPPON INDIA '!B559</f>
        <v>263.30099999999999</v>
      </c>
      <c r="G559" s="10">
        <f t="shared" si="34"/>
        <v>-4.0473425602656618E-3</v>
      </c>
      <c r="H559" s="9">
        <f>'NIFTY500 TRI'!B559</f>
        <v>32868.94</v>
      </c>
      <c r="I559" s="10">
        <f t="shared" si="35"/>
        <v>-5.8694008408189721E-3</v>
      </c>
    </row>
    <row r="560" spans="1:9" ht="14.25" customHeight="1" x14ac:dyDescent="0.3">
      <c r="A560" s="8">
        <f>'ICICI PRUDENTIAL MULTICAP FUND'!A560</f>
        <v>45414</v>
      </c>
      <c r="B560" s="9">
        <f>'ICICI PRUDENTIAL MULTICAP FUND'!B560</f>
        <v>701.27</v>
      </c>
      <c r="C560" s="10">
        <f t="shared" si="32"/>
        <v>2.8457842352133753E-3</v>
      </c>
      <c r="D560" s="9">
        <f>'QUANT ACTIVE FUND'!B560</f>
        <v>671.29600000000005</v>
      </c>
      <c r="E560" s="10">
        <f t="shared" si="33"/>
        <v>3.1186071914754629E-3</v>
      </c>
      <c r="F560" s="9">
        <f>'NIPPON INDIA '!B560</f>
        <v>264.37099999999998</v>
      </c>
      <c r="G560" s="10">
        <f t="shared" si="34"/>
        <v>3.6292542186282498E-3</v>
      </c>
      <c r="H560" s="9">
        <f>'NIFTY500 TRI'!B560</f>
        <v>33063</v>
      </c>
      <c r="I560" s="10">
        <f t="shared" si="35"/>
        <v>4.1187607395426736E-3</v>
      </c>
    </row>
    <row r="561" spans="1:9" ht="14.25" customHeight="1" x14ac:dyDescent="0.3">
      <c r="A561" s="8">
        <f>'ICICI PRUDENTIAL MULTICAP FUND'!A561</f>
        <v>45412</v>
      </c>
      <c r="B561" s="9">
        <f>'ICICI PRUDENTIAL MULTICAP FUND'!B561</f>
        <v>699.28</v>
      </c>
      <c r="C561" s="10">
        <f t="shared" si="32"/>
        <v>3.8472581108239304E-3</v>
      </c>
      <c r="D561" s="9">
        <f>'QUANT ACTIVE FUND'!B561</f>
        <v>669.20899999999995</v>
      </c>
      <c r="E561" s="10">
        <f t="shared" si="33"/>
        <v>3.1043052561837469E-3</v>
      </c>
      <c r="F561" s="9">
        <f>'NIPPON INDIA '!B561</f>
        <v>263.41500000000002</v>
      </c>
      <c r="G561" s="10">
        <f t="shared" si="34"/>
        <v>1.2912553786285329E-2</v>
      </c>
      <c r="H561" s="9">
        <f>'NIFTY500 TRI'!B561</f>
        <v>32927.379999999997</v>
      </c>
      <c r="I561" s="10">
        <f t="shared" si="35"/>
        <v>2.3724489718418776E-4</v>
      </c>
    </row>
    <row r="562" spans="1:9" ht="14.25" customHeight="1" x14ac:dyDescent="0.3">
      <c r="A562" s="8">
        <f>'ICICI PRUDENTIAL MULTICAP FUND'!A562</f>
        <v>45408</v>
      </c>
      <c r="B562" s="9">
        <f>'ICICI PRUDENTIAL MULTICAP FUND'!B562</f>
        <v>696.6</v>
      </c>
      <c r="C562" s="10">
        <f t="shared" si="32"/>
        <v>-1.0047798814350602E-4</v>
      </c>
      <c r="D562" s="9">
        <f>'QUANT ACTIVE FUND'!B562</f>
        <v>667.13800000000003</v>
      </c>
      <c r="E562" s="10">
        <f t="shared" si="33"/>
        <v>7.2242444738682878E-3</v>
      </c>
      <c r="F562" s="9">
        <f>'NIPPON INDIA '!B562</f>
        <v>260.05700000000002</v>
      </c>
      <c r="G562" s="10">
        <f t="shared" si="34"/>
        <v>-8.2221991693273017E-4</v>
      </c>
      <c r="H562" s="9">
        <f>'NIFTY500 TRI'!B562</f>
        <v>32919.57</v>
      </c>
      <c r="I562" s="10">
        <f t="shared" si="35"/>
        <v>5.9575958277271789E-3</v>
      </c>
    </row>
    <row r="563" spans="1:9" ht="14.25" customHeight="1" x14ac:dyDescent="0.3">
      <c r="A563" s="8">
        <f>'ICICI PRUDENTIAL MULTICAP FUND'!A563</f>
        <v>45407</v>
      </c>
      <c r="B563" s="9">
        <f>'ICICI PRUDENTIAL MULTICAP FUND'!B563</f>
        <v>696.67</v>
      </c>
      <c r="C563" s="10">
        <f t="shared" si="32"/>
        <v>6.0216606498194351E-3</v>
      </c>
      <c r="D563" s="9">
        <f>'QUANT ACTIVE FUND'!B563</f>
        <v>662.35299999999995</v>
      </c>
      <c r="E563" s="10">
        <f t="shared" si="33"/>
        <v>6.4288992010599778E-3</v>
      </c>
      <c r="F563" s="9">
        <f>'NIPPON INDIA '!B563</f>
        <v>260.27100000000002</v>
      </c>
      <c r="G563" s="10">
        <f t="shared" si="34"/>
        <v>1.1464280023783477E-2</v>
      </c>
      <c r="H563" s="9">
        <f>'NIFTY500 TRI'!B563</f>
        <v>32724.61</v>
      </c>
      <c r="I563" s="10">
        <f t="shared" si="35"/>
        <v>6.6190025478761174E-3</v>
      </c>
    </row>
    <row r="564" spans="1:9" ht="14.25" customHeight="1" x14ac:dyDescent="0.3">
      <c r="A564" s="8">
        <f>'ICICI PRUDENTIAL MULTICAP FUND'!A564</f>
        <v>45406</v>
      </c>
      <c r="B564" s="9">
        <f>'ICICI PRUDENTIAL MULTICAP FUND'!B564</f>
        <v>692.5</v>
      </c>
      <c r="C564" s="10">
        <f t="shared" si="32"/>
        <v>3.6377338802011491E-3</v>
      </c>
      <c r="D564" s="9">
        <f>'QUANT ACTIVE FUND'!B564</f>
        <v>658.12199999999996</v>
      </c>
      <c r="E564" s="10">
        <f t="shared" si="33"/>
        <v>8.8928610300755776E-3</v>
      </c>
      <c r="F564" s="9">
        <f>'NIPPON INDIA '!B564</f>
        <v>257.32100000000003</v>
      </c>
      <c r="G564" s="10">
        <f t="shared" si="34"/>
        <v>4.7009765068308923E-3</v>
      </c>
      <c r="H564" s="9">
        <f>'NIFTY500 TRI'!B564</f>
        <v>32509.43</v>
      </c>
      <c r="I564" s="10">
        <f t="shared" si="35"/>
        <v>3.7777410004235807E-3</v>
      </c>
    </row>
    <row r="565" spans="1:9" ht="14.25" customHeight="1" x14ac:dyDescent="0.3">
      <c r="A565" s="8">
        <f>'ICICI PRUDENTIAL MULTICAP FUND'!A565</f>
        <v>45405</v>
      </c>
      <c r="B565" s="9">
        <f>'ICICI PRUDENTIAL MULTICAP FUND'!B565</f>
        <v>689.99</v>
      </c>
      <c r="C565" s="10">
        <f t="shared" si="32"/>
        <v>3.0819776992745788E-3</v>
      </c>
      <c r="D565" s="9">
        <f>'QUANT ACTIVE FUND'!B565</f>
        <v>652.32100000000003</v>
      </c>
      <c r="E565" s="10">
        <f t="shared" si="33"/>
        <v>4.0248974151385532E-3</v>
      </c>
      <c r="F565" s="9">
        <f>'NIPPON INDIA '!B565</f>
        <v>256.11700000000002</v>
      </c>
      <c r="G565" s="10">
        <f t="shared" si="34"/>
        <v>7.0302639494513441E-3</v>
      </c>
      <c r="H565" s="9">
        <f>'NIFTY500 TRI'!B565</f>
        <v>32387.08</v>
      </c>
      <c r="I565" s="10">
        <f t="shared" si="35"/>
        <v>3.7808665650708429E-3</v>
      </c>
    </row>
    <row r="566" spans="1:9" ht="14.25" customHeight="1" x14ac:dyDescent="0.3">
      <c r="A566" s="8">
        <f>'ICICI PRUDENTIAL MULTICAP FUND'!A566</f>
        <v>45404</v>
      </c>
      <c r="B566" s="9">
        <f>'ICICI PRUDENTIAL MULTICAP FUND'!B566</f>
        <v>687.87</v>
      </c>
      <c r="C566" s="10">
        <f t="shared" si="32"/>
        <v>8.2078942354200293E-3</v>
      </c>
      <c r="D566" s="9">
        <f>'QUANT ACTIVE FUND'!B566</f>
        <v>649.70600000000002</v>
      </c>
      <c r="E566" s="10">
        <f t="shared" si="33"/>
        <v>1.2588271415412954E-2</v>
      </c>
      <c r="F566" s="9">
        <f>'NIPPON INDIA '!B566</f>
        <v>254.32900000000001</v>
      </c>
      <c r="G566" s="10">
        <f t="shared" si="34"/>
        <v>1.1373171245759969E-2</v>
      </c>
      <c r="H566" s="9">
        <f>'NIFTY500 TRI'!B566</f>
        <v>32265.09</v>
      </c>
      <c r="I566" s="10">
        <f t="shared" si="35"/>
        <v>9.3056690819238452E-3</v>
      </c>
    </row>
    <row r="567" spans="1:9" ht="14.25" customHeight="1" x14ac:dyDescent="0.3">
      <c r="A567" s="8">
        <f>'ICICI PRUDENTIAL MULTICAP FUND'!A567</f>
        <v>45401</v>
      </c>
      <c r="B567" s="9">
        <f>'ICICI PRUDENTIAL MULTICAP FUND'!B567</f>
        <v>682.27</v>
      </c>
      <c r="C567" s="10">
        <f t="shared" si="32"/>
        <v>5.4260155448013572E-4</v>
      </c>
      <c r="D567" s="9">
        <f>'QUANT ACTIVE FUND'!B567</f>
        <v>641.62900000000002</v>
      </c>
      <c r="E567" s="10">
        <f t="shared" si="33"/>
        <v>-5.2339301986870426E-4</v>
      </c>
      <c r="F567" s="9">
        <f>'NIPPON INDIA '!B567</f>
        <v>251.46899999999999</v>
      </c>
      <c r="G567" s="10">
        <f t="shared" si="34"/>
        <v>4.9434125131877409E-3</v>
      </c>
      <c r="H567" s="9">
        <f>'NIFTY500 TRI'!B567</f>
        <v>31967.61</v>
      </c>
      <c r="I567" s="10">
        <f t="shared" si="35"/>
        <v>2.9828184386936122E-3</v>
      </c>
    </row>
    <row r="568" spans="1:9" ht="14.25" customHeight="1" x14ac:dyDescent="0.3">
      <c r="A568" s="8">
        <f>'ICICI PRUDENTIAL MULTICAP FUND'!A568</f>
        <v>45400</v>
      </c>
      <c r="B568" s="9">
        <f>'ICICI PRUDENTIAL MULTICAP FUND'!B568</f>
        <v>681.9</v>
      </c>
      <c r="C568" s="10">
        <f t="shared" si="32"/>
        <v>-2.8660837013424331E-3</v>
      </c>
      <c r="D568" s="9">
        <f>'QUANT ACTIVE FUND'!B568</f>
        <v>641.96500000000003</v>
      </c>
      <c r="E568" s="10">
        <f t="shared" si="33"/>
        <v>-2.8115412993669304E-3</v>
      </c>
      <c r="F568" s="9">
        <f>'NIPPON INDIA '!B568</f>
        <v>250.232</v>
      </c>
      <c r="G568" s="10">
        <f t="shared" si="34"/>
        <v>-1.7313875834776057E-3</v>
      </c>
      <c r="H568" s="9">
        <f>'NIFTY500 TRI'!B568</f>
        <v>31872.54</v>
      </c>
      <c r="I568" s="10">
        <f t="shared" si="35"/>
        <v>-4.8137944859149833E-3</v>
      </c>
    </row>
    <row r="569" spans="1:9" ht="14.25" customHeight="1" x14ac:dyDescent="0.3">
      <c r="A569" s="8">
        <f>'ICICI PRUDENTIAL MULTICAP FUND'!A569</f>
        <v>45398</v>
      </c>
      <c r="B569" s="9">
        <f>'ICICI PRUDENTIAL MULTICAP FUND'!B569</f>
        <v>683.86</v>
      </c>
      <c r="C569" s="10">
        <f t="shared" si="32"/>
        <v>-2.1012695169997679E-3</v>
      </c>
      <c r="D569" s="9">
        <f>'QUANT ACTIVE FUND'!B569</f>
        <v>643.77499999999998</v>
      </c>
      <c r="E569" s="10">
        <f t="shared" si="33"/>
        <v>2.7491783617077403E-3</v>
      </c>
      <c r="F569" s="9">
        <f>'NIPPON INDIA '!B569</f>
        <v>250.666</v>
      </c>
      <c r="G569" s="10">
        <f t="shared" si="34"/>
        <v>3.1655827913956852E-3</v>
      </c>
      <c r="H569" s="9">
        <f>'NIFTY500 TRI'!B569</f>
        <v>32026.71</v>
      </c>
      <c r="I569" s="10">
        <f t="shared" si="35"/>
        <v>-2.722166224026679E-3</v>
      </c>
    </row>
    <row r="570" spans="1:9" ht="14.25" customHeight="1" x14ac:dyDescent="0.3">
      <c r="A570" s="8">
        <f>'ICICI PRUDENTIAL MULTICAP FUND'!A570</f>
        <v>45397</v>
      </c>
      <c r="B570" s="9">
        <f>'ICICI PRUDENTIAL MULTICAP FUND'!B570</f>
        <v>685.3</v>
      </c>
      <c r="C570" s="10">
        <f t="shared" si="32"/>
        <v>-1.0168414362885399E-2</v>
      </c>
      <c r="D570" s="9">
        <f>'QUANT ACTIVE FUND'!B570</f>
        <v>642.01</v>
      </c>
      <c r="E570" s="10">
        <f t="shared" si="33"/>
        <v>-1.3377592340732948E-2</v>
      </c>
      <c r="F570" s="9">
        <f>'NIPPON INDIA '!B570</f>
        <v>249.875</v>
      </c>
      <c r="G570" s="10">
        <f t="shared" si="34"/>
        <v>-1.3502043072306945E-2</v>
      </c>
      <c r="H570" s="9">
        <f>'NIFTY500 TRI'!B570</f>
        <v>32114.13</v>
      </c>
      <c r="I570" s="10">
        <f t="shared" si="35"/>
        <v>-1.2857938985805834E-2</v>
      </c>
    </row>
    <row r="571" spans="1:9" ht="14.25" customHeight="1" x14ac:dyDescent="0.3">
      <c r="A571" s="8">
        <f>'ICICI PRUDENTIAL MULTICAP FUND'!A571</f>
        <v>45394</v>
      </c>
      <c r="B571" s="9">
        <f>'ICICI PRUDENTIAL MULTICAP FUND'!B571</f>
        <v>692.34</v>
      </c>
      <c r="C571" s="10">
        <f t="shared" si="32"/>
        <v>-6.1154177433247071E-3</v>
      </c>
      <c r="D571" s="9">
        <f>'QUANT ACTIVE FUND'!B571</f>
        <v>650.71500000000003</v>
      </c>
      <c r="E571" s="10">
        <f t="shared" si="33"/>
        <v>-5.2784605789338128E-3</v>
      </c>
      <c r="F571" s="9">
        <f>'NIPPON INDIA '!B571</f>
        <v>253.29499999999999</v>
      </c>
      <c r="G571" s="10">
        <f t="shared" si="34"/>
        <v>-8.3468075027307419E-3</v>
      </c>
      <c r="H571" s="9">
        <f>'NIFTY500 TRI'!B571</f>
        <v>32532.43</v>
      </c>
      <c r="I571" s="10">
        <f t="shared" si="35"/>
        <v>-8.1137733222963384E-3</v>
      </c>
    </row>
    <row r="572" spans="1:9" ht="14.25" customHeight="1" x14ac:dyDescent="0.3">
      <c r="A572" s="8">
        <f>'ICICI PRUDENTIAL MULTICAP FUND'!A572</f>
        <v>45392</v>
      </c>
      <c r="B572" s="9">
        <f>'ICICI PRUDENTIAL MULTICAP FUND'!B572</f>
        <v>696.6</v>
      </c>
      <c r="C572" s="10">
        <f t="shared" si="32"/>
        <v>5.9351037560109367E-3</v>
      </c>
      <c r="D572" s="9">
        <f>'QUANT ACTIVE FUND'!B572</f>
        <v>654.16800000000001</v>
      </c>
      <c r="E572" s="10">
        <f t="shared" si="33"/>
        <v>6.61517936691853E-3</v>
      </c>
      <c r="F572" s="9">
        <f>'NIPPON INDIA '!B572</f>
        <v>255.42699999999999</v>
      </c>
      <c r="G572" s="10">
        <f t="shared" si="34"/>
        <v>3.709481576372443E-3</v>
      </c>
      <c r="H572" s="9">
        <f>'NIFTY500 TRI'!B572</f>
        <v>32798.550000000003</v>
      </c>
      <c r="I572" s="10">
        <f t="shared" si="35"/>
        <v>5.9880404817669857E-3</v>
      </c>
    </row>
    <row r="573" spans="1:9" ht="14.25" customHeight="1" x14ac:dyDescent="0.3">
      <c r="A573" s="8">
        <f>'ICICI PRUDENTIAL MULTICAP FUND'!A573</f>
        <v>45391</v>
      </c>
      <c r="B573" s="9">
        <f>'ICICI PRUDENTIAL MULTICAP FUND'!B573</f>
        <v>692.49</v>
      </c>
      <c r="C573" s="10">
        <f t="shared" si="32"/>
        <v>-1.0962856112513393E-3</v>
      </c>
      <c r="D573" s="9">
        <f>'QUANT ACTIVE FUND'!B573</f>
        <v>649.86900000000003</v>
      </c>
      <c r="E573" s="10">
        <f t="shared" si="33"/>
        <v>5.0035101548170024E-4</v>
      </c>
      <c r="F573" s="9">
        <f>'NIPPON INDIA '!B573</f>
        <v>254.483</v>
      </c>
      <c r="G573" s="10">
        <f t="shared" si="34"/>
        <v>-9.8141976108317335E-4</v>
      </c>
      <c r="H573" s="9">
        <f>'NIFTY500 TRI'!B573</f>
        <v>32603.32</v>
      </c>
      <c r="I573" s="10">
        <f t="shared" si="35"/>
        <v>-1.364866570203067E-3</v>
      </c>
    </row>
    <row r="574" spans="1:9" ht="14.25" customHeight="1" x14ac:dyDescent="0.3">
      <c r="A574" s="8">
        <f>'ICICI PRUDENTIAL MULTICAP FUND'!A574</f>
        <v>45390</v>
      </c>
      <c r="B574" s="9">
        <f>'ICICI PRUDENTIAL MULTICAP FUND'!B574</f>
        <v>693.25</v>
      </c>
      <c r="C574" s="10">
        <f t="shared" si="32"/>
        <v>4.1862216814415468E-3</v>
      </c>
      <c r="D574" s="9">
        <f>'QUANT ACTIVE FUND'!B574</f>
        <v>649.54399999999998</v>
      </c>
      <c r="E574" s="10">
        <f t="shared" si="33"/>
        <v>1.3844223197245101E-3</v>
      </c>
      <c r="F574" s="9">
        <f>'NIPPON INDIA '!B574</f>
        <v>254.733</v>
      </c>
      <c r="G574" s="10">
        <f t="shared" si="34"/>
        <v>7.8935498421290207E-3</v>
      </c>
      <c r="H574" s="9">
        <f>'NIFTY500 TRI'!B574</f>
        <v>32647.88</v>
      </c>
      <c r="I574" s="10">
        <f t="shared" si="35"/>
        <v>5.0229785028095336E-3</v>
      </c>
    </row>
    <row r="575" spans="1:9" ht="14.25" customHeight="1" x14ac:dyDescent="0.3">
      <c r="A575" s="8">
        <f>'ICICI PRUDENTIAL MULTICAP FUND'!A575</f>
        <v>45387</v>
      </c>
      <c r="B575" s="9">
        <f>'ICICI PRUDENTIAL MULTICAP FUND'!B575</f>
        <v>690.36</v>
      </c>
      <c r="C575" s="10">
        <f t="shared" si="32"/>
        <v>1.7557861133280655E-3</v>
      </c>
      <c r="D575" s="9">
        <f>'QUANT ACTIVE FUND'!B575</f>
        <v>648.64599999999996</v>
      </c>
      <c r="E575" s="10">
        <f t="shared" si="33"/>
        <v>6.3282792944720266E-3</v>
      </c>
      <c r="F575" s="9">
        <f>'NIPPON INDIA '!B575</f>
        <v>252.738</v>
      </c>
      <c r="G575" s="10">
        <f t="shared" si="34"/>
        <v>1.0297926948090166E-3</v>
      </c>
      <c r="H575" s="9">
        <f>'NIFTY500 TRI'!B575</f>
        <v>32484.71</v>
      </c>
      <c r="I575" s="10">
        <f t="shared" si="35"/>
        <v>2.4415540652090884E-3</v>
      </c>
    </row>
    <row r="576" spans="1:9" ht="14.25" customHeight="1" x14ac:dyDescent="0.3">
      <c r="A576" s="8">
        <f>'ICICI PRUDENTIAL MULTICAP FUND'!A576</f>
        <v>45386</v>
      </c>
      <c r="B576" s="9">
        <f>'ICICI PRUDENTIAL MULTICAP FUND'!B576</f>
        <v>689.15</v>
      </c>
      <c r="C576" s="10">
        <f t="shared" si="32"/>
        <v>2.3125254523242073E-3</v>
      </c>
      <c r="D576" s="9">
        <f>'QUANT ACTIVE FUND'!B576</f>
        <v>644.56700000000001</v>
      </c>
      <c r="E576" s="10">
        <f t="shared" si="33"/>
        <v>1.1637072298809834E-4</v>
      </c>
      <c r="F576" s="9">
        <f>'NIPPON INDIA '!B576</f>
        <v>252.47800000000001</v>
      </c>
      <c r="G576" s="10">
        <f t="shared" si="34"/>
        <v>2.9276121092710154E-3</v>
      </c>
      <c r="H576" s="9">
        <f>'NIFTY500 TRI'!B576</f>
        <v>32405.59</v>
      </c>
      <c r="I576" s="10">
        <f t="shared" si="35"/>
        <v>2.8644791280793324E-3</v>
      </c>
    </row>
    <row r="577" spans="1:9" ht="14.25" customHeight="1" x14ac:dyDescent="0.3">
      <c r="A577" s="8">
        <f>'ICICI PRUDENTIAL MULTICAP FUND'!A577</f>
        <v>45385</v>
      </c>
      <c r="B577" s="9">
        <f>'ICICI PRUDENTIAL MULTICAP FUND'!B577</f>
        <v>687.56</v>
      </c>
      <c r="C577" s="10">
        <f t="shared" si="32"/>
        <v>3.4149616181663087E-3</v>
      </c>
      <c r="D577" s="9">
        <f>'QUANT ACTIVE FUND'!B577</f>
        <v>644.49199999999996</v>
      </c>
      <c r="E577" s="10">
        <f t="shared" si="33"/>
        <v>1.057946357870302E-2</v>
      </c>
      <c r="F577" s="9">
        <f>'NIPPON INDIA '!B577</f>
        <v>251.74100000000001</v>
      </c>
      <c r="G577" s="10">
        <f t="shared" si="34"/>
        <v>6.5251550324058908E-3</v>
      </c>
      <c r="H577" s="9">
        <f>'NIFTY500 TRI'!B577</f>
        <v>32313.03</v>
      </c>
      <c r="I577" s="10">
        <f t="shared" si="35"/>
        <v>1.7475460881566467E-3</v>
      </c>
    </row>
    <row r="578" spans="1:9" ht="14.25" customHeight="1" x14ac:dyDescent="0.3">
      <c r="A578" s="8">
        <f>'ICICI PRUDENTIAL MULTICAP FUND'!A578</f>
        <v>45384</v>
      </c>
      <c r="B578" s="9">
        <f>'ICICI PRUDENTIAL MULTICAP FUND'!B578</f>
        <v>685.22</v>
      </c>
      <c r="C578" s="10">
        <f t="shared" ref="C578:C641" si="36">(B578-B579)/B579</f>
        <v>2.0903171978128358E-2</v>
      </c>
      <c r="D578" s="9">
        <f>'QUANT ACTIVE FUND'!B578</f>
        <v>637.745</v>
      </c>
      <c r="E578" s="10">
        <f t="shared" ref="E578:E641" si="37">(D578-D579)/D579</f>
        <v>3.8923062888122917E-2</v>
      </c>
      <c r="F578" s="9">
        <f>'NIPPON INDIA '!B578</f>
        <v>250.10900000000001</v>
      </c>
      <c r="G578" s="10">
        <f t="shared" ref="G578:G641" si="38">(F578-F579)/F579</f>
        <v>2.934409969585847E-2</v>
      </c>
      <c r="H578" s="9">
        <f>'NIFTY500 TRI'!B578</f>
        <v>32256.66</v>
      </c>
      <c r="I578" s="10">
        <f t="shared" ref="I578:I641" si="39">(H578-H579)/H579</f>
        <v>2.4043058707299083E-2</v>
      </c>
    </row>
    <row r="579" spans="1:9" ht="14.25" customHeight="1" x14ac:dyDescent="0.3">
      <c r="A579" s="8">
        <f>'ICICI PRUDENTIAL MULTICAP FUND'!A579</f>
        <v>45378</v>
      </c>
      <c r="B579" s="9">
        <f>'ICICI PRUDENTIAL MULTICAP FUND'!B579</f>
        <v>671.19</v>
      </c>
      <c r="C579" s="10">
        <f t="shared" si="36"/>
        <v>5.1365760153349463E-3</v>
      </c>
      <c r="D579" s="9">
        <f>'QUANT ACTIVE FUND'!B579</f>
        <v>613.85199999999998</v>
      </c>
      <c r="E579" s="10">
        <f t="shared" si="37"/>
        <v>8.6395856679492792E-3</v>
      </c>
      <c r="F579" s="9">
        <f>'NIPPON INDIA '!B579</f>
        <v>242.97900000000001</v>
      </c>
      <c r="G579" s="10">
        <f t="shared" si="38"/>
        <v>6.3867592788180829E-3</v>
      </c>
      <c r="H579" s="9">
        <f>'NIFTY500 TRI'!B579</f>
        <v>31499.32</v>
      </c>
      <c r="I579" s="10">
        <f t="shared" si="39"/>
        <v>4.6601288990824408E-3</v>
      </c>
    </row>
    <row r="580" spans="1:9" ht="14.25" customHeight="1" x14ac:dyDescent="0.3">
      <c r="A580" s="8">
        <f>'ICICI PRUDENTIAL MULTICAP FUND'!A580</f>
        <v>45373</v>
      </c>
      <c r="B580" s="9">
        <f>'ICICI PRUDENTIAL MULTICAP FUND'!B580</f>
        <v>667.76</v>
      </c>
      <c r="C580" s="10">
        <f t="shared" si="36"/>
        <v>7.2098705843313109E-3</v>
      </c>
      <c r="D580" s="9">
        <f>'QUANT ACTIVE FUND'!B580</f>
        <v>608.59400000000005</v>
      </c>
      <c r="E580" s="10">
        <f t="shared" si="37"/>
        <v>5.0650094876033723E-3</v>
      </c>
      <c r="F580" s="9">
        <f>'NIPPON INDIA '!B580</f>
        <v>241.43700000000001</v>
      </c>
      <c r="G580" s="10">
        <f t="shared" si="38"/>
        <v>4.6479693741678539E-3</v>
      </c>
      <c r="H580" s="9">
        <f>'NIFTY500 TRI'!B580</f>
        <v>31353.21</v>
      </c>
      <c r="I580" s="10">
        <f t="shared" si="39"/>
        <v>4.9292583003145854E-3</v>
      </c>
    </row>
    <row r="581" spans="1:9" ht="14.25" customHeight="1" x14ac:dyDescent="0.3">
      <c r="A581" s="8">
        <f>'ICICI PRUDENTIAL MULTICAP FUND'!A581</f>
        <v>45372</v>
      </c>
      <c r="B581" s="9">
        <f>'ICICI PRUDENTIAL MULTICAP FUND'!B581</f>
        <v>662.98</v>
      </c>
      <c r="C581" s="10">
        <f t="shared" si="36"/>
        <v>1.3436463412769934E-2</v>
      </c>
      <c r="D581" s="9">
        <f>'QUANT ACTIVE FUND'!B581</f>
        <v>605.52700000000004</v>
      </c>
      <c r="E581" s="10">
        <f t="shared" si="37"/>
        <v>2.1646811102468952E-2</v>
      </c>
      <c r="F581" s="9">
        <f>'NIPPON INDIA '!B581</f>
        <v>240.32</v>
      </c>
      <c r="G581" s="10">
        <f t="shared" si="38"/>
        <v>1.5400866166684193E-2</v>
      </c>
      <c r="H581" s="9">
        <f>'NIFTY500 TRI'!B581</f>
        <v>31199.42</v>
      </c>
      <c r="I581" s="10">
        <f t="shared" si="39"/>
        <v>1.3521340705755303E-2</v>
      </c>
    </row>
    <row r="582" spans="1:9" ht="14.25" customHeight="1" x14ac:dyDescent="0.3">
      <c r="A582" s="8">
        <f>'ICICI PRUDENTIAL MULTICAP FUND'!A582</f>
        <v>45371</v>
      </c>
      <c r="B582" s="9">
        <f>'ICICI PRUDENTIAL MULTICAP FUND'!B582</f>
        <v>654.19000000000005</v>
      </c>
      <c r="C582" s="10">
        <f t="shared" si="36"/>
        <v>1.009900081098162E-3</v>
      </c>
      <c r="D582" s="9">
        <f>'QUANT ACTIVE FUND'!B582</f>
        <v>592.697</v>
      </c>
      <c r="E582" s="10">
        <f t="shared" si="37"/>
        <v>-5.750053116326579E-4</v>
      </c>
      <c r="F582" s="9">
        <f>'NIPPON INDIA '!B582</f>
        <v>236.67500000000001</v>
      </c>
      <c r="G582" s="10">
        <f t="shared" si="38"/>
        <v>-4.9832554171785057E-4</v>
      </c>
      <c r="H582" s="9">
        <f>'NIFTY500 TRI'!B582</f>
        <v>30783.19</v>
      </c>
      <c r="I582" s="10">
        <f t="shared" si="39"/>
        <v>1.096278701298335E-3</v>
      </c>
    </row>
    <row r="583" spans="1:9" ht="14.25" customHeight="1" x14ac:dyDescent="0.3">
      <c r="A583" s="8">
        <f>'ICICI PRUDENTIAL MULTICAP FUND'!A583</f>
        <v>45370</v>
      </c>
      <c r="B583" s="9">
        <f>'ICICI PRUDENTIAL MULTICAP FUND'!B583</f>
        <v>653.53</v>
      </c>
      <c r="C583" s="10">
        <f t="shared" si="36"/>
        <v>-8.0746755710708815E-3</v>
      </c>
      <c r="D583" s="9">
        <f>'QUANT ACTIVE FUND'!B583</f>
        <v>593.03800000000001</v>
      </c>
      <c r="E583" s="10">
        <f t="shared" si="37"/>
        <v>-1.8678660193339375E-2</v>
      </c>
      <c r="F583" s="9">
        <f>'NIPPON INDIA '!B583</f>
        <v>236.79300000000001</v>
      </c>
      <c r="G583" s="10">
        <f t="shared" si="38"/>
        <v>-8.5415332052103023E-3</v>
      </c>
      <c r="H583" s="9">
        <f>'NIFTY500 TRI'!B583</f>
        <v>30749.48</v>
      </c>
      <c r="I583" s="10">
        <f t="shared" si="39"/>
        <v>-1.1707685508818462E-2</v>
      </c>
    </row>
    <row r="584" spans="1:9" ht="14.25" customHeight="1" x14ac:dyDescent="0.3">
      <c r="A584" s="8">
        <f>'ICICI PRUDENTIAL MULTICAP FUND'!A584</f>
        <v>45369</v>
      </c>
      <c r="B584" s="9">
        <f>'ICICI PRUDENTIAL MULTICAP FUND'!B584</f>
        <v>658.85</v>
      </c>
      <c r="C584" s="10">
        <f t="shared" si="36"/>
        <v>2.8846445814237175E-4</v>
      </c>
      <c r="D584" s="9">
        <f>'QUANT ACTIVE FUND'!B584</f>
        <v>604.32600000000002</v>
      </c>
      <c r="E584" s="10">
        <f t="shared" si="37"/>
        <v>9.6263724514004476E-3</v>
      </c>
      <c r="F584" s="9">
        <f>'NIPPON INDIA '!B584</f>
        <v>238.833</v>
      </c>
      <c r="G584" s="10">
        <f t="shared" si="38"/>
        <v>3.947136119448128E-3</v>
      </c>
      <c r="H584" s="9">
        <f>'NIFTY500 TRI'!B584</f>
        <v>31113.75</v>
      </c>
      <c r="I584" s="10">
        <f t="shared" si="39"/>
        <v>9.2262941662992208E-4</v>
      </c>
    </row>
    <row r="585" spans="1:9" ht="14.25" customHeight="1" x14ac:dyDescent="0.3">
      <c r="A585" s="8">
        <f>'ICICI PRUDENTIAL MULTICAP FUND'!A585</f>
        <v>45366</v>
      </c>
      <c r="B585" s="9">
        <f>'ICICI PRUDENTIAL MULTICAP FUND'!B585</f>
        <v>658.66</v>
      </c>
      <c r="C585" s="10">
        <f t="shared" si="36"/>
        <v>-2.6800720742546249E-3</v>
      </c>
      <c r="D585" s="9">
        <f>'QUANT ACTIVE FUND'!B585</f>
        <v>598.56399999999996</v>
      </c>
      <c r="E585" s="10">
        <f t="shared" si="37"/>
        <v>-1.3997260607638859E-3</v>
      </c>
      <c r="F585" s="9">
        <f>'NIPPON INDIA '!B585</f>
        <v>237.89400000000001</v>
      </c>
      <c r="G585" s="10">
        <f t="shared" si="38"/>
        <v>-3.1636420014330481E-3</v>
      </c>
      <c r="H585" s="9">
        <f>'NIFTY500 TRI'!B585</f>
        <v>31085.07</v>
      </c>
      <c r="I585" s="10">
        <f t="shared" si="39"/>
        <v>-4.5693319021280652E-3</v>
      </c>
    </row>
    <row r="586" spans="1:9" ht="14.25" customHeight="1" x14ac:dyDescent="0.3">
      <c r="A586" s="8">
        <f>'ICICI PRUDENTIAL MULTICAP FUND'!A586</f>
        <v>45365</v>
      </c>
      <c r="B586" s="9">
        <f>'ICICI PRUDENTIAL MULTICAP FUND'!B586</f>
        <v>660.43</v>
      </c>
      <c r="C586" s="10">
        <f t="shared" si="36"/>
        <v>1.4298439611745831E-2</v>
      </c>
      <c r="D586" s="9">
        <f>'QUANT ACTIVE FUND'!B586</f>
        <v>599.40300000000002</v>
      </c>
      <c r="E586" s="10">
        <f t="shared" si="37"/>
        <v>2.598674131878179E-2</v>
      </c>
      <c r="F586" s="9">
        <f>'NIPPON INDIA '!B586</f>
        <v>238.649</v>
      </c>
      <c r="G586" s="10">
        <f t="shared" si="38"/>
        <v>1.5652995476037455E-2</v>
      </c>
      <c r="H586" s="9">
        <f>'NIFTY500 TRI'!B586</f>
        <v>31227.759999999998</v>
      </c>
      <c r="I586" s="10">
        <f t="shared" si="39"/>
        <v>1.3745136644662195E-2</v>
      </c>
    </row>
    <row r="587" spans="1:9" ht="14.25" customHeight="1" x14ac:dyDescent="0.3">
      <c r="A587" s="8">
        <f>'ICICI PRUDENTIAL MULTICAP FUND'!A587</f>
        <v>45364</v>
      </c>
      <c r="B587" s="9">
        <f>'ICICI PRUDENTIAL MULTICAP FUND'!B587</f>
        <v>651.12</v>
      </c>
      <c r="C587" s="10">
        <f t="shared" si="36"/>
        <v>-2.6115049807053807E-2</v>
      </c>
      <c r="D587" s="9">
        <f>'QUANT ACTIVE FUND'!B587</f>
        <v>584.221</v>
      </c>
      <c r="E587" s="10">
        <f t="shared" si="37"/>
        <v>-5.056895559838652E-2</v>
      </c>
      <c r="F587" s="9">
        <f>'NIPPON INDIA '!B587</f>
        <v>234.971</v>
      </c>
      <c r="G587" s="10">
        <f t="shared" si="38"/>
        <v>-2.729297411866002E-2</v>
      </c>
      <c r="H587" s="9">
        <f>'NIFTY500 TRI'!B587</f>
        <v>30804.35</v>
      </c>
      <c r="I587" s="10">
        <f t="shared" si="39"/>
        <v>-2.6031636222333159E-2</v>
      </c>
    </row>
    <row r="588" spans="1:9" ht="14.25" customHeight="1" x14ac:dyDescent="0.3">
      <c r="A588" s="8">
        <f>'ICICI PRUDENTIAL MULTICAP FUND'!A588</f>
        <v>45363</v>
      </c>
      <c r="B588" s="9">
        <f>'ICICI PRUDENTIAL MULTICAP FUND'!B588</f>
        <v>668.58</v>
      </c>
      <c r="C588" s="10">
        <f t="shared" si="36"/>
        <v>-4.6152929966649433E-3</v>
      </c>
      <c r="D588" s="9">
        <f>'QUANT ACTIVE FUND'!B588</f>
        <v>615.33799999999997</v>
      </c>
      <c r="E588" s="10">
        <f t="shared" si="37"/>
        <v>-1.4539962877372116E-2</v>
      </c>
      <c r="F588" s="9">
        <f>'NIPPON INDIA '!B588</f>
        <v>241.56399999999999</v>
      </c>
      <c r="G588" s="10">
        <f t="shared" si="38"/>
        <v>-6.3715227075475458E-3</v>
      </c>
      <c r="H588" s="9">
        <f>'NIFTY500 TRI'!B588</f>
        <v>31627.67</v>
      </c>
      <c r="I588" s="10">
        <f t="shared" si="39"/>
        <v>-5.7834158240771287E-3</v>
      </c>
    </row>
    <row r="589" spans="1:9" ht="14.25" customHeight="1" x14ac:dyDescent="0.3">
      <c r="A589" s="8">
        <f>'ICICI PRUDENTIAL MULTICAP FUND'!A589</f>
        <v>45362</v>
      </c>
      <c r="B589" s="9">
        <f>'ICICI PRUDENTIAL MULTICAP FUND'!B589</f>
        <v>671.68</v>
      </c>
      <c r="C589" s="10">
        <f t="shared" si="36"/>
        <v>-7.4183537756762159E-3</v>
      </c>
      <c r="D589" s="9">
        <f>'QUANT ACTIVE FUND'!B589</f>
        <v>624.41700000000003</v>
      </c>
      <c r="E589" s="10">
        <f t="shared" si="37"/>
        <v>-1.175448370167323E-2</v>
      </c>
      <c r="F589" s="9">
        <f>'NIPPON INDIA '!B589</f>
        <v>243.113</v>
      </c>
      <c r="G589" s="10">
        <f t="shared" si="38"/>
        <v>-6.164638358930794E-3</v>
      </c>
      <c r="H589" s="9">
        <f>'NIFTY500 TRI'!B589</f>
        <v>31811.65</v>
      </c>
      <c r="I589" s="10">
        <f t="shared" si="39"/>
        <v>-7.1462412400258649E-3</v>
      </c>
    </row>
    <row r="590" spans="1:9" ht="14.25" customHeight="1" x14ac:dyDescent="0.3">
      <c r="A590" s="8">
        <f>'ICICI PRUDENTIAL MULTICAP FUND'!A590</f>
        <v>45358</v>
      </c>
      <c r="B590" s="9">
        <f>'ICICI PRUDENTIAL MULTICAP FUND'!B590</f>
        <v>676.7</v>
      </c>
      <c r="C590" s="10">
        <f t="shared" si="36"/>
        <v>2.221563981042654E-3</v>
      </c>
      <c r="D590" s="9">
        <f>'QUANT ACTIVE FUND'!B590</f>
        <v>631.84400000000005</v>
      </c>
      <c r="E590" s="10">
        <f t="shared" si="37"/>
        <v>5.0663396213210324E-3</v>
      </c>
      <c r="F590" s="9">
        <f>'NIPPON INDIA '!B590</f>
        <v>244.62100000000001</v>
      </c>
      <c r="G590" s="10">
        <f t="shared" si="38"/>
        <v>6.5423752525398133E-3</v>
      </c>
      <c r="H590" s="9">
        <f>'NIFTY500 TRI'!B590</f>
        <v>32040.62</v>
      </c>
      <c r="I590" s="10">
        <f t="shared" si="39"/>
        <v>2.7135959261323302E-3</v>
      </c>
    </row>
    <row r="591" spans="1:9" ht="14.25" customHeight="1" x14ac:dyDescent="0.3">
      <c r="A591" s="8">
        <f>'ICICI PRUDENTIAL MULTICAP FUND'!A591</f>
        <v>45357</v>
      </c>
      <c r="B591" s="9">
        <f>'ICICI PRUDENTIAL MULTICAP FUND'!B591</f>
        <v>675.2</v>
      </c>
      <c r="C591" s="10">
        <f t="shared" si="36"/>
        <v>-2.4525012557987886E-3</v>
      </c>
      <c r="D591" s="9">
        <f>'QUANT ACTIVE FUND'!B591</f>
        <v>628.65899999999999</v>
      </c>
      <c r="E591" s="10">
        <f t="shared" si="37"/>
        <v>-8.2412684990764012E-3</v>
      </c>
      <c r="F591" s="9">
        <f>'NIPPON INDIA '!B591</f>
        <v>243.03100000000001</v>
      </c>
      <c r="G591" s="10">
        <f t="shared" si="38"/>
        <v>-3.5057362866256765E-3</v>
      </c>
      <c r="H591" s="9">
        <f>'NIFTY500 TRI'!B591</f>
        <v>31953.91</v>
      </c>
      <c r="I591" s="10">
        <f t="shared" si="39"/>
        <v>-9.9821322961053739E-5</v>
      </c>
    </row>
    <row r="592" spans="1:9" ht="14.25" customHeight="1" x14ac:dyDescent="0.3">
      <c r="A592" s="8">
        <f>'ICICI PRUDENTIAL MULTICAP FUND'!A592</f>
        <v>45356</v>
      </c>
      <c r="B592" s="9">
        <f>'ICICI PRUDENTIAL MULTICAP FUND'!B592</f>
        <v>676.86</v>
      </c>
      <c r="C592" s="10">
        <f t="shared" si="36"/>
        <v>-2.2156245845700545E-4</v>
      </c>
      <c r="D592" s="9">
        <f>'QUANT ACTIVE FUND'!B592</f>
        <v>633.88300000000004</v>
      </c>
      <c r="E592" s="10">
        <f t="shared" si="37"/>
        <v>-4.0943362728970874E-3</v>
      </c>
      <c r="F592" s="9">
        <f>'NIPPON INDIA '!B592</f>
        <v>243.886</v>
      </c>
      <c r="G592" s="10">
        <f t="shared" si="38"/>
        <v>-2.8283904818518507E-4</v>
      </c>
      <c r="H592" s="9">
        <f>'NIFTY500 TRI'!B592</f>
        <v>31957.1</v>
      </c>
      <c r="I592" s="10">
        <f t="shared" si="39"/>
        <v>-2.4475964328334356E-3</v>
      </c>
    </row>
    <row r="593" spans="1:9" ht="14.25" customHeight="1" x14ac:dyDescent="0.3">
      <c r="A593" s="8">
        <f>'ICICI PRUDENTIAL MULTICAP FUND'!A593</f>
        <v>45355</v>
      </c>
      <c r="B593" s="9">
        <f>'ICICI PRUDENTIAL MULTICAP FUND'!B593</f>
        <v>677.01</v>
      </c>
      <c r="C593" s="10">
        <f t="shared" si="36"/>
        <v>2.9777777777777641E-3</v>
      </c>
      <c r="D593" s="9">
        <f>'QUANT ACTIVE FUND'!B593</f>
        <v>636.48900000000003</v>
      </c>
      <c r="E593" s="10">
        <f t="shared" si="37"/>
        <v>1.7374792005997265E-2</v>
      </c>
      <c r="F593" s="9">
        <f>'NIPPON INDIA '!B593</f>
        <v>243.95500000000001</v>
      </c>
      <c r="G593" s="10">
        <f t="shared" si="38"/>
        <v>4.3268122385799173E-3</v>
      </c>
      <c r="H593" s="9">
        <f>'NIFTY500 TRI'!B593</f>
        <v>32035.51</v>
      </c>
      <c r="I593" s="10">
        <f t="shared" si="39"/>
        <v>4.0408592835708699E-3</v>
      </c>
    </row>
    <row r="594" spans="1:9" ht="14.25" customHeight="1" x14ac:dyDescent="0.3">
      <c r="A594" s="8">
        <f>'ICICI PRUDENTIAL MULTICAP FUND'!A594</f>
        <v>45352</v>
      </c>
      <c r="B594" s="9">
        <f>'ICICI PRUDENTIAL MULTICAP FUND'!B594</f>
        <v>675</v>
      </c>
      <c r="C594" s="10">
        <f t="shared" si="36"/>
        <v>9.9649878804200977E-3</v>
      </c>
      <c r="D594" s="9">
        <f>'QUANT ACTIVE FUND'!B594</f>
        <v>625.61900000000003</v>
      </c>
      <c r="E594" s="10">
        <f t="shared" si="37"/>
        <v>1.344359489405815E-2</v>
      </c>
      <c r="F594" s="9">
        <f>'NIPPON INDIA '!B594</f>
        <v>242.904</v>
      </c>
      <c r="G594" s="10">
        <f t="shared" si="38"/>
        <v>1.1370970092391712E-2</v>
      </c>
      <c r="H594" s="9">
        <f>'NIFTY500 TRI'!B594</f>
        <v>31906.58</v>
      </c>
      <c r="I594" s="10">
        <f t="shared" si="39"/>
        <v>1.2929489566596869E-2</v>
      </c>
    </row>
    <row r="595" spans="1:9" ht="14.25" customHeight="1" x14ac:dyDescent="0.3">
      <c r="A595" s="8">
        <f>'ICICI PRUDENTIAL MULTICAP FUND'!A595</f>
        <v>45351</v>
      </c>
      <c r="B595" s="9">
        <f>'ICICI PRUDENTIAL MULTICAP FUND'!B595</f>
        <v>668.34</v>
      </c>
      <c r="C595" s="10">
        <f t="shared" si="36"/>
        <v>2.1592442645075043E-3</v>
      </c>
      <c r="D595" s="9">
        <f>'QUANT ACTIVE FUND'!B595</f>
        <v>617.32000000000005</v>
      </c>
      <c r="E595" s="10">
        <f t="shared" si="37"/>
        <v>7.4368067262547124E-3</v>
      </c>
      <c r="F595" s="9">
        <f>'NIPPON INDIA '!B595</f>
        <v>240.173</v>
      </c>
      <c r="G595" s="10">
        <f t="shared" si="38"/>
        <v>4.6053071877927947E-3</v>
      </c>
      <c r="H595" s="9">
        <f>'NIFTY500 TRI'!B595</f>
        <v>31499.31</v>
      </c>
      <c r="I595" s="10">
        <f t="shared" si="39"/>
        <v>3.4794420786943003E-3</v>
      </c>
    </row>
    <row r="596" spans="1:9" ht="14.25" customHeight="1" x14ac:dyDescent="0.3">
      <c r="A596" s="8">
        <f>'ICICI PRUDENTIAL MULTICAP FUND'!A596</f>
        <v>45350</v>
      </c>
      <c r="B596" s="9">
        <f>'ICICI PRUDENTIAL MULTICAP FUND'!B596</f>
        <v>666.9</v>
      </c>
      <c r="C596" s="10">
        <f t="shared" si="36"/>
        <v>-1.357827476038348E-2</v>
      </c>
      <c r="D596" s="9">
        <f>'QUANT ACTIVE FUND'!B596</f>
        <v>612.76300000000003</v>
      </c>
      <c r="E596" s="10">
        <f t="shared" si="37"/>
        <v>-1.7143287924792788E-2</v>
      </c>
      <c r="F596" s="9">
        <f>'NIPPON INDIA '!B596</f>
        <v>239.072</v>
      </c>
      <c r="G596" s="10">
        <f t="shared" si="38"/>
        <v>-9.0074405687164578E-3</v>
      </c>
      <c r="H596" s="9">
        <f>'NIFTY500 TRI'!B596</f>
        <v>31390.09</v>
      </c>
      <c r="I596" s="10">
        <f t="shared" si="39"/>
        <v>-1.3426972118941555E-2</v>
      </c>
    </row>
    <row r="597" spans="1:9" ht="14.25" customHeight="1" x14ac:dyDescent="0.3">
      <c r="A597" s="8">
        <f>'ICICI PRUDENTIAL MULTICAP FUND'!A597</f>
        <v>45349</v>
      </c>
      <c r="B597" s="9">
        <f>'ICICI PRUDENTIAL MULTICAP FUND'!B597</f>
        <v>676.08</v>
      </c>
      <c r="C597" s="10">
        <f t="shared" si="36"/>
        <v>2.8182384526388962E-3</v>
      </c>
      <c r="D597" s="9">
        <f>'QUANT ACTIVE FUND'!B597</f>
        <v>623.45100000000002</v>
      </c>
      <c r="E597" s="10">
        <f t="shared" si="37"/>
        <v>-5.3842693187583154E-3</v>
      </c>
      <c r="F597" s="9">
        <f>'NIPPON INDIA '!B597</f>
        <v>241.245</v>
      </c>
      <c r="G597" s="10">
        <f t="shared" si="38"/>
        <v>9.9582996203402053E-4</v>
      </c>
      <c r="H597" s="9">
        <f>'NIFTY500 TRI'!B597</f>
        <v>31817.3</v>
      </c>
      <c r="I597" s="10">
        <f t="shared" si="39"/>
        <v>1.828444833202811E-3</v>
      </c>
    </row>
    <row r="598" spans="1:9" ht="14.25" customHeight="1" x14ac:dyDescent="0.3">
      <c r="A598" s="8">
        <f>'ICICI PRUDENTIAL MULTICAP FUND'!A598</f>
        <v>45348</v>
      </c>
      <c r="B598" s="9">
        <f>'ICICI PRUDENTIAL MULTICAP FUND'!B598</f>
        <v>674.18</v>
      </c>
      <c r="C598" s="10">
        <f t="shared" si="36"/>
        <v>-4.0624584521294672E-3</v>
      </c>
      <c r="D598" s="9">
        <f>'QUANT ACTIVE FUND'!B598</f>
        <v>626.82600000000002</v>
      </c>
      <c r="E598" s="10">
        <f t="shared" si="37"/>
        <v>-4.9654419211560353E-3</v>
      </c>
      <c r="F598" s="9">
        <f>'NIPPON INDIA '!B598</f>
        <v>241.005</v>
      </c>
      <c r="G598" s="10">
        <f t="shared" si="38"/>
        <v>-1.5122011849028839E-3</v>
      </c>
      <c r="H598" s="9">
        <f>'NIFTY500 TRI'!B598</f>
        <v>31759.23</v>
      </c>
      <c r="I598" s="10">
        <f t="shared" si="39"/>
        <v>-2.8380244411079134E-3</v>
      </c>
    </row>
    <row r="599" spans="1:9" ht="14.25" customHeight="1" x14ac:dyDescent="0.3">
      <c r="A599" s="8">
        <f>'ICICI PRUDENTIAL MULTICAP FUND'!A599</f>
        <v>45345</v>
      </c>
      <c r="B599" s="9">
        <f>'ICICI PRUDENTIAL MULTICAP FUND'!B599</f>
        <v>676.93</v>
      </c>
      <c r="C599" s="10">
        <f t="shared" si="36"/>
        <v>5.9125242043956262E-4</v>
      </c>
      <c r="D599" s="9">
        <f>'QUANT ACTIVE FUND'!B599</f>
        <v>629.95399999999995</v>
      </c>
      <c r="E599" s="10">
        <f t="shared" si="37"/>
        <v>3.8771610830553764E-3</v>
      </c>
      <c r="F599" s="9">
        <f>'NIPPON INDIA '!B599</f>
        <v>241.37</v>
      </c>
      <c r="G599" s="10">
        <f t="shared" si="38"/>
        <v>3.1919934165135812E-3</v>
      </c>
      <c r="H599" s="9">
        <f>'NIFTY500 TRI'!B599</f>
        <v>31849.62</v>
      </c>
      <c r="I599" s="10">
        <f t="shared" si="39"/>
        <v>1.4851085091403371E-3</v>
      </c>
    </row>
    <row r="600" spans="1:9" ht="14.25" customHeight="1" x14ac:dyDescent="0.3">
      <c r="A600" s="8">
        <f>'ICICI PRUDENTIAL MULTICAP FUND'!A600</f>
        <v>45344</v>
      </c>
      <c r="B600" s="9">
        <f>'ICICI PRUDENTIAL MULTICAP FUND'!B600</f>
        <v>676.53</v>
      </c>
      <c r="C600" s="10">
        <f t="shared" si="36"/>
        <v>7.715796529381023E-3</v>
      </c>
      <c r="D600" s="9">
        <f>'QUANT ACTIVE FUND'!B600</f>
        <v>627.52099999999996</v>
      </c>
      <c r="E600" s="10">
        <f t="shared" si="37"/>
        <v>1.4357323091495925E-2</v>
      </c>
      <c r="F600" s="9">
        <f>'NIPPON INDIA '!B600</f>
        <v>240.602</v>
      </c>
      <c r="G600" s="10">
        <f t="shared" si="38"/>
        <v>4.0353036910301624E-3</v>
      </c>
      <c r="H600" s="9">
        <f>'NIFTY500 TRI'!B600</f>
        <v>31802.39</v>
      </c>
      <c r="I600" s="10">
        <f t="shared" si="39"/>
        <v>7.7588430530389418E-3</v>
      </c>
    </row>
    <row r="601" spans="1:9" ht="14.25" customHeight="1" x14ac:dyDescent="0.3">
      <c r="A601" s="8">
        <f>'ICICI PRUDENTIAL MULTICAP FUND'!A601</f>
        <v>45343</v>
      </c>
      <c r="B601" s="9">
        <f>'ICICI PRUDENTIAL MULTICAP FUND'!B601</f>
        <v>671.35</v>
      </c>
      <c r="C601" s="10">
        <f t="shared" si="36"/>
        <v>-7.78871449262508E-3</v>
      </c>
      <c r="D601" s="9">
        <f>'QUANT ACTIVE FUND'!B601</f>
        <v>618.63900000000001</v>
      </c>
      <c r="E601" s="10">
        <f t="shared" si="37"/>
        <v>-8.11129745485791E-3</v>
      </c>
      <c r="F601" s="9">
        <f>'NIPPON INDIA '!B601</f>
        <v>239.63499999999999</v>
      </c>
      <c r="G601" s="10">
        <f t="shared" si="38"/>
        <v>-6.3854047890536765E-3</v>
      </c>
      <c r="H601" s="9">
        <f>'NIFTY500 TRI'!B601</f>
        <v>31557.54</v>
      </c>
      <c r="I601" s="10">
        <f t="shared" si="39"/>
        <v>-7.0515533334487221E-3</v>
      </c>
    </row>
    <row r="602" spans="1:9" ht="14.25" customHeight="1" x14ac:dyDescent="0.3">
      <c r="A602" s="8">
        <f>'ICICI PRUDENTIAL MULTICAP FUND'!A602</f>
        <v>45342</v>
      </c>
      <c r="B602" s="9">
        <f>'ICICI PRUDENTIAL MULTICAP FUND'!B602</f>
        <v>676.62</v>
      </c>
      <c r="C602" s="10">
        <f t="shared" si="36"/>
        <v>-1.2399256044637792E-3</v>
      </c>
      <c r="D602" s="9">
        <f>'QUANT ACTIVE FUND'!B602</f>
        <v>623.69799999999998</v>
      </c>
      <c r="E602" s="10">
        <f t="shared" si="37"/>
        <v>4.6037044582151196E-4</v>
      </c>
      <c r="F602" s="9">
        <f>'NIPPON INDIA '!B602</f>
        <v>241.17500000000001</v>
      </c>
      <c r="G602" s="10">
        <f t="shared" si="38"/>
        <v>1.3119709041389464E-3</v>
      </c>
      <c r="H602" s="9">
        <f>'NIFTY500 TRI'!B602</f>
        <v>31781.65</v>
      </c>
      <c r="I602" s="10">
        <f t="shared" si="39"/>
        <v>1.6688361010694017E-3</v>
      </c>
    </row>
    <row r="603" spans="1:9" ht="14.25" customHeight="1" x14ac:dyDescent="0.3">
      <c r="A603" s="8">
        <f>'ICICI PRUDENTIAL MULTICAP FUND'!A603</f>
        <v>45341</v>
      </c>
      <c r="B603" s="9">
        <f>'ICICI PRUDENTIAL MULTICAP FUND'!B603</f>
        <v>677.46</v>
      </c>
      <c r="C603" s="10">
        <f t="shared" si="36"/>
        <v>7.5852222023916095E-3</v>
      </c>
      <c r="D603" s="9">
        <f>'QUANT ACTIVE FUND'!B603</f>
        <v>623.41099999999994</v>
      </c>
      <c r="E603" s="10">
        <f t="shared" si="37"/>
        <v>7.4450068196068074E-3</v>
      </c>
      <c r="F603" s="9">
        <f>'NIPPON INDIA '!B603</f>
        <v>240.85900000000001</v>
      </c>
      <c r="G603" s="10">
        <f t="shared" si="38"/>
        <v>2.8186958223348165E-3</v>
      </c>
      <c r="H603" s="9">
        <f>'NIFTY500 TRI'!B603</f>
        <v>31728.7</v>
      </c>
      <c r="I603" s="10">
        <f t="shared" si="39"/>
        <v>3.7783219922510164E-3</v>
      </c>
    </row>
    <row r="604" spans="1:9" ht="14.25" customHeight="1" x14ac:dyDescent="0.3">
      <c r="A604" s="8">
        <f>'ICICI PRUDENTIAL MULTICAP FUND'!A604</f>
        <v>45338</v>
      </c>
      <c r="B604" s="9">
        <f>'ICICI PRUDENTIAL MULTICAP FUND'!B604</f>
        <v>672.36</v>
      </c>
      <c r="C604" s="10">
        <f t="shared" si="36"/>
        <v>8.2324890908273118E-3</v>
      </c>
      <c r="D604" s="9">
        <f>'QUANT ACTIVE FUND'!B604</f>
        <v>618.80399999999997</v>
      </c>
      <c r="E604" s="10">
        <f t="shared" si="37"/>
        <v>3.2717992950553826E-3</v>
      </c>
      <c r="F604" s="9">
        <f>'NIPPON INDIA '!B604</f>
        <v>240.18199999999999</v>
      </c>
      <c r="G604" s="10">
        <f t="shared" si="38"/>
        <v>3.9584508955628327E-3</v>
      </c>
      <c r="H604" s="9">
        <f>'NIFTY500 TRI'!B604</f>
        <v>31609.27</v>
      </c>
      <c r="I604" s="10">
        <f t="shared" si="39"/>
        <v>6.5450823835258064E-3</v>
      </c>
    </row>
    <row r="605" spans="1:9" ht="14.25" customHeight="1" x14ac:dyDescent="0.3">
      <c r="A605" s="8">
        <f>'ICICI PRUDENTIAL MULTICAP FUND'!A605</f>
        <v>45337</v>
      </c>
      <c r="B605" s="9">
        <f>'ICICI PRUDENTIAL MULTICAP FUND'!B605</f>
        <v>666.87</v>
      </c>
      <c r="C605" s="10">
        <f t="shared" si="36"/>
        <v>9.5677844220725915E-3</v>
      </c>
      <c r="D605" s="9">
        <f>'QUANT ACTIVE FUND'!B605</f>
        <v>616.78599999999994</v>
      </c>
      <c r="E605" s="10">
        <f t="shared" si="37"/>
        <v>1.0226978651755186E-2</v>
      </c>
      <c r="F605" s="9">
        <f>'NIPPON INDIA '!B605</f>
        <v>239.23500000000001</v>
      </c>
      <c r="G605" s="10">
        <f t="shared" si="38"/>
        <v>3.9657560115826159E-3</v>
      </c>
      <c r="H605" s="9">
        <f>'NIFTY500 TRI'!B605</f>
        <v>31403.73</v>
      </c>
      <c r="I605" s="10">
        <f t="shared" si="39"/>
        <v>5.9056303524479357E-3</v>
      </c>
    </row>
    <row r="606" spans="1:9" ht="14.25" customHeight="1" x14ac:dyDescent="0.3">
      <c r="A606" s="8">
        <f>'ICICI PRUDENTIAL MULTICAP FUND'!A606</f>
        <v>45336</v>
      </c>
      <c r="B606" s="9">
        <f>'ICICI PRUDENTIAL MULTICAP FUND'!B606</f>
        <v>660.55</v>
      </c>
      <c r="C606" s="10">
        <f t="shared" si="36"/>
        <v>7.8424192490196779E-3</v>
      </c>
      <c r="D606" s="9">
        <f>'QUANT ACTIVE FUND'!B606</f>
        <v>610.54200000000003</v>
      </c>
      <c r="E606" s="10">
        <f t="shared" si="37"/>
        <v>1.4047873718617475E-2</v>
      </c>
      <c r="F606" s="9">
        <f>'NIPPON INDIA '!B606</f>
        <v>238.29</v>
      </c>
      <c r="G606" s="10">
        <f t="shared" si="38"/>
        <v>6.479244454205983E-3</v>
      </c>
      <c r="H606" s="9">
        <f>'NIFTY500 TRI'!B606</f>
        <v>31219.360000000001</v>
      </c>
      <c r="I606" s="10">
        <f t="shared" si="39"/>
        <v>7.0514400292122576E-3</v>
      </c>
    </row>
    <row r="607" spans="1:9" ht="14.25" customHeight="1" x14ac:dyDescent="0.3">
      <c r="A607" s="8">
        <f>'ICICI PRUDENTIAL MULTICAP FUND'!A607</f>
        <v>45335</v>
      </c>
      <c r="B607" s="9">
        <f>'ICICI PRUDENTIAL MULTICAP FUND'!B607</f>
        <v>655.41</v>
      </c>
      <c r="C607" s="10">
        <f t="shared" si="36"/>
        <v>3.9058910026651267E-3</v>
      </c>
      <c r="D607" s="9">
        <f>'QUANT ACTIVE FUND'!B607</f>
        <v>602.08399999999995</v>
      </c>
      <c r="E607" s="10">
        <f t="shared" si="37"/>
        <v>1.3221595605440296E-3</v>
      </c>
      <c r="F607" s="9">
        <f>'NIPPON INDIA '!B607</f>
        <v>236.756</v>
      </c>
      <c r="G607" s="10">
        <f t="shared" si="38"/>
        <v>4.5825625010608318E-3</v>
      </c>
      <c r="H607" s="9">
        <f>'NIFTY500 TRI'!B607</f>
        <v>31000.76</v>
      </c>
      <c r="I607" s="10">
        <f t="shared" si="39"/>
        <v>5.4797301877508031E-3</v>
      </c>
    </row>
    <row r="608" spans="1:9" ht="14.25" customHeight="1" x14ac:dyDescent="0.3">
      <c r="A608" s="8">
        <f>'ICICI PRUDENTIAL MULTICAP FUND'!A608</f>
        <v>45334</v>
      </c>
      <c r="B608" s="9">
        <f>'ICICI PRUDENTIAL MULTICAP FUND'!B608</f>
        <v>652.86</v>
      </c>
      <c r="C608" s="10">
        <f t="shared" si="36"/>
        <v>-1.5264412199463036E-2</v>
      </c>
      <c r="D608" s="9">
        <f>'QUANT ACTIVE FUND'!B608</f>
        <v>601.28899999999999</v>
      </c>
      <c r="E608" s="10">
        <f t="shared" si="37"/>
        <v>-2.8820948003094732E-2</v>
      </c>
      <c r="F608" s="9">
        <f>'NIPPON INDIA '!B608</f>
        <v>235.67599999999999</v>
      </c>
      <c r="G608" s="10">
        <f t="shared" si="38"/>
        <v>-1.7439412321405581E-2</v>
      </c>
      <c r="H608" s="9">
        <f>'NIFTY500 TRI'!B608</f>
        <v>30831.81</v>
      </c>
      <c r="I608" s="10">
        <f t="shared" si="39"/>
        <v>-1.4318241107325873E-2</v>
      </c>
    </row>
    <row r="609" spans="1:9" ht="14.25" customHeight="1" x14ac:dyDescent="0.3">
      <c r="A609" s="8">
        <f>'ICICI PRUDENTIAL MULTICAP FUND'!A609</f>
        <v>45331</v>
      </c>
      <c r="B609" s="9">
        <f>'ICICI PRUDENTIAL MULTICAP FUND'!B609</f>
        <v>662.98</v>
      </c>
      <c r="C609" s="10">
        <f t="shared" si="36"/>
        <v>-5.4270811348631717E-4</v>
      </c>
      <c r="D609" s="9">
        <f>'QUANT ACTIVE FUND'!B609</f>
        <v>619.13300000000004</v>
      </c>
      <c r="E609" s="10">
        <f t="shared" si="37"/>
        <v>-9.8307958034799369E-3</v>
      </c>
      <c r="F609" s="9">
        <f>'NIPPON INDIA '!B609</f>
        <v>239.85900000000001</v>
      </c>
      <c r="G609" s="10">
        <f t="shared" si="38"/>
        <v>-3.0217884664943255E-3</v>
      </c>
      <c r="H609" s="9">
        <f>'NIFTY500 TRI'!B609</f>
        <v>31279.68</v>
      </c>
      <c r="I609" s="10">
        <f t="shared" si="39"/>
        <v>-1.2101829068530024E-3</v>
      </c>
    </row>
    <row r="610" spans="1:9" ht="14.25" customHeight="1" x14ac:dyDescent="0.3">
      <c r="A610" s="8">
        <f>'ICICI PRUDENTIAL MULTICAP FUND'!A610</f>
        <v>45330</v>
      </c>
      <c r="B610" s="9">
        <f>'ICICI PRUDENTIAL MULTICAP FUND'!B610</f>
        <v>663.34</v>
      </c>
      <c r="C610" s="10">
        <f t="shared" si="36"/>
        <v>-2.7361837753321554E-3</v>
      </c>
      <c r="D610" s="9">
        <f>'QUANT ACTIVE FUND'!B610</f>
        <v>625.28</v>
      </c>
      <c r="E610" s="10">
        <f t="shared" si="37"/>
        <v>4.0478251339530778E-4</v>
      </c>
      <c r="F610" s="9">
        <f>'NIPPON INDIA '!B610</f>
        <v>240.58600000000001</v>
      </c>
      <c r="G610" s="10">
        <f t="shared" si="38"/>
        <v>-4.213506398900683E-3</v>
      </c>
      <c r="H610" s="9">
        <f>'NIFTY500 TRI'!B610</f>
        <v>31317.58</v>
      </c>
      <c r="I610" s="10">
        <f t="shared" si="39"/>
        <v>-5.7008350599450511E-3</v>
      </c>
    </row>
    <row r="611" spans="1:9" ht="14.25" customHeight="1" x14ac:dyDescent="0.3">
      <c r="A611" s="8">
        <f>'ICICI PRUDENTIAL MULTICAP FUND'!A611</f>
        <v>45329</v>
      </c>
      <c r="B611" s="9">
        <f>'ICICI PRUDENTIAL MULTICAP FUND'!B611</f>
        <v>665.16</v>
      </c>
      <c r="C611" s="10">
        <f t="shared" si="36"/>
        <v>3.5303702362631151E-3</v>
      </c>
      <c r="D611" s="9">
        <f>'QUANT ACTIVE FUND'!B611</f>
        <v>625.02700000000004</v>
      </c>
      <c r="E611" s="10">
        <f t="shared" si="37"/>
        <v>9.6408696000334576E-4</v>
      </c>
      <c r="F611" s="9">
        <f>'NIPPON INDIA '!B611</f>
        <v>241.60400000000001</v>
      </c>
      <c r="G611" s="10">
        <f t="shared" si="38"/>
        <v>1.6082092690722569E-2</v>
      </c>
      <c r="H611" s="9">
        <f>'NIFTY500 TRI'!B611</f>
        <v>31497.14</v>
      </c>
      <c r="I611" s="10">
        <f t="shared" si="39"/>
        <v>3.7962879748307567E-3</v>
      </c>
    </row>
    <row r="612" spans="1:9" ht="14.25" customHeight="1" x14ac:dyDescent="0.3">
      <c r="A612" s="8">
        <f>'ICICI PRUDENTIAL MULTICAP FUND'!A612</f>
        <v>45328</v>
      </c>
      <c r="B612" s="9">
        <f>'ICICI PRUDENTIAL MULTICAP FUND'!B612</f>
        <v>662.82</v>
      </c>
      <c r="C612" s="10">
        <f t="shared" si="36"/>
        <v>1.1290470232827945E-2</v>
      </c>
      <c r="D612" s="9">
        <f>'QUANT ACTIVE FUND'!B612</f>
        <v>624.42499999999995</v>
      </c>
      <c r="E612" s="10">
        <f t="shared" si="37"/>
        <v>9.6547196719562068E-3</v>
      </c>
      <c r="F612" s="9">
        <f>'NIPPON INDIA '!B612</f>
        <v>237.78</v>
      </c>
      <c r="G612" s="10">
        <f t="shared" si="38"/>
        <v>1.1907295026853129E-2</v>
      </c>
      <c r="H612" s="9">
        <f>'NIFTY500 TRI'!B612</f>
        <v>31378.02</v>
      </c>
      <c r="I612" s="10">
        <f t="shared" si="39"/>
        <v>9.1702636840770031E-3</v>
      </c>
    </row>
    <row r="613" spans="1:9" ht="14.25" customHeight="1" x14ac:dyDescent="0.3">
      <c r="A613" s="8">
        <f>'ICICI PRUDENTIAL MULTICAP FUND'!A613</f>
        <v>45327</v>
      </c>
      <c r="B613" s="9">
        <f>'ICICI PRUDENTIAL MULTICAP FUND'!B613</f>
        <v>655.42</v>
      </c>
      <c r="C613" s="10">
        <f t="shared" si="36"/>
        <v>-1.8579434697856166E-3</v>
      </c>
      <c r="D613" s="9">
        <f>'QUANT ACTIVE FUND'!B613</f>
        <v>618.45399999999995</v>
      </c>
      <c r="E613" s="10">
        <f t="shared" si="37"/>
        <v>5.7192850649740367E-3</v>
      </c>
      <c r="F613" s="9">
        <f>'NIPPON INDIA '!B613</f>
        <v>234.982</v>
      </c>
      <c r="G613" s="10">
        <f t="shared" si="38"/>
        <v>-2.0173534870485663E-3</v>
      </c>
      <c r="H613" s="9">
        <f>'NIFTY500 TRI'!B613</f>
        <v>31092.89</v>
      </c>
      <c r="I613" s="10">
        <f t="shared" si="39"/>
        <v>-2.8558197469432394E-3</v>
      </c>
    </row>
    <row r="614" spans="1:9" ht="14.25" customHeight="1" x14ac:dyDescent="0.3">
      <c r="A614" s="8">
        <f>'ICICI PRUDENTIAL MULTICAP FUND'!A614</f>
        <v>45324</v>
      </c>
      <c r="B614" s="9">
        <f>'ICICI PRUDENTIAL MULTICAP FUND'!B614</f>
        <v>656.64</v>
      </c>
      <c r="C614" s="10">
        <f t="shared" si="36"/>
        <v>8.8650575383716901E-3</v>
      </c>
      <c r="D614" s="9">
        <f>'QUANT ACTIVE FUND'!B614</f>
        <v>614.93700000000001</v>
      </c>
      <c r="E614" s="10">
        <f t="shared" si="37"/>
        <v>8.8492526368115221E-3</v>
      </c>
      <c r="F614" s="9">
        <f>'NIPPON INDIA '!B614</f>
        <v>235.45699999999999</v>
      </c>
      <c r="G614" s="10">
        <f t="shared" si="38"/>
        <v>2.9006372031212015E-3</v>
      </c>
      <c r="H614" s="9">
        <f>'NIFTY500 TRI'!B614</f>
        <v>31181.94</v>
      </c>
      <c r="I614" s="10">
        <f t="shared" si="39"/>
        <v>6.7601773957334287E-3</v>
      </c>
    </row>
    <row r="615" spans="1:9" ht="14.25" customHeight="1" x14ac:dyDescent="0.3">
      <c r="A615" s="8">
        <f>'ICICI PRUDENTIAL MULTICAP FUND'!A615</f>
        <v>45323</v>
      </c>
      <c r="B615" s="9">
        <f>'ICICI PRUDENTIAL MULTICAP FUND'!B615</f>
        <v>650.87</v>
      </c>
      <c r="C615" s="10">
        <f t="shared" si="36"/>
        <v>-1.9321300967598345E-3</v>
      </c>
      <c r="D615" s="9">
        <f>'QUANT ACTIVE FUND'!B615</f>
        <v>609.54300000000001</v>
      </c>
      <c r="E615" s="10">
        <f t="shared" si="37"/>
        <v>-5.0551710629406828E-3</v>
      </c>
      <c r="F615" s="9">
        <f>'NIPPON INDIA '!B615</f>
        <v>234.77600000000001</v>
      </c>
      <c r="G615" s="10">
        <f t="shared" si="38"/>
        <v>-1.4291061281431162E-3</v>
      </c>
      <c r="H615" s="9">
        <f>'NIFTY500 TRI'!B615</f>
        <v>30972.560000000001</v>
      </c>
      <c r="I615" s="10">
        <f t="shared" si="39"/>
        <v>-1.2450352566509726E-3</v>
      </c>
    </row>
    <row r="616" spans="1:9" ht="14.25" customHeight="1" x14ac:dyDescent="0.3">
      <c r="A616" s="8">
        <f>'ICICI PRUDENTIAL MULTICAP FUND'!A616</f>
        <v>45322</v>
      </c>
      <c r="B616" s="9">
        <f>'ICICI PRUDENTIAL MULTICAP FUND'!B616</f>
        <v>652.13</v>
      </c>
      <c r="C616" s="10">
        <f t="shared" si="36"/>
        <v>1.1571811934788399E-2</v>
      </c>
      <c r="D616" s="9">
        <f>'QUANT ACTIVE FUND'!B616</f>
        <v>612.64</v>
      </c>
      <c r="E616" s="10">
        <f t="shared" si="37"/>
        <v>1.0525204574282562E-2</v>
      </c>
      <c r="F616" s="9">
        <f>'NIPPON INDIA '!B616</f>
        <v>235.11199999999999</v>
      </c>
      <c r="G616" s="10">
        <f t="shared" si="38"/>
        <v>1.2222686235593456E-2</v>
      </c>
      <c r="H616" s="9">
        <f>'NIFTY500 TRI'!B616</f>
        <v>31011.17</v>
      </c>
      <c r="I616" s="10">
        <f t="shared" si="39"/>
        <v>1.164704017140911E-2</v>
      </c>
    </row>
    <row r="617" spans="1:9" ht="14.25" customHeight="1" x14ac:dyDescent="0.3">
      <c r="A617" s="8">
        <f>'ICICI PRUDENTIAL MULTICAP FUND'!A617</f>
        <v>45321</v>
      </c>
      <c r="B617" s="9">
        <f>'ICICI PRUDENTIAL MULTICAP FUND'!B617</f>
        <v>644.66999999999996</v>
      </c>
      <c r="C617" s="10">
        <f t="shared" si="36"/>
        <v>-4.5551403600877756E-3</v>
      </c>
      <c r="D617" s="9">
        <f>'QUANT ACTIVE FUND'!B617</f>
        <v>606.25900000000001</v>
      </c>
      <c r="E617" s="10">
        <f t="shared" si="37"/>
        <v>-6.1981257263424685E-4</v>
      </c>
      <c r="F617" s="9">
        <f>'NIPPON INDIA '!B617</f>
        <v>232.273</v>
      </c>
      <c r="G617" s="10">
        <f t="shared" si="38"/>
        <v>-6.4419815295642478E-3</v>
      </c>
      <c r="H617" s="9">
        <f>'NIFTY500 TRI'!B617</f>
        <v>30654.14</v>
      </c>
      <c r="I617" s="10">
        <f t="shared" si="39"/>
        <v>-6.9561989149586482E-3</v>
      </c>
    </row>
    <row r="618" spans="1:9" ht="14.25" customHeight="1" x14ac:dyDescent="0.3">
      <c r="A618" s="8">
        <f>'ICICI PRUDENTIAL MULTICAP FUND'!A618</f>
        <v>45320</v>
      </c>
      <c r="B618" s="9">
        <f>'ICICI PRUDENTIAL MULTICAP FUND'!B618</f>
        <v>647.62</v>
      </c>
      <c r="C618" s="10">
        <f t="shared" si="36"/>
        <v>1.3537411772070639E-2</v>
      </c>
      <c r="D618" s="9">
        <f>'QUANT ACTIVE FUND'!B618</f>
        <v>606.63499999999999</v>
      </c>
      <c r="E618" s="10">
        <f t="shared" si="37"/>
        <v>2.2246824831109829E-2</v>
      </c>
      <c r="F618" s="9">
        <f>'NIPPON INDIA '!B618</f>
        <v>233.779</v>
      </c>
      <c r="G618" s="10">
        <f t="shared" si="38"/>
        <v>1.4498476813719996E-2</v>
      </c>
      <c r="H618" s="9">
        <f>'NIFTY500 TRI'!B618</f>
        <v>30868.87</v>
      </c>
      <c r="I618" s="10">
        <f t="shared" si="39"/>
        <v>1.6440129748211907E-2</v>
      </c>
    </row>
    <row r="619" spans="1:9" ht="14.25" customHeight="1" x14ac:dyDescent="0.3">
      <c r="A619" s="8">
        <f>'ICICI PRUDENTIAL MULTICAP FUND'!A619</f>
        <v>45316</v>
      </c>
      <c r="B619" s="9">
        <f>'ICICI PRUDENTIAL MULTICAP FUND'!B619</f>
        <v>638.97</v>
      </c>
      <c r="C619" s="10">
        <f t="shared" si="36"/>
        <v>-1.7653491641930878E-3</v>
      </c>
      <c r="D619" s="9">
        <f>'QUANT ACTIVE FUND'!B619</f>
        <v>593.43299999999999</v>
      </c>
      <c r="E619" s="10">
        <f t="shared" si="37"/>
        <v>7.0322032143820866E-3</v>
      </c>
      <c r="F619" s="9">
        <f>'NIPPON INDIA '!B619</f>
        <v>230.43799999999999</v>
      </c>
      <c r="G619" s="10">
        <f t="shared" si="38"/>
        <v>-1.3131606433188106E-3</v>
      </c>
      <c r="H619" s="9">
        <f>'NIFTY500 TRI'!B619</f>
        <v>30369.59</v>
      </c>
      <c r="I619" s="10">
        <f t="shared" si="39"/>
        <v>-2.9756833746823128E-3</v>
      </c>
    </row>
    <row r="620" spans="1:9" ht="14.25" customHeight="1" x14ac:dyDescent="0.3">
      <c r="A620" s="8">
        <f>'ICICI PRUDENTIAL MULTICAP FUND'!A620</f>
        <v>45315</v>
      </c>
      <c r="B620" s="9">
        <f>'ICICI PRUDENTIAL MULTICAP FUND'!B620</f>
        <v>640.1</v>
      </c>
      <c r="C620" s="10">
        <f t="shared" si="36"/>
        <v>-6.549540600943672E-3</v>
      </c>
      <c r="D620" s="9">
        <f>'QUANT ACTIVE FUND'!B620</f>
        <v>589.28899999999999</v>
      </c>
      <c r="E620" s="10">
        <f t="shared" si="37"/>
        <v>-6.107166349024272E-3</v>
      </c>
      <c r="F620" s="9">
        <f>'NIPPON INDIA '!B620</f>
        <v>230.74100000000001</v>
      </c>
      <c r="G620" s="10">
        <f t="shared" si="38"/>
        <v>-1.0158337944909871E-2</v>
      </c>
      <c r="H620" s="9">
        <f>'NIFTY500 TRI'!B620</f>
        <v>30460.23</v>
      </c>
      <c r="I620" s="10">
        <f t="shared" si="39"/>
        <v>-7.9125380213182772E-3</v>
      </c>
    </row>
    <row r="621" spans="1:9" ht="14.25" customHeight="1" x14ac:dyDescent="0.3">
      <c r="A621" s="8">
        <f>'ICICI PRUDENTIAL MULTICAP FUND'!A621</f>
        <v>45310</v>
      </c>
      <c r="B621" s="9">
        <f>'ICICI PRUDENTIAL MULTICAP FUND'!B621</f>
        <v>644.32000000000005</v>
      </c>
      <c r="C621" s="10">
        <f t="shared" si="36"/>
        <v>1.1062814819464384E-2</v>
      </c>
      <c r="D621" s="9">
        <f>'QUANT ACTIVE FUND'!B621</f>
        <v>592.91</v>
      </c>
      <c r="E621" s="10">
        <f t="shared" si="37"/>
        <v>1.3623596225944046E-2</v>
      </c>
      <c r="F621" s="9">
        <f>'NIPPON INDIA '!B621</f>
        <v>233.10900000000001</v>
      </c>
      <c r="G621" s="10">
        <f t="shared" si="38"/>
        <v>1.1261837727156401E-2</v>
      </c>
      <c r="H621" s="9">
        <f>'NIFTY500 TRI'!B621</f>
        <v>30703.17</v>
      </c>
      <c r="I621" s="10">
        <f t="shared" si="39"/>
        <v>1.0129200938697982E-2</v>
      </c>
    </row>
    <row r="622" spans="1:9" ht="14.25" customHeight="1" x14ac:dyDescent="0.3">
      <c r="A622" s="8">
        <f>'ICICI PRUDENTIAL MULTICAP FUND'!A622</f>
        <v>45309</v>
      </c>
      <c r="B622" s="9">
        <f>'ICICI PRUDENTIAL MULTICAP FUND'!B622</f>
        <v>637.27</v>
      </c>
      <c r="C622" s="10">
        <f t="shared" si="36"/>
        <v>-1.2551973013264444E-4</v>
      </c>
      <c r="D622" s="9">
        <f>'QUANT ACTIVE FUND'!B622</f>
        <v>584.94100000000003</v>
      </c>
      <c r="E622" s="10">
        <f t="shared" si="37"/>
        <v>6.4210980903600685E-3</v>
      </c>
      <c r="F622" s="9">
        <f>'NIPPON INDIA '!B622</f>
        <v>230.51300000000001</v>
      </c>
      <c r="G622" s="10">
        <f t="shared" si="38"/>
        <v>-2.6824382498388567E-3</v>
      </c>
      <c r="H622" s="9">
        <f>'NIFTY500 TRI'!B622</f>
        <v>30395.29</v>
      </c>
      <c r="I622" s="10">
        <f t="shared" si="39"/>
        <v>-3.7365667965396769E-3</v>
      </c>
    </row>
    <row r="623" spans="1:9" ht="14.25" customHeight="1" x14ac:dyDescent="0.3">
      <c r="A623" s="8">
        <f>'ICICI PRUDENTIAL MULTICAP FUND'!A623</f>
        <v>45308</v>
      </c>
      <c r="B623" s="9">
        <f>'ICICI PRUDENTIAL MULTICAP FUND'!B623</f>
        <v>637.35</v>
      </c>
      <c r="C623" s="10">
        <f t="shared" si="36"/>
        <v>-1.1845144885967203E-2</v>
      </c>
      <c r="D623" s="9">
        <f>'QUANT ACTIVE FUND'!B623</f>
        <v>581.20899999999995</v>
      </c>
      <c r="E623" s="10">
        <f t="shared" si="37"/>
        <v>-1.2293459179563759E-2</v>
      </c>
      <c r="F623" s="9">
        <f>'NIPPON INDIA '!B623</f>
        <v>231.13300000000001</v>
      </c>
      <c r="G623" s="10">
        <f t="shared" si="38"/>
        <v>-1.72665969369966E-2</v>
      </c>
      <c r="H623" s="9">
        <f>'NIFTY500 TRI'!B623</f>
        <v>30509.29</v>
      </c>
      <c r="I623" s="10">
        <f t="shared" si="39"/>
        <v>-1.7145428814513131E-2</v>
      </c>
    </row>
    <row r="624" spans="1:9" ht="14.25" customHeight="1" x14ac:dyDescent="0.3">
      <c r="A624" s="8">
        <f>'ICICI PRUDENTIAL MULTICAP FUND'!A624</f>
        <v>45307</v>
      </c>
      <c r="B624" s="9">
        <f>'ICICI PRUDENTIAL MULTICAP FUND'!B624</f>
        <v>644.99</v>
      </c>
      <c r="C624" s="10">
        <f t="shared" si="36"/>
        <v>-4.276275163640827E-3</v>
      </c>
      <c r="D624" s="9">
        <f>'QUANT ACTIVE FUND'!B624</f>
        <v>588.44299999999998</v>
      </c>
      <c r="E624" s="10">
        <f t="shared" si="37"/>
        <v>-5.7615657942089813E-3</v>
      </c>
      <c r="F624" s="9">
        <f>'NIPPON INDIA '!B624</f>
        <v>235.19399999999999</v>
      </c>
      <c r="G624" s="10">
        <f t="shared" si="38"/>
        <v>-2.5488241905044597E-3</v>
      </c>
      <c r="H624" s="9">
        <f>'NIFTY500 TRI'!B624</f>
        <v>31041.51</v>
      </c>
      <c r="I624" s="10">
        <f t="shared" si="39"/>
        <v>-2.9165840890060168E-3</v>
      </c>
    </row>
    <row r="625" spans="1:9" ht="14.25" customHeight="1" x14ac:dyDescent="0.3">
      <c r="A625" s="8">
        <f>'ICICI PRUDENTIAL MULTICAP FUND'!A625</f>
        <v>45306</v>
      </c>
      <c r="B625" s="9">
        <f>'ICICI PRUDENTIAL MULTICAP FUND'!B625</f>
        <v>647.76</v>
      </c>
      <c r="C625" s="10">
        <f t="shared" si="36"/>
        <v>7.1208681861998835E-3</v>
      </c>
      <c r="D625" s="9">
        <f>'QUANT ACTIVE FUND'!B625</f>
        <v>591.85299999999995</v>
      </c>
      <c r="E625" s="10">
        <f t="shared" si="37"/>
        <v>8.8896389255382676E-3</v>
      </c>
      <c r="F625" s="9">
        <f>'NIPPON INDIA '!B625</f>
        <v>235.79499999999999</v>
      </c>
      <c r="G625" s="10">
        <f t="shared" si="38"/>
        <v>5.3294676927668466E-3</v>
      </c>
      <c r="H625" s="9">
        <f>'NIFTY500 TRI'!B625</f>
        <v>31132.31</v>
      </c>
      <c r="I625" s="10">
        <f t="shared" si="39"/>
        <v>7.0882364453491416E-3</v>
      </c>
    </row>
    <row r="626" spans="1:9" ht="14.25" customHeight="1" x14ac:dyDescent="0.3">
      <c r="A626" s="8">
        <f>'ICICI PRUDENTIAL MULTICAP FUND'!A626</f>
        <v>45303</v>
      </c>
      <c r="B626" s="9">
        <f>'ICICI PRUDENTIAL MULTICAP FUND'!B626</f>
        <v>643.17999999999995</v>
      </c>
      <c r="C626" s="10">
        <f t="shared" si="36"/>
        <v>6.5257194723086637E-3</v>
      </c>
      <c r="D626" s="9">
        <f>'QUANT ACTIVE FUND'!B626</f>
        <v>586.63800000000003</v>
      </c>
      <c r="E626" s="10">
        <f t="shared" si="37"/>
        <v>5.2435150057062799E-3</v>
      </c>
      <c r="F626" s="9">
        <f>'NIPPON INDIA '!B626</f>
        <v>234.54499999999999</v>
      </c>
      <c r="G626" s="10">
        <f t="shared" si="38"/>
        <v>3.3409763693296548E-3</v>
      </c>
      <c r="H626" s="9">
        <f>'NIFTY500 TRI'!B626</f>
        <v>30913.19</v>
      </c>
      <c r="I626" s="10">
        <f t="shared" si="39"/>
        <v>8.2323411211325959E-3</v>
      </c>
    </row>
    <row r="627" spans="1:9" ht="14.25" customHeight="1" x14ac:dyDescent="0.3">
      <c r="A627" s="8">
        <f>'ICICI PRUDENTIAL MULTICAP FUND'!A627</f>
        <v>45302</v>
      </c>
      <c r="B627" s="9">
        <f>'ICICI PRUDENTIAL MULTICAP FUND'!B627</f>
        <v>639.01</v>
      </c>
      <c r="C627" s="10">
        <f t="shared" si="36"/>
        <v>5.0645653439029045E-3</v>
      </c>
      <c r="D627" s="9">
        <f>'QUANT ACTIVE FUND'!B627</f>
        <v>583.57799999999997</v>
      </c>
      <c r="E627" s="10">
        <f t="shared" si="37"/>
        <v>6.4257776122182888E-3</v>
      </c>
      <c r="F627" s="9">
        <f>'NIPPON INDIA '!B627</f>
        <v>233.76400000000001</v>
      </c>
      <c r="G627" s="10">
        <f t="shared" si="38"/>
        <v>4.9006121466401353E-3</v>
      </c>
      <c r="H627" s="9">
        <f>'NIFTY500 TRI'!B627</f>
        <v>30660.78</v>
      </c>
      <c r="I627" s="10">
        <f t="shared" si="39"/>
        <v>3.4077688490065953E-3</v>
      </c>
    </row>
    <row r="628" spans="1:9" ht="14.25" customHeight="1" x14ac:dyDescent="0.3">
      <c r="A628" s="8">
        <f>'ICICI PRUDENTIAL MULTICAP FUND'!A628</f>
        <v>45301</v>
      </c>
      <c r="B628" s="9">
        <f>'ICICI PRUDENTIAL MULTICAP FUND'!B628</f>
        <v>635.79</v>
      </c>
      <c r="C628" s="10">
        <f t="shared" si="36"/>
        <v>-9.4361877801461212E-5</v>
      </c>
      <c r="D628" s="9">
        <f>'QUANT ACTIVE FUND'!B628</f>
        <v>579.85199999999998</v>
      </c>
      <c r="E628" s="10">
        <f t="shared" si="37"/>
        <v>7.171851741201966E-3</v>
      </c>
      <c r="F628" s="9">
        <f>'NIPPON INDIA '!B628</f>
        <v>232.624</v>
      </c>
      <c r="G628" s="10">
        <f t="shared" si="38"/>
        <v>1.2266558778336681E-3</v>
      </c>
      <c r="H628" s="9">
        <f>'NIFTY500 TRI'!B628</f>
        <v>30556.65</v>
      </c>
      <c r="I628" s="10">
        <f t="shared" si="39"/>
        <v>2.9955303378687106E-3</v>
      </c>
    </row>
    <row r="629" spans="1:9" ht="14.25" customHeight="1" x14ac:dyDescent="0.3">
      <c r="A629" s="8">
        <f>'ICICI PRUDENTIAL MULTICAP FUND'!A629</f>
        <v>45300</v>
      </c>
      <c r="B629" s="9">
        <f>'ICICI PRUDENTIAL MULTICAP FUND'!B629</f>
        <v>635.85</v>
      </c>
      <c r="C629" s="10">
        <f t="shared" si="36"/>
        <v>2.2540273005265655E-3</v>
      </c>
      <c r="D629" s="9">
        <f>'QUANT ACTIVE FUND'!B629</f>
        <v>575.72299999999996</v>
      </c>
      <c r="E629" s="10">
        <f t="shared" si="37"/>
        <v>4.7136061093638777E-3</v>
      </c>
      <c r="F629" s="9">
        <f>'NIPPON INDIA '!B629</f>
        <v>232.339</v>
      </c>
      <c r="G629" s="10">
        <f t="shared" si="38"/>
        <v>2.4939485072984799E-3</v>
      </c>
      <c r="H629" s="9">
        <f>'NIFTY500 TRI'!B629</f>
        <v>30465.39</v>
      </c>
      <c r="I629" s="10">
        <f t="shared" si="39"/>
        <v>2.1556020323777424E-3</v>
      </c>
    </row>
    <row r="630" spans="1:9" ht="14.25" customHeight="1" x14ac:dyDescent="0.3">
      <c r="A630" s="8">
        <f>'ICICI PRUDENTIAL MULTICAP FUND'!A630</f>
        <v>45299</v>
      </c>
      <c r="B630" s="9">
        <f>'ICICI PRUDENTIAL MULTICAP FUND'!B630</f>
        <v>634.41999999999996</v>
      </c>
      <c r="C630" s="10">
        <f t="shared" si="36"/>
        <v>-8.641300101570569E-3</v>
      </c>
      <c r="D630" s="9">
        <f>'QUANT ACTIVE FUND'!B630</f>
        <v>573.02200000000005</v>
      </c>
      <c r="E630" s="10">
        <f t="shared" si="37"/>
        <v>-1.2635369730595876E-2</v>
      </c>
      <c r="F630" s="9">
        <f>'NIPPON INDIA '!B630</f>
        <v>231.761</v>
      </c>
      <c r="G630" s="10">
        <f t="shared" si="38"/>
        <v>-9.0517278239081508E-3</v>
      </c>
      <c r="H630" s="9">
        <f>'NIFTY500 TRI'!B630</f>
        <v>30399.86</v>
      </c>
      <c r="I630" s="10">
        <f t="shared" si="39"/>
        <v>-8.8244375460335631E-3</v>
      </c>
    </row>
    <row r="631" spans="1:9" ht="14.25" customHeight="1" x14ac:dyDescent="0.3">
      <c r="A631" s="8">
        <f>'ICICI PRUDENTIAL MULTICAP FUND'!A631</f>
        <v>45296</v>
      </c>
      <c r="B631" s="9">
        <f>'ICICI PRUDENTIAL MULTICAP FUND'!B631</f>
        <v>639.95000000000005</v>
      </c>
      <c r="C631" s="10">
        <f t="shared" si="36"/>
        <v>2.1453850731310165E-3</v>
      </c>
      <c r="D631" s="9">
        <f>'QUANT ACTIVE FUND'!B631</f>
        <v>580.35500000000002</v>
      </c>
      <c r="E631" s="10">
        <f t="shared" si="37"/>
        <v>-1.8162711059817004E-3</v>
      </c>
      <c r="F631" s="9">
        <f>'NIPPON INDIA '!B631</f>
        <v>233.87799999999999</v>
      </c>
      <c r="G631" s="10">
        <f t="shared" si="38"/>
        <v>8.6872793409639249E-4</v>
      </c>
      <c r="H631" s="9">
        <f>'NIFTY500 TRI'!B631</f>
        <v>30670.51</v>
      </c>
      <c r="I631" s="10">
        <f t="shared" si="39"/>
        <v>2.5247382839427746E-3</v>
      </c>
    </row>
    <row r="632" spans="1:9" ht="14.25" customHeight="1" x14ac:dyDescent="0.3">
      <c r="A632" s="8">
        <f>'ICICI PRUDENTIAL MULTICAP FUND'!A632</f>
        <v>45295</v>
      </c>
      <c r="B632" s="9">
        <f>'ICICI PRUDENTIAL MULTICAP FUND'!B632</f>
        <v>638.58000000000004</v>
      </c>
      <c r="C632" s="10">
        <f t="shared" si="36"/>
        <v>6.7475957748700721E-3</v>
      </c>
      <c r="D632" s="9">
        <f>'QUANT ACTIVE FUND'!B632</f>
        <v>581.41099999999994</v>
      </c>
      <c r="E632" s="10">
        <f t="shared" si="37"/>
        <v>1.3774801180796842E-2</v>
      </c>
      <c r="F632" s="9">
        <f>'NIPPON INDIA '!B632</f>
        <v>233.67500000000001</v>
      </c>
      <c r="G632" s="10">
        <f t="shared" si="38"/>
        <v>1.0722503849547628E-2</v>
      </c>
      <c r="H632" s="9">
        <f>'NIFTY500 TRI'!B632</f>
        <v>30593.27</v>
      </c>
      <c r="I632" s="10">
        <f t="shared" si="39"/>
        <v>8.9895681827926038E-3</v>
      </c>
    </row>
    <row r="633" spans="1:9" ht="14.25" customHeight="1" x14ac:dyDescent="0.3">
      <c r="A633" s="8">
        <f>'ICICI PRUDENTIAL MULTICAP FUND'!A633</f>
        <v>45294</v>
      </c>
      <c r="B633" s="9">
        <f>'ICICI PRUDENTIAL MULTICAP FUND'!B633</f>
        <v>634.29999999999995</v>
      </c>
      <c r="C633" s="10">
        <f t="shared" si="36"/>
        <v>-6.3021900110302653E-4</v>
      </c>
      <c r="D633" s="9">
        <f>'QUANT ACTIVE FUND'!B633</f>
        <v>573.51099999999997</v>
      </c>
      <c r="E633" s="10">
        <f t="shared" si="37"/>
        <v>-2.4837417534729726E-3</v>
      </c>
      <c r="F633" s="9">
        <f>'NIPPON INDIA '!B633</f>
        <v>231.196</v>
      </c>
      <c r="G633" s="10">
        <f t="shared" si="38"/>
        <v>9.9581756622182374E-4</v>
      </c>
      <c r="H633" s="9">
        <f>'NIFTY500 TRI'!B633</f>
        <v>30320.7</v>
      </c>
      <c r="I633" s="10">
        <f t="shared" si="39"/>
        <v>-2.6387359329914204E-3</v>
      </c>
    </row>
    <row r="634" spans="1:9" ht="14.25" customHeight="1" x14ac:dyDescent="0.3">
      <c r="A634" s="8">
        <f>'ICICI PRUDENTIAL MULTICAP FUND'!A634</f>
        <v>45293</v>
      </c>
      <c r="B634" s="9">
        <f>'ICICI PRUDENTIAL MULTICAP FUND'!B634</f>
        <v>634.70000000000005</v>
      </c>
      <c r="C634" s="10">
        <f t="shared" si="36"/>
        <v>4.7013755876719916E-3</v>
      </c>
      <c r="D634" s="9">
        <f>'QUANT ACTIVE FUND'!B634</f>
        <v>574.93899999999996</v>
      </c>
      <c r="E634" s="10">
        <f t="shared" si="37"/>
        <v>4.0445458879575513E-3</v>
      </c>
      <c r="F634" s="9">
        <f>'NIPPON INDIA '!B634</f>
        <v>230.96600000000001</v>
      </c>
      <c r="G634" s="10">
        <f t="shared" si="38"/>
        <v>5.8443368289029587E-3</v>
      </c>
      <c r="H634" s="9">
        <f>'NIFTY500 TRI'!B634</f>
        <v>30400.92</v>
      </c>
      <c r="I634" s="10">
        <f t="shared" si="39"/>
        <v>-5.5493822695924821E-4</v>
      </c>
    </row>
    <row r="635" spans="1:9" ht="14.25" customHeight="1" x14ac:dyDescent="0.3">
      <c r="A635" s="8">
        <f>'ICICI PRUDENTIAL MULTICAP FUND'!A635</f>
        <v>45289</v>
      </c>
      <c r="B635" s="9">
        <f>'ICICI PRUDENTIAL MULTICAP FUND'!B635</f>
        <v>631.73</v>
      </c>
      <c r="C635" s="10">
        <f t="shared" si="36"/>
        <v>2.3800834615933866E-3</v>
      </c>
      <c r="D635" s="9">
        <f>'QUANT ACTIVE FUND'!B635</f>
        <v>572.62300000000005</v>
      </c>
      <c r="E635" s="10">
        <f t="shared" si="37"/>
        <v>2.6966307874688573E-3</v>
      </c>
      <c r="F635" s="9">
        <f>'NIPPON INDIA '!B635</f>
        <v>229.624</v>
      </c>
      <c r="G635" s="10">
        <f t="shared" si="38"/>
        <v>5.1433799228711129E-3</v>
      </c>
      <c r="H635" s="9">
        <f>'NIFTY500 TRI'!B635</f>
        <v>30417.8</v>
      </c>
      <c r="I635" s="10">
        <f t="shared" si="39"/>
        <v>1.5429222803113958E-3</v>
      </c>
    </row>
    <row r="636" spans="1:9" ht="14.25" customHeight="1" x14ac:dyDescent="0.3">
      <c r="A636" s="8">
        <f>'ICICI PRUDENTIAL MULTICAP FUND'!A636</f>
        <v>45288</v>
      </c>
      <c r="B636" s="9">
        <f>'ICICI PRUDENTIAL MULTICAP FUND'!B636</f>
        <v>630.23</v>
      </c>
      <c r="C636" s="10">
        <f t="shared" si="36"/>
        <v>5.6166328924063466E-3</v>
      </c>
      <c r="D636" s="9">
        <f>'QUANT ACTIVE FUND'!B636</f>
        <v>571.08299999999997</v>
      </c>
      <c r="E636" s="10">
        <f t="shared" si="37"/>
        <v>1.026928343222264E-2</v>
      </c>
      <c r="F636" s="9">
        <f>'NIPPON INDIA '!B636</f>
        <v>228.44900000000001</v>
      </c>
      <c r="G636" s="10">
        <f t="shared" si="38"/>
        <v>4.5070001407063708E-3</v>
      </c>
      <c r="H636" s="9">
        <f>'NIFTY500 TRI'!B636</f>
        <v>30370.94</v>
      </c>
      <c r="I636" s="10">
        <f t="shared" si="39"/>
        <v>5.3014188974928773E-3</v>
      </c>
    </row>
    <row r="637" spans="1:9" ht="14.25" customHeight="1" x14ac:dyDescent="0.3">
      <c r="A637" s="8">
        <f>'ICICI PRUDENTIAL MULTICAP FUND'!A637</f>
        <v>45287</v>
      </c>
      <c r="B637" s="9">
        <f>'ICICI PRUDENTIAL MULTICAP FUND'!B637</f>
        <v>626.71</v>
      </c>
      <c r="C637" s="10">
        <f t="shared" si="36"/>
        <v>4.4556280351963949E-3</v>
      </c>
      <c r="D637" s="9">
        <f>'QUANT ACTIVE FUND'!B637</f>
        <v>565.27800000000002</v>
      </c>
      <c r="E637" s="10">
        <f t="shared" si="37"/>
        <v>4.3155446665090877E-3</v>
      </c>
      <c r="F637" s="9">
        <f>'NIPPON INDIA '!B637</f>
        <v>227.42400000000001</v>
      </c>
      <c r="G637" s="10">
        <f t="shared" si="38"/>
        <v>7.415282392026607E-3</v>
      </c>
      <c r="H637" s="9">
        <f>'NIFTY500 TRI'!B637</f>
        <v>30210.78</v>
      </c>
      <c r="I637" s="10">
        <f t="shared" si="39"/>
        <v>7.7347734573315688E-3</v>
      </c>
    </row>
    <row r="638" spans="1:9" ht="14.25" customHeight="1" x14ac:dyDescent="0.3">
      <c r="A638" s="8">
        <f>'ICICI PRUDENTIAL MULTICAP FUND'!A638</f>
        <v>45286</v>
      </c>
      <c r="B638" s="9">
        <f>'ICICI PRUDENTIAL MULTICAP FUND'!B638</f>
        <v>623.92999999999995</v>
      </c>
      <c r="C638" s="10">
        <f t="shared" si="36"/>
        <v>3.8129866786794594E-3</v>
      </c>
      <c r="D638" s="9">
        <f>'QUANT ACTIVE FUND'!B638</f>
        <v>562.84900000000005</v>
      </c>
      <c r="E638" s="10">
        <f t="shared" si="37"/>
        <v>6.1097794008555233E-3</v>
      </c>
      <c r="F638" s="9">
        <f>'NIPPON INDIA '!B638</f>
        <v>225.75</v>
      </c>
      <c r="G638" s="10">
        <f t="shared" si="38"/>
        <v>1.7616805633827433E-3</v>
      </c>
      <c r="H638" s="9">
        <f>'NIFTY500 TRI'!B638</f>
        <v>29978.9</v>
      </c>
      <c r="I638" s="10">
        <f t="shared" si="39"/>
        <v>4.9414226376221851E-3</v>
      </c>
    </row>
    <row r="639" spans="1:9" ht="14.25" customHeight="1" x14ac:dyDescent="0.3">
      <c r="A639" s="8">
        <f>'ICICI PRUDENTIAL MULTICAP FUND'!A639</f>
        <v>45282</v>
      </c>
      <c r="B639" s="9">
        <f>'ICICI PRUDENTIAL MULTICAP FUND'!B639</f>
        <v>621.55999999999995</v>
      </c>
      <c r="C639" s="10">
        <f t="shared" si="36"/>
        <v>5.9884116142814416E-3</v>
      </c>
      <c r="D639" s="9">
        <f>'QUANT ACTIVE FUND'!B639</f>
        <v>559.43100000000004</v>
      </c>
      <c r="E639" s="10">
        <f t="shared" si="37"/>
        <v>8.9363651447493513E-3</v>
      </c>
      <c r="F639" s="9">
        <f>'NIPPON INDIA '!B639</f>
        <v>225.35300000000001</v>
      </c>
      <c r="G639" s="10">
        <f t="shared" si="38"/>
        <v>5.0530728748550968E-3</v>
      </c>
      <c r="H639" s="9">
        <f>'NIFTY500 TRI'!B639</f>
        <v>29831.49</v>
      </c>
      <c r="I639" s="10">
        <f t="shared" si="39"/>
        <v>5.9612790008738061E-3</v>
      </c>
    </row>
    <row r="640" spans="1:9" ht="14.25" customHeight="1" x14ac:dyDescent="0.3">
      <c r="A640" s="8">
        <f>'ICICI PRUDENTIAL MULTICAP FUND'!A640</f>
        <v>45281</v>
      </c>
      <c r="B640" s="9">
        <f>'ICICI PRUDENTIAL MULTICAP FUND'!B640</f>
        <v>617.86</v>
      </c>
      <c r="C640" s="10">
        <f t="shared" si="36"/>
        <v>1.0301523971482878E-2</v>
      </c>
      <c r="D640" s="9">
        <f>'QUANT ACTIVE FUND'!B640</f>
        <v>554.476</v>
      </c>
      <c r="E640" s="10">
        <f t="shared" si="37"/>
        <v>2.0833640179689285E-2</v>
      </c>
      <c r="F640" s="9">
        <f>'NIPPON INDIA '!B640</f>
        <v>224.22</v>
      </c>
      <c r="G640" s="10">
        <f t="shared" si="38"/>
        <v>7.6759905083770693E-3</v>
      </c>
      <c r="H640" s="9">
        <f>'NIFTY500 TRI'!B640</f>
        <v>29654.71</v>
      </c>
      <c r="I640" s="10">
        <f t="shared" si="39"/>
        <v>8.6433639597028149E-3</v>
      </c>
    </row>
    <row r="641" spans="1:9" ht="14.25" customHeight="1" x14ac:dyDescent="0.3">
      <c r="A641" s="8">
        <f>'ICICI PRUDENTIAL MULTICAP FUND'!A641</f>
        <v>45280</v>
      </c>
      <c r="B641" s="9">
        <f>'ICICI PRUDENTIAL MULTICAP FUND'!B641</f>
        <v>611.55999999999995</v>
      </c>
      <c r="C641" s="10">
        <f t="shared" si="36"/>
        <v>-2.040685567835978E-2</v>
      </c>
      <c r="D641" s="9">
        <f>'QUANT ACTIVE FUND'!B641</f>
        <v>543.16</v>
      </c>
      <c r="E641" s="10">
        <f t="shared" si="37"/>
        <v>-3.1005815820458839E-2</v>
      </c>
      <c r="F641" s="9">
        <f>'NIPPON INDIA '!B641</f>
        <v>222.512</v>
      </c>
      <c r="G641" s="10">
        <f t="shared" si="38"/>
        <v>-2.3110424276482199E-2</v>
      </c>
      <c r="H641" s="9">
        <f>'NIFTY500 TRI'!B641</f>
        <v>29400.59</v>
      </c>
      <c r="I641" s="10">
        <f t="shared" si="39"/>
        <v>-2.0334645636494748E-2</v>
      </c>
    </row>
    <row r="642" spans="1:9" ht="14.25" customHeight="1" x14ac:dyDescent="0.3">
      <c r="A642" s="8">
        <f>'ICICI PRUDENTIAL MULTICAP FUND'!A642</f>
        <v>45279</v>
      </c>
      <c r="B642" s="9">
        <f>'ICICI PRUDENTIAL MULTICAP FUND'!B642</f>
        <v>624.29999999999995</v>
      </c>
      <c r="C642" s="10">
        <f t="shared" ref="C642:C705" si="40">(B642-B643)/B643</f>
        <v>1.5882947490013142E-3</v>
      </c>
      <c r="D642" s="9">
        <f>'QUANT ACTIVE FUND'!B642</f>
        <v>560.54</v>
      </c>
      <c r="E642" s="10">
        <f t="shared" ref="E642:E705" si="41">(D642-D643)/D643</f>
        <v>2.014611744810994E-3</v>
      </c>
      <c r="F642" s="9">
        <f>'NIPPON INDIA '!B642</f>
        <v>227.77600000000001</v>
      </c>
      <c r="G642" s="10">
        <f t="shared" ref="G642:G705" si="42">(F642-F643)/F643</f>
        <v>2.9423518613672393E-4</v>
      </c>
      <c r="H642" s="9">
        <f>'NIFTY500 TRI'!B642</f>
        <v>30010.85</v>
      </c>
      <c r="I642" s="10">
        <f t="shared" ref="I642:I705" si="43">(H642-H643)/H643</f>
        <v>7.1558641239448774E-4</v>
      </c>
    </row>
    <row r="643" spans="1:9" ht="14.25" customHeight="1" x14ac:dyDescent="0.3">
      <c r="A643" s="8">
        <f>'ICICI PRUDENTIAL MULTICAP FUND'!A643</f>
        <v>45278</v>
      </c>
      <c r="B643" s="9">
        <f>'ICICI PRUDENTIAL MULTICAP FUND'!B643</f>
        <v>623.30999999999995</v>
      </c>
      <c r="C643" s="10">
        <f t="shared" si="40"/>
        <v>3.4128044559633779E-3</v>
      </c>
      <c r="D643" s="9">
        <f>'QUANT ACTIVE FUND'!B643</f>
        <v>559.41300000000001</v>
      </c>
      <c r="E643" s="10">
        <f t="shared" si="41"/>
        <v>6.2905187114599276E-3</v>
      </c>
      <c r="F643" s="9">
        <f>'NIPPON INDIA '!B643</f>
        <v>227.709</v>
      </c>
      <c r="G643" s="10">
        <f t="shared" si="42"/>
        <v>1.7244640743982892E-3</v>
      </c>
      <c r="H643" s="9">
        <f>'NIFTY500 TRI'!B643</f>
        <v>29989.39</v>
      </c>
      <c r="I643" s="10">
        <f t="shared" si="43"/>
        <v>5.4782692539305424E-4</v>
      </c>
    </row>
    <row r="644" spans="1:9" ht="14.25" customHeight="1" x14ac:dyDescent="0.3">
      <c r="A644" s="8">
        <f>'ICICI PRUDENTIAL MULTICAP FUND'!A644</f>
        <v>45275</v>
      </c>
      <c r="B644" s="9">
        <f>'ICICI PRUDENTIAL MULTICAP FUND'!B644</f>
        <v>621.19000000000005</v>
      </c>
      <c r="C644" s="10">
        <f t="shared" si="40"/>
        <v>6.2527335460774843E-3</v>
      </c>
      <c r="D644" s="9">
        <f>'QUANT ACTIVE FUND'!B644</f>
        <v>555.91600000000005</v>
      </c>
      <c r="E644" s="10">
        <f t="shared" si="41"/>
        <v>5.9242692375896158E-3</v>
      </c>
      <c r="F644" s="9">
        <f>'NIPPON INDIA '!B644</f>
        <v>227.31700000000001</v>
      </c>
      <c r="G644" s="10">
        <f t="shared" si="42"/>
        <v>4.1301870290040826E-3</v>
      </c>
      <c r="H644" s="9">
        <f>'NIFTY500 TRI'!B644</f>
        <v>29972.97</v>
      </c>
      <c r="I644" s="10">
        <f t="shared" si="43"/>
        <v>9.0240973630285812E-3</v>
      </c>
    </row>
    <row r="645" spans="1:9" ht="14.25" customHeight="1" x14ac:dyDescent="0.3">
      <c r="A645" s="8">
        <f>'ICICI PRUDENTIAL MULTICAP FUND'!A645</f>
        <v>45274</v>
      </c>
      <c r="B645" s="9">
        <f>'ICICI PRUDENTIAL MULTICAP FUND'!B645</f>
        <v>617.33000000000004</v>
      </c>
      <c r="C645" s="10">
        <f t="shared" si="40"/>
        <v>9.9798766421805574E-3</v>
      </c>
      <c r="D645" s="9">
        <f>'QUANT ACTIVE FUND'!B645</f>
        <v>552.64200000000005</v>
      </c>
      <c r="E645" s="10">
        <f t="shared" si="41"/>
        <v>1.0656254857675809E-2</v>
      </c>
      <c r="F645" s="9">
        <f>'NIPPON INDIA '!B645</f>
        <v>226.38200000000001</v>
      </c>
      <c r="G645" s="10">
        <f t="shared" si="42"/>
        <v>6.6388307120401396E-3</v>
      </c>
      <c r="H645" s="9">
        <f>'NIFTY500 TRI'!B645</f>
        <v>29704.91</v>
      </c>
      <c r="I645" s="10">
        <f t="shared" si="43"/>
        <v>1.1872031949432489E-2</v>
      </c>
    </row>
    <row r="646" spans="1:9" ht="14.25" customHeight="1" x14ac:dyDescent="0.3">
      <c r="A646" s="8">
        <f>'ICICI PRUDENTIAL MULTICAP FUND'!A646</f>
        <v>45273</v>
      </c>
      <c r="B646" s="9">
        <f>'ICICI PRUDENTIAL MULTICAP FUND'!B646</f>
        <v>611.23</v>
      </c>
      <c r="C646" s="10">
        <f t="shared" si="40"/>
        <v>7.1180240892390143E-3</v>
      </c>
      <c r="D646" s="9">
        <f>'QUANT ACTIVE FUND'!B646</f>
        <v>546.81500000000005</v>
      </c>
      <c r="E646" s="10">
        <f t="shared" si="41"/>
        <v>4.94002319311503E-3</v>
      </c>
      <c r="F646" s="9">
        <f>'NIPPON INDIA '!B646</f>
        <v>224.88900000000001</v>
      </c>
      <c r="G646" s="10">
        <f t="shared" si="42"/>
        <v>5.5938615083304484E-3</v>
      </c>
      <c r="H646" s="9">
        <f>'NIFTY500 TRI'!B646</f>
        <v>29356.39</v>
      </c>
      <c r="I646" s="10">
        <f t="shared" si="43"/>
        <v>3.4588722688615593E-3</v>
      </c>
    </row>
    <row r="647" spans="1:9" ht="14.25" customHeight="1" x14ac:dyDescent="0.3">
      <c r="A647" s="8">
        <f>'ICICI PRUDENTIAL MULTICAP FUND'!A647</f>
        <v>45272</v>
      </c>
      <c r="B647" s="9">
        <f>'ICICI PRUDENTIAL MULTICAP FUND'!B647</f>
        <v>606.91</v>
      </c>
      <c r="C647" s="10">
        <f t="shared" si="40"/>
        <v>-3.9552287796233206E-3</v>
      </c>
      <c r="D647" s="9">
        <f>'QUANT ACTIVE FUND'!B647</f>
        <v>544.12699999999995</v>
      </c>
      <c r="E647" s="10">
        <f t="shared" si="41"/>
        <v>-1.9387949756412815E-3</v>
      </c>
      <c r="F647" s="9">
        <f>'NIPPON INDIA '!B647</f>
        <v>223.63800000000001</v>
      </c>
      <c r="G647" s="10">
        <f t="shared" si="42"/>
        <v>-4.8414513674429919E-3</v>
      </c>
      <c r="H647" s="9">
        <f>'NIFTY500 TRI'!B647</f>
        <v>29255.200000000001</v>
      </c>
      <c r="I647" s="10">
        <f t="shared" si="43"/>
        <v>-4.4446622366373627E-3</v>
      </c>
    </row>
    <row r="648" spans="1:9" ht="14.25" customHeight="1" x14ac:dyDescent="0.3">
      <c r="A648" s="8">
        <f>'ICICI PRUDENTIAL MULTICAP FUND'!A648</f>
        <v>45271</v>
      </c>
      <c r="B648" s="9">
        <f>'ICICI PRUDENTIAL MULTICAP FUND'!B648</f>
        <v>609.32000000000005</v>
      </c>
      <c r="C648" s="10">
        <f t="shared" si="40"/>
        <v>3.7063271121946396E-3</v>
      </c>
      <c r="D648" s="9">
        <f>'QUANT ACTIVE FUND'!B648</f>
        <v>545.18399999999997</v>
      </c>
      <c r="E648" s="10">
        <f t="shared" si="41"/>
        <v>5.3180896182924856E-3</v>
      </c>
      <c r="F648" s="9">
        <f>'NIPPON INDIA '!B648</f>
        <v>224.726</v>
      </c>
      <c r="G648" s="10">
        <f t="shared" si="42"/>
        <v>3.1559823050723093E-3</v>
      </c>
      <c r="H648" s="9">
        <f>'NIFTY500 TRI'!B648</f>
        <v>29385.81</v>
      </c>
      <c r="I648" s="10">
        <f t="shared" si="43"/>
        <v>3.5678012003549416E-3</v>
      </c>
    </row>
    <row r="649" spans="1:9" ht="14.25" customHeight="1" x14ac:dyDescent="0.3">
      <c r="A649" s="8">
        <f>'ICICI PRUDENTIAL MULTICAP FUND'!A649</f>
        <v>45268</v>
      </c>
      <c r="B649" s="9">
        <f>'ICICI PRUDENTIAL MULTICAP FUND'!B649</f>
        <v>607.07000000000005</v>
      </c>
      <c r="C649" s="10">
        <f t="shared" si="40"/>
        <v>-8.7228439762997482E-4</v>
      </c>
      <c r="D649" s="9">
        <f>'QUANT ACTIVE FUND'!B649</f>
        <v>542.29999999999995</v>
      </c>
      <c r="E649" s="10">
        <f t="shared" si="41"/>
        <v>-6.0502088522565844E-3</v>
      </c>
      <c r="F649" s="9">
        <f>'NIPPON INDIA '!B649</f>
        <v>224.01900000000001</v>
      </c>
      <c r="G649" s="10">
        <f t="shared" si="42"/>
        <v>-2.0083547557835037E-4</v>
      </c>
      <c r="H649" s="9">
        <f>'NIFTY500 TRI'!B649</f>
        <v>29281.34</v>
      </c>
      <c r="I649" s="10">
        <f t="shared" si="43"/>
        <v>-1.9465943307649977E-5</v>
      </c>
    </row>
    <row r="650" spans="1:9" ht="14.25" customHeight="1" x14ac:dyDescent="0.3">
      <c r="A650" s="8">
        <f>'ICICI PRUDENTIAL MULTICAP FUND'!A650</f>
        <v>45267</v>
      </c>
      <c r="B650" s="9">
        <f>'ICICI PRUDENTIAL MULTICAP FUND'!B650</f>
        <v>607.6</v>
      </c>
      <c r="C650" s="10">
        <f t="shared" si="40"/>
        <v>4.4967596878720201E-3</v>
      </c>
      <c r="D650" s="9">
        <f>'QUANT ACTIVE FUND'!B650</f>
        <v>545.601</v>
      </c>
      <c r="E650" s="10">
        <f t="shared" si="41"/>
        <v>1.5493146485498139E-3</v>
      </c>
      <c r="F650" s="9">
        <f>'NIPPON INDIA '!B650</f>
        <v>224.06399999999999</v>
      </c>
      <c r="G650" s="10">
        <f t="shared" si="42"/>
        <v>5.0372071534620835E-3</v>
      </c>
      <c r="H650" s="9">
        <f>'NIFTY500 TRI'!B650</f>
        <v>29281.91</v>
      </c>
      <c r="I650" s="10">
        <f t="shared" si="43"/>
        <v>1.2768182264263125E-3</v>
      </c>
    </row>
    <row r="651" spans="1:9" ht="14.25" customHeight="1" x14ac:dyDescent="0.3">
      <c r="A651" s="8">
        <f>'ICICI PRUDENTIAL MULTICAP FUND'!A651</f>
        <v>45266</v>
      </c>
      <c r="B651" s="9">
        <f>'ICICI PRUDENTIAL MULTICAP FUND'!B651</f>
        <v>604.88</v>
      </c>
      <c r="C651" s="10">
        <f t="shared" si="40"/>
        <v>2.6521681474605866E-3</v>
      </c>
      <c r="D651" s="9">
        <f>'QUANT ACTIVE FUND'!B651</f>
        <v>544.75699999999995</v>
      </c>
      <c r="E651" s="10">
        <f t="shared" si="41"/>
        <v>4.2510752123231894E-3</v>
      </c>
      <c r="F651" s="9">
        <f>'NIPPON INDIA '!B651</f>
        <v>222.941</v>
      </c>
      <c r="G651" s="10">
        <f t="shared" si="42"/>
        <v>5.5202003428803082E-4</v>
      </c>
      <c r="H651" s="9">
        <f>'NIFTY500 TRI'!B651</f>
        <v>29244.57</v>
      </c>
      <c r="I651" s="10">
        <f t="shared" si="43"/>
        <v>4.9196945851401738E-3</v>
      </c>
    </row>
    <row r="652" spans="1:9" ht="14.25" customHeight="1" x14ac:dyDescent="0.3">
      <c r="A652" s="8">
        <f>'ICICI PRUDENTIAL MULTICAP FUND'!A652</f>
        <v>45265</v>
      </c>
      <c r="B652" s="9">
        <f>'ICICI PRUDENTIAL MULTICAP FUND'!B652</f>
        <v>603.28</v>
      </c>
      <c r="C652" s="10">
        <f t="shared" si="40"/>
        <v>3.5432088497047254E-3</v>
      </c>
      <c r="D652" s="9">
        <f>'QUANT ACTIVE FUND'!B652</f>
        <v>542.45100000000002</v>
      </c>
      <c r="E652" s="10">
        <f t="shared" si="41"/>
        <v>7.1144909481470082E-3</v>
      </c>
      <c r="F652" s="9">
        <f>'NIPPON INDIA '!B652</f>
        <v>222.81800000000001</v>
      </c>
      <c r="G652" s="10">
        <f t="shared" si="42"/>
        <v>2.6098147031561321E-3</v>
      </c>
      <c r="H652" s="9">
        <f>'NIFTY500 TRI'!B652</f>
        <v>29101.4</v>
      </c>
      <c r="I652" s="10">
        <f t="shared" si="43"/>
        <v>7.590496143468556E-3</v>
      </c>
    </row>
    <row r="653" spans="1:9" ht="14.25" customHeight="1" x14ac:dyDescent="0.3">
      <c r="A653" s="8">
        <f>'ICICI PRUDENTIAL MULTICAP FUND'!A653</f>
        <v>45264</v>
      </c>
      <c r="B653" s="9">
        <f>'ICICI PRUDENTIAL MULTICAP FUND'!B653</f>
        <v>601.15</v>
      </c>
      <c r="C653" s="10">
        <f t="shared" si="40"/>
        <v>1.7708104081667071E-2</v>
      </c>
      <c r="D653" s="9">
        <f>'QUANT ACTIVE FUND'!B653</f>
        <v>538.61900000000003</v>
      </c>
      <c r="E653" s="10">
        <f t="shared" si="41"/>
        <v>1.0680637310550989E-2</v>
      </c>
      <c r="F653" s="9">
        <f>'NIPPON INDIA '!B653</f>
        <v>222.238</v>
      </c>
      <c r="G653" s="10">
        <f t="shared" si="42"/>
        <v>1.3919621145414588E-2</v>
      </c>
      <c r="H653" s="9">
        <f>'NIFTY500 TRI'!B653</f>
        <v>28882.17</v>
      </c>
      <c r="I653" s="10">
        <f t="shared" si="43"/>
        <v>1.8392450075897647E-2</v>
      </c>
    </row>
    <row r="654" spans="1:9" ht="14.25" customHeight="1" x14ac:dyDescent="0.3">
      <c r="A654" s="8">
        <f>'ICICI PRUDENTIAL MULTICAP FUND'!A654</f>
        <v>45261</v>
      </c>
      <c r="B654" s="9">
        <f>'ICICI PRUDENTIAL MULTICAP FUND'!B654</f>
        <v>590.69000000000005</v>
      </c>
      <c r="C654" s="10">
        <f t="shared" si="40"/>
        <v>7.1784204064930367E-3</v>
      </c>
      <c r="D654" s="9">
        <f>'QUANT ACTIVE FUND'!B654</f>
        <v>532.92700000000002</v>
      </c>
      <c r="E654" s="10">
        <f t="shared" si="41"/>
        <v>5.672543643297721E-3</v>
      </c>
      <c r="F654" s="9">
        <f>'NIPPON INDIA '!B654</f>
        <v>219.18700000000001</v>
      </c>
      <c r="G654" s="10">
        <f t="shared" si="42"/>
        <v>9.2272415428464438E-3</v>
      </c>
      <c r="H654" s="9">
        <f>'NIFTY500 TRI'!B654</f>
        <v>28360.55</v>
      </c>
      <c r="I654" s="10">
        <f t="shared" si="43"/>
        <v>7.0803191345810831E-3</v>
      </c>
    </row>
    <row r="655" spans="1:9" ht="14.25" customHeight="1" x14ac:dyDescent="0.3">
      <c r="A655" s="8">
        <f>'ICICI PRUDENTIAL MULTICAP FUND'!A655</f>
        <v>45260</v>
      </c>
      <c r="B655" s="9">
        <f>'ICICI PRUDENTIAL MULTICAP FUND'!B655</f>
        <v>586.48</v>
      </c>
      <c r="C655" s="10">
        <f t="shared" si="40"/>
        <v>4.1777960413671234E-3</v>
      </c>
      <c r="D655" s="9">
        <f>'QUANT ACTIVE FUND'!B655</f>
        <v>529.92100000000005</v>
      </c>
      <c r="E655" s="10">
        <f t="shared" si="41"/>
        <v>5.0925961049701823E-3</v>
      </c>
      <c r="F655" s="9">
        <f>'NIPPON INDIA '!B655</f>
        <v>217.18299999999999</v>
      </c>
      <c r="G655" s="10">
        <f t="shared" si="42"/>
        <v>6.9873328511285684E-3</v>
      </c>
      <c r="H655" s="9">
        <f>'NIFTY500 TRI'!B655</f>
        <v>28161.16</v>
      </c>
      <c r="I655" s="10">
        <f t="shared" si="43"/>
        <v>4.6857239896652978E-3</v>
      </c>
    </row>
    <row r="656" spans="1:9" ht="14.25" customHeight="1" x14ac:dyDescent="0.3">
      <c r="A656" s="8">
        <f>'ICICI PRUDENTIAL MULTICAP FUND'!A656</f>
        <v>45259</v>
      </c>
      <c r="B656" s="9">
        <f>'ICICI PRUDENTIAL MULTICAP FUND'!B656</f>
        <v>584.04</v>
      </c>
      <c r="C656" s="10">
        <f t="shared" si="40"/>
        <v>7.9039105373967609E-3</v>
      </c>
      <c r="D656" s="9">
        <f>'QUANT ACTIVE FUND'!B656</f>
        <v>527.23599999999999</v>
      </c>
      <c r="E656" s="10">
        <f t="shared" si="41"/>
        <v>4.9251694456514915E-3</v>
      </c>
      <c r="F656" s="9">
        <f>'NIPPON INDIA '!B656</f>
        <v>215.67599999999999</v>
      </c>
      <c r="G656" s="10">
        <f t="shared" si="42"/>
        <v>3.5923016788891385E-3</v>
      </c>
      <c r="H656" s="9">
        <f>'NIFTY500 TRI'!B656</f>
        <v>28029.82</v>
      </c>
      <c r="I656" s="10">
        <f t="shared" si="43"/>
        <v>9.1471877447053523E-3</v>
      </c>
    </row>
    <row r="657" spans="1:9" ht="14.25" customHeight="1" x14ac:dyDescent="0.3">
      <c r="A657" s="8">
        <f>'ICICI PRUDENTIAL MULTICAP FUND'!A657</f>
        <v>45258</v>
      </c>
      <c r="B657" s="9">
        <f>'ICICI PRUDENTIAL MULTICAP FUND'!B657</f>
        <v>579.46</v>
      </c>
      <c r="C657" s="10">
        <f t="shared" si="40"/>
        <v>5.1867399864693898E-3</v>
      </c>
      <c r="D657" s="9">
        <f>'QUANT ACTIVE FUND'!B657</f>
        <v>524.65200000000004</v>
      </c>
      <c r="E657" s="10">
        <f t="shared" si="41"/>
        <v>6.210036554446287E-3</v>
      </c>
      <c r="F657" s="9">
        <f>'NIPPON INDIA '!B657</f>
        <v>214.904</v>
      </c>
      <c r="G657" s="10">
        <f t="shared" si="42"/>
        <v>6.3592855871802993E-3</v>
      </c>
      <c r="H657" s="9">
        <f>'NIFTY500 TRI'!B657</f>
        <v>27775.75</v>
      </c>
      <c r="I657" s="10">
        <f t="shared" si="43"/>
        <v>5.5698558028230696E-3</v>
      </c>
    </row>
    <row r="658" spans="1:9" ht="14.25" customHeight="1" x14ac:dyDescent="0.3">
      <c r="A658" s="8">
        <f>'ICICI PRUDENTIAL MULTICAP FUND'!A658</f>
        <v>45254</v>
      </c>
      <c r="B658" s="9">
        <f>'ICICI PRUDENTIAL MULTICAP FUND'!B658</f>
        <v>576.47</v>
      </c>
      <c r="C658" s="10">
        <f t="shared" si="40"/>
        <v>-5.2038161318252761E-5</v>
      </c>
      <c r="D658" s="9">
        <f>'QUANT ACTIVE FUND'!B658</f>
        <v>521.41399999999999</v>
      </c>
      <c r="E658" s="10">
        <f t="shared" si="41"/>
        <v>3.6340818361353115E-3</v>
      </c>
      <c r="F658" s="9">
        <f>'NIPPON INDIA '!B658</f>
        <v>213.54599999999999</v>
      </c>
      <c r="G658" s="10">
        <f t="shared" si="42"/>
        <v>4.591282185824405E-4</v>
      </c>
      <c r="H658" s="9">
        <f>'NIFTY500 TRI'!B658</f>
        <v>27621.9</v>
      </c>
      <c r="I658" s="10">
        <f t="shared" si="43"/>
        <v>2.8427557710666065E-4</v>
      </c>
    </row>
    <row r="659" spans="1:9" ht="14.25" customHeight="1" x14ac:dyDescent="0.3">
      <c r="A659" s="8">
        <f>'ICICI PRUDENTIAL MULTICAP FUND'!A659</f>
        <v>45253</v>
      </c>
      <c r="B659" s="9">
        <f>'ICICI PRUDENTIAL MULTICAP FUND'!B659</f>
        <v>576.5</v>
      </c>
      <c r="C659" s="10">
        <f t="shared" si="40"/>
        <v>2.8354236610016099E-3</v>
      </c>
      <c r="D659" s="9">
        <f>'QUANT ACTIVE FUND'!B659</f>
        <v>519.52599999999995</v>
      </c>
      <c r="E659" s="10">
        <f t="shared" si="41"/>
        <v>-2.4730517996828251E-3</v>
      </c>
      <c r="F659" s="9">
        <f>'NIPPON INDIA '!B659</f>
        <v>213.44800000000001</v>
      </c>
      <c r="G659" s="10">
        <f t="shared" si="42"/>
        <v>5.1537456017446269E-5</v>
      </c>
      <c r="H659" s="9">
        <f>'NIFTY500 TRI'!B659</f>
        <v>27614.05</v>
      </c>
      <c r="I659" s="10">
        <f t="shared" si="43"/>
        <v>6.6640913824852956E-4</v>
      </c>
    </row>
    <row r="660" spans="1:9" ht="14.25" customHeight="1" x14ac:dyDescent="0.3">
      <c r="A660" s="8">
        <f>'ICICI PRUDENTIAL MULTICAP FUND'!A660</f>
        <v>45252</v>
      </c>
      <c r="B660" s="9">
        <f>'ICICI PRUDENTIAL MULTICAP FUND'!B660</f>
        <v>574.87</v>
      </c>
      <c r="C660" s="10">
        <f t="shared" si="40"/>
        <v>1.0448047085865929E-3</v>
      </c>
      <c r="D660" s="9">
        <f>'QUANT ACTIVE FUND'!B660</f>
        <v>520.81399999999996</v>
      </c>
      <c r="E660" s="10">
        <f t="shared" si="41"/>
        <v>-3.4560088473882376E-5</v>
      </c>
      <c r="F660" s="9">
        <f>'NIPPON INDIA '!B660</f>
        <v>213.43700000000001</v>
      </c>
      <c r="G660" s="10">
        <f t="shared" si="42"/>
        <v>-2.7613209486608285E-3</v>
      </c>
      <c r="H660" s="9">
        <f>'NIFTY500 TRI'!B660</f>
        <v>27595.66</v>
      </c>
      <c r="I660" s="10">
        <f t="shared" si="43"/>
        <v>2.8628509574456163E-5</v>
      </c>
    </row>
    <row r="661" spans="1:9" ht="14.25" customHeight="1" x14ac:dyDescent="0.3">
      <c r="A661" s="8">
        <f>'ICICI PRUDENTIAL MULTICAP FUND'!A661</f>
        <v>45251</v>
      </c>
      <c r="B661" s="9">
        <f>'ICICI PRUDENTIAL MULTICAP FUND'!B661</f>
        <v>574.27</v>
      </c>
      <c r="C661" s="10">
        <f t="shared" si="40"/>
        <v>3.5650000873773896E-3</v>
      </c>
      <c r="D661" s="9">
        <f>'QUANT ACTIVE FUND'!B661</f>
        <v>520.83199999999999</v>
      </c>
      <c r="E661" s="10">
        <f t="shared" si="41"/>
        <v>5.7156980875583867E-3</v>
      </c>
      <c r="F661" s="9">
        <f>'NIPPON INDIA '!B661</f>
        <v>214.02799999999999</v>
      </c>
      <c r="G661" s="10">
        <f t="shared" si="42"/>
        <v>3.6671262298002411E-3</v>
      </c>
      <c r="H661" s="9">
        <f>'NIFTY500 TRI'!B661</f>
        <v>27594.87</v>
      </c>
      <c r="I661" s="10">
        <f t="shared" si="43"/>
        <v>3.0817783584131801E-3</v>
      </c>
    </row>
    <row r="662" spans="1:9" ht="14.25" customHeight="1" x14ac:dyDescent="0.3">
      <c r="A662" s="8">
        <f>'ICICI PRUDENTIAL MULTICAP FUND'!A662</f>
        <v>45250</v>
      </c>
      <c r="B662" s="9">
        <f>'ICICI PRUDENTIAL MULTICAP FUND'!B662</f>
        <v>572.23</v>
      </c>
      <c r="C662" s="10">
        <f t="shared" si="40"/>
        <v>5.2453971639897928E-4</v>
      </c>
      <c r="D662" s="9">
        <f>'QUANT ACTIVE FUND'!B662</f>
        <v>517.87199999999996</v>
      </c>
      <c r="E662" s="10">
        <f t="shared" si="41"/>
        <v>-3.4552582660797354E-4</v>
      </c>
      <c r="F662" s="9">
        <f>'NIPPON INDIA '!B662</f>
        <v>213.24600000000001</v>
      </c>
      <c r="G662" s="10">
        <f t="shared" si="42"/>
        <v>2.3690667569169189E-3</v>
      </c>
      <c r="H662" s="9">
        <f>'NIFTY500 TRI'!B662</f>
        <v>27510.09</v>
      </c>
      <c r="I662" s="10">
        <f t="shared" si="43"/>
        <v>-1.511701257343509E-3</v>
      </c>
    </row>
    <row r="663" spans="1:9" ht="14.25" customHeight="1" x14ac:dyDescent="0.3">
      <c r="A663" s="8">
        <f>'ICICI PRUDENTIAL MULTICAP FUND'!A663</f>
        <v>45247</v>
      </c>
      <c r="B663" s="9">
        <f>'ICICI PRUDENTIAL MULTICAP FUND'!B663</f>
        <v>571.92999999999995</v>
      </c>
      <c r="C663" s="10">
        <f t="shared" si="40"/>
        <v>9.1002957596118697E-4</v>
      </c>
      <c r="D663" s="9">
        <f>'QUANT ACTIVE FUND'!B663</f>
        <v>518.05100000000004</v>
      </c>
      <c r="E663" s="10">
        <f t="shared" si="41"/>
        <v>-2.6438281087162111E-4</v>
      </c>
      <c r="F663" s="9">
        <f>'NIPPON INDIA '!B663</f>
        <v>212.74199999999999</v>
      </c>
      <c r="G663" s="10">
        <f t="shared" si="42"/>
        <v>2.7432126696832278E-3</v>
      </c>
      <c r="H663" s="9">
        <f>'NIFTY500 TRI'!B663</f>
        <v>27551.74</v>
      </c>
      <c r="I663" s="10">
        <f t="shared" si="43"/>
        <v>4.5644077145401798E-4</v>
      </c>
    </row>
    <row r="664" spans="1:9" ht="14.25" customHeight="1" x14ac:dyDescent="0.3">
      <c r="A664" s="8">
        <f>'ICICI PRUDENTIAL MULTICAP FUND'!A664</f>
        <v>45246</v>
      </c>
      <c r="B664" s="9">
        <f>'ICICI PRUDENTIAL MULTICAP FUND'!B664</f>
        <v>571.41</v>
      </c>
      <c r="C664" s="10">
        <f t="shared" si="40"/>
        <v>4.8536006330783281E-3</v>
      </c>
      <c r="D664" s="9">
        <f>'QUANT ACTIVE FUND'!B664</f>
        <v>518.18799999999999</v>
      </c>
      <c r="E664" s="10">
        <f t="shared" si="41"/>
        <v>4.5303779579762161E-3</v>
      </c>
      <c r="F664" s="9">
        <f>'NIPPON INDIA '!B664</f>
        <v>212.16</v>
      </c>
      <c r="G664" s="10">
        <f t="shared" si="42"/>
        <v>3.0399447798522138E-3</v>
      </c>
      <c r="H664" s="9">
        <f>'NIFTY500 TRI'!B664</f>
        <v>27539.17</v>
      </c>
      <c r="I664" s="10">
        <f t="shared" si="43"/>
        <v>4.9977702536508749E-3</v>
      </c>
    </row>
    <row r="665" spans="1:9" ht="14.25" customHeight="1" x14ac:dyDescent="0.3">
      <c r="A665" s="8">
        <f>'ICICI PRUDENTIAL MULTICAP FUND'!A665</f>
        <v>45245</v>
      </c>
      <c r="B665" s="9">
        <f>'ICICI PRUDENTIAL MULTICAP FUND'!B665</f>
        <v>568.65</v>
      </c>
      <c r="C665" s="10">
        <f t="shared" si="40"/>
        <v>9.31842385516507E-3</v>
      </c>
      <c r="D665" s="9">
        <f>'QUANT ACTIVE FUND'!B665</f>
        <v>515.851</v>
      </c>
      <c r="E665" s="10">
        <f t="shared" si="41"/>
        <v>8.5398732704703682E-3</v>
      </c>
      <c r="F665" s="9">
        <f>'NIPPON INDIA '!B665</f>
        <v>211.517</v>
      </c>
      <c r="G665" s="10">
        <f t="shared" si="42"/>
        <v>7.6364606457883172E-3</v>
      </c>
      <c r="H665" s="9">
        <f>'NIFTY500 TRI'!B665</f>
        <v>27402.22</v>
      </c>
      <c r="I665" s="10">
        <f t="shared" si="43"/>
        <v>1.0960282809828754E-2</v>
      </c>
    </row>
    <row r="666" spans="1:9" ht="14.25" customHeight="1" x14ac:dyDescent="0.3">
      <c r="A666" s="8">
        <f>'ICICI PRUDENTIAL MULTICAP FUND'!A666</f>
        <v>45243</v>
      </c>
      <c r="B666" s="9">
        <f>'ICICI PRUDENTIAL MULTICAP FUND'!B666</f>
        <v>563.4</v>
      </c>
      <c r="C666" s="10">
        <f t="shared" si="40"/>
        <v>3.58039865334258E-3</v>
      </c>
      <c r="D666" s="9">
        <f>'QUANT ACTIVE FUND'!B666</f>
        <v>511.483</v>
      </c>
      <c r="E666" s="10">
        <f t="shared" si="41"/>
        <v>6.7393747576560553E-3</v>
      </c>
      <c r="F666" s="9">
        <f>'NIPPON INDIA '!B666</f>
        <v>209.91399999999999</v>
      </c>
      <c r="G666" s="10">
        <f t="shared" si="42"/>
        <v>2.1914014943542753E-3</v>
      </c>
      <c r="H666" s="9">
        <f>'NIFTY500 TRI'!B666</f>
        <v>27105.14</v>
      </c>
      <c r="I666" s="10">
        <f t="shared" si="43"/>
        <v>3.62235261490308E-3</v>
      </c>
    </row>
    <row r="667" spans="1:9" ht="14.25" customHeight="1" x14ac:dyDescent="0.3">
      <c r="A667" s="8">
        <f>'ICICI PRUDENTIAL MULTICAP FUND'!A667</f>
        <v>45240</v>
      </c>
      <c r="B667" s="9">
        <f>'ICICI PRUDENTIAL MULTICAP FUND'!B667</f>
        <v>561.39</v>
      </c>
      <c r="C667" s="10">
        <f t="shared" si="40"/>
        <v>5.1684191766167102E-4</v>
      </c>
      <c r="D667" s="9">
        <f>'QUANT ACTIVE FUND'!B667</f>
        <v>508.05900000000003</v>
      </c>
      <c r="E667" s="10">
        <f t="shared" si="41"/>
        <v>3.0641234968125236E-3</v>
      </c>
      <c r="F667" s="9">
        <f>'NIPPON INDIA '!B667</f>
        <v>209.45500000000001</v>
      </c>
      <c r="G667" s="10">
        <f t="shared" si="42"/>
        <v>1.5444790849798572E-3</v>
      </c>
      <c r="H667" s="9">
        <f>'NIFTY500 TRI'!B667</f>
        <v>27007.31</v>
      </c>
      <c r="I667" s="10">
        <f t="shared" si="43"/>
        <v>2.2232200509139971E-3</v>
      </c>
    </row>
    <row r="668" spans="1:9" ht="14.25" customHeight="1" x14ac:dyDescent="0.3">
      <c r="A668" s="8">
        <f>'ICICI PRUDENTIAL MULTICAP FUND'!A668</f>
        <v>45239</v>
      </c>
      <c r="B668" s="9">
        <f>'ICICI PRUDENTIAL MULTICAP FUND'!B668</f>
        <v>561.1</v>
      </c>
      <c r="C668" s="10">
        <f t="shared" si="40"/>
        <v>-3.0560392310152928E-3</v>
      </c>
      <c r="D668" s="9">
        <f>'QUANT ACTIVE FUND'!B668</f>
        <v>506.50700000000001</v>
      </c>
      <c r="E668" s="10">
        <f t="shared" si="41"/>
        <v>-2.8816566762659057E-4</v>
      </c>
      <c r="F668" s="9">
        <f>'NIPPON INDIA '!B668</f>
        <v>209.13200000000001</v>
      </c>
      <c r="G668" s="10">
        <f t="shared" si="42"/>
        <v>-3.9056546258192026E-3</v>
      </c>
      <c r="H668" s="9">
        <f>'NIFTY500 TRI'!B668</f>
        <v>26947.4</v>
      </c>
      <c r="I668" s="10">
        <f t="shared" si="43"/>
        <v>-2.3457318490852147E-3</v>
      </c>
    </row>
    <row r="669" spans="1:9" ht="14.25" customHeight="1" x14ac:dyDescent="0.3">
      <c r="A669" s="8">
        <f>'ICICI PRUDENTIAL MULTICAP FUND'!A669</f>
        <v>45238</v>
      </c>
      <c r="B669" s="9">
        <f>'ICICI PRUDENTIAL MULTICAP FUND'!B669</f>
        <v>562.82000000000005</v>
      </c>
      <c r="C669" s="10">
        <f t="shared" si="40"/>
        <v>5.0177675398654651E-3</v>
      </c>
      <c r="D669" s="9">
        <f>'QUANT ACTIVE FUND'!B669</f>
        <v>506.65300000000002</v>
      </c>
      <c r="E669" s="10">
        <f t="shared" si="41"/>
        <v>5.5032944351830291E-3</v>
      </c>
      <c r="F669" s="9">
        <f>'NIPPON INDIA '!B669</f>
        <v>209.952</v>
      </c>
      <c r="G669" s="10">
        <f t="shared" si="42"/>
        <v>1.7606389831236302E-3</v>
      </c>
      <c r="H669" s="9">
        <f>'NIFTY500 TRI'!B669</f>
        <v>27010.76</v>
      </c>
      <c r="I669" s="10">
        <f t="shared" si="43"/>
        <v>4.1966132646884206E-3</v>
      </c>
    </row>
    <row r="670" spans="1:9" ht="14.25" customHeight="1" x14ac:dyDescent="0.3">
      <c r="A670" s="8">
        <f>'ICICI PRUDENTIAL MULTICAP FUND'!A670</f>
        <v>45237</v>
      </c>
      <c r="B670" s="9">
        <f>'ICICI PRUDENTIAL MULTICAP FUND'!B670</f>
        <v>560.01</v>
      </c>
      <c r="C670" s="10">
        <f t="shared" si="40"/>
        <v>1.2157402606689251E-3</v>
      </c>
      <c r="D670" s="9">
        <f>'QUANT ACTIVE FUND'!B670</f>
        <v>503.88</v>
      </c>
      <c r="E670" s="10">
        <f t="shared" si="41"/>
        <v>5.7705857813245796E-3</v>
      </c>
      <c r="F670" s="9">
        <f>'NIPPON INDIA '!B670</f>
        <v>209.583</v>
      </c>
      <c r="G670" s="10">
        <f t="shared" si="42"/>
        <v>3.6827032670223524E-3</v>
      </c>
      <c r="H670" s="9">
        <f>'NIFTY500 TRI'!B670</f>
        <v>26897.88</v>
      </c>
      <c r="I670" s="10">
        <f t="shared" si="43"/>
        <v>1.6746788336906937E-3</v>
      </c>
    </row>
    <row r="671" spans="1:9" ht="14.25" customHeight="1" x14ac:dyDescent="0.3">
      <c r="A671" s="8">
        <f>'ICICI PRUDENTIAL MULTICAP FUND'!A671</f>
        <v>45236</v>
      </c>
      <c r="B671" s="9">
        <f>'ICICI PRUDENTIAL MULTICAP FUND'!B671</f>
        <v>559.33000000000004</v>
      </c>
      <c r="C671" s="10">
        <f t="shared" si="40"/>
        <v>9.712067876162099E-3</v>
      </c>
      <c r="D671" s="9">
        <f>'QUANT ACTIVE FUND'!B671</f>
        <v>500.98899999999998</v>
      </c>
      <c r="E671" s="10">
        <f t="shared" si="41"/>
        <v>1.0015704980232612E-2</v>
      </c>
      <c r="F671" s="9">
        <f>'NIPPON INDIA '!B671</f>
        <v>208.81399999999999</v>
      </c>
      <c r="G671" s="10">
        <f t="shared" si="42"/>
        <v>1.0075895729232667E-2</v>
      </c>
      <c r="H671" s="9">
        <f>'NIFTY500 TRI'!B671</f>
        <v>26852.91</v>
      </c>
      <c r="I671" s="10">
        <f t="shared" si="43"/>
        <v>9.3864647861911024E-3</v>
      </c>
    </row>
    <row r="672" spans="1:9" ht="14.25" customHeight="1" x14ac:dyDescent="0.3">
      <c r="A672" s="8">
        <f>'ICICI PRUDENTIAL MULTICAP FUND'!A672</f>
        <v>45233</v>
      </c>
      <c r="B672" s="9">
        <f>'ICICI PRUDENTIAL MULTICAP FUND'!B672</f>
        <v>553.95000000000005</v>
      </c>
      <c r="C672" s="10">
        <f t="shared" si="40"/>
        <v>8.8142630802572012E-3</v>
      </c>
      <c r="D672" s="9">
        <f>'QUANT ACTIVE FUND'!B672</f>
        <v>496.02100000000002</v>
      </c>
      <c r="E672" s="10">
        <f t="shared" si="41"/>
        <v>5.104335950006293E-3</v>
      </c>
      <c r="F672" s="9">
        <f>'NIPPON INDIA '!B672</f>
        <v>206.73099999999999</v>
      </c>
      <c r="G672" s="10">
        <f t="shared" si="42"/>
        <v>5.2907222711203097E-3</v>
      </c>
      <c r="H672" s="9">
        <f>'NIFTY500 TRI'!B672</f>
        <v>26603.200000000001</v>
      </c>
      <c r="I672" s="10">
        <f t="shared" si="43"/>
        <v>6.61981024093539E-3</v>
      </c>
    </row>
    <row r="673" spans="1:9" ht="14.25" customHeight="1" x14ac:dyDescent="0.3">
      <c r="A673" s="8">
        <f>'ICICI PRUDENTIAL MULTICAP FUND'!A673</f>
        <v>45232</v>
      </c>
      <c r="B673" s="9">
        <f>'ICICI PRUDENTIAL MULTICAP FUND'!B673</f>
        <v>549.11</v>
      </c>
      <c r="C673" s="10">
        <f t="shared" si="40"/>
        <v>9.393382352941201E-3</v>
      </c>
      <c r="D673" s="9">
        <f>'QUANT ACTIVE FUND'!B673</f>
        <v>493.50200000000001</v>
      </c>
      <c r="E673" s="10">
        <f t="shared" si="41"/>
        <v>9.3221309597827009E-3</v>
      </c>
      <c r="F673" s="9">
        <f>'NIPPON INDIA '!B673</f>
        <v>205.643</v>
      </c>
      <c r="G673" s="10">
        <f t="shared" si="42"/>
        <v>8.1577025085915085E-3</v>
      </c>
      <c r="H673" s="9">
        <f>'NIFTY500 TRI'!B673</f>
        <v>26428.25</v>
      </c>
      <c r="I673" s="10">
        <f t="shared" si="43"/>
        <v>9.6235760996380652E-3</v>
      </c>
    </row>
    <row r="674" spans="1:9" ht="14.25" customHeight="1" x14ac:dyDescent="0.3">
      <c r="A674" s="8">
        <f>'ICICI PRUDENTIAL MULTICAP FUND'!A674</f>
        <v>45231</v>
      </c>
      <c r="B674" s="9">
        <f>'ICICI PRUDENTIAL MULTICAP FUND'!B674</f>
        <v>544</v>
      </c>
      <c r="C674" s="10">
        <f t="shared" si="40"/>
        <v>-3.1517994575973526E-3</v>
      </c>
      <c r="D674" s="9">
        <f>'QUANT ACTIVE FUND'!B674</f>
        <v>488.94400000000002</v>
      </c>
      <c r="E674" s="10">
        <f t="shared" si="41"/>
        <v>-3.6699304119247014E-3</v>
      </c>
      <c r="F674" s="9">
        <f>'NIPPON INDIA '!B674</f>
        <v>203.97900000000001</v>
      </c>
      <c r="G674" s="10">
        <f t="shared" si="42"/>
        <v>-2.9328523455486354E-3</v>
      </c>
      <c r="H674" s="9">
        <f>'NIFTY500 TRI'!B674</f>
        <v>26176.34</v>
      </c>
      <c r="I674" s="10">
        <f t="shared" si="43"/>
        <v>-4.0111468942718546E-3</v>
      </c>
    </row>
    <row r="675" spans="1:9" ht="14.25" customHeight="1" x14ac:dyDescent="0.3">
      <c r="A675" s="8">
        <f>'ICICI PRUDENTIAL MULTICAP FUND'!A675</f>
        <v>45230</v>
      </c>
      <c r="B675" s="9">
        <f>'ICICI PRUDENTIAL MULTICAP FUND'!B675</f>
        <v>545.72</v>
      </c>
      <c r="C675" s="10">
        <f t="shared" si="40"/>
        <v>-3.9788282533308088E-3</v>
      </c>
      <c r="D675" s="9">
        <f>'QUANT ACTIVE FUND'!B675</f>
        <v>490.745</v>
      </c>
      <c r="E675" s="10">
        <f t="shared" si="41"/>
        <v>-2.2405341498473621E-3</v>
      </c>
      <c r="F675" s="9">
        <f>'NIPPON INDIA '!B675</f>
        <v>204.57900000000001</v>
      </c>
      <c r="G675" s="10">
        <f t="shared" si="42"/>
        <v>7.7291472011200158E-4</v>
      </c>
      <c r="H675" s="9">
        <f>'NIFTY500 TRI'!B675</f>
        <v>26281.759999999998</v>
      </c>
      <c r="I675" s="10">
        <f t="shared" si="43"/>
        <v>-1.4809614015412636E-3</v>
      </c>
    </row>
    <row r="676" spans="1:9" ht="14.25" customHeight="1" x14ac:dyDescent="0.3">
      <c r="A676" s="8">
        <f>'ICICI PRUDENTIAL MULTICAP FUND'!A676</f>
        <v>45229</v>
      </c>
      <c r="B676" s="9">
        <f>'ICICI PRUDENTIAL MULTICAP FUND'!B676</f>
        <v>547.9</v>
      </c>
      <c r="C676" s="10">
        <f t="shared" si="40"/>
        <v>2.5617566331198119E-3</v>
      </c>
      <c r="D676" s="9">
        <f>'QUANT ACTIVE FUND'!B676</f>
        <v>491.84699999999998</v>
      </c>
      <c r="E676" s="10">
        <f t="shared" si="41"/>
        <v>5.9414000024542229E-3</v>
      </c>
      <c r="F676" s="9">
        <f>'NIPPON INDIA '!B676</f>
        <v>204.42099999999999</v>
      </c>
      <c r="G676" s="10">
        <f t="shared" si="42"/>
        <v>4.5998476546181711E-3</v>
      </c>
      <c r="H676" s="9">
        <f>'NIFTY500 TRI'!B676</f>
        <v>26320.74</v>
      </c>
      <c r="I676" s="10">
        <f t="shared" si="43"/>
        <v>3.6170378267574082E-3</v>
      </c>
    </row>
    <row r="677" spans="1:9" ht="14.25" customHeight="1" x14ac:dyDescent="0.3">
      <c r="A677" s="8">
        <f>'ICICI PRUDENTIAL MULTICAP FUND'!A677</f>
        <v>45226</v>
      </c>
      <c r="B677" s="9">
        <f>'ICICI PRUDENTIAL MULTICAP FUND'!B677</f>
        <v>546.5</v>
      </c>
      <c r="C677" s="10">
        <f t="shared" si="40"/>
        <v>1.1587442618095644E-2</v>
      </c>
      <c r="D677" s="9">
        <f>'QUANT ACTIVE FUND'!B677</f>
        <v>488.94200000000001</v>
      </c>
      <c r="E677" s="10">
        <f t="shared" si="41"/>
        <v>1.6308595373896277E-2</v>
      </c>
      <c r="F677" s="9">
        <f>'NIPPON INDIA '!B677</f>
        <v>203.48500000000001</v>
      </c>
      <c r="G677" s="10">
        <f t="shared" si="42"/>
        <v>1.3381607386527813E-2</v>
      </c>
      <c r="H677" s="9">
        <f>'NIFTY500 TRI'!B677</f>
        <v>26225.88</v>
      </c>
      <c r="I677" s="10">
        <f t="shared" si="43"/>
        <v>1.2725350377698195E-2</v>
      </c>
    </row>
    <row r="678" spans="1:9" ht="14.25" customHeight="1" x14ac:dyDescent="0.3">
      <c r="A678" s="8">
        <f>'ICICI PRUDENTIAL MULTICAP FUND'!A678</f>
        <v>45225</v>
      </c>
      <c r="B678" s="9">
        <f>'ICICI PRUDENTIAL MULTICAP FUND'!B678</f>
        <v>540.24</v>
      </c>
      <c r="C678" s="10">
        <f t="shared" si="40"/>
        <v>-8.9521573231581952E-3</v>
      </c>
      <c r="D678" s="9">
        <f>'QUANT ACTIVE FUND'!B678</f>
        <v>481.096</v>
      </c>
      <c r="E678" s="10">
        <f t="shared" si="41"/>
        <v>-8.7321308624576047E-3</v>
      </c>
      <c r="F678" s="9">
        <f>'NIPPON INDIA '!B678</f>
        <v>200.798</v>
      </c>
      <c r="G678" s="10">
        <f t="shared" si="42"/>
        <v>-8.9530728683394518E-3</v>
      </c>
      <c r="H678" s="9">
        <f>'NIFTY500 TRI'!B678</f>
        <v>25896.34</v>
      </c>
      <c r="I678" s="10">
        <f t="shared" si="43"/>
        <v>-1.225284713539547E-2</v>
      </c>
    </row>
    <row r="679" spans="1:9" ht="14.25" customHeight="1" x14ac:dyDescent="0.3">
      <c r="A679" s="8">
        <f>'ICICI PRUDENTIAL MULTICAP FUND'!A679</f>
        <v>45224</v>
      </c>
      <c r="B679" s="9">
        <f>'ICICI PRUDENTIAL MULTICAP FUND'!B679</f>
        <v>545.12</v>
      </c>
      <c r="C679" s="10">
        <f t="shared" si="40"/>
        <v>-7.2301444207689579E-3</v>
      </c>
      <c r="D679" s="9">
        <f>'QUANT ACTIVE FUND'!B679</f>
        <v>485.334</v>
      </c>
      <c r="E679" s="10">
        <f t="shared" si="41"/>
        <v>-5.7279822997971692E-3</v>
      </c>
      <c r="F679" s="9">
        <f>'NIPPON INDIA '!B679</f>
        <v>202.61199999999999</v>
      </c>
      <c r="G679" s="10">
        <f t="shared" si="42"/>
        <v>-8.0001566738149808E-3</v>
      </c>
      <c r="H679" s="9">
        <f>'NIFTY500 TRI'!B679</f>
        <v>26217.58</v>
      </c>
      <c r="I679" s="10">
        <f t="shared" si="43"/>
        <v>-7.0915056071180916E-3</v>
      </c>
    </row>
    <row r="680" spans="1:9" ht="14.25" customHeight="1" x14ac:dyDescent="0.3">
      <c r="A680" s="8">
        <f>'ICICI PRUDENTIAL MULTICAP FUND'!A680</f>
        <v>45222</v>
      </c>
      <c r="B680" s="9">
        <f>'ICICI PRUDENTIAL MULTICAP FUND'!B680</f>
        <v>549.09</v>
      </c>
      <c r="C680" s="10">
        <f t="shared" si="40"/>
        <v>-1.9989648217887044E-2</v>
      </c>
      <c r="D680" s="9">
        <f>'QUANT ACTIVE FUND'!B680</f>
        <v>488.13</v>
      </c>
      <c r="E680" s="10">
        <f t="shared" si="41"/>
        <v>-2.9165025835630472E-2</v>
      </c>
      <c r="F680" s="9">
        <f>'NIPPON INDIA '!B680</f>
        <v>204.24600000000001</v>
      </c>
      <c r="G680" s="10">
        <f t="shared" si="42"/>
        <v>-2.1688524433119027E-2</v>
      </c>
      <c r="H680" s="9">
        <f>'NIFTY500 TRI'!B680</f>
        <v>26404.83</v>
      </c>
      <c r="I680" s="10">
        <f t="shared" si="43"/>
        <v>-1.8596425891380598E-2</v>
      </c>
    </row>
    <row r="681" spans="1:9" ht="14.25" customHeight="1" x14ac:dyDescent="0.3">
      <c r="A681" s="8">
        <f>'ICICI PRUDENTIAL MULTICAP FUND'!A681</f>
        <v>45219</v>
      </c>
      <c r="B681" s="9">
        <f>'ICICI PRUDENTIAL MULTICAP FUND'!B681</f>
        <v>560.29</v>
      </c>
      <c r="C681" s="10">
        <f t="shared" si="40"/>
        <v>-5.3611688058084932E-3</v>
      </c>
      <c r="D681" s="9">
        <f>'QUANT ACTIVE FUND'!B681</f>
        <v>502.79399999999998</v>
      </c>
      <c r="E681" s="10">
        <f t="shared" si="41"/>
        <v>-1.2153719203112175E-2</v>
      </c>
      <c r="F681" s="9">
        <f>'NIPPON INDIA '!B681</f>
        <v>208.774</v>
      </c>
      <c r="G681" s="10">
        <f t="shared" si="42"/>
        <v>-9.056302864031987E-3</v>
      </c>
      <c r="H681" s="9">
        <f>'NIFTY500 TRI'!B681</f>
        <v>26905.17</v>
      </c>
      <c r="I681" s="10">
        <f t="shared" si="43"/>
        <v>-5.777576425862338E-3</v>
      </c>
    </row>
    <row r="682" spans="1:9" ht="14.25" customHeight="1" x14ac:dyDescent="0.3">
      <c r="A682" s="8">
        <f>'ICICI PRUDENTIAL MULTICAP FUND'!A682</f>
        <v>45218</v>
      </c>
      <c r="B682" s="9">
        <f>'ICICI PRUDENTIAL MULTICAP FUND'!B682</f>
        <v>563.30999999999995</v>
      </c>
      <c r="C682" s="10">
        <f t="shared" si="40"/>
        <v>-3.0440861547174972E-3</v>
      </c>
      <c r="D682" s="9">
        <f>'QUANT ACTIVE FUND'!B682</f>
        <v>508.98</v>
      </c>
      <c r="E682" s="10">
        <f t="shared" si="41"/>
        <v>1.392954953253429E-3</v>
      </c>
      <c r="F682" s="9">
        <f>'NIPPON INDIA '!B682</f>
        <v>210.68199999999999</v>
      </c>
      <c r="G682" s="10">
        <f t="shared" si="42"/>
        <v>-6.6880748305459816E-4</v>
      </c>
      <c r="H682" s="9">
        <f>'NIFTY500 TRI'!B682</f>
        <v>27061.52</v>
      </c>
      <c r="I682" s="10">
        <f t="shared" si="43"/>
        <v>-1.8652195385896E-3</v>
      </c>
    </row>
    <row r="683" spans="1:9" ht="14.25" customHeight="1" x14ac:dyDescent="0.3">
      <c r="A683" s="8">
        <f>'ICICI PRUDENTIAL MULTICAP FUND'!A683</f>
        <v>45217</v>
      </c>
      <c r="B683" s="9">
        <f>'ICICI PRUDENTIAL MULTICAP FUND'!B683</f>
        <v>565.03</v>
      </c>
      <c r="C683" s="10">
        <f t="shared" si="40"/>
        <v>-5.8589626293195172E-3</v>
      </c>
      <c r="D683" s="9">
        <f>'QUANT ACTIVE FUND'!B683</f>
        <v>508.27199999999999</v>
      </c>
      <c r="E683" s="10">
        <f t="shared" si="41"/>
        <v>-7.6204422316590295E-3</v>
      </c>
      <c r="F683" s="9">
        <f>'NIPPON INDIA '!B683</f>
        <v>210.82300000000001</v>
      </c>
      <c r="G683" s="10">
        <f t="shared" si="42"/>
        <v>-6.3674154231903955E-3</v>
      </c>
      <c r="H683" s="9">
        <f>'NIFTY500 TRI'!B683</f>
        <v>27112.09</v>
      </c>
      <c r="I683" s="10">
        <f t="shared" si="43"/>
        <v>-7.0820974698476537E-3</v>
      </c>
    </row>
    <row r="684" spans="1:9" ht="14.25" customHeight="1" x14ac:dyDescent="0.3">
      <c r="A684" s="8">
        <f>'ICICI PRUDENTIAL MULTICAP FUND'!A684</f>
        <v>45216</v>
      </c>
      <c r="B684" s="9">
        <f>'ICICI PRUDENTIAL MULTICAP FUND'!B684</f>
        <v>568.36</v>
      </c>
      <c r="C684" s="10">
        <f t="shared" si="40"/>
        <v>6.3743891210426068E-3</v>
      </c>
      <c r="D684" s="9">
        <f>'QUANT ACTIVE FUND'!B684</f>
        <v>512.17499999999995</v>
      </c>
      <c r="E684" s="10">
        <f t="shared" si="41"/>
        <v>1.3548863889636914E-3</v>
      </c>
      <c r="F684" s="9">
        <f>'NIPPON INDIA '!B684</f>
        <v>212.17400000000001</v>
      </c>
      <c r="G684" s="10">
        <f t="shared" si="42"/>
        <v>4.112538747308392E-3</v>
      </c>
      <c r="H684" s="9">
        <f>'NIFTY500 TRI'!B684</f>
        <v>27305.47</v>
      </c>
      <c r="I684" s="10">
        <f t="shared" si="43"/>
        <v>4.2955377017200123E-3</v>
      </c>
    </row>
    <row r="685" spans="1:9" ht="14.25" customHeight="1" x14ac:dyDescent="0.3">
      <c r="A685" s="8">
        <f>'ICICI PRUDENTIAL MULTICAP FUND'!A685</f>
        <v>45215</v>
      </c>
      <c r="B685" s="9">
        <f>'ICICI PRUDENTIAL MULTICAP FUND'!B685</f>
        <v>564.76</v>
      </c>
      <c r="C685" s="10">
        <f t="shared" si="40"/>
        <v>7.0876745339849964E-4</v>
      </c>
      <c r="D685" s="9">
        <f>'QUANT ACTIVE FUND'!B685</f>
        <v>511.48200000000003</v>
      </c>
      <c r="E685" s="10">
        <f t="shared" si="41"/>
        <v>-6.1547840256976445E-4</v>
      </c>
      <c r="F685" s="9">
        <f>'NIPPON INDIA '!B685</f>
        <v>211.30500000000001</v>
      </c>
      <c r="G685" s="10">
        <f t="shared" si="42"/>
        <v>1.5499246366919687E-3</v>
      </c>
      <c r="H685" s="9">
        <f>'NIFTY500 TRI'!B685</f>
        <v>27188.68</v>
      </c>
      <c r="I685" s="10">
        <f t="shared" si="43"/>
        <v>1.5302826755814907E-4</v>
      </c>
    </row>
    <row r="686" spans="1:9" ht="14.25" customHeight="1" x14ac:dyDescent="0.3">
      <c r="A686" s="8">
        <f>'ICICI PRUDENTIAL MULTICAP FUND'!A686</f>
        <v>45212</v>
      </c>
      <c r="B686" s="9">
        <f>'ICICI PRUDENTIAL MULTICAP FUND'!B686</f>
        <v>564.36</v>
      </c>
      <c r="C686" s="10">
        <f t="shared" si="40"/>
        <v>1.7719500310075139E-5</v>
      </c>
      <c r="D686" s="9">
        <f>'QUANT ACTIVE FUND'!B686</f>
        <v>511.79700000000003</v>
      </c>
      <c r="E686" s="10">
        <f t="shared" si="41"/>
        <v>-3.3028687830214359E-3</v>
      </c>
      <c r="F686" s="9">
        <f>'NIPPON INDIA '!B686</f>
        <v>210.97800000000001</v>
      </c>
      <c r="G686" s="10">
        <f t="shared" si="42"/>
        <v>-2.104785193663855E-3</v>
      </c>
      <c r="H686" s="9">
        <f>'NIFTY500 TRI'!B686</f>
        <v>27184.52</v>
      </c>
      <c r="I686" s="10">
        <f t="shared" si="43"/>
        <v>-1.6867146888869002E-3</v>
      </c>
    </row>
    <row r="687" spans="1:9" ht="14.25" customHeight="1" x14ac:dyDescent="0.3">
      <c r="A687" s="8">
        <f>'ICICI PRUDENTIAL MULTICAP FUND'!A687</f>
        <v>45211</v>
      </c>
      <c r="B687" s="9">
        <f>'ICICI PRUDENTIAL MULTICAP FUND'!B687</f>
        <v>564.35</v>
      </c>
      <c r="C687" s="10">
        <f t="shared" si="40"/>
        <v>3.8064068586471001E-3</v>
      </c>
      <c r="D687" s="9">
        <f>'QUANT ACTIVE FUND'!B687</f>
        <v>513.49300000000005</v>
      </c>
      <c r="E687" s="10">
        <f t="shared" si="41"/>
        <v>7.5800090261563414E-3</v>
      </c>
      <c r="F687" s="9">
        <f>'NIPPON INDIA '!B687</f>
        <v>211.423</v>
      </c>
      <c r="G687" s="10">
        <f t="shared" si="42"/>
        <v>9.0585848944039898E-3</v>
      </c>
      <c r="H687" s="9">
        <f>'NIFTY500 TRI'!B687</f>
        <v>27230.45</v>
      </c>
      <c r="I687" s="10">
        <f t="shared" si="43"/>
        <v>7.1110686447817923E-4</v>
      </c>
    </row>
    <row r="688" spans="1:9" ht="14.25" customHeight="1" x14ac:dyDescent="0.3">
      <c r="A688" s="8">
        <f>'ICICI PRUDENTIAL MULTICAP FUND'!A688</f>
        <v>45210</v>
      </c>
      <c r="B688" s="9">
        <f>'ICICI PRUDENTIAL MULTICAP FUND'!B688</f>
        <v>562.21</v>
      </c>
      <c r="C688" s="10">
        <f t="shared" si="40"/>
        <v>6.0303485791997789E-3</v>
      </c>
      <c r="D688" s="9">
        <f>'QUANT ACTIVE FUND'!B688</f>
        <v>509.63</v>
      </c>
      <c r="E688" s="10">
        <f t="shared" si="41"/>
        <v>5.5027118958410771E-3</v>
      </c>
      <c r="F688" s="9">
        <f>'NIPPON INDIA '!B688</f>
        <v>209.52500000000001</v>
      </c>
      <c r="G688" s="10">
        <f t="shared" si="42"/>
        <v>5.750574817474487E-3</v>
      </c>
      <c r="H688" s="9">
        <f>'NIFTY500 TRI'!B688</f>
        <v>27211.1</v>
      </c>
      <c r="I688" s="10">
        <f t="shared" si="43"/>
        <v>6.0099362109747017E-3</v>
      </c>
    </row>
    <row r="689" spans="1:9" ht="14.25" customHeight="1" x14ac:dyDescent="0.3">
      <c r="A689" s="8">
        <f>'ICICI PRUDENTIAL MULTICAP FUND'!A689</f>
        <v>45209</v>
      </c>
      <c r="B689" s="9">
        <f>'ICICI PRUDENTIAL MULTICAP FUND'!B689</f>
        <v>558.84</v>
      </c>
      <c r="C689" s="10">
        <f t="shared" si="40"/>
        <v>9.4653179190751606E-3</v>
      </c>
      <c r="D689" s="9">
        <f>'QUANT ACTIVE FUND'!B689</f>
        <v>506.84100000000001</v>
      </c>
      <c r="E689" s="10">
        <f t="shared" si="41"/>
        <v>1.5499744542731468E-2</v>
      </c>
      <c r="F689" s="9">
        <f>'NIPPON INDIA '!B689</f>
        <v>208.327</v>
      </c>
      <c r="G689" s="10">
        <f t="shared" si="42"/>
        <v>7.0479385504836319E-3</v>
      </c>
      <c r="H689" s="9">
        <f>'NIFTY500 TRI'!B689</f>
        <v>27048.54</v>
      </c>
      <c r="I689" s="10">
        <f t="shared" si="43"/>
        <v>1.0255864375633783E-2</v>
      </c>
    </row>
    <row r="690" spans="1:9" ht="14.25" customHeight="1" x14ac:dyDescent="0.3">
      <c r="A690" s="8">
        <f>'ICICI PRUDENTIAL MULTICAP FUND'!A690</f>
        <v>45208</v>
      </c>
      <c r="B690" s="9">
        <f>'ICICI PRUDENTIAL MULTICAP FUND'!B690</f>
        <v>553.6</v>
      </c>
      <c r="C690" s="10">
        <f t="shared" si="40"/>
        <v>-8.1697004443169446E-3</v>
      </c>
      <c r="D690" s="9">
        <f>'QUANT ACTIVE FUND'!B690</f>
        <v>499.10500000000002</v>
      </c>
      <c r="E690" s="10">
        <f t="shared" si="41"/>
        <v>-1.4006459961082142E-2</v>
      </c>
      <c r="F690" s="9">
        <f>'NIPPON INDIA '!B690</f>
        <v>206.869</v>
      </c>
      <c r="G690" s="10">
        <f t="shared" si="42"/>
        <v>-1.300603544931892E-2</v>
      </c>
      <c r="H690" s="9">
        <f>'NIFTY500 TRI'!B690</f>
        <v>26773.95</v>
      </c>
      <c r="I690" s="10">
        <f t="shared" si="43"/>
        <v>-9.5933569313982926E-3</v>
      </c>
    </row>
    <row r="691" spans="1:9" ht="14.25" customHeight="1" x14ac:dyDescent="0.3">
      <c r="A691" s="8">
        <f>'ICICI PRUDENTIAL MULTICAP FUND'!A691</f>
        <v>45205</v>
      </c>
      <c r="B691" s="9">
        <f>'ICICI PRUDENTIAL MULTICAP FUND'!B691</f>
        <v>558.16</v>
      </c>
      <c r="C691" s="10">
        <f t="shared" si="40"/>
        <v>5.0598721526963989E-3</v>
      </c>
      <c r="D691" s="9">
        <f>'QUANT ACTIVE FUND'!B691</f>
        <v>506.19499999999999</v>
      </c>
      <c r="E691" s="10">
        <f t="shared" si="41"/>
        <v>5.4064468203855621E-3</v>
      </c>
      <c r="F691" s="9">
        <f>'NIPPON INDIA '!B691</f>
        <v>209.595</v>
      </c>
      <c r="G691" s="10">
        <f t="shared" si="42"/>
        <v>4.6446751603347334E-3</v>
      </c>
      <c r="H691" s="9">
        <f>'NIFTY500 TRI'!B691</f>
        <v>27033.29</v>
      </c>
      <c r="I691" s="10">
        <f t="shared" si="43"/>
        <v>5.6881615184899269E-3</v>
      </c>
    </row>
    <row r="692" spans="1:9" ht="14.25" customHeight="1" x14ac:dyDescent="0.3">
      <c r="A692" s="8">
        <f>'ICICI PRUDENTIAL MULTICAP FUND'!A692</f>
        <v>45204</v>
      </c>
      <c r="B692" s="9">
        <f>'ICICI PRUDENTIAL MULTICAP FUND'!B692</f>
        <v>555.35</v>
      </c>
      <c r="C692" s="10">
        <f t="shared" si="40"/>
        <v>4.7401081902556479E-3</v>
      </c>
      <c r="D692" s="9">
        <f>'QUANT ACTIVE FUND'!B692</f>
        <v>503.47300000000001</v>
      </c>
      <c r="E692" s="10">
        <f t="shared" si="41"/>
        <v>7.1753406796099071E-4</v>
      </c>
      <c r="F692" s="9">
        <f>'NIPPON INDIA '!B692</f>
        <v>208.626</v>
      </c>
      <c r="G692" s="10">
        <f t="shared" si="42"/>
        <v>3.6851727124025358E-3</v>
      </c>
      <c r="H692" s="9">
        <f>'NIFTY500 TRI'!B692</f>
        <v>26880.39</v>
      </c>
      <c r="I692" s="10">
        <f t="shared" si="43"/>
        <v>4.24519067679469E-3</v>
      </c>
    </row>
    <row r="693" spans="1:9" ht="14.25" customHeight="1" x14ac:dyDescent="0.3">
      <c r="A693" s="8">
        <f>'ICICI PRUDENTIAL MULTICAP FUND'!A693</f>
        <v>45203</v>
      </c>
      <c r="B693" s="9">
        <f>'ICICI PRUDENTIAL MULTICAP FUND'!B693</f>
        <v>552.73</v>
      </c>
      <c r="C693" s="10">
        <f t="shared" si="40"/>
        <v>-7.0956384278219658E-3</v>
      </c>
      <c r="D693" s="9">
        <f>'QUANT ACTIVE FUND'!B693</f>
        <v>503.11200000000002</v>
      </c>
      <c r="E693" s="10">
        <f t="shared" si="41"/>
        <v>-1.206077910040961E-2</v>
      </c>
      <c r="F693" s="9">
        <f>'NIPPON INDIA '!B693</f>
        <v>207.86</v>
      </c>
      <c r="G693" s="10">
        <f t="shared" si="42"/>
        <v>-1.0374263827193872E-2</v>
      </c>
      <c r="H693" s="9">
        <f>'NIFTY500 TRI'!B693</f>
        <v>26766.76</v>
      </c>
      <c r="I693" s="10">
        <f t="shared" si="43"/>
        <v>-7.6101085495265848E-3</v>
      </c>
    </row>
    <row r="694" spans="1:9" ht="14.25" customHeight="1" x14ac:dyDescent="0.3">
      <c r="A694" s="8">
        <f>'ICICI PRUDENTIAL MULTICAP FUND'!A694</f>
        <v>45202</v>
      </c>
      <c r="B694" s="9">
        <f>'ICICI PRUDENTIAL MULTICAP FUND'!B694</f>
        <v>556.67999999999995</v>
      </c>
      <c r="C694" s="10">
        <f t="shared" si="40"/>
        <v>-3.3836403673668473E-3</v>
      </c>
      <c r="D694" s="9">
        <f>'QUANT ACTIVE FUND'!B694</f>
        <v>509.25400000000002</v>
      </c>
      <c r="E694" s="10">
        <f t="shared" si="41"/>
        <v>-1.8326541732573659E-3</v>
      </c>
      <c r="F694" s="9">
        <f>'NIPPON INDIA '!B694</f>
        <v>210.03899999999999</v>
      </c>
      <c r="G694" s="10">
        <f t="shared" si="42"/>
        <v>-3.3316040721730912E-4</v>
      </c>
      <c r="H694" s="9">
        <f>'NIFTY500 TRI'!B694</f>
        <v>26972.02</v>
      </c>
      <c r="I694" s="10">
        <f t="shared" si="43"/>
        <v>-2.2092547501567105E-3</v>
      </c>
    </row>
    <row r="695" spans="1:9" ht="14.25" customHeight="1" x14ac:dyDescent="0.3">
      <c r="A695" s="8">
        <f>'ICICI PRUDENTIAL MULTICAP FUND'!A695</f>
        <v>45198</v>
      </c>
      <c r="B695" s="9">
        <f>'ICICI PRUDENTIAL MULTICAP FUND'!B695</f>
        <v>558.57000000000005</v>
      </c>
      <c r="C695" s="10">
        <f t="shared" si="40"/>
        <v>2.2788444284946988E-3</v>
      </c>
      <c r="D695" s="9">
        <f>'QUANT ACTIVE FUND'!B695</f>
        <v>510.18900000000002</v>
      </c>
      <c r="E695" s="10">
        <f t="shared" si="41"/>
        <v>5.3538229826093824E-4</v>
      </c>
      <c r="F695" s="9">
        <f>'NIPPON INDIA '!B695</f>
        <v>210.10900000000001</v>
      </c>
      <c r="G695" s="10">
        <f t="shared" si="42"/>
        <v>8.7173575450406882E-4</v>
      </c>
      <c r="H695" s="9">
        <f>'NIFTY500 TRI'!B695</f>
        <v>27031.74</v>
      </c>
      <c r="I695" s="10">
        <f t="shared" si="43"/>
        <v>7.1134216888387603E-3</v>
      </c>
    </row>
    <row r="696" spans="1:9" ht="14.25" customHeight="1" x14ac:dyDescent="0.3">
      <c r="A696" s="8">
        <f>'ICICI PRUDENTIAL MULTICAP FUND'!A696</f>
        <v>45197</v>
      </c>
      <c r="B696" s="9">
        <f>'ICICI PRUDENTIAL MULTICAP FUND'!B696</f>
        <v>557.29999999999995</v>
      </c>
      <c r="C696" s="10">
        <f t="shared" si="40"/>
        <v>0</v>
      </c>
      <c r="D696" s="9">
        <f>'QUANT ACTIVE FUND'!B696</f>
        <v>509.916</v>
      </c>
      <c r="E696" s="10">
        <f t="shared" si="41"/>
        <v>0</v>
      </c>
      <c r="F696" s="9">
        <f>'NIPPON INDIA '!B696</f>
        <v>209.92599999999999</v>
      </c>
      <c r="G696" s="10">
        <f t="shared" si="42"/>
        <v>0</v>
      </c>
      <c r="H696" s="9">
        <f>'NIFTY500 TRI'!B696</f>
        <v>26840.81</v>
      </c>
      <c r="I696" s="10">
        <f t="shared" si="43"/>
        <v>-9.834218639271362E-3</v>
      </c>
    </row>
    <row r="697" spans="1:9" ht="14.25" customHeight="1" x14ac:dyDescent="0.3">
      <c r="A697" s="8">
        <f>'ICICI PRUDENTIAL MULTICAP FUND'!A697</f>
        <v>45196</v>
      </c>
      <c r="B697" s="9">
        <f>'ICICI PRUDENTIAL MULTICAP FUND'!B697</f>
        <v>557.29999999999995</v>
      </c>
      <c r="C697" s="10">
        <f t="shared" si="40"/>
        <v>3.1139190381048371E-3</v>
      </c>
      <c r="D697" s="9">
        <f>'QUANT ACTIVE FUND'!B697</f>
        <v>509.916</v>
      </c>
      <c r="E697" s="10">
        <f t="shared" si="41"/>
        <v>5.5115051437428465E-3</v>
      </c>
      <c r="F697" s="9">
        <f>'NIPPON INDIA '!B697</f>
        <v>209.92599999999999</v>
      </c>
      <c r="G697" s="10">
        <f t="shared" si="42"/>
        <v>6.3084224150327115E-3</v>
      </c>
      <c r="H697" s="9">
        <f>'NIFTY500 TRI'!B697</f>
        <v>27107.39</v>
      </c>
      <c r="I697" s="10">
        <f t="shared" si="43"/>
        <v>3.9978592156506409E-3</v>
      </c>
    </row>
    <row r="698" spans="1:9" ht="14.25" customHeight="1" x14ac:dyDescent="0.3">
      <c r="A698" s="8">
        <f>'ICICI PRUDENTIAL MULTICAP FUND'!A698</f>
        <v>45194</v>
      </c>
      <c r="B698" s="9">
        <f>'ICICI PRUDENTIAL MULTICAP FUND'!B698</f>
        <v>555.57000000000005</v>
      </c>
      <c r="C698" s="10">
        <f t="shared" si="40"/>
        <v>-1.1865595167466123E-3</v>
      </c>
      <c r="D698" s="9">
        <f>'QUANT ACTIVE FUND'!B698</f>
        <v>507.12099999999998</v>
      </c>
      <c r="E698" s="10">
        <f t="shared" si="41"/>
        <v>4.3630846989015535E-3</v>
      </c>
      <c r="F698" s="9">
        <f>'NIPPON INDIA '!B698</f>
        <v>208.61</v>
      </c>
      <c r="G698" s="10">
        <f t="shared" si="42"/>
        <v>-4.0729293945700445E-4</v>
      </c>
      <c r="H698" s="9">
        <f>'NIFTY500 TRI'!B698</f>
        <v>26999.45</v>
      </c>
      <c r="I698" s="10">
        <f t="shared" si="43"/>
        <v>6.8196011645215641E-4</v>
      </c>
    </row>
    <row r="699" spans="1:9" ht="14.25" customHeight="1" x14ac:dyDescent="0.3">
      <c r="A699" s="8">
        <f>'ICICI PRUDENTIAL MULTICAP FUND'!A699</f>
        <v>45191</v>
      </c>
      <c r="B699" s="9">
        <f>'ICICI PRUDENTIAL MULTICAP FUND'!B699</f>
        <v>556.23</v>
      </c>
      <c r="C699" s="10">
        <f t="shared" si="40"/>
        <v>-3.3327957856259987E-3</v>
      </c>
      <c r="D699" s="9">
        <f>'QUANT ACTIVE FUND'!B699</f>
        <v>504.91800000000001</v>
      </c>
      <c r="E699" s="10">
        <f t="shared" si="41"/>
        <v>-9.7544374776171278E-4</v>
      </c>
      <c r="F699" s="9">
        <f>'NIPPON INDIA '!B699</f>
        <v>208.69499999999999</v>
      </c>
      <c r="G699" s="10">
        <f t="shared" si="42"/>
        <v>-1.3207574256715547E-3</v>
      </c>
      <c r="H699" s="9">
        <f>'NIFTY500 TRI'!B699</f>
        <v>26981.05</v>
      </c>
      <c r="I699" s="10">
        <f t="shared" si="43"/>
        <v>-2.4575266050270474E-3</v>
      </c>
    </row>
    <row r="700" spans="1:9" ht="14.25" customHeight="1" x14ac:dyDescent="0.3">
      <c r="A700" s="8">
        <f>'ICICI PRUDENTIAL MULTICAP FUND'!A700</f>
        <v>45190</v>
      </c>
      <c r="B700" s="9">
        <f>'ICICI PRUDENTIAL MULTICAP FUND'!B700</f>
        <v>558.09</v>
      </c>
      <c r="C700" s="10">
        <f t="shared" si="40"/>
        <v>-6.0553171027088234E-3</v>
      </c>
      <c r="D700" s="9">
        <f>'QUANT ACTIVE FUND'!B700</f>
        <v>505.411</v>
      </c>
      <c r="E700" s="10">
        <f t="shared" si="41"/>
        <v>-7.9534725779890209E-3</v>
      </c>
      <c r="F700" s="9">
        <f>'NIPPON INDIA '!B700</f>
        <v>208.971</v>
      </c>
      <c r="G700" s="10">
        <f t="shared" si="42"/>
        <v>-9.6818220591998929E-3</v>
      </c>
      <c r="H700" s="9">
        <f>'NIFTY500 TRI'!B700</f>
        <v>27047.52</v>
      </c>
      <c r="I700" s="10">
        <f t="shared" si="43"/>
        <v>-8.3525998209371434E-3</v>
      </c>
    </row>
    <row r="701" spans="1:9" ht="14.25" customHeight="1" x14ac:dyDescent="0.3">
      <c r="A701" s="8">
        <f>'ICICI PRUDENTIAL MULTICAP FUND'!A701</f>
        <v>45189</v>
      </c>
      <c r="B701" s="9">
        <f>'ICICI PRUDENTIAL MULTICAP FUND'!B701</f>
        <v>561.49</v>
      </c>
      <c r="C701" s="10">
        <f t="shared" si="40"/>
        <v>-6.1772098127367498E-3</v>
      </c>
      <c r="D701" s="9">
        <f>'QUANT ACTIVE FUND'!B701</f>
        <v>509.46300000000002</v>
      </c>
      <c r="E701" s="10">
        <f t="shared" si="41"/>
        <v>-1.1425222809308562E-2</v>
      </c>
      <c r="F701" s="9">
        <f>'NIPPON INDIA '!B701</f>
        <v>211.01400000000001</v>
      </c>
      <c r="G701" s="10">
        <f t="shared" si="42"/>
        <v>-6.2540618436296297E-3</v>
      </c>
      <c r="H701" s="9">
        <f>'NIFTY500 TRI'!B701</f>
        <v>27275.34</v>
      </c>
      <c r="I701" s="10">
        <f t="shared" si="43"/>
        <v>-9.3139671005532977E-3</v>
      </c>
    </row>
    <row r="702" spans="1:9" ht="14.25" customHeight="1" x14ac:dyDescent="0.3">
      <c r="A702" s="8">
        <f>'ICICI PRUDENTIAL MULTICAP FUND'!A702</f>
        <v>45187</v>
      </c>
      <c r="B702" s="9">
        <f>'ICICI PRUDENTIAL MULTICAP FUND'!B702</f>
        <v>564.98</v>
      </c>
      <c r="C702" s="10">
        <f t="shared" si="40"/>
        <v>-2.3485370203597455E-3</v>
      </c>
      <c r="D702" s="9">
        <f>'QUANT ACTIVE FUND'!B702</f>
        <v>515.351</v>
      </c>
      <c r="E702" s="10">
        <f t="shared" si="41"/>
        <v>-3.8100061470418881E-3</v>
      </c>
      <c r="F702" s="9">
        <f>'NIPPON INDIA '!B702</f>
        <v>212.34200000000001</v>
      </c>
      <c r="G702" s="10">
        <f t="shared" si="42"/>
        <v>-4.1925378453918525E-3</v>
      </c>
      <c r="H702" s="9">
        <f>'NIFTY500 TRI'!B702</f>
        <v>27531.77</v>
      </c>
      <c r="I702" s="10">
        <f t="shared" si="43"/>
        <v>-2.9413692613513118E-3</v>
      </c>
    </row>
    <row r="703" spans="1:9" ht="14.25" customHeight="1" x14ac:dyDescent="0.3">
      <c r="A703" s="8">
        <f>'ICICI PRUDENTIAL MULTICAP FUND'!A703</f>
        <v>45184</v>
      </c>
      <c r="B703" s="9">
        <f>'ICICI PRUDENTIAL MULTICAP FUND'!B703</f>
        <v>566.30999999999995</v>
      </c>
      <c r="C703" s="10">
        <f t="shared" si="40"/>
        <v>3.8821527334608609E-3</v>
      </c>
      <c r="D703" s="9">
        <f>'QUANT ACTIVE FUND'!B703</f>
        <v>517.322</v>
      </c>
      <c r="E703" s="10">
        <f t="shared" si="41"/>
        <v>1.0439462715647134E-4</v>
      </c>
      <c r="F703" s="9">
        <f>'NIPPON INDIA '!B703</f>
        <v>213.23599999999999</v>
      </c>
      <c r="G703" s="10">
        <f t="shared" si="42"/>
        <v>3.1425238041472747E-3</v>
      </c>
      <c r="H703" s="9">
        <f>'NIFTY500 TRI'!B703</f>
        <v>27612.99</v>
      </c>
      <c r="I703" s="10">
        <f t="shared" si="43"/>
        <v>3.5606007191708805E-3</v>
      </c>
    </row>
    <row r="704" spans="1:9" ht="14.25" customHeight="1" x14ac:dyDescent="0.3">
      <c r="A704" s="8">
        <f>'ICICI PRUDENTIAL MULTICAP FUND'!A704</f>
        <v>45183</v>
      </c>
      <c r="B704" s="9">
        <f>'ICICI PRUDENTIAL MULTICAP FUND'!B704</f>
        <v>564.12</v>
      </c>
      <c r="C704" s="10">
        <f t="shared" si="40"/>
        <v>5.3106176711694379E-3</v>
      </c>
      <c r="D704" s="9">
        <f>'QUANT ACTIVE FUND'!B704</f>
        <v>517.26800000000003</v>
      </c>
      <c r="E704" s="10">
        <f t="shared" si="41"/>
        <v>5.4581502935116284E-3</v>
      </c>
      <c r="F704" s="9">
        <f>'NIPPON INDIA '!B704</f>
        <v>212.56800000000001</v>
      </c>
      <c r="G704" s="10">
        <f t="shared" si="42"/>
        <v>5.9104955067931595E-3</v>
      </c>
      <c r="H704" s="9">
        <f>'NIFTY500 TRI'!B704</f>
        <v>27515.02</v>
      </c>
      <c r="I704" s="10">
        <f t="shared" si="43"/>
        <v>4.3847577468798561E-3</v>
      </c>
    </row>
    <row r="705" spans="1:9" ht="14.25" customHeight="1" x14ac:dyDescent="0.3">
      <c r="A705" s="8">
        <f>'ICICI PRUDENTIAL MULTICAP FUND'!A705</f>
        <v>45182</v>
      </c>
      <c r="B705" s="9">
        <f>'ICICI PRUDENTIAL MULTICAP FUND'!B705</f>
        <v>561.14</v>
      </c>
      <c r="C705" s="10">
        <f t="shared" si="40"/>
        <v>4.0797337436924682E-3</v>
      </c>
      <c r="D705" s="9">
        <f>'QUANT ACTIVE FUND'!B705</f>
        <v>514.46</v>
      </c>
      <c r="E705" s="10">
        <f t="shared" si="41"/>
        <v>9.9491158086503929E-3</v>
      </c>
      <c r="F705" s="9">
        <f>'NIPPON INDIA '!B705</f>
        <v>211.31899999999999</v>
      </c>
      <c r="G705" s="10">
        <f t="shared" si="42"/>
        <v>2.1150170955978147E-3</v>
      </c>
      <c r="H705" s="9">
        <f>'NIFTY500 TRI'!B705</f>
        <v>27394.9</v>
      </c>
      <c r="I705" s="10">
        <f t="shared" si="43"/>
        <v>3.7931390790791977E-3</v>
      </c>
    </row>
    <row r="706" spans="1:9" ht="14.25" customHeight="1" x14ac:dyDescent="0.3">
      <c r="A706" s="8">
        <f>'ICICI PRUDENTIAL MULTICAP FUND'!A706</f>
        <v>45181</v>
      </c>
      <c r="B706" s="9">
        <f>'ICICI PRUDENTIAL MULTICAP FUND'!B706</f>
        <v>558.86</v>
      </c>
      <c r="C706" s="10">
        <f t="shared" ref="C706:C769" si="44">(B706-B707)/B707</f>
        <v>-1.857965720708071E-2</v>
      </c>
      <c r="D706" s="9">
        <f>'QUANT ACTIVE FUND'!B706</f>
        <v>509.392</v>
      </c>
      <c r="E706" s="10">
        <f t="shared" ref="E706:E769" si="45">(D706-D707)/D707</f>
        <v>-2.6940085387635045E-2</v>
      </c>
      <c r="F706" s="9">
        <f>'NIPPON INDIA '!B706</f>
        <v>210.87299999999999</v>
      </c>
      <c r="G706" s="10">
        <f t="shared" ref="G706:G769" si="46">(F706-F707)/F707</f>
        <v>-2.0803053591080773E-2</v>
      </c>
      <c r="H706" s="9">
        <f>'NIFTY500 TRI'!B706</f>
        <v>27291.38</v>
      </c>
      <c r="I706" s="10">
        <f t="shared" ref="I706:I769" si="47">(H706-H707)/H707</f>
        <v>-1.0917770433626661E-2</v>
      </c>
    </row>
    <row r="707" spans="1:9" ht="14.25" customHeight="1" x14ac:dyDescent="0.3">
      <c r="A707" s="8">
        <f>'ICICI PRUDENTIAL MULTICAP FUND'!A707</f>
        <v>45180</v>
      </c>
      <c r="B707" s="9">
        <f>'ICICI PRUDENTIAL MULTICAP FUND'!B707</f>
        <v>569.44000000000005</v>
      </c>
      <c r="C707" s="10">
        <f t="shared" si="44"/>
        <v>7.1097591171166491E-3</v>
      </c>
      <c r="D707" s="9">
        <f>'QUANT ACTIVE FUND'!B707</f>
        <v>523.495</v>
      </c>
      <c r="E707" s="10">
        <f t="shared" si="45"/>
        <v>8.2063193088279408E-3</v>
      </c>
      <c r="F707" s="9">
        <f>'NIPPON INDIA '!B707</f>
        <v>215.35300000000001</v>
      </c>
      <c r="G707" s="10">
        <f t="shared" si="46"/>
        <v>7.9049348509810796E-3</v>
      </c>
      <c r="H707" s="9">
        <f>'NIFTY500 TRI'!B707</f>
        <v>27592.63</v>
      </c>
      <c r="I707" s="10">
        <f t="shared" si="47"/>
        <v>9.4972970441634056E-3</v>
      </c>
    </row>
    <row r="708" spans="1:9" ht="14.25" customHeight="1" x14ac:dyDescent="0.3">
      <c r="A708" s="8">
        <f>'ICICI PRUDENTIAL MULTICAP FUND'!A708</f>
        <v>45177</v>
      </c>
      <c r="B708" s="9">
        <f>'ICICI PRUDENTIAL MULTICAP FUND'!B708</f>
        <v>565.41999999999996</v>
      </c>
      <c r="C708" s="10">
        <f t="shared" si="44"/>
        <v>5.4949940426438533E-3</v>
      </c>
      <c r="D708" s="9">
        <f>'QUANT ACTIVE FUND'!B708</f>
        <v>519.23400000000004</v>
      </c>
      <c r="E708" s="10">
        <f t="shared" si="45"/>
        <v>5.7840417783700656E-3</v>
      </c>
      <c r="F708" s="9">
        <f>'NIPPON INDIA '!B708</f>
        <v>213.66399999999999</v>
      </c>
      <c r="G708" s="10">
        <f t="shared" si="46"/>
        <v>5.2363903251454926E-3</v>
      </c>
      <c r="H708" s="9">
        <f>'NIFTY500 TRI'!B708</f>
        <v>27333.040000000001</v>
      </c>
      <c r="I708" s="10">
        <f t="shared" si="47"/>
        <v>5.8767137655093074E-3</v>
      </c>
    </row>
    <row r="709" spans="1:9" ht="14.25" customHeight="1" x14ac:dyDescent="0.3">
      <c r="A709" s="8">
        <f>'ICICI PRUDENTIAL MULTICAP FUND'!A709</f>
        <v>45176</v>
      </c>
      <c r="B709" s="9">
        <f>'ICICI PRUDENTIAL MULTICAP FUND'!B709</f>
        <v>562.33000000000004</v>
      </c>
      <c r="C709" s="10">
        <f t="shared" si="44"/>
        <v>3.9455830893380638E-3</v>
      </c>
      <c r="D709" s="9">
        <f>'QUANT ACTIVE FUND'!B709</f>
        <v>516.24800000000005</v>
      </c>
      <c r="E709" s="10">
        <f t="shared" si="45"/>
        <v>5.3436779460335811E-3</v>
      </c>
      <c r="F709" s="9">
        <f>'NIPPON INDIA '!B709</f>
        <v>212.55099999999999</v>
      </c>
      <c r="G709" s="10">
        <f t="shared" si="46"/>
        <v>5.3590517363705141E-3</v>
      </c>
      <c r="H709" s="9">
        <f>'NIFTY500 TRI'!B709</f>
        <v>27173.35</v>
      </c>
      <c r="I709" s="10">
        <f t="shared" si="47"/>
        <v>5.8381018691771218E-3</v>
      </c>
    </row>
    <row r="710" spans="1:9" ht="14.25" customHeight="1" x14ac:dyDescent="0.3">
      <c r="A710" s="8">
        <f>'ICICI PRUDENTIAL MULTICAP FUND'!A710</f>
        <v>45175</v>
      </c>
      <c r="B710" s="9">
        <f>'ICICI PRUDENTIAL MULTICAP FUND'!B710</f>
        <v>560.12</v>
      </c>
      <c r="C710" s="10">
        <f t="shared" si="44"/>
        <v>3.4755813536852891E-3</v>
      </c>
      <c r="D710" s="9">
        <f>'QUANT ACTIVE FUND'!B710</f>
        <v>513.50400000000002</v>
      </c>
      <c r="E710" s="10">
        <f t="shared" si="45"/>
        <v>-2.6124164560871774E-3</v>
      </c>
      <c r="F710" s="9">
        <f>'NIPPON INDIA '!B710</f>
        <v>211.41800000000001</v>
      </c>
      <c r="G710" s="10">
        <f t="shared" si="46"/>
        <v>1.530116772069483E-3</v>
      </c>
      <c r="H710" s="9">
        <f>'NIFTY500 TRI'!B710</f>
        <v>27015.63</v>
      </c>
      <c r="I710" s="10">
        <f t="shared" si="47"/>
        <v>1.8861647994772653E-3</v>
      </c>
    </row>
    <row r="711" spans="1:9" ht="14.25" customHeight="1" x14ac:dyDescent="0.3">
      <c r="A711" s="8">
        <f>'ICICI PRUDENTIAL MULTICAP FUND'!A711</f>
        <v>45174</v>
      </c>
      <c r="B711" s="9">
        <f>'ICICI PRUDENTIAL MULTICAP FUND'!B711</f>
        <v>558.17999999999995</v>
      </c>
      <c r="C711" s="10">
        <f t="shared" si="44"/>
        <v>5.693488522936053E-3</v>
      </c>
      <c r="D711" s="9">
        <f>'QUANT ACTIVE FUND'!B711</f>
        <v>514.84900000000005</v>
      </c>
      <c r="E711" s="10">
        <f t="shared" si="45"/>
        <v>8.5111967780860231E-3</v>
      </c>
      <c r="F711" s="9">
        <f>'NIPPON INDIA '!B711</f>
        <v>211.095</v>
      </c>
      <c r="G711" s="10">
        <f t="shared" si="46"/>
        <v>2.4503867907055836E-3</v>
      </c>
      <c r="H711" s="9">
        <f>'NIFTY500 TRI'!B711</f>
        <v>26964.77</v>
      </c>
      <c r="I711" s="10">
        <f t="shared" si="47"/>
        <v>4.1409764139367956E-3</v>
      </c>
    </row>
    <row r="712" spans="1:9" ht="14.25" customHeight="1" x14ac:dyDescent="0.3">
      <c r="A712" s="8">
        <f>'ICICI PRUDENTIAL MULTICAP FUND'!A712</f>
        <v>45173</v>
      </c>
      <c r="B712" s="9">
        <f>'ICICI PRUDENTIAL MULTICAP FUND'!B712</f>
        <v>555.02</v>
      </c>
      <c r="C712" s="10">
        <f t="shared" si="44"/>
        <v>8.2656638872235615E-3</v>
      </c>
      <c r="D712" s="9">
        <f>'QUANT ACTIVE FUND'!B712</f>
        <v>510.50400000000002</v>
      </c>
      <c r="E712" s="10">
        <f t="shared" si="45"/>
        <v>8.8872288328027352E-3</v>
      </c>
      <c r="F712" s="9">
        <f>'NIPPON INDIA '!B712</f>
        <v>210.57900000000001</v>
      </c>
      <c r="G712" s="10">
        <f t="shared" si="46"/>
        <v>1.3790545392294436E-3</v>
      </c>
      <c r="H712" s="9">
        <f>'NIFTY500 TRI'!B712</f>
        <v>26853.57</v>
      </c>
      <c r="I712" s="10">
        <f t="shared" si="47"/>
        <v>6.2329436213499918E-3</v>
      </c>
    </row>
    <row r="713" spans="1:9" ht="14.25" customHeight="1" x14ac:dyDescent="0.3">
      <c r="A713" s="8">
        <f>'ICICI PRUDENTIAL MULTICAP FUND'!A713</f>
        <v>45170</v>
      </c>
      <c r="B713" s="9">
        <f>'ICICI PRUDENTIAL MULTICAP FUND'!B713</f>
        <v>550.47</v>
      </c>
      <c r="C713" s="10">
        <f t="shared" si="44"/>
        <v>9.129406588571776E-3</v>
      </c>
      <c r="D713" s="9">
        <f>'QUANT ACTIVE FUND'!B713</f>
        <v>506.00700000000001</v>
      </c>
      <c r="E713" s="10">
        <f t="shared" si="45"/>
        <v>1.2656023919164774E-2</v>
      </c>
      <c r="F713" s="9">
        <f>'NIPPON INDIA '!B713</f>
        <v>210.28899999999999</v>
      </c>
      <c r="G713" s="10">
        <f t="shared" si="46"/>
        <v>8.0533438154632743E-3</v>
      </c>
      <c r="H713" s="9">
        <f>'NIFTY500 TRI'!B713</f>
        <v>26687.23</v>
      </c>
      <c r="I713" s="10">
        <f t="shared" si="47"/>
        <v>8.9014837192369026E-3</v>
      </c>
    </row>
    <row r="714" spans="1:9" ht="14.25" customHeight="1" x14ac:dyDescent="0.3">
      <c r="A714" s="8">
        <f>'ICICI PRUDENTIAL MULTICAP FUND'!A714</f>
        <v>45169</v>
      </c>
      <c r="B714" s="9">
        <f>'ICICI PRUDENTIAL MULTICAP FUND'!B714</f>
        <v>545.49</v>
      </c>
      <c r="C714" s="10">
        <f t="shared" si="44"/>
        <v>-1.4278653413146846E-3</v>
      </c>
      <c r="D714" s="9">
        <f>'QUANT ACTIVE FUND'!B714</f>
        <v>499.68299999999999</v>
      </c>
      <c r="E714" s="10">
        <f t="shared" si="45"/>
        <v>2.0876701120242517E-3</v>
      </c>
      <c r="F714" s="9">
        <f>'NIPPON INDIA '!B714</f>
        <v>208.60900000000001</v>
      </c>
      <c r="G714" s="10">
        <f t="shared" si="46"/>
        <v>3.7289375174418319E-3</v>
      </c>
      <c r="H714" s="9">
        <f>'NIFTY500 TRI'!B714</f>
        <v>26451.77</v>
      </c>
      <c r="I714" s="10">
        <f t="shared" si="47"/>
        <v>-2.6299397621252479E-3</v>
      </c>
    </row>
    <row r="715" spans="1:9" ht="14.25" customHeight="1" x14ac:dyDescent="0.3">
      <c r="A715" s="8">
        <f>'ICICI PRUDENTIAL MULTICAP FUND'!A715</f>
        <v>45168</v>
      </c>
      <c r="B715" s="9">
        <f>'ICICI PRUDENTIAL MULTICAP FUND'!B715</f>
        <v>546.27</v>
      </c>
      <c r="C715" s="10">
        <f t="shared" si="44"/>
        <v>3.6377666317588386E-3</v>
      </c>
      <c r="D715" s="9">
        <f>'QUANT ACTIVE FUND'!B715</f>
        <v>498.642</v>
      </c>
      <c r="E715" s="10">
        <f t="shared" si="45"/>
        <v>5.1786733000990116E-3</v>
      </c>
      <c r="F715" s="9">
        <f>'NIPPON INDIA '!B715</f>
        <v>207.834</v>
      </c>
      <c r="G715" s="10">
        <f t="shared" si="46"/>
        <v>3.8350077279753246E-3</v>
      </c>
      <c r="H715" s="9">
        <f>'NIFTY500 TRI'!B715</f>
        <v>26521.52</v>
      </c>
      <c r="I715" s="10">
        <f t="shared" si="47"/>
        <v>2.4610292930900518E-3</v>
      </c>
    </row>
    <row r="716" spans="1:9" ht="14.25" customHeight="1" x14ac:dyDescent="0.3">
      <c r="A716" s="8">
        <f>'ICICI PRUDENTIAL MULTICAP FUND'!A716</f>
        <v>45167</v>
      </c>
      <c r="B716" s="9">
        <f>'ICICI PRUDENTIAL MULTICAP FUND'!B716</f>
        <v>544.29</v>
      </c>
      <c r="C716" s="10">
        <f t="shared" si="44"/>
        <v>5.0966705445681512E-3</v>
      </c>
      <c r="D716" s="9">
        <f>'QUANT ACTIVE FUND'!B716</f>
        <v>496.07299999999998</v>
      </c>
      <c r="E716" s="10">
        <f t="shared" si="45"/>
        <v>3.4955344951399362E-3</v>
      </c>
      <c r="F716" s="9">
        <f>'NIPPON INDIA '!B716</f>
        <v>207.04</v>
      </c>
      <c r="G716" s="10">
        <f t="shared" si="46"/>
        <v>2.7704050990952729E-3</v>
      </c>
      <c r="H716" s="9">
        <f>'NIFTY500 TRI'!B716</f>
        <v>26456.41</v>
      </c>
      <c r="I716" s="10">
        <f t="shared" si="47"/>
        <v>3.0881563422276558E-3</v>
      </c>
    </row>
    <row r="717" spans="1:9" ht="14.25" customHeight="1" x14ac:dyDescent="0.3">
      <c r="A717" s="8">
        <f>'ICICI PRUDENTIAL MULTICAP FUND'!A717</f>
        <v>45166</v>
      </c>
      <c r="B717" s="9">
        <f>'ICICI PRUDENTIAL MULTICAP FUND'!B717</f>
        <v>541.53</v>
      </c>
      <c r="C717" s="10">
        <f t="shared" si="44"/>
        <v>2.7219197866904187E-3</v>
      </c>
      <c r="D717" s="9">
        <f>'QUANT ACTIVE FUND'!B717</f>
        <v>494.34500000000003</v>
      </c>
      <c r="E717" s="10">
        <f t="shared" si="45"/>
        <v>6.2961575728954135E-3</v>
      </c>
      <c r="F717" s="9">
        <f>'NIPPON INDIA '!B717</f>
        <v>206.46799999999999</v>
      </c>
      <c r="G717" s="10">
        <f t="shared" si="46"/>
        <v>5.3905074478601068E-3</v>
      </c>
      <c r="H717" s="9">
        <f>'NIFTY500 TRI'!B717</f>
        <v>26374.959999999999</v>
      </c>
      <c r="I717" s="10">
        <f t="shared" si="47"/>
        <v>3.2350814437934277E-3</v>
      </c>
    </row>
    <row r="718" spans="1:9" ht="14.25" customHeight="1" x14ac:dyDescent="0.3">
      <c r="A718" s="8">
        <f>'ICICI PRUDENTIAL MULTICAP FUND'!A718</f>
        <v>45163</v>
      </c>
      <c r="B718" s="9">
        <f>'ICICI PRUDENTIAL MULTICAP FUND'!B718</f>
        <v>540.05999999999995</v>
      </c>
      <c r="C718" s="10">
        <f t="shared" si="44"/>
        <v>-4.736192248862116E-3</v>
      </c>
      <c r="D718" s="9">
        <f>'QUANT ACTIVE FUND'!B718</f>
        <v>491.25200000000001</v>
      </c>
      <c r="E718" s="10">
        <f t="shared" si="45"/>
        <v>-4.2989786632020421E-3</v>
      </c>
      <c r="F718" s="9">
        <f>'NIPPON INDIA '!B718</f>
        <v>205.36099999999999</v>
      </c>
      <c r="G718" s="10">
        <f t="shared" si="46"/>
        <v>-8.9520114276890692E-3</v>
      </c>
      <c r="H718" s="9">
        <f>'NIFTY500 TRI'!B718</f>
        <v>26289.91</v>
      </c>
      <c r="I718" s="10">
        <f t="shared" si="47"/>
        <v>-6.4251894941480701E-3</v>
      </c>
    </row>
    <row r="719" spans="1:9" ht="14.25" customHeight="1" x14ac:dyDescent="0.3">
      <c r="A719" s="8">
        <f>'ICICI PRUDENTIAL MULTICAP FUND'!A719</f>
        <v>45162</v>
      </c>
      <c r="B719" s="9">
        <f>'ICICI PRUDENTIAL MULTICAP FUND'!B719</f>
        <v>542.63</v>
      </c>
      <c r="C719" s="10">
        <f t="shared" si="44"/>
        <v>-2.0267531414676205E-4</v>
      </c>
      <c r="D719" s="9">
        <f>'QUANT ACTIVE FUND'!B719</f>
        <v>493.37299999999999</v>
      </c>
      <c r="E719" s="10">
        <f t="shared" si="45"/>
        <v>-4.4875170753656494E-3</v>
      </c>
      <c r="F719" s="9">
        <f>'NIPPON INDIA '!B719</f>
        <v>207.21600000000001</v>
      </c>
      <c r="G719" s="10">
        <f t="shared" si="46"/>
        <v>-7.6190843596587348E-4</v>
      </c>
      <c r="H719" s="9">
        <f>'NIFTY500 TRI'!B719</f>
        <v>26459.919999999998</v>
      </c>
      <c r="I719" s="10">
        <f t="shared" si="47"/>
        <v>-1.1766220265003022E-3</v>
      </c>
    </row>
    <row r="720" spans="1:9" ht="14.25" customHeight="1" x14ac:dyDescent="0.3">
      <c r="A720" s="8">
        <f>'ICICI PRUDENTIAL MULTICAP FUND'!A720</f>
        <v>45161</v>
      </c>
      <c r="B720" s="9">
        <f>'ICICI PRUDENTIAL MULTICAP FUND'!B720</f>
        <v>542.74</v>
      </c>
      <c r="C720" s="10">
        <f t="shared" si="44"/>
        <v>3.1977227777675427E-3</v>
      </c>
      <c r="D720" s="9">
        <f>'QUANT ACTIVE FUND'!B720</f>
        <v>495.59699999999998</v>
      </c>
      <c r="E720" s="10">
        <f t="shared" si="45"/>
        <v>5.2392021321909111E-3</v>
      </c>
      <c r="F720" s="9">
        <f>'NIPPON INDIA '!B720</f>
        <v>207.374</v>
      </c>
      <c r="G720" s="10">
        <f t="shared" si="46"/>
        <v>8.8835697744565432E-3</v>
      </c>
      <c r="H720" s="9">
        <f>'NIFTY500 TRI'!B720</f>
        <v>26491.09</v>
      </c>
      <c r="I720" s="10">
        <f t="shared" si="47"/>
        <v>2.6649579041871691E-3</v>
      </c>
    </row>
    <row r="721" spans="1:9" ht="14.25" customHeight="1" x14ac:dyDescent="0.3">
      <c r="A721" s="8">
        <f>'ICICI PRUDENTIAL MULTICAP FUND'!A721</f>
        <v>45160</v>
      </c>
      <c r="B721" s="9">
        <f>'ICICI PRUDENTIAL MULTICAP FUND'!B721</f>
        <v>541.01</v>
      </c>
      <c r="C721" s="10">
        <f t="shared" si="44"/>
        <v>4.6424393233180442E-3</v>
      </c>
      <c r="D721" s="9">
        <f>'QUANT ACTIVE FUND'!B721</f>
        <v>493.01400000000001</v>
      </c>
      <c r="E721" s="10">
        <f t="shared" si="45"/>
        <v>6.5967989905733647E-3</v>
      </c>
      <c r="F721" s="9">
        <f>'NIPPON INDIA '!B721</f>
        <v>205.548</v>
      </c>
      <c r="G721" s="10">
        <f t="shared" si="46"/>
        <v>9.1266587788246239E-3</v>
      </c>
      <c r="H721" s="9">
        <f>'NIFTY500 TRI'!B721</f>
        <v>26420.68</v>
      </c>
      <c r="I721" s="10">
        <f t="shared" si="47"/>
        <v>3.1761364132554602E-3</v>
      </c>
    </row>
    <row r="722" spans="1:9" ht="14.25" customHeight="1" x14ac:dyDescent="0.3">
      <c r="A722" s="8">
        <f>'ICICI PRUDENTIAL MULTICAP FUND'!A722</f>
        <v>45159</v>
      </c>
      <c r="B722" s="9">
        <f>'ICICI PRUDENTIAL MULTICAP FUND'!B722</f>
        <v>538.51</v>
      </c>
      <c r="C722" s="10">
        <f t="shared" si="44"/>
        <v>5.2267084803344242E-3</v>
      </c>
      <c r="D722" s="9">
        <f>'QUANT ACTIVE FUND'!B722</f>
        <v>489.78300000000002</v>
      </c>
      <c r="E722" s="10">
        <f t="shared" si="45"/>
        <v>6.1980499870574277E-3</v>
      </c>
      <c r="F722" s="9">
        <f>'NIPPON INDIA '!B722</f>
        <v>203.68899999999999</v>
      </c>
      <c r="G722" s="10">
        <f t="shared" si="46"/>
        <v>7.2693465994787777E-3</v>
      </c>
      <c r="H722" s="9">
        <f>'NIFTY500 TRI'!B722</f>
        <v>26337.03</v>
      </c>
      <c r="I722" s="10">
        <f t="shared" si="47"/>
        <v>5.8686104958987273E-3</v>
      </c>
    </row>
    <row r="723" spans="1:9" ht="14.25" customHeight="1" x14ac:dyDescent="0.3">
      <c r="A723" s="8">
        <f>'ICICI PRUDENTIAL MULTICAP FUND'!A723</f>
        <v>45156</v>
      </c>
      <c r="B723" s="9">
        <f>'ICICI PRUDENTIAL MULTICAP FUND'!B723</f>
        <v>535.71</v>
      </c>
      <c r="C723" s="10">
        <f t="shared" si="44"/>
        <v>-2.996352266805653E-3</v>
      </c>
      <c r="D723" s="9">
        <f>'QUANT ACTIVE FUND'!B723</f>
        <v>486.76600000000002</v>
      </c>
      <c r="E723" s="10">
        <f t="shared" si="45"/>
        <v>2.3630897706982846E-4</v>
      </c>
      <c r="F723" s="9">
        <f>'NIPPON INDIA '!B723</f>
        <v>202.21899999999999</v>
      </c>
      <c r="G723" s="10">
        <f t="shared" si="46"/>
        <v>-1.0522051849509656E-3</v>
      </c>
      <c r="H723" s="9">
        <f>'NIFTY500 TRI'!B723</f>
        <v>26183.37</v>
      </c>
      <c r="I723" s="10">
        <f t="shared" si="47"/>
        <v>-2.5177660797593608E-3</v>
      </c>
    </row>
    <row r="724" spans="1:9" ht="14.25" customHeight="1" x14ac:dyDescent="0.3">
      <c r="A724" s="8">
        <f>'ICICI PRUDENTIAL MULTICAP FUND'!A724</f>
        <v>45155</v>
      </c>
      <c r="B724" s="9">
        <f>'ICICI PRUDENTIAL MULTICAP FUND'!B724</f>
        <v>537.32000000000005</v>
      </c>
      <c r="C724" s="10">
        <f t="shared" si="44"/>
        <v>-5.7660472815866941E-4</v>
      </c>
      <c r="D724" s="9">
        <f>'QUANT ACTIVE FUND'!B724</f>
        <v>486.65100000000001</v>
      </c>
      <c r="E724" s="10">
        <f t="shared" si="45"/>
        <v>-1.171950363489271E-3</v>
      </c>
      <c r="F724" s="9">
        <f>'NIPPON INDIA '!B724</f>
        <v>202.43199999999999</v>
      </c>
      <c r="G724" s="10">
        <f t="shared" si="46"/>
        <v>1.4891332848498632E-3</v>
      </c>
      <c r="H724" s="9">
        <f>'NIFTY500 TRI'!B724</f>
        <v>26249.46</v>
      </c>
      <c r="I724" s="10">
        <f t="shared" si="47"/>
        <v>-2.989194839289974E-3</v>
      </c>
    </row>
    <row r="725" spans="1:9" ht="14.25" customHeight="1" x14ac:dyDescent="0.3">
      <c r="A725" s="8">
        <f>'ICICI PRUDENTIAL MULTICAP FUND'!A725</f>
        <v>45154</v>
      </c>
      <c r="B725" s="9">
        <f>'ICICI PRUDENTIAL MULTICAP FUND'!B725</f>
        <v>537.63</v>
      </c>
      <c r="C725" s="10">
        <f t="shared" si="44"/>
        <v>1.6394969725197865E-3</v>
      </c>
      <c r="D725" s="9">
        <f>'QUANT ACTIVE FUND'!B725</f>
        <v>487.22199999999998</v>
      </c>
      <c r="E725" s="10">
        <f t="shared" si="45"/>
        <v>3.8601001162134099E-4</v>
      </c>
      <c r="F725" s="9">
        <f>'NIPPON INDIA '!B725</f>
        <v>202.131</v>
      </c>
      <c r="G725" s="10">
        <f t="shared" si="46"/>
        <v>3.6196264188042494E-3</v>
      </c>
      <c r="H725" s="9">
        <f>'NIFTY500 TRI'!B725</f>
        <v>26328.16</v>
      </c>
      <c r="I725" s="10">
        <f t="shared" si="47"/>
        <v>1.6343798030830706E-3</v>
      </c>
    </row>
    <row r="726" spans="1:9" ht="14.25" customHeight="1" x14ac:dyDescent="0.3">
      <c r="A726" s="8">
        <f>'ICICI PRUDENTIAL MULTICAP FUND'!A726</f>
        <v>45152</v>
      </c>
      <c r="B726" s="9">
        <f>'ICICI PRUDENTIAL MULTICAP FUND'!B726</f>
        <v>536.75</v>
      </c>
      <c r="C726" s="10">
        <f t="shared" si="44"/>
        <v>-3.2682772836158864E-3</v>
      </c>
      <c r="D726" s="9">
        <f>'QUANT ACTIVE FUND'!B726</f>
        <v>487.03399999999999</v>
      </c>
      <c r="E726" s="10">
        <f t="shared" si="45"/>
        <v>-5.6959234337231749E-3</v>
      </c>
      <c r="F726" s="9">
        <f>'NIPPON INDIA '!B726</f>
        <v>201.40199999999999</v>
      </c>
      <c r="G726" s="10">
        <f t="shared" si="46"/>
        <v>-5.9670995158209736E-3</v>
      </c>
      <c r="H726" s="9">
        <f>'NIFTY500 TRI'!B726</f>
        <v>26285.200000000001</v>
      </c>
      <c r="I726" s="10">
        <f t="shared" si="47"/>
        <v>-1.9239918787569295E-3</v>
      </c>
    </row>
    <row r="727" spans="1:9" ht="14.25" customHeight="1" x14ac:dyDescent="0.3">
      <c r="A727" s="8">
        <f>'ICICI PRUDENTIAL MULTICAP FUND'!A727</f>
        <v>45149</v>
      </c>
      <c r="B727" s="9">
        <f>'ICICI PRUDENTIAL MULTICAP FUND'!B727</f>
        <v>538.51</v>
      </c>
      <c r="C727" s="10">
        <f t="shared" si="44"/>
        <v>-5.7603899340878542E-3</v>
      </c>
      <c r="D727" s="9">
        <f>'QUANT ACTIVE FUND'!B727</f>
        <v>489.82400000000001</v>
      </c>
      <c r="E727" s="10">
        <f t="shared" si="45"/>
        <v>1.6335064850204204E-4</v>
      </c>
      <c r="F727" s="9">
        <f>'NIPPON INDIA '!B727</f>
        <v>202.61099999999999</v>
      </c>
      <c r="G727" s="10">
        <f t="shared" si="46"/>
        <v>-2.6483024774919439E-3</v>
      </c>
      <c r="H727" s="9">
        <f>'NIFTY500 TRI'!B727</f>
        <v>26335.87</v>
      </c>
      <c r="I727" s="10">
        <f t="shared" si="47"/>
        <v>-4.369891113760834E-3</v>
      </c>
    </row>
    <row r="728" spans="1:9" ht="14.25" customHeight="1" x14ac:dyDescent="0.3">
      <c r="A728" s="8">
        <f>'ICICI PRUDENTIAL MULTICAP FUND'!A728</f>
        <v>45148</v>
      </c>
      <c r="B728" s="9">
        <f>'ICICI PRUDENTIAL MULTICAP FUND'!B728</f>
        <v>541.63</v>
      </c>
      <c r="C728" s="10">
        <f t="shared" si="44"/>
        <v>-5.0150635608788635E-3</v>
      </c>
      <c r="D728" s="9">
        <f>'QUANT ACTIVE FUND'!B728</f>
        <v>489.74400000000003</v>
      </c>
      <c r="E728" s="10">
        <f t="shared" si="45"/>
        <v>4.6965517100603312E-5</v>
      </c>
      <c r="F728" s="9">
        <f>'NIPPON INDIA '!B728</f>
        <v>203.149</v>
      </c>
      <c r="G728" s="10">
        <f t="shared" si="46"/>
        <v>1.2074675708709762E-3</v>
      </c>
      <c r="H728" s="9">
        <f>'NIFTY500 TRI'!B728</f>
        <v>26451.46</v>
      </c>
      <c r="I728" s="10">
        <f t="shared" si="47"/>
        <v>-3.7550148468089802E-3</v>
      </c>
    </row>
    <row r="729" spans="1:9" ht="14.25" customHeight="1" x14ac:dyDescent="0.3">
      <c r="A729" s="8">
        <f>'ICICI PRUDENTIAL MULTICAP FUND'!A729</f>
        <v>45147</v>
      </c>
      <c r="B729" s="9">
        <f>'ICICI PRUDENTIAL MULTICAP FUND'!B729</f>
        <v>544.36</v>
      </c>
      <c r="C729" s="10">
        <f t="shared" si="44"/>
        <v>3.6135693215339905E-3</v>
      </c>
      <c r="D729" s="9">
        <f>'QUANT ACTIVE FUND'!B729</f>
        <v>489.721</v>
      </c>
      <c r="E729" s="10">
        <f t="shared" si="45"/>
        <v>5.2693809349815606E-3</v>
      </c>
      <c r="F729" s="9">
        <f>'NIPPON INDIA '!B729</f>
        <v>202.904</v>
      </c>
      <c r="G729" s="10">
        <f t="shared" si="46"/>
        <v>6.6729840890260364E-3</v>
      </c>
      <c r="H729" s="9">
        <f>'NIFTY500 TRI'!B729</f>
        <v>26551.16</v>
      </c>
      <c r="I729" s="10">
        <f t="shared" si="47"/>
        <v>3.648888682245748E-3</v>
      </c>
    </row>
    <row r="730" spans="1:9" ht="14.25" customHeight="1" x14ac:dyDescent="0.3">
      <c r="A730" s="8">
        <f>'ICICI PRUDENTIAL MULTICAP FUND'!A730</f>
        <v>45146</v>
      </c>
      <c r="B730" s="9">
        <f>'ICICI PRUDENTIAL MULTICAP FUND'!B730</f>
        <v>542.4</v>
      </c>
      <c r="C730" s="10">
        <f t="shared" si="44"/>
        <v>1.3291980505095763E-3</v>
      </c>
      <c r="D730" s="9">
        <f>'QUANT ACTIVE FUND'!B730</f>
        <v>487.154</v>
      </c>
      <c r="E730" s="10">
        <f t="shared" si="45"/>
        <v>-5.8673888068275345E-4</v>
      </c>
      <c r="F730" s="9">
        <f>'NIPPON INDIA '!B730</f>
        <v>201.559</v>
      </c>
      <c r="G730" s="10">
        <f t="shared" si="46"/>
        <v>1.3761786945677547E-3</v>
      </c>
      <c r="H730" s="9">
        <f>'NIFTY500 TRI'!B730</f>
        <v>26454.63</v>
      </c>
      <c r="I730" s="10">
        <f t="shared" si="47"/>
        <v>-4.133672541342843E-4</v>
      </c>
    </row>
    <row r="731" spans="1:9" ht="14.25" customHeight="1" x14ac:dyDescent="0.3">
      <c r="A731" s="8">
        <f>'ICICI PRUDENTIAL MULTICAP FUND'!A731</f>
        <v>45145</v>
      </c>
      <c r="B731" s="9">
        <f>'ICICI PRUDENTIAL MULTICAP FUND'!B731</f>
        <v>541.67999999999995</v>
      </c>
      <c r="C731" s="10">
        <f t="shared" si="44"/>
        <v>3.1482647505461903E-3</v>
      </c>
      <c r="D731" s="9">
        <f>'QUANT ACTIVE FUND'!B731</f>
        <v>487.44</v>
      </c>
      <c r="E731" s="10">
        <f t="shared" si="45"/>
        <v>3.86975065954642E-3</v>
      </c>
      <c r="F731" s="9">
        <f>'NIPPON INDIA '!B731</f>
        <v>201.28200000000001</v>
      </c>
      <c r="G731" s="10">
        <f t="shared" si="46"/>
        <v>2.3404975798259008E-3</v>
      </c>
      <c r="H731" s="9">
        <f>'NIFTY500 TRI'!B731</f>
        <v>26465.57</v>
      </c>
      <c r="I731" s="10">
        <f t="shared" si="47"/>
        <v>3.8929648969349027E-3</v>
      </c>
    </row>
    <row r="732" spans="1:9" ht="14.25" customHeight="1" x14ac:dyDescent="0.3">
      <c r="A732" s="8">
        <f>'ICICI PRUDENTIAL MULTICAP FUND'!A732</f>
        <v>45142</v>
      </c>
      <c r="B732" s="9">
        <f>'ICICI PRUDENTIAL MULTICAP FUND'!B732</f>
        <v>539.98</v>
      </c>
      <c r="C732" s="10">
        <f t="shared" si="44"/>
        <v>6.6553569098265321E-3</v>
      </c>
      <c r="D732" s="9">
        <f>'QUANT ACTIVE FUND'!B732</f>
        <v>485.56099999999998</v>
      </c>
      <c r="E732" s="10">
        <f t="shared" si="45"/>
        <v>4.0653852914111005E-3</v>
      </c>
      <c r="F732" s="9">
        <f>'NIPPON INDIA '!B732</f>
        <v>200.81200000000001</v>
      </c>
      <c r="G732" s="10">
        <f t="shared" si="46"/>
        <v>4.2658745042734193E-3</v>
      </c>
      <c r="H732" s="9">
        <f>'NIFTY500 TRI'!B732</f>
        <v>26362.94</v>
      </c>
      <c r="I732" s="10">
        <f t="shared" si="47"/>
        <v>7.1039516399523219E-3</v>
      </c>
    </row>
    <row r="733" spans="1:9" ht="14.25" customHeight="1" x14ac:dyDescent="0.3">
      <c r="A733" s="8">
        <f>'ICICI PRUDENTIAL MULTICAP FUND'!A733</f>
        <v>45141</v>
      </c>
      <c r="B733" s="9">
        <f>'ICICI PRUDENTIAL MULTICAP FUND'!B733</f>
        <v>536.41</v>
      </c>
      <c r="C733" s="10">
        <f t="shared" si="44"/>
        <v>-2.584603941985843E-3</v>
      </c>
      <c r="D733" s="9">
        <f>'QUANT ACTIVE FUND'!B733</f>
        <v>483.59500000000003</v>
      </c>
      <c r="E733" s="10">
        <f t="shared" si="45"/>
        <v>-1.5732197531985713E-3</v>
      </c>
      <c r="F733" s="9">
        <f>'NIPPON INDIA '!B733</f>
        <v>199.959</v>
      </c>
      <c r="G733" s="10">
        <f t="shared" si="46"/>
        <v>-4.9485649161737865E-4</v>
      </c>
      <c r="H733" s="9">
        <f>'NIFTY500 TRI'!B733</f>
        <v>26176.98</v>
      </c>
      <c r="I733" s="10">
        <f t="shared" si="47"/>
        <v>-4.9862856239281002E-3</v>
      </c>
    </row>
    <row r="734" spans="1:9" ht="14.25" customHeight="1" x14ac:dyDescent="0.3">
      <c r="A734" s="8">
        <f>'ICICI PRUDENTIAL MULTICAP FUND'!A734</f>
        <v>45140</v>
      </c>
      <c r="B734" s="9">
        <f>'ICICI PRUDENTIAL MULTICAP FUND'!B734</f>
        <v>537.79999999999995</v>
      </c>
      <c r="C734" s="10">
        <f t="shared" si="44"/>
        <v>-1.1215296929582686E-2</v>
      </c>
      <c r="D734" s="9">
        <f>'QUANT ACTIVE FUND'!B734</f>
        <v>484.35700000000003</v>
      </c>
      <c r="E734" s="10">
        <f t="shared" si="45"/>
        <v>-1.6368240739048297E-2</v>
      </c>
      <c r="F734" s="9">
        <f>'NIPPON INDIA '!B734</f>
        <v>200.05799999999999</v>
      </c>
      <c r="G734" s="10">
        <f t="shared" si="46"/>
        <v>-1.2264122996711837E-2</v>
      </c>
      <c r="H734" s="9">
        <f>'NIFTY500 TRI'!B734</f>
        <v>26308.16</v>
      </c>
      <c r="I734" s="10">
        <f t="shared" si="47"/>
        <v>-1.0995967769220764E-2</v>
      </c>
    </row>
    <row r="735" spans="1:9" ht="14.25" customHeight="1" x14ac:dyDescent="0.3">
      <c r="A735" s="8">
        <f>'ICICI PRUDENTIAL MULTICAP FUND'!A735</f>
        <v>45139</v>
      </c>
      <c r="B735" s="9">
        <f>'ICICI PRUDENTIAL MULTICAP FUND'!B735</f>
        <v>543.9</v>
      </c>
      <c r="C735" s="10">
        <f t="shared" si="44"/>
        <v>1.7681511769254846E-3</v>
      </c>
      <c r="D735" s="9">
        <f>'QUANT ACTIVE FUND'!B735</f>
        <v>492.41699999999997</v>
      </c>
      <c r="E735" s="10">
        <f t="shared" si="45"/>
        <v>-3.2710365501900525E-3</v>
      </c>
      <c r="F735" s="9">
        <f>'NIPPON INDIA '!B735</f>
        <v>202.542</v>
      </c>
      <c r="G735" s="10">
        <f t="shared" si="46"/>
        <v>1.5801688805496366E-4</v>
      </c>
      <c r="H735" s="9">
        <f>'NIFTY500 TRI'!B735</f>
        <v>26600.66</v>
      </c>
      <c r="I735" s="10">
        <f t="shared" si="47"/>
        <v>-4.4565490227909955E-4</v>
      </c>
    </row>
    <row r="736" spans="1:9" ht="14.25" customHeight="1" x14ac:dyDescent="0.3">
      <c r="A736" s="8">
        <f>'ICICI PRUDENTIAL MULTICAP FUND'!A736</f>
        <v>45138</v>
      </c>
      <c r="B736" s="9">
        <f>'ICICI PRUDENTIAL MULTICAP FUND'!B736</f>
        <v>542.94000000000005</v>
      </c>
      <c r="C736" s="10">
        <f t="shared" si="44"/>
        <v>9.313479448999136E-3</v>
      </c>
      <c r="D736" s="9">
        <f>'QUANT ACTIVE FUND'!B736</f>
        <v>494.03300000000002</v>
      </c>
      <c r="E736" s="10">
        <f t="shared" si="45"/>
        <v>7.4144009853241849E-3</v>
      </c>
      <c r="F736" s="9">
        <f>'NIPPON INDIA '!B736</f>
        <v>202.51</v>
      </c>
      <c r="G736" s="10">
        <f t="shared" si="46"/>
        <v>1.3036257403553679E-2</v>
      </c>
      <c r="H736" s="9">
        <f>'NIFTY500 TRI'!B736</f>
        <v>26612.52</v>
      </c>
      <c r="I736" s="10">
        <f t="shared" si="47"/>
        <v>6.5291497052370881E-3</v>
      </c>
    </row>
    <row r="737" spans="1:9" ht="14.25" customHeight="1" x14ac:dyDescent="0.3">
      <c r="A737" s="8">
        <f>'ICICI PRUDENTIAL MULTICAP FUND'!A737</f>
        <v>45135</v>
      </c>
      <c r="B737" s="9">
        <f>'ICICI PRUDENTIAL MULTICAP FUND'!B737</f>
        <v>537.92999999999995</v>
      </c>
      <c r="C737" s="10">
        <f t="shared" si="44"/>
        <v>2.3291346798837297E-3</v>
      </c>
      <c r="D737" s="9">
        <f>'QUANT ACTIVE FUND'!B737</f>
        <v>490.39699999999999</v>
      </c>
      <c r="E737" s="10">
        <f t="shared" si="45"/>
        <v>4.839816816416786E-3</v>
      </c>
      <c r="F737" s="9">
        <f>'NIPPON INDIA '!B737</f>
        <v>199.904</v>
      </c>
      <c r="G737" s="10">
        <f t="shared" si="46"/>
        <v>6.0492596954232879E-3</v>
      </c>
      <c r="H737" s="9">
        <f>'NIFTY500 TRI'!B737</f>
        <v>26439.89</v>
      </c>
      <c r="I737" s="10">
        <f t="shared" si="47"/>
        <v>1.8874516484981352E-3</v>
      </c>
    </row>
    <row r="738" spans="1:9" ht="14.25" customHeight="1" x14ac:dyDescent="0.3">
      <c r="A738" s="8">
        <f>'ICICI PRUDENTIAL MULTICAP FUND'!A738</f>
        <v>45134</v>
      </c>
      <c r="B738" s="9">
        <f>'ICICI PRUDENTIAL MULTICAP FUND'!B738</f>
        <v>536.67999999999995</v>
      </c>
      <c r="C738" s="10">
        <f t="shared" si="44"/>
        <v>-2.7941806530948517E-4</v>
      </c>
      <c r="D738" s="9">
        <f>'QUANT ACTIVE FUND'!B738</f>
        <v>488.03500000000003</v>
      </c>
      <c r="E738" s="10">
        <f t="shared" si="45"/>
        <v>2.8150781338292345E-3</v>
      </c>
      <c r="F738" s="9">
        <f>'NIPPON INDIA '!B738</f>
        <v>198.702</v>
      </c>
      <c r="G738" s="10">
        <f t="shared" si="46"/>
        <v>1.5120815314362324E-3</v>
      </c>
      <c r="H738" s="9">
        <f>'NIFTY500 TRI'!B738</f>
        <v>26390.080000000002</v>
      </c>
      <c r="I738" s="10">
        <f t="shared" si="47"/>
        <v>-3.2022832226496697E-3</v>
      </c>
    </row>
    <row r="739" spans="1:9" ht="14.25" customHeight="1" x14ac:dyDescent="0.3">
      <c r="A739" s="8">
        <f>'ICICI PRUDENTIAL MULTICAP FUND'!A739</f>
        <v>45133</v>
      </c>
      <c r="B739" s="9">
        <f>'ICICI PRUDENTIAL MULTICAP FUND'!B739</f>
        <v>536.83000000000004</v>
      </c>
      <c r="C739" s="10">
        <f t="shared" si="44"/>
        <v>7.0912672357191387E-3</v>
      </c>
      <c r="D739" s="9">
        <f>'QUANT ACTIVE FUND'!B739</f>
        <v>486.66500000000002</v>
      </c>
      <c r="E739" s="10">
        <f t="shared" si="45"/>
        <v>8.1369358470554307E-3</v>
      </c>
      <c r="F739" s="9">
        <f>'NIPPON INDIA '!B739</f>
        <v>198.40199999999999</v>
      </c>
      <c r="G739" s="10">
        <f t="shared" si="46"/>
        <v>3.7386865523642556E-3</v>
      </c>
      <c r="H739" s="9">
        <f>'NIFTY500 TRI'!B739</f>
        <v>26474.86</v>
      </c>
      <c r="I739" s="10">
        <f t="shared" si="47"/>
        <v>4.6401528806666679E-3</v>
      </c>
    </row>
    <row r="740" spans="1:9" ht="14.25" customHeight="1" x14ac:dyDescent="0.3">
      <c r="A740" s="8">
        <f>'ICICI PRUDENTIAL MULTICAP FUND'!A740</f>
        <v>45132</v>
      </c>
      <c r="B740" s="9">
        <f>'ICICI PRUDENTIAL MULTICAP FUND'!B740</f>
        <v>533.04999999999995</v>
      </c>
      <c r="C740" s="10">
        <f t="shared" si="44"/>
        <v>3.2560415568770314E-3</v>
      </c>
      <c r="D740" s="9">
        <f>'QUANT ACTIVE FUND'!B740</f>
        <v>482.73700000000002</v>
      </c>
      <c r="E740" s="10">
        <f t="shared" si="45"/>
        <v>3.1836743175986102E-3</v>
      </c>
      <c r="F740" s="9">
        <f>'NIPPON INDIA '!B740</f>
        <v>197.66300000000001</v>
      </c>
      <c r="G740" s="10">
        <f t="shared" si="46"/>
        <v>3.7119411776655037E-3</v>
      </c>
      <c r="H740" s="9">
        <f>'NIFTY500 TRI'!B740</f>
        <v>26352.58</v>
      </c>
      <c r="I740" s="10">
        <f t="shared" si="47"/>
        <v>1.8887651171543931E-3</v>
      </c>
    </row>
    <row r="741" spans="1:9" ht="14.25" customHeight="1" x14ac:dyDescent="0.3">
      <c r="A741" s="8">
        <f>'ICICI PRUDENTIAL MULTICAP FUND'!A741</f>
        <v>45131</v>
      </c>
      <c r="B741" s="9">
        <f>'ICICI PRUDENTIAL MULTICAP FUND'!B741</f>
        <v>531.32000000000005</v>
      </c>
      <c r="C741" s="10">
        <f t="shared" si="44"/>
        <v>-4.3269683002521782E-4</v>
      </c>
      <c r="D741" s="9">
        <f>'QUANT ACTIVE FUND'!B741</f>
        <v>481.20499999999998</v>
      </c>
      <c r="E741" s="10">
        <f t="shared" si="45"/>
        <v>-1.4380636566245148E-3</v>
      </c>
      <c r="F741" s="9">
        <f>'NIPPON INDIA '!B741</f>
        <v>196.93199999999999</v>
      </c>
      <c r="G741" s="10">
        <f t="shared" si="46"/>
        <v>-6.6983315065159037E-4</v>
      </c>
      <c r="H741" s="9">
        <f>'NIFTY500 TRI'!B741</f>
        <v>26302.9</v>
      </c>
      <c r="I741" s="10">
        <f t="shared" si="47"/>
        <v>-2.3084719326832343E-3</v>
      </c>
    </row>
    <row r="742" spans="1:9" ht="14.25" customHeight="1" x14ac:dyDescent="0.3">
      <c r="A742" s="8">
        <f>'ICICI PRUDENTIAL MULTICAP FUND'!A742</f>
        <v>45128</v>
      </c>
      <c r="B742" s="9">
        <f>'ICICI PRUDENTIAL MULTICAP FUND'!B742</f>
        <v>531.54999999999995</v>
      </c>
      <c r="C742" s="10">
        <f t="shared" si="44"/>
        <v>-3.8044904231794414E-3</v>
      </c>
      <c r="D742" s="9">
        <f>'QUANT ACTIVE FUND'!B742</f>
        <v>481.89800000000002</v>
      </c>
      <c r="E742" s="10">
        <f t="shared" si="45"/>
        <v>-3.8284237726097683E-3</v>
      </c>
      <c r="F742" s="9">
        <f>'NIPPON INDIA '!B742</f>
        <v>197.06399999999999</v>
      </c>
      <c r="G742" s="10">
        <f t="shared" si="46"/>
        <v>-4.2746703046839659E-3</v>
      </c>
      <c r="H742" s="9">
        <f>'NIFTY500 TRI'!B742</f>
        <v>26363.759999999998</v>
      </c>
      <c r="I742" s="10">
        <f t="shared" si="47"/>
        <v>-8.0107884135930344E-3</v>
      </c>
    </row>
    <row r="743" spans="1:9" ht="14.25" customHeight="1" x14ac:dyDescent="0.3">
      <c r="A743" s="8">
        <f>'ICICI PRUDENTIAL MULTICAP FUND'!A743</f>
        <v>45127</v>
      </c>
      <c r="B743" s="9">
        <f>'ICICI PRUDENTIAL MULTICAP FUND'!B743</f>
        <v>533.58000000000004</v>
      </c>
      <c r="C743" s="10">
        <f t="shared" si="44"/>
        <v>3.2150713520221791E-3</v>
      </c>
      <c r="D743" s="9">
        <f>'QUANT ACTIVE FUND'!B743</f>
        <v>483.75</v>
      </c>
      <c r="E743" s="10">
        <f t="shared" si="45"/>
        <v>6.466351255196184E-3</v>
      </c>
      <c r="F743" s="9">
        <f>'NIPPON INDIA '!B743</f>
        <v>197.91</v>
      </c>
      <c r="G743" s="10">
        <f t="shared" si="46"/>
        <v>7.6165650106408377E-3</v>
      </c>
      <c r="H743" s="9">
        <f>'NIFTY500 TRI'!B743</f>
        <v>26576.66</v>
      </c>
      <c r="I743" s="10">
        <f t="shared" si="47"/>
        <v>5.4086281559631352E-3</v>
      </c>
    </row>
    <row r="744" spans="1:9" ht="14.25" customHeight="1" x14ac:dyDescent="0.3">
      <c r="A744" s="8">
        <f>'ICICI PRUDENTIAL MULTICAP FUND'!A744</f>
        <v>45126</v>
      </c>
      <c r="B744" s="9">
        <f>'ICICI PRUDENTIAL MULTICAP FUND'!B744</f>
        <v>531.87</v>
      </c>
      <c r="C744" s="10">
        <f t="shared" si="44"/>
        <v>3.9829356689822064E-3</v>
      </c>
      <c r="D744" s="9">
        <f>'QUANT ACTIVE FUND'!B744</f>
        <v>480.642</v>
      </c>
      <c r="E744" s="10">
        <f t="shared" si="45"/>
        <v>9.082205930516762E-3</v>
      </c>
      <c r="F744" s="9">
        <f>'NIPPON INDIA '!B744</f>
        <v>196.41399999999999</v>
      </c>
      <c r="G744" s="10">
        <f t="shared" si="46"/>
        <v>7.6595133413023481E-3</v>
      </c>
      <c r="H744" s="9">
        <f>'NIFTY500 TRI'!B744</f>
        <v>26433.69</v>
      </c>
      <c r="I744" s="10">
        <f t="shared" si="47"/>
        <v>4.8372185670124881E-3</v>
      </c>
    </row>
    <row r="745" spans="1:9" ht="14.25" customHeight="1" x14ac:dyDescent="0.3">
      <c r="A745" s="8">
        <f>'ICICI PRUDENTIAL MULTICAP FUND'!A745</f>
        <v>45125</v>
      </c>
      <c r="B745" s="9">
        <f>'ICICI PRUDENTIAL MULTICAP FUND'!B745</f>
        <v>529.76</v>
      </c>
      <c r="C745" s="10">
        <f t="shared" si="44"/>
        <v>-8.1103000811042012E-4</v>
      </c>
      <c r="D745" s="9">
        <f>'QUANT ACTIVE FUND'!B745</f>
        <v>476.31599999999997</v>
      </c>
      <c r="E745" s="10">
        <f t="shared" si="45"/>
        <v>-2.3186985126397927E-3</v>
      </c>
      <c r="F745" s="9">
        <f>'NIPPON INDIA '!B745</f>
        <v>194.92099999999999</v>
      </c>
      <c r="G745" s="10">
        <f t="shared" si="46"/>
        <v>-2.5840983287791566E-3</v>
      </c>
      <c r="H745" s="9">
        <f>'NIFTY500 TRI'!B745</f>
        <v>26306.44</v>
      </c>
      <c r="I745" s="10">
        <f t="shared" si="47"/>
        <v>1.5205425294694497E-6</v>
      </c>
    </row>
    <row r="746" spans="1:9" ht="14.25" customHeight="1" x14ac:dyDescent="0.3">
      <c r="A746" s="8">
        <f>'ICICI PRUDENTIAL MULTICAP FUND'!A746</f>
        <v>45124</v>
      </c>
      <c r="B746" s="9">
        <f>'ICICI PRUDENTIAL MULTICAP FUND'!B746</f>
        <v>530.19000000000005</v>
      </c>
      <c r="C746" s="10">
        <f t="shared" si="44"/>
        <v>4.4140491797068178E-3</v>
      </c>
      <c r="D746" s="9">
        <f>'QUANT ACTIVE FUND'!B746</f>
        <v>477.423</v>
      </c>
      <c r="E746" s="10">
        <f t="shared" si="45"/>
        <v>1.0245862614028038E-2</v>
      </c>
      <c r="F746" s="9">
        <f>'NIPPON INDIA '!B746</f>
        <v>195.42599999999999</v>
      </c>
      <c r="G746" s="10">
        <f t="shared" si="46"/>
        <v>7.5322867527645929E-3</v>
      </c>
      <c r="H746" s="9">
        <f>'NIFTY500 TRI'!B746</f>
        <v>26306.400000000001</v>
      </c>
      <c r="I746" s="10">
        <f t="shared" si="47"/>
        <v>6.3634130908651375E-3</v>
      </c>
    </row>
    <row r="747" spans="1:9" ht="14.25" customHeight="1" x14ac:dyDescent="0.3">
      <c r="A747" s="8">
        <f>'ICICI PRUDENTIAL MULTICAP FUND'!A747</f>
        <v>45121</v>
      </c>
      <c r="B747" s="9">
        <f>'ICICI PRUDENTIAL MULTICAP FUND'!B747</f>
        <v>527.86</v>
      </c>
      <c r="C747" s="10">
        <f t="shared" si="44"/>
        <v>7.4048627810221678E-3</v>
      </c>
      <c r="D747" s="9">
        <f>'QUANT ACTIVE FUND'!B747</f>
        <v>472.58100000000002</v>
      </c>
      <c r="E747" s="10">
        <f t="shared" si="45"/>
        <v>7.5344261875675391E-3</v>
      </c>
      <c r="F747" s="9">
        <f>'NIPPON INDIA '!B747</f>
        <v>193.965</v>
      </c>
      <c r="G747" s="10">
        <f t="shared" si="46"/>
        <v>7.9769266746349144E-3</v>
      </c>
      <c r="H747" s="9">
        <f>'NIFTY500 TRI'!B747</f>
        <v>26140.06</v>
      </c>
      <c r="I747" s="10">
        <f t="shared" si="47"/>
        <v>8.6783180192598255E-3</v>
      </c>
    </row>
    <row r="748" spans="1:9" ht="14.25" customHeight="1" x14ac:dyDescent="0.3">
      <c r="A748" s="8">
        <f>'ICICI PRUDENTIAL MULTICAP FUND'!A748</f>
        <v>45120</v>
      </c>
      <c r="B748" s="9">
        <f>'ICICI PRUDENTIAL MULTICAP FUND'!B748</f>
        <v>523.98</v>
      </c>
      <c r="C748" s="10">
        <f t="shared" si="44"/>
        <v>-1.1437721605856545E-3</v>
      </c>
      <c r="D748" s="9">
        <f>'QUANT ACTIVE FUND'!B748</f>
        <v>469.04700000000003</v>
      </c>
      <c r="E748" s="10">
        <f t="shared" si="45"/>
        <v>-7.952504933302575E-3</v>
      </c>
      <c r="F748" s="9">
        <f>'NIPPON INDIA '!B748</f>
        <v>192.43</v>
      </c>
      <c r="G748" s="10">
        <f t="shared" si="46"/>
        <v>-2.8707043070928264E-3</v>
      </c>
      <c r="H748" s="9">
        <f>'NIFTY500 TRI'!B748</f>
        <v>25915.16</v>
      </c>
      <c r="I748" s="10">
        <f t="shared" si="47"/>
        <v>-9.9726186662591984E-4</v>
      </c>
    </row>
    <row r="749" spans="1:9" ht="14.25" customHeight="1" x14ac:dyDescent="0.3">
      <c r="A749" s="8">
        <f>'ICICI PRUDENTIAL MULTICAP FUND'!A749</f>
        <v>45119</v>
      </c>
      <c r="B749" s="9">
        <f>'ICICI PRUDENTIAL MULTICAP FUND'!B749</f>
        <v>524.58000000000004</v>
      </c>
      <c r="C749" s="10">
        <f t="shared" si="44"/>
        <v>-5.3347559349154578E-4</v>
      </c>
      <c r="D749" s="9">
        <f>'QUANT ACTIVE FUND'!B749</f>
        <v>472.80700000000002</v>
      </c>
      <c r="E749" s="10">
        <f t="shared" si="45"/>
        <v>-1.9294057050457702E-3</v>
      </c>
      <c r="F749" s="9">
        <f>'NIPPON INDIA '!B749</f>
        <v>192.98400000000001</v>
      </c>
      <c r="G749" s="10">
        <f t="shared" si="46"/>
        <v>2.7018039737302054E-3</v>
      </c>
      <c r="H749" s="9">
        <f>'NIFTY500 TRI'!B749</f>
        <v>25941.03</v>
      </c>
      <c r="I749" s="10">
        <f t="shared" si="47"/>
        <v>-4.1307426281469127E-4</v>
      </c>
    </row>
    <row r="750" spans="1:9" ht="14.25" customHeight="1" x14ac:dyDescent="0.3">
      <c r="A750" s="8">
        <f>'ICICI PRUDENTIAL MULTICAP FUND'!A750</f>
        <v>45118</v>
      </c>
      <c r="B750" s="9">
        <f>'ICICI PRUDENTIAL MULTICAP FUND'!B750</f>
        <v>524.86</v>
      </c>
      <c r="C750" s="10">
        <f t="shared" si="44"/>
        <v>6.9449773616760118E-3</v>
      </c>
      <c r="D750" s="9">
        <f>'QUANT ACTIVE FUND'!B750</f>
        <v>473.721</v>
      </c>
      <c r="E750" s="10">
        <f t="shared" si="45"/>
        <v>5.3693725049927307E-3</v>
      </c>
      <c r="F750" s="9">
        <f>'NIPPON INDIA '!B750</f>
        <v>192.464</v>
      </c>
      <c r="G750" s="10">
        <f t="shared" si="46"/>
        <v>7.2114126623613753E-3</v>
      </c>
      <c r="H750" s="9">
        <f>'NIFTY500 TRI'!B750</f>
        <v>25951.75</v>
      </c>
      <c r="I750" s="10">
        <f t="shared" si="47"/>
        <v>5.765613119104865E-3</v>
      </c>
    </row>
    <row r="751" spans="1:9" ht="14.25" customHeight="1" x14ac:dyDescent="0.3">
      <c r="A751" s="8">
        <f>'ICICI PRUDENTIAL MULTICAP FUND'!A751</f>
        <v>45117</v>
      </c>
      <c r="B751" s="9">
        <f>'ICICI PRUDENTIAL MULTICAP FUND'!B751</f>
        <v>521.24</v>
      </c>
      <c r="C751" s="10">
        <f t="shared" si="44"/>
        <v>-1.7810291667463662E-3</v>
      </c>
      <c r="D751" s="9">
        <f>'QUANT ACTIVE FUND'!B751</f>
        <v>471.19099999999997</v>
      </c>
      <c r="E751" s="10">
        <f t="shared" si="45"/>
        <v>1.1282029490501616E-3</v>
      </c>
      <c r="F751" s="9">
        <f>'NIPPON INDIA '!B751</f>
        <v>191.08600000000001</v>
      </c>
      <c r="G751" s="10">
        <f t="shared" si="46"/>
        <v>-7.0076351846033952E-4</v>
      </c>
      <c r="H751" s="9">
        <f>'NIFTY500 TRI'!B751</f>
        <v>25802.98</v>
      </c>
      <c r="I751" s="10">
        <f t="shared" si="47"/>
        <v>-6.4679345367567407E-4</v>
      </c>
    </row>
    <row r="752" spans="1:9" ht="14.25" customHeight="1" x14ac:dyDescent="0.3">
      <c r="A752" s="8">
        <f>'ICICI PRUDENTIAL MULTICAP FUND'!A752</f>
        <v>45114</v>
      </c>
      <c r="B752" s="9">
        <f>'ICICI PRUDENTIAL MULTICAP FUND'!B752</f>
        <v>522.16999999999996</v>
      </c>
      <c r="C752" s="10">
        <f t="shared" si="44"/>
        <v>-3.682503339057553E-3</v>
      </c>
      <c r="D752" s="9">
        <f>'QUANT ACTIVE FUND'!B752</f>
        <v>470.66</v>
      </c>
      <c r="E752" s="10">
        <f t="shared" si="45"/>
        <v>-4.879822736421899E-3</v>
      </c>
      <c r="F752" s="9">
        <f>'NIPPON INDIA '!B752</f>
        <v>191.22</v>
      </c>
      <c r="G752" s="10">
        <f t="shared" si="46"/>
        <v>-3.5227414849709621E-3</v>
      </c>
      <c r="H752" s="9">
        <f>'NIFTY500 TRI'!B752</f>
        <v>25819.68</v>
      </c>
      <c r="I752" s="10">
        <f t="shared" si="47"/>
        <v>-7.6796248967120704E-3</v>
      </c>
    </row>
    <row r="753" spans="1:9" ht="14.25" customHeight="1" x14ac:dyDescent="0.3">
      <c r="A753" s="8">
        <f>'ICICI PRUDENTIAL MULTICAP FUND'!A753</f>
        <v>45113</v>
      </c>
      <c r="B753" s="9">
        <f>'ICICI PRUDENTIAL MULTICAP FUND'!B753</f>
        <v>524.1</v>
      </c>
      <c r="C753" s="10">
        <f t="shared" si="44"/>
        <v>6.1045841971897104E-3</v>
      </c>
      <c r="D753" s="9">
        <f>'QUANT ACTIVE FUND'!B753</f>
        <v>472.96800000000002</v>
      </c>
      <c r="E753" s="10">
        <f t="shared" si="45"/>
        <v>6.7518667677034828E-3</v>
      </c>
      <c r="F753" s="9">
        <f>'NIPPON INDIA '!B753</f>
        <v>191.89599999999999</v>
      </c>
      <c r="G753" s="10">
        <f t="shared" si="46"/>
        <v>4.5911663237687408E-3</v>
      </c>
      <c r="H753" s="9">
        <f>'NIFTY500 TRI'!B753</f>
        <v>26019.5</v>
      </c>
      <c r="I753" s="10">
        <f t="shared" si="47"/>
        <v>5.9044867217669453E-3</v>
      </c>
    </row>
    <row r="754" spans="1:9" ht="14.25" customHeight="1" x14ac:dyDescent="0.3">
      <c r="A754" s="8">
        <f>'ICICI PRUDENTIAL MULTICAP FUND'!A754</f>
        <v>45112</v>
      </c>
      <c r="B754" s="9">
        <f>'ICICI PRUDENTIAL MULTICAP FUND'!B754</f>
        <v>520.91999999999996</v>
      </c>
      <c r="C754" s="10">
        <f t="shared" si="44"/>
        <v>4.2412091301664324E-3</v>
      </c>
      <c r="D754" s="9">
        <f>'QUANT ACTIVE FUND'!B754</f>
        <v>469.79599999999999</v>
      </c>
      <c r="E754" s="10">
        <f t="shared" si="45"/>
        <v>2.4495996995612221E-3</v>
      </c>
      <c r="F754" s="9">
        <f>'NIPPON INDIA '!B754</f>
        <v>191.01900000000001</v>
      </c>
      <c r="G754" s="10">
        <f t="shared" si="46"/>
        <v>1.1845298307589854E-3</v>
      </c>
      <c r="H754" s="9">
        <f>'NIFTY500 TRI'!B754</f>
        <v>25866.77</v>
      </c>
      <c r="I754" s="10">
        <f t="shared" si="47"/>
        <v>2.4951177003371015E-3</v>
      </c>
    </row>
    <row r="755" spans="1:9" ht="14.25" customHeight="1" x14ac:dyDescent="0.3">
      <c r="A755" s="8">
        <f>'ICICI PRUDENTIAL MULTICAP FUND'!A755</f>
        <v>45111</v>
      </c>
      <c r="B755" s="9">
        <f>'ICICI PRUDENTIAL MULTICAP FUND'!B755</f>
        <v>518.72</v>
      </c>
      <c r="C755" s="10">
        <f t="shared" si="44"/>
        <v>-5.3949903660881063E-4</v>
      </c>
      <c r="D755" s="9">
        <f>'QUANT ACTIVE FUND'!B755</f>
        <v>468.64800000000002</v>
      </c>
      <c r="E755" s="10">
        <f t="shared" si="45"/>
        <v>1.0594849536048928E-3</v>
      </c>
      <c r="F755" s="9">
        <f>'NIPPON INDIA '!B755</f>
        <v>190.79300000000001</v>
      </c>
      <c r="G755" s="10">
        <f t="shared" si="46"/>
        <v>-1.3033783147161108E-3</v>
      </c>
      <c r="H755" s="9">
        <f>'NIFTY500 TRI'!B755</f>
        <v>25802.39</v>
      </c>
      <c r="I755" s="10">
        <f t="shared" si="47"/>
        <v>1.7019591553096018E-3</v>
      </c>
    </row>
    <row r="756" spans="1:9" ht="14.25" customHeight="1" x14ac:dyDescent="0.3">
      <c r="A756" s="8">
        <f>'ICICI PRUDENTIAL MULTICAP FUND'!A756</f>
        <v>45110</v>
      </c>
      <c r="B756" s="9">
        <f>'ICICI PRUDENTIAL MULTICAP FUND'!B756</f>
        <v>519</v>
      </c>
      <c r="C756" s="10">
        <f t="shared" si="44"/>
        <v>1.7177819381984257E-3</v>
      </c>
      <c r="D756" s="9">
        <f>'QUANT ACTIVE FUND'!B756</f>
        <v>468.15199999999999</v>
      </c>
      <c r="E756" s="10">
        <f t="shared" si="45"/>
        <v>7.0080491466871613E-3</v>
      </c>
      <c r="F756" s="9">
        <f>'NIPPON INDIA '!B756</f>
        <v>191.042</v>
      </c>
      <c r="G756" s="10">
        <f t="shared" si="46"/>
        <v>5.3307653042430642E-3</v>
      </c>
      <c r="H756" s="9">
        <f>'NIFTY500 TRI'!B756</f>
        <v>25758.55</v>
      </c>
      <c r="I756" s="10">
        <f t="shared" si="47"/>
        <v>5.965052462702721E-3</v>
      </c>
    </row>
    <row r="757" spans="1:9" ht="14.25" customHeight="1" x14ac:dyDescent="0.3">
      <c r="A757" s="8">
        <f>'ICICI PRUDENTIAL MULTICAP FUND'!A757</f>
        <v>45107</v>
      </c>
      <c r="B757" s="9">
        <f>'ICICI PRUDENTIAL MULTICAP FUND'!B757</f>
        <v>518.11</v>
      </c>
      <c r="C757" s="10">
        <f t="shared" si="44"/>
        <v>8.5062482968038394E-3</v>
      </c>
      <c r="D757" s="9">
        <f>'QUANT ACTIVE FUND'!B757</f>
        <v>464.89400000000001</v>
      </c>
      <c r="E757" s="10">
        <f t="shared" si="45"/>
        <v>6.6410149255024227E-3</v>
      </c>
      <c r="F757" s="9">
        <f>'NIPPON INDIA '!B757</f>
        <v>190.029</v>
      </c>
      <c r="G757" s="10">
        <f t="shared" si="46"/>
        <v>9.9384031590304192E-3</v>
      </c>
      <c r="H757" s="9">
        <f>'NIFTY500 TRI'!B757</f>
        <v>25605.81</v>
      </c>
      <c r="I757" s="10">
        <f t="shared" si="47"/>
        <v>9.4699120068124851E-3</v>
      </c>
    </row>
    <row r="758" spans="1:9" ht="14.25" customHeight="1" x14ac:dyDescent="0.3">
      <c r="A758" s="8">
        <f>'ICICI PRUDENTIAL MULTICAP FUND'!A758</f>
        <v>45105</v>
      </c>
      <c r="B758" s="9">
        <f>'ICICI PRUDENTIAL MULTICAP FUND'!B758</f>
        <v>513.74</v>
      </c>
      <c r="C758" s="10">
        <f t="shared" si="44"/>
        <v>6.7214046363974975E-3</v>
      </c>
      <c r="D758" s="9">
        <f>'QUANT ACTIVE FUND'!B758</f>
        <v>461.827</v>
      </c>
      <c r="E758" s="10">
        <f t="shared" si="45"/>
        <v>4.0830613828924207E-3</v>
      </c>
      <c r="F758" s="9">
        <f>'NIPPON INDIA '!B758</f>
        <v>188.15899999999999</v>
      </c>
      <c r="G758" s="10">
        <f t="shared" si="46"/>
        <v>4.9296075541028538E-3</v>
      </c>
      <c r="H758" s="9">
        <f>'NIFTY500 TRI'!B758</f>
        <v>25365.599999999999</v>
      </c>
      <c r="I758" s="10">
        <f t="shared" si="47"/>
        <v>7.0409814099827717E-3</v>
      </c>
    </row>
    <row r="759" spans="1:9" ht="14.25" customHeight="1" x14ac:dyDescent="0.3">
      <c r="A759" s="8">
        <f>'ICICI PRUDENTIAL MULTICAP FUND'!A759</f>
        <v>45104</v>
      </c>
      <c r="B759" s="9">
        <f>'ICICI PRUDENTIAL MULTICAP FUND'!B759</f>
        <v>510.31</v>
      </c>
      <c r="C759" s="10">
        <f t="shared" si="44"/>
        <v>6.171378997594533E-3</v>
      </c>
      <c r="D759" s="9">
        <f>'QUANT ACTIVE FUND'!B759</f>
        <v>459.94900000000001</v>
      </c>
      <c r="E759" s="10">
        <f t="shared" si="45"/>
        <v>7.6767189913352525E-3</v>
      </c>
      <c r="F759" s="9">
        <f>'NIPPON INDIA '!B759</f>
        <v>187.23599999999999</v>
      </c>
      <c r="G759" s="10">
        <f t="shared" si="46"/>
        <v>5.7421562360675544E-3</v>
      </c>
      <c r="H759" s="9">
        <f>'NIFTY500 TRI'!B759</f>
        <v>25188.25</v>
      </c>
      <c r="I759" s="10">
        <f t="shared" si="47"/>
        <v>6.0603470450365932E-3</v>
      </c>
    </row>
    <row r="760" spans="1:9" ht="14.25" customHeight="1" x14ac:dyDescent="0.3">
      <c r="A760" s="8">
        <f>'ICICI PRUDENTIAL MULTICAP FUND'!A760</f>
        <v>45103</v>
      </c>
      <c r="B760" s="9">
        <f>'ICICI PRUDENTIAL MULTICAP FUND'!B760</f>
        <v>507.18</v>
      </c>
      <c r="C760" s="10">
        <f t="shared" si="44"/>
        <v>3.8397593223022677E-3</v>
      </c>
      <c r="D760" s="9">
        <f>'QUANT ACTIVE FUND'!B760</f>
        <v>456.44499999999999</v>
      </c>
      <c r="E760" s="10">
        <f t="shared" si="45"/>
        <v>3.4912071266353277E-3</v>
      </c>
      <c r="F760" s="9">
        <f>'NIPPON INDIA '!B760</f>
        <v>186.167</v>
      </c>
      <c r="G760" s="10">
        <f t="shared" si="46"/>
        <v>3.590277141363102E-3</v>
      </c>
      <c r="H760" s="9">
        <f>'NIFTY500 TRI'!B760</f>
        <v>25036.52</v>
      </c>
      <c r="I760" s="10">
        <f t="shared" si="47"/>
        <v>3.4126382639510962E-3</v>
      </c>
    </row>
    <row r="761" spans="1:9" ht="14.25" customHeight="1" x14ac:dyDescent="0.3">
      <c r="A761" s="8">
        <f>'ICICI PRUDENTIAL MULTICAP FUND'!A761</f>
        <v>45100</v>
      </c>
      <c r="B761" s="9">
        <f>'ICICI PRUDENTIAL MULTICAP FUND'!B761</f>
        <v>505.24</v>
      </c>
      <c r="C761" s="10">
        <f t="shared" si="44"/>
        <v>-7.6599756452055967E-3</v>
      </c>
      <c r="D761" s="9">
        <f>'QUANT ACTIVE FUND'!B761</f>
        <v>454.85700000000003</v>
      </c>
      <c r="E761" s="10">
        <f t="shared" si="45"/>
        <v>-7.3089396472328805E-3</v>
      </c>
      <c r="F761" s="9">
        <f>'NIPPON INDIA '!B761</f>
        <v>185.501</v>
      </c>
      <c r="G761" s="10">
        <f t="shared" si="46"/>
        <v>-7.0655868451619096E-3</v>
      </c>
      <c r="H761" s="9">
        <f>'NIFTY500 TRI'!B761</f>
        <v>24951.37</v>
      </c>
      <c r="I761" s="10">
        <f t="shared" si="47"/>
        <v>-7.9652635944037261E-3</v>
      </c>
    </row>
    <row r="762" spans="1:9" ht="14.25" customHeight="1" x14ac:dyDescent="0.3">
      <c r="A762" s="8">
        <f>'ICICI PRUDENTIAL MULTICAP FUND'!A762</f>
        <v>45099</v>
      </c>
      <c r="B762" s="9">
        <f>'ICICI PRUDENTIAL MULTICAP FUND'!B762</f>
        <v>509.14</v>
      </c>
      <c r="C762" s="10">
        <f t="shared" si="44"/>
        <v>-5.6442005351248683E-3</v>
      </c>
      <c r="D762" s="9">
        <f>'QUANT ACTIVE FUND'!B762</f>
        <v>458.20600000000002</v>
      </c>
      <c r="E762" s="10">
        <f t="shared" si="45"/>
        <v>-6.0866094591897459E-3</v>
      </c>
      <c r="F762" s="9">
        <f>'NIPPON INDIA '!B762</f>
        <v>186.821</v>
      </c>
      <c r="G762" s="10">
        <f t="shared" si="46"/>
        <v>-7.8702941535716345E-3</v>
      </c>
      <c r="H762" s="9">
        <f>'NIFTY500 TRI'!B762</f>
        <v>25151.71</v>
      </c>
      <c r="I762" s="10">
        <f t="shared" si="47"/>
        <v>-6.1511701329810473E-3</v>
      </c>
    </row>
    <row r="763" spans="1:9" ht="14.25" customHeight="1" x14ac:dyDescent="0.3">
      <c r="A763" s="8">
        <f>'ICICI PRUDENTIAL MULTICAP FUND'!A763</f>
        <v>45098</v>
      </c>
      <c r="B763" s="9">
        <f>'ICICI PRUDENTIAL MULTICAP FUND'!B763</f>
        <v>512.03</v>
      </c>
      <c r="C763" s="10">
        <f t="shared" si="44"/>
        <v>3.2918585284607621E-3</v>
      </c>
      <c r="D763" s="9">
        <f>'QUANT ACTIVE FUND'!B763</f>
        <v>461.012</v>
      </c>
      <c r="E763" s="10">
        <f t="shared" si="45"/>
        <v>2.3634288199162667E-3</v>
      </c>
      <c r="F763" s="9">
        <f>'NIPPON INDIA '!B763</f>
        <v>188.303</v>
      </c>
      <c r="G763" s="10">
        <f t="shared" si="46"/>
        <v>6.6234016165590617E-3</v>
      </c>
      <c r="H763" s="9">
        <f>'NIFTY500 TRI'!B763</f>
        <v>25307.38</v>
      </c>
      <c r="I763" s="10">
        <f t="shared" si="47"/>
        <v>2.5539844653410071E-3</v>
      </c>
    </row>
    <row r="764" spans="1:9" ht="14.25" customHeight="1" x14ac:dyDescent="0.3">
      <c r="A764" s="8">
        <f>'ICICI PRUDENTIAL MULTICAP FUND'!A764</f>
        <v>45097</v>
      </c>
      <c r="B764" s="9">
        <f>'ICICI PRUDENTIAL MULTICAP FUND'!B764</f>
        <v>510.35</v>
      </c>
      <c r="C764" s="10">
        <f t="shared" si="44"/>
        <v>3.0858131215850664E-3</v>
      </c>
      <c r="D764" s="9">
        <f>'QUANT ACTIVE FUND'!B764</f>
        <v>459.92500000000001</v>
      </c>
      <c r="E764" s="10">
        <f t="shared" si="45"/>
        <v>1.1863816448256692E-3</v>
      </c>
      <c r="F764" s="9">
        <f>'NIPPON INDIA '!B764</f>
        <v>187.06399999999999</v>
      </c>
      <c r="G764" s="10">
        <f t="shared" si="46"/>
        <v>3.4384169335328319E-3</v>
      </c>
      <c r="H764" s="9">
        <f>'NIFTY500 TRI'!B764</f>
        <v>25242.91</v>
      </c>
      <c r="I764" s="10">
        <f t="shared" si="47"/>
        <v>3.5840997170887593E-3</v>
      </c>
    </row>
    <row r="765" spans="1:9" ht="14.25" customHeight="1" x14ac:dyDescent="0.3">
      <c r="A765" s="8">
        <f>'ICICI PRUDENTIAL MULTICAP FUND'!A765</f>
        <v>45096</v>
      </c>
      <c r="B765" s="9">
        <f>'ICICI PRUDENTIAL MULTICAP FUND'!B765</f>
        <v>508.78</v>
      </c>
      <c r="C765" s="10">
        <f t="shared" si="44"/>
        <v>-1.8441497292632318E-3</v>
      </c>
      <c r="D765" s="9">
        <f>'QUANT ACTIVE FUND'!B765</f>
        <v>459.38</v>
      </c>
      <c r="E765" s="10">
        <f t="shared" si="45"/>
        <v>-2.0680726084651908E-3</v>
      </c>
      <c r="F765" s="9">
        <f>'NIPPON INDIA '!B765</f>
        <v>186.423</v>
      </c>
      <c r="G765" s="10">
        <f t="shared" si="46"/>
        <v>6.2262824263185966E-4</v>
      </c>
      <c r="H765" s="9">
        <f>'NIFTY500 TRI'!B765</f>
        <v>25152.76</v>
      </c>
      <c r="I765" s="10">
        <f t="shared" si="47"/>
        <v>-2.2725064012170098E-3</v>
      </c>
    </row>
    <row r="766" spans="1:9" ht="14.25" customHeight="1" x14ac:dyDescent="0.3">
      <c r="A766" s="8">
        <f>'ICICI PRUDENTIAL MULTICAP FUND'!A766</f>
        <v>45093</v>
      </c>
      <c r="B766" s="9">
        <f>'ICICI PRUDENTIAL MULTICAP FUND'!B766</f>
        <v>509.72</v>
      </c>
      <c r="C766" s="10">
        <f t="shared" si="44"/>
        <v>8.6674318280762514E-3</v>
      </c>
      <c r="D766" s="9">
        <f>'QUANT ACTIVE FUND'!B766</f>
        <v>460.33199999999999</v>
      </c>
      <c r="E766" s="10">
        <f t="shared" si="45"/>
        <v>4.9797948263403113E-3</v>
      </c>
      <c r="F766" s="9">
        <f>'NIPPON INDIA '!B766</f>
        <v>186.30699999999999</v>
      </c>
      <c r="G766" s="10">
        <f t="shared" si="46"/>
        <v>8.0129419021133103E-3</v>
      </c>
      <c r="H766" s="9">
        <f>'NIFTY500 TRI'!B766</f>
        <v>25210.05</v>
      </c>
      <c r="I766" s="10">
        <f t="shared" si="47"/>
        <v>7.7372964792421983E-3</v>
      </c>
    </row>
    <row r="767" spans="1:9" ht="14.25" customHeight="1" x14ac:dyDescent="0.3">
      <c r="A767" s="8">
        <f>'ICICI PRUDENTIAL MULTICAP FUND'!A767</f>
        <v>45092</v>
      </c>
      <c r="B767" s="9">
        <f>'ICICI PRUDENTIAL MULTICAP FUND'!B767</f>
        <v>505.34</v>
      </c>
      <c r="C767" s="10">
        <f t="shared" si="44"/>
        <v>-1.1069381300652349E-3</v>
      </c>
      <c r="D767" s="9">
        <f>'QUANT ACTIVE FUND'!B767</f>
        <v>458.05099999999999</v>
      </c>
      <c r="E767" s="10">
        <f t="shared" si="45"/>
        <v>-1.7565385294330041E-3</v>
      </c>
      <c r="F767" s="9">
        <f>'NIPPON INDIA '!B767</f>
        <v>184.82599999999999</v>
      </c>
      <c r="G767" s="10">
        <f t="shared" si="46"/>
        <v>-3.3432913085211036E-3</v>
      </c>
      <c r="H767" s="9">
        <f>'NIFTY500 TRI'!B767</f>
        <v>25016.49</v>
      </c>
      <c r="I767" s="10">
        <f t="shared" si="47"/>
        <v>-1.4070878909009912E-3</v>
      </c>
    </row>
    <row r="768" spans="1:9" ht="14.25" customHeight="1" x14ac:dyDescent="0.3">
      <c r="A768" s="8">
        <f>'ICICI PRUDENTIAL MULTICAP FUND'!A768</f>
        <v>45091</v>
      </c>
      <c r="B768" s="9">
        <f>'ICICI PRUDENTIAL MULTICAP FUND'!B768</f>
        <v>505.9</v>
      </c>
      <c r="C768" s="10">
        <f t="shared" si="44"/>
        <v>3.2522904850672001E-3</v>
      </c>
      <c r="D768" s="9">
        <f>'QUANT ACTIVE FUND'!B768</f>
        <v>458.85700000000003</v>
      </c>
      <c r="E768" s="10">
        <f t="shared" si="45"/>
        <v>1.4928858749861426E-3</v>
      </c>
      <c r="F768" s="9">
        <f>'NIPPON INDIA '!B768</f>
        <v>185.446</v>
      </c>
      <c r="G768" s="10">
        <f t="shared" si="46"/>
        <v>3.5608372838062375E-3</v>
      </c>
      <c r="H768" s="9">
        <f>'NIFTY500 TRI'!B768</f>
        <v>25051.74</v>
      </c>
      <c r="I768" s="10">
        <f t="shared" si="47"/>
        <v>2.254816690124358E-3</v>
      </c>
    </row>
    <row r="769" spans="1:9" ht="14.25" customHeight="1" x14ac:dyDescent="0.3">
      <c r="A769" s="8">
        <f>'ICICI PRUDENTIAL MULTICAP FUND'!A769</f>
        <v>45090</v>
      </c>
      <c r="B769" s="9">
        <f>'ICICI PRUDENTIAL MULTICAP FUND'!B769</f>
        <v>504.26</v>
      </c>
      <c r="C769" s="10">
        <f t="shared" si="44"/>
        <v>5.964849282821651E-3</v>
      </c>
      <c r="D769" s="9">
        <f>'QUANT ACTIVE FUND'!B769</f>
        <v>458.173</v>
      </c>
      <c r="E769" s="10">
        <f t="shared" si="45"/>
        <v>1.0366681956107592E-2</v>
      </c>
      <c r="F769" s="9">
        <f>'NIPPON INDIA '!B769</f>
        <v>184.78800000000001</v>
      </c>
      <c r="G769" s="10">
        <f t="shared" si="46"/>
        <v>1.0184501845018448E-2</v>
      </c>
      <c r="H769" s="9">
        <f>'NIFTY500 TRI'!B769</f>
        <v>24995.38</v>
      </c>
      <c r="I769" s="10">
        <f t="shared" si="47"/>
        <v>7.4776721835592957E-3</v>
      </c>
    </row>
    <row r="770" spans="1:9" ht="14.25" customHeight="1" x14ac:dyDescent="0.3">
      <c r="A770" s="8">
        <f>'ICICI PRUDENTIAL MULTICAP FUND'!A770</f>
        <v>45089</v>
      </c>
      <c r="B770" s="9">
        <f>'ICICI PRUDENTIAL MULTICAP FUND'!B770</f>
        <v>501.27</v>
      </c>
      <c r="C770" s="10">
        <f t="shared" ref="C770:C833" si="48">(B770-B771)/B771</f>
        <v>6.364183898815416E-3</v>
      </c>
      <c r="D770" s="9">
        <f>'QUANT ACTIVE FUND'!B770</f>
        <v>453.47199999999998</v>
      </c>
      <c r="E770" s="10">
        <f t="shared" ref="E770:E833" si="49">(D770-D771)/D771</f>
        <v>5.7576806039798169E-3</v>
      </c>
      <c r="F770" s="9">
        <f>'NIPPON INDIA '!B770</f>
        <v>182.92500000000001</v>
      </c>
      <c r="G770" s="10">
        <f t="shared" ref="G770:G833" si="50">(F770-F771)/F771</f>
        <v>4.3925875085793348E-3</v>
      </c>
      <c r="H770" s="9">
        <f>'NIFTY500 TRI'!B770</f>
        <v>24809.86</v>
      </c>
      <c r="I770" s="10">
        <f t="shared" ref="I770:I833" si="51">(H770-H771)/H771</f>
        <v>3.2767421669362778E-3</v>
      </c>
    </row>
    <row r="771" spans="1:9" ht="14.25" customHeight="1" x14ac:dyDescent="0.3">
      <c r="A771" s="8">
        <f>'ICICI PRUDENTIAL MULTICAP FUND'!A771</f>
        <v>45086</v>
      </c>
      <c r="B771" s="9">
        <f>'ICICI PRUDENTIAL MULTICAP FUND'!B771</f>
        <v>498.1</v>
      </c>
      <c r="C771" s="10">
        <f t="shared" si="48"/>
        <v>-1.6635600184394285E-3</v>
      </c>
      <c r="D771" s="9">
        <f>'QUANT ACTIVE FUND'!B771</f>
        <v>450.87599999999998</v>
      </c>
      <c r="E771" s="10">
        <f t="shared" si="49"/>
        <v>1.28581802676889E-3</v>
      </c>
      <c r="F771" s="9">
        <f>'NIPPON INDIA '!B771</f>
        <v>182.125</v>
      </c>
      <c r="G771" s="10">
        <f t="shared" si="50"/>
        <v>-2.093070402779099E-3</v>
      </c>
      <c r="H771" s="9">
        <f>'NIFTY500 TRI'!B771</f>
        <v>24728.83</v>
      </c>
      <c r="I771" s="10">
        <f t="shared" si="51"/>
        <v>-2.6469622649574697E-3</v>
      </c>
    </row>
    <row r="772" spans="1:9" ht="14.25" customHeight="1" x14ac:dyDescent="0.3">
      <c r="A772" s="8">
        <f>'ICICI PRUDENTIAL MULTICAP FUND'!A772</f>
        <v>45085</v>
      </c>
      <c r="B772" s="9">
        <f>'ICICI PRUDENTIAL MULTICAP FUND'!B772</f>
        <v>498.93</v>
      </c>
      <c r="C772" s="10">
        <f t="shared" si="48"/>
        <v>-4.7872658727783641E-3</v>
      </c>
      <c r="D772" s="9">
        <f>'QUANT ACTIVE FUND'!B772</f>
        <v>450.29700000000003</v>
      </c>
      <c r="E772" s="10">
        <f t="shared" si="49"/>
        <v>-6.5633879877865075E-3</v>
      </c>
      <c r="F772" s="9">
        <f>'NIPPON INDIA '!B772</f>
        <v>182.50700000000001</v>
      </c>
      <c r="G772" s="10">
        <f t="shared" si="50"/>
        <v>-5.6173653412372685E-3</v>
      </c>
      <c r="H772" s="9">
        <f>'NIFTY500 TRI'!B772</f>
        <v>24794.46</v>
      </c>
      <c r="I772" s="10">
        <f t="shared" si="51"/>
        <v>-5.3494470633401884E-3</v>
      </c>
    </row>
    <row r="773" spans="1:9" ht="14.25" customHeight="1" x14ac:dyDescent="0.3">
      <c r="A773" s="8">
        <f>'ICICI PRUDENTIAL MULTICAP FUND'!A773</f>
        <v>45084</v>
      </c>
      <c r="B773" s="9">
        <f>'ICICI PRUDENTIAL MULTICAP FUND'!B773</f>
        <v>501.33</v>
      </c>
      <c r="C773" s="10">
        <f t="shared" si="48"/>
        <v>9.2199295420231191E-3</v>
      </c>
      <c r="D773" s="9">
        <f>'QUANT ACTIVE FUND'!B773</f>
        <v>453.27199999999999</v>
      </c>
      <c r="E773" s="10">
        <f t="shared" si="49"/>
        <v>9.3301446061075655E-3</v>
      </c>
      <c r="F773" s="9">
        <f>'NIPPON INDIA '!B773</f>
        <v>183.53800000000001</v>
      </c>
      <c r="G773" s="10">
        <f t="shared" si="50"/>
        <v>7.1611618093320459E-3</v>
      </c>
      <c r="H773" s="9">
        <f>'NIFTY500 TRI'!B773</f>
        <v>24927.81</v>
      </c>
      <c r="I773" s="10">
        <f t="shared" si="51"/>
        <v>8.1039590867143865E-3</v>
      </c>
    </row>
    <row r="774" spans="1:9" ht="14.25" customHeight="1" x14ac:dyDescent="0.3">
      <c r="A774" s="8">
        <f>'ICICI PRUDENTIAL MULTICAP FUND'!A774</f>
        <v>45083</v>
      </c>
      <c r="B774" s="9">
        <f>'ICICI PRUDENTIAL MULTICAP FUND'!B774</f>
        <v>496.75</v>
      </c>
      <c r="C774" s="10">
        <f t="shared" si="48"/>
        <v>2.4013237549438972E-3</v>
      </c>
      <c r="D774" s="9">
        <f>'QUANT ACTIVE FUND'!B774</f>
        <v>449.08199999999999</v>
      </c>
      <c r="E774" s="10">
        <f t="shared" si="49"/>
        <v>4.3004837205557799E-3</v>
      </c>
      <c r="F774" s="9">
        <f>'NIPPON INDIA '!B774</f>
        <v>182.233</v>
      </c>
      <c r="G774" s="10">
        <f t="shared" si="50"/>
        <v>2.1502183213998479E-3</v>
      </c>
      <c r="H774" s="9">
        <f>'NIFTY500 TRI'!B774</f>
        <v>24727.42</v>
      </c>
      <c r="I774" s="10">
        <f t="shared" si="51"/>
        <v>1.190378823889438E-3</v>
      </c>
    </row>
    <row r="775" spans="1:9" ht="14.25" customHeight="1" x14ac:dyDescent="0.3">
      <c r="A775" s="8">
        <f>'ICICI PRUDENTIAL MULTICAP FUND'!A775</f>
        <v>45082</v>
      </c>
      <c r="B775" s="9">
        <f>'ICICI PRUDENTIAL MULTICAP FUND'!B775</f>
        <v>495.56</v>
      </c>
      <c r="C775" s="10">
        <f t="shared" si="48"/>
        <v>3.3610042518728996E-3</v>
      </c>
      <c r="D775" s="9">
        <f>'QUANT ACTIVE FUND'!B775</f>
        <v>447.15899999999999</v>
      </c>
      <c r="E775" s="10">
        <f t="shared" si="49"/>
        <v>-6.7089779542669169E-6</v>
      </c>
      <c r="F775" s="9">
        <f>'NIPPON INDIA '!B775</f>
        <v>181.84200000000001</v>
      </c>
      <c r="G775" s="10">
        <f t="shared" si="50"/>
        <v>5.3740255432078755E-3</v>
      </c>
      <c r="H775" s="9">
        <f>'NIFTY500 TRI'!B775</f>
        <v>24698.02</v>
      </c>
      <c r="I775" s="10">
        <f t="shared" si="51"/>
        <v>3.0565216896888099E-3</v>
      </c>
    </row>
    <row r="776" spans="1:9" ht="14.25" customHeight="1" x14ac:dyDescent="0.3">
      <c r="A776" s="8">
        <f>'ICICI PRUDENTIAL MULTICAP FUND'!A776</f>
        <v>45079</v>
      </c>
      <c r="B776" s="9">
        <f>'ICICI PRUDENTIAL MULTICAP FUND'!B776</f>
        <v>493.9</v>
      </c>
      <c r="C776" s="10">
        <f t="shared" si="48"/>
        <v>6.3572272708749432E-3</v>
      </c>
      <c r="D776" s="9">
        <f>'QUANT ACTIVE FUND'!B776</f>
        <v>447.16199999999998</v>
      </c>
      <c r="E776" s="10">
        <f t="shared" si="49"/>
        <v>3.2757313182350078E-3</v>
      </c>
      <c r="F776" s="9">
        <f>'NIPPON INDIA '!B776</f>
        <v>180.87</v>
      </c>
      <c r="G776" s="10">
        <f t="shared" si="50"/>
        <v>4.7775123604244969E-3</v>
      </c>
      <c r="H776" s="9">
        <f>'NIFTY500 TRI'!B776</f>
        <v>24622.76</v>
      </c>
      <c r="I776" s="10">
        <f t="shared" si="51"/>
        <v>3.8265066921059215E-3</v>
      </c>
    </row>
    <row r="777" spans="1:9" ht="14.25" customHeight="1" x14ac:dyDescent="0.3">
      <c r="A777" s="8">
        <f>'ICICI PRUDENTIAL MULTICAP FUND'!A777</f>
        <v>45078</v>
      </c>
      <c r="B777" s="9">
        <f>'ICICI PRUDENTIAL MULTICAP FUND'!B777</f>
        <v>490.78</v>
      </c>
      <c r="C777" s="10">
        <f t="shared" si="48"/>
        <v>1.7758363781101582E-3</v>
      </c>
      <c r="D777" s="9">
        <f>'QUANT ACTIVE FUND'!B777</f>
        <v>445.702</v>
      </c>
      <c r="E777" s="10">
        <f t="shared" si="49"/>
        <v>1.6495568220635652E-3</v>
      </c>
      <c r="F777" s="9">
        <f>'NIPPON INDIA '!B777</f>
        <v>180.01</v>
      </c>
      <c r="G777" s="10">
        <f t="shared" si="50"/>
        <v>2.5563767397564102E-3</v>
      </c>
      <c r="H777" s="9">
        <f>'NIFTY500 TRI'!B777</f>
        <v>24528.9</v>
      </c>
      <c r="I777" s="10">
        <f t="shared" si="51"/>
        <v>-3.7451977721162039E-4</v>
      </c>
    </row>
    <row r="778" spans="1:9" ht="14.25" customHeight="1" x14ac:dyDescent="0.3">
      <c r="A778" s="8">
        <f>'ICICI PRUDENTIAL MULTICAP FUND'!A778</f>
        <v>45077</v>
      </c>
      <c r="B778" s="9">
        <f>'ICICI PRUDENTIAL MULTICAP FUND'!B778</f>
        <v>489.91</v>
      </c>
      <c r="C778" s="10">
        <f t="shared" si="48"/>
        <v>8.5803591493190036E-4</v>
      </c>
      <c r="D778" s="9">
        <f>'QUANT ACTIVE FUND'!B778</f>
        <v>444.96800000000002</v>
      </c>
      <c r="E778" s="10">
        <f t="shared" si="49"/>
        <v>3.2597235304837802E-4</v>
      </c>
      <c r="F778" s="9">
        <f>'NIPPON INDIA '!B778</f>
        <v>179.55099999999999</v>
      </c>
      <c r="G778" s="10">
        <f t="shared" si="50"/>
        <v>-3.8970944377339842E-4</v>
      </c>
      <c r="H778" s="9">
        <f>'NIFTY500 TRI'!B778</f>
        <v>24538.09</v>
      </c>
      <c r="I778" s="10">
        <f t="shared" si="51"/>
        <v>-1.7407838938232022E-3</v>
      </c>
    </row>
    <row r="779" spans="1:9" ht="14.25" customHeight="1" x14ac:dyDescent="0.3">
      <c r="A779" s="8">
        <f>'ICICI PRUDENTIAL MULTICAP FUND'!A779</f>
        <v>45076</v>
      </c>
      <c r="B779" s="9">
        <f>'ICICI PRUDENTIAL MULTICAP FUND'!B779</f>
        <v>489.49</v>
      </c>
      <c r="C779" s="10">
        <f t="shared" si="48"/>
        <v>1.739521938441435E-3</v>
      </c>
      <c r="D779" s="9">
        <f>'QUANT ACTIVE FUND'!B779</f>
        <v>444.82299999999998</v>
      </c>
      <c r="E779" s="10">
        <f t="shared" si="49"/>
        <v>2.327677505126205E-3</v>
      </c>
      <c r="F779" s="9">
        <f>'NIPPON INDIA '!B779</f>
        <v>179.62100000000001</v>
      </c>
      <c r="G779" s="10">
        <f t="shared" si="50"/>
        <v>4.4119620649549062E-3</v>
      </c>
      <c r="H779" s="9">
        <f>'NIFTY500 TRI'!B779</f>
        <v>24580.880000000001</v>
      </c>
      <c r="I779" s="10">
        <f t="shared" si="51"/>
        <v>1.7205503479000551E-3</v>
      </c>
    </row>
    <row r="780" spans="1:9" ht="14.25" customHeight="1" x14ac:dyDescent="0.3">
      <c r="A780" s="8">
        <f>'ICICI PRUDENTIAL MULTICAP FUND'!A780</f>
        <v>45075</v>
      </c>
      <c r="B780" s="9">
        <f>'ICICI PRUDENTIAL MULTICAP FUND'!B780</f>
        <v>488.64</v>
      </c>
      <c r="C780" s="10">
        <f t="shared" si="48"/>
        <v>1.0448036383750045E-3</v>
      </c>
      <c r="D780" s="9">
        <f>'QUANT ACTIVE FUND'!B780</f>
        <v>443.79</v>
      </c>
      <c r="E780" s="10">
        <f t="shared" si="49"/>
        <v>2.6954543297854267E-3</v>
      </c>
      <c r="F780" s="9">
        <f>'NIPPON INDIA '!B780</f>
        <v>178.83199999999999</v>
      </c>
      <c r="G780" s="10">
        <f t="shared" si="50"/>
        <v>2.0227375876192208E-3</v>
      </c>
      <c r="H780" s="9">
        <f>'NIFTY500 TRI'!B780</f>
        <v>24538.66</v>
      </c>
      <c r="I780" s="10">
        <f t="shared" si="51"/>
        <v>4.8192188926155961E-3</v>
      </c>
    </row>
    <row r="781" spans="1:9" ht="14.25" customHeight="1" x14ac:dyDescent="0.3">
      <c r="A781" s="8">
        <f>'ICICI PRUDENTIAL MULTICAP FUND'!A781</f>
        <v>45072</v>
      </c>
      <c r="B781" s="9">
        <f>'ICICI PRUDENTIAL MULTICAP FUND'!B781</f>
        <v>488.13</v>
      </c>
      <c r="C781" s="10">
        <f t="shared" si="48"/>
        <v>8.2622436122529071E-3</v>
      </c>
      <c r="D781" s="9">
        <f>'QUANT ACTIVE FUND'!B781</f>
        <v>442.59699999999998</v>
      </c>
      <c r="E781" s="10">
        <f t="shared" si="49"/>
        <v>7.6129246698371875E-3</v>
      </c>
      <c r="F781" s="9">
        <f>'NIPPON INDIA '!B781</f>
        <v>178.471</v>
      </c>
      <c r="G781" s="10">
        <f t="shared" si="50"/>
        <v>8.1626427756374374E-3</v>
      </c>
      <c r="H781" s="9">
        <f>'NIFTY500 TRI'!B781</f>
        <v>24420.97</v>
      </c>
      <c r="I781" s="10">
        <f t="shared" si="51"/>
        <v>9.0947143635746238E-3</v>
      </c>
    </row>
    <row r="782" spans="1:9" ht="14.25" customHeight="1" x14ac:dyDescent="0.3">
      <c r="A782" s="8">
        <f>'ICICI PRUDENTIAL MULTICAP FUND'!A782</f>
        <v>45071</v>
      </c>
      <c r="B782" s="9">
        <f>'ICICI PRUDENTIAL MULTICAP FUND'!B782</f>
        <v>484.13</v>
      </c>
      <c r="C782" s="10">
        <f t="shared" si="48"/>
        <v>2.4640742121174427E-3</v>
      </c>
      <c r="D782" s="9">
        <f>'QUANT ACTIVE FUND'!B782</f>
        <v>439.25299999999999</v>
      </c>
      <c r="E782" s="10">
        <f t="shared" si="49"/>
        <v>9.7533185210504708E-4</v>
      </c>
      <c r="F782" s="9">
        <f>'NIPPON INDIA '!B782</f>
        <v>177.02600000000001</v>
      </c>
      <c r="G782" s="10">
        <f t="shared" si="50"/>
        <v>3.3724232136075794E-3</v>
      </c>
      <c r="H782" s="9">
        <f>'NIFTY500 TRI'!B782</f>
        <v>24200.87</v>
      </c>
      <c r="I782" s="10">
        <f t="shared" si="51"/>
        <v>2.5402296231702625E-3</v>
      </c>
    </row>
    <row r="783" spans="1:9" ht="14.25" customHeight="1" x14ac:dyDescent="0.3">
      <c r="A783" s="8">
        <f>'ICICI PRUDENTIAL MULTICAP FUND'!A783</f>
        <v>45070</v>
      </c>
      <c r="B783" s="9">
        <f>'ICICI PRUDENTIAL MULTICAP FUND'!B783</f>
        <v>482.94</v>
      </c>
      <c r="C783" s="10">
        <f t="shared" si="48"/>
        <v>-2.6434265416546807E-3</v>
      </c>
      <c r="D783" s="9">
        <f>'QUANT ACTIVE FUND'!B783</f>
        <v>438.82499999999999</v>
      </c>
      <c r="E783" s="10">
        <f t="shared" si="49"/>
        <v>-1.8106505376221617E-3</v>
      </c>
      <c r="F783" s="9">
        <f>'NIPPON INDIA '!B783</f>
        <v>176.43100000000001</v>
      </c>
      <c r="G783" s="10">
        <f t="shared" si="50"/>
        <v>3.2012645848023325E-3</v>
      </c>
      <c r="H783" s="9">
        <f>'NIFTY500 TRI'!B783</f>
        <v>24139.55</v>
      </c>
      <c r="I783" s="10">
        <f t="shared" si="51"/>
        <v>-1.8408812081672124E-3</v>
      </c>
    </row>
    <row r="784" spans="1:9" ht="14.25" customHeight="1" x14ac:dyDescent="0.3">
      <c r="A784" s="8">
        <f>'ICICI PRUDENTIAL MULTICAP FUND'!A784</f>
        <v>45069</v>
      </c>
      <c r="B784" s="9">
        <f>'ICICI PRUDENTIAL MULTICAP FUND'!B784</f>
        <v>484.22</v>
      </c>
      <c r="C784" s="10">
        <f t="shared" si="48"/>
        <v>2.0072426280393738E-3</v>
      </c>
      <c r="D784" s="9">
        <f>'QUANT ACTIVE FUND'!B784</f>
        <v>439.62099999999998</v>
      </c>
      <c r="E784" s="10">
        <f t="shared" si="49"/>
        <v>2.2638773630502271E-3</v>
      </c>
      <c r="F784" s="9">
        <f>'NIPPON INDIA '!B784</f>
        <v>175.86799999999999</v>
      </c>
      <c r="G784" s="10">
        <f t="shared" si="50"/>
        <v>1.1556086869894571E-3</v>
      </c>
      <c r="H784" s="9">
        <f>'NIFTY500 TRI'!B784</f>
        <v>24184.07</v>
      </c>
      <c r="I784" s="10">
        <f t="shared" si="51"/>
        <v>2.6280353621871114E-3</v>
      </c>
    </row>
    <row r="785" spans="1:9" ht="14.25" customHeight="1" x14ac:dyDescent="0.3">
      <c r="A785" s="8">
        <f>'ICICI PRUDENTIAL MULTICAP FUND'!A785</f>
        <v>45068</v>
      </c>
      <c r="B785" s="9">
        <f>'ICICI PRUDENTIAL MULTICAP FUND'!B785</f>
        <v>483.25</v>
      </c>
      <c r="C785" s="10">
        <f t="shared" si="48"/>
        <v>3.2385974381863901E-3</v>
      </c>
      <c r="D785" s="9">
        <f>'QUANT ACTIVE FUND'!B785</f>
        <v>438.62799999999999</v>
      </c>
      <c r="E785" s="10">
        <f t="shared" si="49"/>
        <v>3.0322294432679588E-3</v>
      </c>
      <c r="F785" s="9">
        <f>'NIPPON INDIA '!B785</f>
        <v>175.66499999999999</v>
      </c>
      <c r="G785" s="10">
        <f t="shared" si="50"/>
        <v>6.8928587704496246E-4</v>
      </c>
      <c r="H785" s="9">
        <f>'NIFTY500 TRI'!B785</f>
        <v>24120.68</v>
      </c>
      <c r="I785" s="10">
        <f t="shared" si="51"/>
        <v>6.2589041181611189E-3</v>
      </c>
    </row>
    <row r="786" spans="1:9" ht="14.25" customHeight="1" x14ac:dyDescent="0.3">
      <c r="A786" s="8">
        <f>'ICICI PRUDENTIAL MULTICAP FUND'!A786</f>
        <v>45065</v>
      </c>
      <c r="B786" s="9">
        <f>'ICICI PRUDENTIAL MULTICAP FUND'!B786</f>
        <v>481.69</v>
      </c>
      <c r="C786" s="10">
        <f t="shared" si="48"/>
        <v>3.9460020768431511E-4</v>
      </c>
      <c r="D786" s="9">
        <f>'QUANT ACTIVE FUND'!B786</f>
        <v>437.30200000000002</v>
      </c>
      <c r="E786" s="10">
        <f t="shared" si="49"/>
        <v>4.7587017895470271E-4</v>
      </c>
      <c r="F786" s="9">
        <f>'NIPPON INDIA '!B786</f>
        <v>175.54400000000001</v>
      </c>
      <c r="G786" s="10">
        <f t="shared" si="50"/>
        <v>-7.1725394205030088E-4</v>
      </c>
      <c r="H786" s="9">
        <f>'NIFTY500 TRI'!B786</f>
        <v>23970.65</v>
      </c>
      <c r="I786" s="10">
        <f t="shared" si="51"/>
        <v>3.063508057766973E-3</v>
      </c>
    </row>
    <row r="787" spans="1:9" ht="14.25" customHeight="1" x14ac:dyDescent="0.3">
      <c r="A787" s="8">
        <f>'ICICI PRUDENTIAL MULTICAP FUND'!A787</f>
        <v>45064</v>
      </c>
      <c r="B787" s="9">
        <f>'ICICI PRUDENTIAL MULTICAP FUND'!B787</f>
        <v>481.5</v>
      </c>
      <c r="C787" s="10">
        <f t="shared" si="48"/>
        <v>-1.7001161054901169E-3</v>
      </c>
      <c r="D787" s="9">
        <f>'QUANT ACTIVE FUND'!B787</f>
        <v>437.09399999999999</v>
      </c>
      <c r="E787" s="10">
        <f t="shared" si="49"/>
        <v>-8.3939436562203412E-3</v>
      </c>
      <c r="F787" s="9">
        <f>'NIPPON INDIA '!B787</f>
        <v>175.67</v>
      </c>
      <c r="G787" s="10">
        <f t="shared" si="50"/>
        <v>4.2711922321244132E-4</v>
      </c>
      <c r="H787" s="9">
        <f>'NIFTY500 TRI'!B787</f>
        <v>23897.439999999999</v>
      </c>
      <c r="I787" s="10">
        <f t="shared" si="51"/>
        <v>-4.1965734858729845E-3</v>
      </c>
    </row>
    <row r="788" spans="1:9" ht="14.25" customHeight="1" x14ac:dyDescent="0.3">
      <c r="A788" s="8">
        <f>'ICICI PRUDENTIAL MULTICAP FUND'!A788</f>
        <v>45063</v>
      </c>
      <c r="B788" s="9">
        <f>'ICICI PRUDENTIAL MULTICAP FUND'!B788</f>
        <v>482.32</v>
      </c>
      <c r="C788" s="10">
        <f t="shared" si="48"/>
        <v>-2.8530080628488639E-3</v>
      </c>
      <c r="D788" s="9">
        <f>'QUANT ACTIVE FUND'!B788</f>
        <v>440.79399999999998</v>
      </c>
      <c r="E788" s="10">
        <f t="shared" si="49"/>
        <v>-3.5604863125390145E-4</v>
      </c>
      <c r="F788" s="9">
        <f>'NIPPON INDIA '!B788</f>
        <v>175.595</v>
      </c>
      <c r="G788" s="10">
        <f t="shared" si="50"/>
        <v>3.9310415550965899E-4</v>
      </c>
      <c r="H788" s="9">
        <f>'NIFTY500 TRI'!B788</f>
        <v>23998.15</v>
      </c>
      <c r="I788" s="10">
        <f t="shared" si="51"/>
        <v>-4.2653920281150439E-3</v>
      </c>
    </row>
    <row r="789" spans="1:9" ht="14.25" customHeight="1" x14ac:dyDescent="0.3">
      <c r="A789" s="8">
        <f>'ICICI PRUDENTIAL MULTICAP FUND'!A789</f>
        <v>45062</v>
      </c>
      <c r="B789" s="9">
        <f>'ICICI PRUDENTIAL MULTICAP FUND'!B789</f>
        <v>483.7</v>
      </c>
      <c r="C789" s="10">
        <f t="shared" si="48"/>
        <v>-3.1001343391554015E-4</v>
      </c>
      <c r="D789" s="9">
        <f>'QUANT ACTIVE FUND'!B789</f>
        <v>440.95100000000002</v>
      </c>
      <c r="E789" s="10">
        <f t="shared" si="49"/>
        <v>-3.5365568898250514E-4</v>
      </c>
      <c r="F789" s="9">
        <f>'NIPPON INDIA '!B789</f>
        <v>175.52600000000001</v>
      </c>
      <c r="G789" s="10">
        <f t="shared" si="50"/>
        <v>1.2606599925843738E-3</v>
      </c>
      <c r="H789" s="9">
        <f>'NIFTY500 TRI'!B789</f>
        <v>24100.95</v>
      </c>
      <c r="I789" s="10">
        <f t="shared" si="51"/>
        <v>-2.3371710791843634E-3</v>
      </c>
    </row>
    <row r="790" spans="1:9" ht="14.25" customHeight="1" x14ac:dyDescent="0.3">
      <c r="A790" s="8">
        <f>'ICICI PRUDENTIAL MULTICAP FUND'!A790</f>
        <v>45061</v>
      </c>
      <c r="B790" s="9">
        <f>'ICICI PRUDENTIAL MULTICAP FUND'!B790</f>
        <v>483.85</v>
      </c>
      <c r="C790" s="10">
        <f t="shared" si="48"/>
        <v>6.8042781638853857E-3</v>
      </c>
      <c r="D790" s="9">
        <f>'QUANT ACTIVE FUND'!B790</f>
        <v>441.10700000000003</v>
      </c>
      <c r="E790" s="10">
        <f t="shared" si="49"/>
        <v>6.3744401831568754E-3</v>
      </c>
      <c r="F790" s="9">
        <f>'NIPPON INDIA '!B790</f>
        <v>175.30500000000001</v>
      </c>
      <c r="G790" s="10">
        <f t="shared" si="50"/>
        <v>4.8780767422930919E-3</v>
      </c>
      <c r="H790" s="9">
        <f>'NIFTY500 TRI'!B790</f>
        <v>24157.41</v>
      </c>
      <c r="I790" s="10">
        <f t="shared" si="51"/>
        <v>4.6754022355591845E-3</v>
      </c>
    </row>
    <row r="791" spans="1:9" ht="14.25" customHeight="1" x14ac:dyDescent="0.3">
      <c r="A791" s="8">
        <f>'ICICI PRUDENTIAL MULTICAP FUND'!A791</f>
        <v>45058</v>
      </c>
      <c r="B791" s="9">
        <f>'ICICI PRUDENTIAL MULTICAP FUND'!B791</f>
        <v>480.58</v>
      </c>
      <c r="C791" s="10">
        <f t="shared" si="48"/>
        <v>-2.4286455630514081E-3</v>
      </c>
      <c r="D791" s="9">
        <f>'QUANT ACTIVE FUND'!B791</f>
        <v>438.31299999999999</v>
      </c>
      <c r="E791" s="10">
        <f t="shared" si="49"/>
        <v>-1.4034160422300315E-3</v>
      </c>
      <c r="F791" s="9">
        <f>'NIPPON INDIA '!B791</f>
        <v>174.45400000000001</v>
      </c>
      <c r="G791" s="10">
        <f t="shared" si="50"/>
        <v>1.4905863737479339E-4</v>
      </c>
      <c r="H791" s="9">
        <f>'NIFTY500 TRI'!B791</f>
        <v>24044.99</v>
      </c>
      <c r="I791" s="10">
        <f t="shared" si="51"/>
        <v>-4.25271521108498E-4</v>
      </c>
    </row>
    <row r="792" spans="1:9" ht="14.25" customHeight="1" x14ac:dyDescent="0.3">
      <c r="A792" s="8">
        <f>'ICICI PRUDENTIAL MULTICAP FUND'!A792</f>
        <v>45057</v>
      </c>
      <c r="B792" s="9">
        <f>'ICICI PRUDENTIAL MULTICAP FUND'!B792</f>
        <v>481.75</v>
      </c>
      <c r="C792" s="10">
        <f t="shared" si="48"/>
        <v>5.1325919589392211E-3</v>
      </c>
      <c r="D792" s="9">
        <f>'QUANT ACTIVE FUND'!B792</f>
        <v>438.92899999999997</v>
      </c>
      <c r="E792" s="10">
        <f t="shared" si="49"/>
        <v>-3.4306602488421217E-3</v>
      </c>
      <c r="F792" s="9">
        <f>'NIPPON INDIA '!B792</f>
        <v>174.428</v>
      </c>
      <c r="G792" s="10">
        <f t="shared" si="50"/>
        <v>3.5556066969679246E-3</v>
      </c>
      <c r="H792" s="9">
        <f>'NIFTY500 TRI'!B792</f>
        <v>24055.22</v>
      </c>
      <c r="I792" s="10">
        <f t="shared" si="51"/>
        <v>1.1661783312246303E-3</v>
      </c>
    </row>
    <row r="793" spans="1:9" ht="14.25" customHeight="1" x14ac:dyDescent="0.3">
      <c r="A793" s="8">
        <f>'ICICI PRUDENTIAL MULTICAP FUND'!A793</f>
        <v>45056</v>
      </c>
      <c r="B793" s="9">
        <f>'ICICI PRUDENTIAL MULTICAP FUND'!B793</f>
        <v>479.29</v>
      </c>
      <c r="C793" s="10">
        <f t="shared" si="48"/>
        <v>6.573420698924721E-3</v>
      </c>
      <c r="D793" s="9">
        <f>'QUANT ACTIVE FUND'!B793</f>
        <v>440.44</v>
      </c>
      <c r="E793" s="10">
        <f t="shared" si="49"/>
        <v>-1.3083395878163385E-3</v>
      </c>
      <c r="F793" s="9">
        <f>'NIPPON INDIA '!B793</f>
        <v>173.81</v>
      </c>
      <c r="G793" s="10">
        <f t="shared" si="50"/>
        <v>2.8734305760708457E-3</v>
      </c>
      <c r="H793" s="9">
        <f>'NIFTY500 TRI'!B793</f>
        <v>24027.200000000001</v>
      </c>
      <c r="I793" s="10">
        <f t="shared" si="51"/>
        <v>2.9570435575354578E-3</v>
      </c>
    </row>
    <row r="794" spans="1:9" ht="14.25" customHeight="1" x14ac:dyDescent="0.3">
      <c r="A794" s="8">
        <f>'ICICI PRUDENTIAL MULTICAP FUND'!A794</f>
        <v>45055</v>
      </c>
      <c r="B794" s="9">
        <f>'ICICI PRUDENTIAL MULTICAP FUND'!B794</f>
        <v>476.16</v>
      </c>
      <c r="C794" s="10">
        <f t="shared" si="48"/>
        <v>3.5715036030172046E-4</v>
      </c>
      <c r="D794" s="9">
        <f>'QUANT ACTIVE FUND'!B794</f>
        <v>441.017</v>
      </c>
      <c r="E794" s="10">
        <f t="shared" si="49"/>
        <v>-2.1269037485547185E-3</v>
      </c>
      <c r="F794" s="9">
        <f>'NIPPON INDIA '!B794</f>
        <v>173.31200000000001</v>
      </c>
      <c r="G794" s="10">
        <f t="shared" si="50"/>
        <v>-6.4005351077994267E-4</v>
      </c>
      <c r="H794" s="9">
        <f>'NIFTY500 TRI'!B794</f>
        <v>23956.36</v>
      </c>
      <c r="I794" s="10">
        <f t="shared" si="51"/>
        <v>-4.1975397243299885E-4</v>
      </c>
    </row>
    <row r="795" spans="1:9" ht="14.25" customHeight="1" x14ac:dyDescent="0.3">
      <c r="A795" s="8">
        <f>'ICICI PRUDENTIAL MULTICAP FUND'!A795</f>
        <v>45054</v>
      </c>
      <c r="B795" s="9">
        <f>'ICICI PRUDENTIAL MULTICAP FUND'!B795</f>
        <v>475.99</v>
      </c>
      <c r="C795" s="10">
        <f t="shared" si="48"/>
        <v>1.0294180073863443E-2</v>
      </c>
      <c r="D795" s="9">
        <f>'QUANT ACTIVE FUND'!B795</f>
        <v>441.95699999999999</v>
      </c>
      <c r="E795" s="10">
        <f t="shared" si="49"/>
        <v>6.1650681048789407E-3</v>
      </c>
      <c r="F795" s="9">
        <f>'NIPPON INDIA '!B795</f>
        <v>173.423</v>
      </c>
      <c r="G795" s="10">
        <f t="shared" si="50"/>
        <v>1.0299729107803447E-2</v>
      </c>
      <c r="H795" s="9">
        <f>'NIFTY500 TRI'!B795</f>
        <v>23966.42</v>
      </c>
      <c r="I795" s="10">
        <f t="shared" si="51"/>
        <v>9.7178266042460774E-3</v>
      </c>
    </row>
    <row r="796" spans="1:9" ht="14.25" customHeight="1" x14ac:dyDescent="0.3">
      <c r="A796" s="8">
        <f>'ICICI PRUDENTIAL MULTICAP FUND'!A796</f>
        <v>45051</v>
      </c>
      <c r="B796" s="9">
        <f>'ICICI PRUDENTIAL MULTICAP FUND'!B796</f>
        <v>471.14</v>
      </c>
      <c r="C796" s="10">
        <f t="shared" si="48"/>
        <v>-5.3622698868434817E-3</v>
      </c>
      <c r="D796" s="9">
        <f>'QUANT ACTIVE FUND'!B796</f>
        <v>439.24900000000002</v>
      </c>
      <c r="E796" s="10">
        <f t="shared" si="49"/>
        <v>-1.0301450359491782E-2</v>
      </c>
      <c r="F796" s="9">
        <f>'NIPPON INDIA '!B796</f>
        <v>171.655</v>
      </c>
      <c r="G796" s="10">
        <f t="shared" si="50"/>
        <v>-4.2751403777437167E-3</v>
      </c>
      <c r="H796" s="9">
        <f>'NIFTY500 TRI'!B796</f>
        <v>23735.759999999998</v>
      </c>
      <c r="I796" s="10">
        <f t="shared" si="51"/>
        <v>-8.2371964952012936E-3</v>
      </c>
    </row>
    <row r="797" spans="1:9" ht="14.25" customHeight="1" x14ac:dyDescent="0.3">
      <c r="A797" s="8">
        <f>'ICICI PRUDENTIAL MULTICAP FUND'!A797</f>
        <v>45050</v>
      </c>
      <c r="B797" s="9">
        <f>'ICICI PRUDENTIAL MULTICAP FUND'!B797</f>
        <v>473.68</v>
      </c>
      <c r="C797" s="10">
        <f t="shared" si="48"/>
        <v>7.4225313171271384E-3</v>
      </c>
      <c r="D797" s="9">
        <f>'QUANT ACTIVE FUND'!B797</f>
        <v>443.82100000000003</v>
      </c>
      <c r="E797" s="10">
        <f t="shared" si="49"/>
        <v>5.7787618039708277E-3</v>
      </c>
      <c r="F797" s="9">
        <f>'NIPPON INDIA '!B797</f>
        <v>172.392</v>
      </c>
      <c r="G797" s="10">
        <f t="shared" si="50"/>
        <v>9.2026694766420957E-3</v>
      </c>
      <c r="H797" s="9">
        <f>'NIFTY500 TRI'!B797</f>
        <v>23932.9</v>
      </c>
      <c r="I797" s="10">
        <f t="shared" si="51"/>
        <v>8.4530401406691293E-3</v>
      </c>
    </row>
    <row r="798" spans="1:9" ht="14.25" customHeight="1" x14ac:dyDescent="0.3">
      <c r="A798" s="8">
        <f>'ICICI PRUDENTIAL MULTICAP FUND'!A798</f>
        <v>45049</v>
      </c>
      <c r="B798" s="9">
        <f>'ICICI PRUDENTIAL MULTICAP FUND'!B798</f>
        <v>470.19</v>
      </c>
      <c r="C798" s="10">
        <f t="shared" si="48"/>
        <v>1.7017293824846117E-4</v>
      </c>
      <c r="D798" s="9">
        <f>'QUANT ACTIVE FUND'!B798</f>
        <v>441.27100000000002</v>
      </c>
      <c r="E798" s="10">
        <f t="shared" si="49"/>
        <v>-4.9853498695858214E-5</v>
      </c>
      <c r="F798" s="9">
        <f>'NIPPON INDIA '!B798</f>
        <v>170.82</v>
      </c>
      <c r="G798" s="10">
        <f t="shared" si="50"/>
        <v>2.1766041455214221E-3</v>
      </c>
      <c r="H798" s="9">
        <f>'NIFTY500 TRI'!B798</f>
        <v>23732.29</v>
      </c>
      <c r="I798" s="10">
        <f t="shared" si="51"/>
        <v>-1.5914938586762755E-3</v>
      </c>
    </row>
    <row r="799" spans="1:9" ht="14.25" customHeight="1" x14ac:dyDescent="0.3">
      <c r="A799" s="8">
        <f>'ICICI PRUDENTIAL MULTICAP FUND'!A799</f>
        <v>45048</v>
      </c>
      <c r="B799" s="9">
        <f>'ICICI PRUDENTIAL MULTICAP FUND'!B799</f>
        <v>470.11</v>
      </c>
      <c r="C799" s="10">
        <f t="shared" si="48"/>
        <v>4.6158777647185064E-3</v>
      </c>
      <c r="D799" s="9">
        <f>'QUANT ACTIVE FUND'!B799</f>
        <v>441.29300000000001</v>
      </c>
      <c r="E799" s="10">
        <f t="shared" si="49"/>
        <v>4.9737081225846571E-3</v>
      </c>
      <c r="F799" s="9">
        <f>'NIPPON INDIA '!B799</f>
        <v>170.44900000000001</v>
      </c>
      <c r="G799" s="10">
        <f t="shared" si="50"/>
        <v>5.0947902231919346E-3</v>
      </c>
      <c r="H799" s="9">
        <f>'NIFTY500 TRI'!B799</f>
        <v>23770.12</v>
      </c>
      <c r="I799" s="10">
        <f t="shared" si="51"/>
        <v>5.3366740061089775E-3</v>
      </c>
    </row>
    <row r="800" spans="1:9" ht="14.25" customHeight="1" x14ac:dyDescent="0.3">
      <c r="A800" s="8">
        <f>'ICICI PRUDENTIAL MULTICAP FUND'!A800</f>
        <v>45044</v>
      </c>
      <c r="B800" s="9">
        <f>'ICICI PRUDENTIAL MULTICAP FUND'!B800</f>
        <v>467.95</v>
      </c>
      <c r="C800" s="10">
        <f t="shared" si="48"/>
        <v>8.0132692846217827E-3</v>
      </c>
      <c r="D800" s="9">
        <f>'QUANT ACTIVE FUND'!B800</f>
        <v>439.10899999999998</v>
      </c>
      <c r="E800" s="10">
        <f t="shared" si="49"/>
        <v>1.4488099473706001E-2</v>
      </c>
      <c r="F800" s="9">
        <f>'NIPPON INDIA '!B800</f>
        <v>169.58500000000001</v>
      </c>
      <c r="G800" s="10">
        <f t="shared" si="50"/>
        <v>1.010792909558755E-2</v>
      </c>
      <c r="H800" s="9">
        <f>'NIFTY500 TRI'!B800</f>
        <v>23643.94</v>
      </c>
      <c r="I800" s="10">
        <f t="shared" si="51"/>
        <v>9.7490312039036631E-3</v>
      </c>
    </row>
    <row r="801" spans="1:9" ht="14.25" customHeight="1" x14ac:dyDescent="0.3">
      <c r="A801" s="8">
        <f>'ICICI PRUDENTIAL MULTICAP FUND'!A801</f>
        <v>45043</v>
      </c>
      <c r="B801" s="9">
        <f>'ICICI PRUDENTIAL MULTICAP FUND'!B801</f>
        <v>464.23</v>
      </c>
      <c r="C801" s="10">
        <f t="shared" si="48"/>
        <v>5.436195096595319E-3</v>
      </c>
      <c r="D801" s="9">
        <f>'QUANT ACTIVE FUND'!B801</f>
        <v>432.83800000000002</v>
      </c>
      <c r="E801" s="10">
        <f t="shared" si="49"/>
        <v>6.3144875174950552E-3</v>
      </c>
      <c r="F801" s="9">
        <f>'NIPPON INDIA '!B801</f>
        <v>167.88800000000001</v>
      </c>
      <c r="G801" s="10">
        <f t="shared" si="50"/>
        <v>7.2413772415571877E-3</v>
      </c>
      <c r="H801" s="9">
        <f>'NIFTY500 TRI'!B801</f>
        <v>23415.66</v>
      </c>
      <c r="I801" s="10">
        <f t="shared" si="51"/>
        <v>5.382498293280919E-3</v>
      </c>
    </row>
    <row r="802" spans="1:9" ht="14.25" customHeight="1" x14ac:dyDescent="0.3">
      <c r="A802" s="8">
        <f>'ICICI PRUDENTIAL MULTICAP FUND'!A802</f>
        <v>45042</v>
      </c>
      <c r="B802" s="9">
        <f>'ICICI PRUDENTIAL MULTICAP FUND'!B802</f>
        <v>461.72</v>
      </c>
      <c r="C802" s="10">
        <f t="shared" si="48"/>
        <v>1.9312978755724308E-3</v>
      </c>
      <c r="D802" s="9">
        <f>'QUANT ACTIVE FUND'!B802</f>
        <v>430.12200000000001</v>
      </c>
      <c r="E802" s="10">
        <f t="shared" si="49"/>
        <v>3.5815365375058625E-3</v>
      </c>
      <c r="F802" s="9">
        <f>'NIPPON INDIA '!B802</f>
        <v>166.68100000000001</v>
      </c>
      <c r="G802" s="10">
        <f t="shared" si="50"/>
        <v>5.5440933386422166E-3</v>
      </c>
      <c r="H802" s="9">
        <f>'NIFTY500 TRI'!B802</f>
        <v>23290.3</v>
      </c>
      <c r="I802" s="10">
        <f t="shared" si="51"/>
        <v>2.5871494864443071E-3</v>
      </c>
    </row>
    <row r="803" spans="1:9" ht="14.25" customHeight="1" x14ac:dyDescent="0.3">
      <c r="A803" s="8">
        <f>'ICICI PRUDENTIAL MULTICAP FUND'!A803</f>
        <v>45041</v>
      </c>
      <c r="B803" s="9">
        <f>'ICICI PRUDENTIAL MULTICAP FUND'!B803</f>
        <v>460.83</v>
      </c>
      <c r="C803" s="10">
        <f t="shared" si="48"/>
        <v>2.7198746681752904E-3</v>
      </c>
      <c r="D803" s="9">
        <f>'QUANT ACTIVE FUND'!B803</f>
        <v>428.58699999999999</v>
      </c>
      <c r="E803" s="10">
        <f t="shared" si="49"/>
        <v>2.9884627085721999E-3</v>
      </c>
      <c r="F803" s="9">
        <f>'NIPPON INDIA '!B803</f>
        <v>165.762</v>
      </c>
      <c r="G803" s="10">
        <f t="shared" si="50"/>
        <v>-4.5225130700620873E-4</v>
      </c>
      <c r="H803" s="9">
        <f>'NIFTY500 TRI'!B803</f>
        <v>23230.2</v>
      </c>
      <c r="I803" s="10">
        <f t="shared" si="51"/>
        <v>1.7119078933184161E-3</v>
      </c>
    </row>
    <row r="804" spans="1:9" ht="14.25" customHeight="1" x14ac:dyDescent="0.3">
      <c r="A804" s="8">
        <f>'ICICI PRUDENTIAL MULTICAP FUND'!A804</f>
        <v>45040</v>
      </c>
      <c r="B804" s="9">
        <f>'ICICI PRUDENTIAL MULTICAP FUND'!B804</f>
        <v>459.58</v>
      </c>
      <c r="C804" s="10">
        <f t="shared" si="48"/>
        <v>2.8366937243606777E-3</v>
      </c>
      <c r="D804" s="9">
        <f>'QUANT ACTIVE FUND'!B804</f>
        <v>427.31</v>
      </c>
      <c r="E804" s="10">
        <f t="shared" si="49"/>
        <v>9.4588784472698691E-3</v>
      </c>
      <c r="F804" s="9">
        <f>'NIPPON INDIA '!B804</f>
        <v>165.83699999999999</v>
      </c>
      <c r="G804" s="10">
        <f t="shared" si="50"/>
        <v>3.4003932839206377E-3</v>
      </c>
      <c r="H804" s="9">
        <f>'NIFTY500 TRI'!B804</f>
        <v>23190.5</v>
      </c>
      <c r="I804" s="10">
        <f t="shared" si="51"/>
        <v>5.5946105800668668E-3</v>
      </c>
    </row>
    <row r="805" spans="1:9" ht="14.25" customHeight="1" x14ac:dyDescent="0.3">
      <c r="A805" s="8">
        <f>'ICICI PRUDENTIAL MULTICAP FUND'!A805</f>
        <v>45037</v>
      </c>
      <c r="B805" s="9">
        <f>'ICICI PRUDENTIAL MULTICAP FUND'!B805</f>
        <v>458.28</v>
      </c>
      <c r="C805" s="10">
        <f t="shared" si="48"/>
        <v>-1.3292946021922763E-3</v>
      </c>
      <c r="D805" s="9">
        <f>'QUANT ACTIVE FUND'!B805</f>
        <v>423.30599999999998</v>
      </c>
      <c r="E805" s="10">
        <f t="shared" si="49"/>
        <v>-3.4606474942087766E-3</v>
      </c>
      <c r="F805" s="9">
        <f>'NIPPON INDIA '!B805</f>
        <v>165.27500000000001</v>
      </c>
      <c r="G805" s="10">
        <f t="shared" si="50"/>
        <v>-3.3768504839147479E-3</v>
      </c>
      <c r="H805" s="9">
        <f>'NIFTY500 TRI'!B805</f>
        <v>23061.48</v>
      </c>
      <c r="I805" s="10">
        <f t="shared" si="51"/>
        <v>-9.5133134402840855E-4</v>
      </c>
    </row>
    <row r="806" spans="1:9" ht="14.25" customHeight="1" x14ac:dyDescent="0.3">
      <c r="A806" s="8">
        <f>'ICICI PRUDENTIAL MULTICAP FUND'!A806</f>
        <v>45036</v>
      </c>
      <c r="B806" s="9">
        <f>'ICICI PRUDENTIAL MULTICAP FUND'!B806</f>
        <v>458.89</v>
      </c>
      <c r="C806" s="10">
        <f t="shared" si="48"/>
        <v>1.7245142981880889E-3</v>
      </c>
      <c r="D806" s="9">
        <f>'QUANT ACTIVE FUND'!B806</f>
        <v>424.77600000000001</v>
      </c>
      <c r="E806" s="10">
        <f t="shared" si="49"/>
        <v>3.0605302250981495E-5</v>
      </c>
      <c r="F806" s="9">
        <f>'NIPPON INDIA '!B806</f>
        <v>165.83500000000001</v>
      </c>
      <c r="G806" s="10">
        <f t="shared" si="50"/>
        <v>1.7094326858027415E-3</v>
      </c>
      <c r="H806" s="9">
        <f>'NIFTY500 TRI'!B806</f>
        <v>23083.439999999999</v>
      </c>
      <c r="I806" s="10">
        <f t="shared" si="51"/>
        <v>3.271813134834354E-4</v>
      </c>
    </row>
    <row r="807" spans="1:9" ht="14.25" customHeight="1" x14ac:dyDescent="0.3">
      <c r="A807" s="8">
        <f>'ICICI PRUDENTIAL MULTICAP FUND'!A807</f>
        <v>45035</v>
      </c>
      <c r="B807" s="9">
        <f>'ICICI PRUDENTIAL MULTICAP FUND'!B807</f>
        <v>458.1</v>
      </c>
      <c r="C807" s="10">
        <f t="shared" si="48"/>
        <v>-4.4117966661595042E-3</v>
      </c>
      <c r="D807" s="9">
        <f>'QUANT ACTIVE FUND'!B807</f>
        <v>424.76299999999998</v>
      </c>
      <c r="E807" s="10">
        <f t="shared" si="49"/>
        <v>-1.5584378951921389E-3</v>
      </c>
      <c r="F807" s="9">
        <f>'NIPPON INDIA '!B807</f>
        <v>165.55199999999999</v>
      </c>
      <c r="G807" s="10">
        <f t="shared" si="50"/>
        <v>-1.5559978288402978E-3</v>
      </c>
      <c r="H807" s="9">
        <f>'NIFTY500 TRI'!B807</f>
        <v>23075.89</v>
      </c>
      <c r="I807" s="10">
        <f t="shared" si="51"/>
        <v>-2.6929493219006364E-3</v>
      </c>
    </row>
    <row r="808" spans="1:9" ht="14.25" customHeight="1" x14ac:dyDescent="0.3">
      <c r="A808" s="8">
        <f>'ICICI PRUDENTIAL MULTICAP FUND'!A808</f>
        <v>45034</v>
      </c>
      <c r="B808" s="9">
        <f>'ICICI PRUDENTIAL MULTICAP FUND'!B808</f>
        <v>460.13</v>
      </c>
      <c r="C808" s="10">
        <f t="shared" si="48"/>
        <v>5.8713521506541515E-4</v>
      </c>
      <c r="D808" s="9">
        <f>'QUANT ACTIVE FUND'!B808</f>
        <v>425.42599999999999</v>
      </c>
      <c r="E808" s="10">
        <f t="shared" si="49"/>
        <v>-2.7145884515125166E-3</v>
      </c>
      <c r="F808" s="9">
        <f>'NIPPON INDIA '!B808</f>
        <v>165.81</v>
      </c>
      <c r="G808" s="10">
        <f t="shared" si="50"/>
        <v>-3.8583503140934052E-4</v>
      </c>
      <c r="H808" s="9">
        <f>'NIFTY500 TRI'!B808</f>
        <v>23138.2</v>
      </c>
      <c r="I808" s="10">
        <f t="shared" si="51"/>
        <v>-4.9072206987953897E-4</v>
      </c>
    </row>
    <row r="809" spans="1:9" ht="14.25" customHeight="1" x14ac:dyDescent="0.3">
      <c r="A809" s="8">
        <f>'ICICI PRUDENTIAL MULTICAP FUND'!A809</f>
        <v>45033</v>
      </c>
      <c r="B809" s="9">
        <f>'ICICI PRUDENTIAL MULTICAP FUND'!B809</f>
        <v>459.86</v>
      </c>
      <c r="C809" s="10">
        <f t="shared" si="48"/>
        <v>-2.6892214270223575E-3</v>
      </c>
      <c r="D809" s="9">
        <f>'QUANT ACTIVE FUND'!B809</f>
        <v>426.584</v>
      </c>
      <c r="E809" s="10">
        <f t="shared" si="49"/>
        <v>3.1251837133014493E-3</v>
      </c>
      <c r="F809" s="9">
        <f>'NIPPON INDIA '!B809</f>
        <v>165.874</v>
      </c>
      <c r="G809" s="10">
        <f t="shared" si="50"/>
        <v>-3.9272674865487873E-3</v>
      </c>
      <c r="H809" s="9">
        <f>'NIFTY500 TRI'!B809</f>
        <v>23149.56</v>
      </c>
      <c r="I809" s="10">
        <f t="shared" si="51"/>
        <v>-3.3392000385754962E-3</v>
      </c>
    </row>
    <row r="810" spans="1:9" ht="14.25" customHeight="1" x14ac:dyDescent="0.3">
      <c r="A810" s="8">
        <f>'ICICI PRUDENTIAL MULTICAP FUND'!A810</f>
        <v>45029</v>
      </c>
      <c r="B810" s="9">
        <f>'ICICI PRUDENTIAL MULTICAP FUND'!B810</f>
        <v>461.1</v>
      </c>
      <c r="C810" s="10">
        <f t="shared" si="48"/>
        <v>2.1687739920726429E-5</v>
      </c>
      <c r="D810" s="9">
        <f>'QUANT ACTIVE FUND'!B810</f>
        <v>425.255</v>
      </c>
      <c r="E810" s="10">
        <f t="shared" si="49"/>
        <v>4.4025498888733486E-3</v>
      </c>
      <c r="F810" s="9">
        <f>'NIPPON INDIA '!B810</f>
        <v>166.52799999999999</v>
      </c>
      <c r="G810" s="10">
        <f t="shared" si="50"/>
        <v>2.2388598666312721E-3</v>
      </c>
      <c r="H810" s="9">
        <f>'NIFTY500 TRI'!B810</f>
        <v>23227.119999999999</v>
      </c>
      <c r="I810" s="10">
        <f t="shared" si="51"/>
        <v>9.2218642644993631E-4</v>
      </c>
    </row>
    <row r="811" spans="1:9" ht="14.25" customHeight="1" x14ac:dyDescent="0.3">
      <c r="A811" s="8">
        <f>'ICICI PRUDENTIAL MULTICAP FUND'!A811</f>
        <v>45028</v>
      </c>
      <c r="B811" s="9">
        <f>'ICICI PRUDENTIAL MULTICAP FUND'!B811</f>
        <v>461.09</v>
      </c>
      <c r="C811" s="10">
        <f t="shared" si="48"/>
        <v>1.9774870702767792E-3</v>
      </c>
      <c r="D811" s="9">
        <f>'QUANT ACTIVE FUND'!B811</f>
        <v>423.39100000000002</v>
      </c>
      <c r="E811" s="10">
        <f t="shared" si="49"/>
        <v>1.5375844784395981E-3</v>
      </c>
      <c r="F811" s="9">
        <f>'NIPPON INDIA '!B811</f>
        <v>166.15600000000001</v>
      </c>
      <c r="G811" s="10">
        <f t="shared" si="50"/>
        <v>2.3224810129637836E-3</v>
      </c>
      <c r="H811" s="9">
        <f>'NIFTY500 TRI'!B811</f>
        <v>23205.72</v>
      </c>
      <c r="I811" s="10">
        <f t="shared" si="51"/>
        <v>4.9999415338149236E-3</v>
      </c>
    </row>
    <row r="812" spans="1:9" ht="14.25" customHeight="1" x14ac:dyDescent="0.3">
      <c r="A812" s="8">
        <f>'ICICI PRUDENTIAL MULTICAP FUND'!A812</f>
        <v>45027</v>
      </c>
      <c r="B812" s="9">
        <f>'ICICI PRUDENTIAL MULTICAP FUND'!B812</f>
        <v>460.18</v>
      </c>
      <c r="C812" s="10">
        <f t="shared" si="48"/>
        <v>2.3742621272518066E-3</v>
      </c>
      <c r="D812" s="9">
        <f>'QUANT ACTIVE FUND'!B812</f>
        <v>422.74099999999999</v>
      </c>
      <c r="E812" s="10">
        <f t="shared" si="49"/>
        <v>5.4847955094128303E-3</v>
      </c>
      <c r="F812" s="9">
        <f>'NIPPON INDIA '!B812</f>
        <v>165.77099999999999</v>
      </c>
      <c r="G812" s="10">
        <f t="shared" si="50"/>
        <v>3.2377932169744888E-3</v>
      </c>
      <c r="H812" s="9">
        <f>'NIFTY500 TRI'!B812</f>
        <v>23090.27</v>
      </c>
      <c r="I812" s="10">
        <f t="shared" si="51"/>
        <v>5.1939492298102175E-3</v>
      </c>
    </row>
    <row r="813" spans="1:9" ht="14.25" customHeight="1" x14ac:dyDescent="0.3">
      <c r="A813" s="8">
        <f>'ICICI PRUDENTIAL MULTICAP FUND'!A813</f>
        <v>45026</v>
      </c>
      <c r="B813" s="9">
        <f>'ICICI PRUDENTIAL MULTICAP FUND'!B813</f>
        <v>459.09</v>
      </c>
      <c r="C813" s="10">
        <f t="shared" si="48"/>
        <v>1.7019048242455383E-3</v>
      </c>
      <c r="D813" s="9">
        <f>'QUANT ACTIVE FUND'!B813</f>
        <v>420.435</v>
      </c>
      <c r="E813" s="10">
        <f t="shared" si="49"/>
        <v>1.7393169011568083E-3</v>
      </c>
      <c r="F813" s="9">
        <f>'NIPPON INDIA '!B813</f>
        <v>165.23599999999999</v>
      </c>
      <c r="G813" s="10">
        <f t="shared" si="50"/>
        <v>1.5699158064456629E-3</v>
      </c>
      <c r="H813" s="9">
        <f>'NIFTY500 TRI'!B813</f>
        <v>22970.959999999999</v>
      </c>
      <c r="I813" s="10">
        <f t="shared" si="51"/>
        <v>2.1267582837780478E-3</v>
      </c>
    </row>
    <row r="814" spans="1:9" ht="14.25" customHeight="1" x14ac:dyDescent="0.3">
      <c r="A814" s="8">
        <f>'ICICI PRUDENTIAL MULTICAP FUND'!A814</f>
        <v>45022</v>
      </c>
      <c r="B814" s="9">
        <f>'ICICI PRUDENTIAL MULTICAP FUND'!B814</f>
        <v>458.31</v>
      </c>
      <c r="C814" s="10">
        <f t="shared" si="48"/>
        <v>2.8884658307621459E-3</v>
      </c>
      <c r="D814" s="9">
        <f>'QUANT ACTIVE FUND'!B814</f>
        <v>419.70499999999998</v>
      </c>
      <c r="E814" s="10">
        <f t="shared" si="49"/>
        <v>5.9006382371902923E-3</v>
      </c>
      <c r="F814" s="9">
        <f>'NIPPON INDIA '!B814</f>
        <v>164.977</v>
      </c>
      <c r="G814" s="10">
        <f t="shared" si="50"/>
        <v>4.1327344215997888E-3</v>
      </c>
      <c r="H814" s="9">
        <f>'NIFTY500 TRI'!B814</f>
        <v>22922.21</v>
      </c>
      <c r="I814" s="10">
        <f t="shared" si="51"/>
        <v>3.3828074763196402E-3</v>
      </c>
    </row>
    <row r="815" spans="1:9" ht="14.25" customHeight="1" x14ac:dyDescent="0.3">
      <c r="A815" s="8">
        <f>'ICICI PRUDENTIAL MULTICAP FUND'!A815</f>
        <v>45021</v>
      </c>
      <c r="B815" s="9">
        <f>'ICICI PRUDENTIAL MULTICAP FUND'!B815</f>
        <v>456.99</v>
      </c>
      <c r="C815" s="10">
        <f t="shared" si="48"/>
        <v>2.1930305489155462E-3</v>
      </c>
      <c r="D815" s="9">
        <f>'QUANT ACTIVE FUND'!B815</f>
        <v>417.24299999999999</v>
      </c>
      <c r="E815" s="10">
        <f t="shared" si="49"/>
        <v>7.6118534331825289E-3</v>
      </c>
      <c r="F815" s="9">
        <f>'NIPPON INDIA '!B815</f>
        <v>164.298</v>
      </c>
      <c r="G815" s="10">
        <f t="shared" si="50"/>
        <v>4.886880042079809E-3</v>
      </c>
      <c r="H815" s="9">
        <f>'NIFTY500 TRI'!B815</f>
        <v>22844.93</v>
      </c>
      <c r="I815" s="10">
        <f t="shared" si="51"/>
        <v>7.3595457806520876E-3</v>
      </c>
    </row>
    <row r="816" spans="1:9" ht="14.25" customHeight="1" x14ac:dyDescent="0.3">
      <c r="A816" s="8">
        <f>'ICICI PRUDENTIAL MULTICAP FUND'!A816</f>
        <v>45019</v>
      </c>
      <c r="B816" s="9">
        <f>'ICICI PRUDENTIAL MULTICAP FUND'!B816</f>
        <v>455.99</v>
      </c>
      <c r="C816" s="10">
        <f t="shared" si="48"/>
        <v>3.7200088047545624E-3</v>
      </c>
      <c r="D816" s="9">
        <f>'QUANT ACTIVE FUND'!B816</f>
        <v>414.09100000000001</v>
      </c>
      <c r="E816" s="10">
        <f t="shared" si="49"/>
        <v>2.7169109545753171E-3</v>
      </c>
      <c r="F816" s="9">
        <f>'NIPPON INDIA '!B816</f>
        <v>163.499</v>
      </c>
      <c r="G816" s="10">
        <f t="shared" si="50"/>
        <v>3.652457889309034E-3</v>
      </c>
      <c r="H816" s="9">
        <f>'NIFTY500 TRI'!B816</f>
        <v>22678.03</v>
      </c>
      <c r="I816" s="10">
        <f t="shared" si="51"/>
        <v>3.0292522536945893E-3</v>
      </c>
    </row>
    <row r="817" spans="1:9" ht="14.25" customHeight="1" x14ac:dyDescent="0.3">
      <c r="A817" s="8">
        <f>'ICICI PRUDENTIAL MULTICAP FUND'!A817</f>
        <v>45016</v>
      </c>
      <c r="B817" s="9">
        <f>'ICICI PRUDENTIAL MULTICAP FUND'!B817</f>
        <v>454.3</v>
      </c>
      <c r="C817" s="10">
        <f t="shared" si="48"/>
        <v>1.1916694509410899E-2</v>
      </c>
      <c r="D817" s="9">
        <f>'QUANT ACTIVE FUND'!B817</f>
        <v>412.96899999999999</v>
      </c>
      <c r="E817" s="10">
        <f t="shared" si="49"/>
        <v>1.7944780361311183E-2</v>
      </c>
      <c r="F817" s="9">
        <f>'NIPPON INDIA '!B817</f>
        <v>162.904</v>
      </c>
      <c r="G817" s="10">
        <f t="shared" si="50"/>
        <v>1.3387080720613035E-2</v>
      </c>
      <c r="H817" s="9">
        <f>'NIFTY500 TRI'!B817</f>
        <v>22609.54</v>
      </c>
      <c r="I817" s="10">
        <f t="shared" si="51"/>
        <v>1.4804052655981687E-2</v>
      </c>
    </row>
    <row r="818" spans="1:9" ht="14.25" customHeight="1" x14ac:dyDescent="0.3">
      <c r="A818" s="8">
        <f>'ICICI PRUDENTIAL MULTICAP FUND'!A818</f>
        <v>45014</v>
      </c>
      <c r="B818" s="9">
        <f>'ICICI PRUDENTIAL MULTICAP FUND'!B818</f>
        <v>448.95</v>
      </c>
      <c r="C818" s="10">
        <f t="shared" si="48"/>
        <v>1.3133843341683013E-2</v>
      </c>
      <c r="D818" s="9">
        <f>'QUANT ACTIVE FUND'!B818</f>
        <v>405.68900000000002</v>
      </c>
      <c r="E818" s="10">
        <f t="shared" si="49"/>
        <v>1.7169749348738002E-2</v>
      </c>
      <c r="F818" s="9">
        <f>'NIPPON INDIA '!B818</f>
        <v>160.75200000000001</v>
      </c>
      <c r="G818" s="10">
        <f t="shared" si="50"/>
        <v>1.4630697956246842E-2</v>
      </c>
      <c r="H818" s="9">
        <f>'NIFTY500 TRI'!B818</f>
        <v>22279.71</v>
      </c>
      <c r="I818" s="10">
        <f t="shared" si="51"/>
        <v>9.4229133828657545E-3</v>
      </c>
    </row>
    <row r="819" spans="1:9" ht="14.25" customHeight="1" x14ac:dyDescent="0.3">
      <c r="A819" s="8">
        <f>'ICICI PRUDENTIAL MULTICAP FUND'!A819</f>
        <v>45013</v>
      </c>
      <c r="B819" s="9">
        <f>'ICICI PRUDENTIAL MULTICAP FUND'!B819</f>
        <v>443.13</v>
      </c>
      <c r="C819" s="10">
        <f t="shared" si="48"/>
        <v>-2.6558033805226234E-3</v>
      </c>
      <c r="D819" s="9">
        <f>'QUANT ACTIVE FUND'!B819</f>
        <v>398.84100000000001</v>
      </c>
      <c r="E819" s="10">
        <f t="shared" si="49"/>
        <v>-3.0595028307899706E-3</v>
      </c>
      <c r="F819" s="9">
        <f>'NIPPON INDIA '!B819</f>
        <v>158.434</v>
      </c>
      <c r="G819" s="10">
        <f t="shared" si="50"/>
        <v>-2.9326620516048345E-3</v>
      </c>
      <c r="H819" s="9">
        <f>'NIFTY500 TRI'!B819</f>
        <v>22071.73</v>
      </c>
      <c r="I819" s="10">
        <f t="shared" si="51"/>
        <v>-3.5709722841086398E-3</v>
      </c>
    </row>
    <row r="820" spans="1:9" ht="14.25" customHeight="1" x14ac:dyDescent="0.3">
      <c r="A820" s="8">
        <f>'ICICI PRUDENTIAL MULTICAP FUND'!A820</f>
        <v>45012</v>
      </c>
      <c r="B820" s="9">
        <f>'ICICI PRUDENTIAL MULTICAP FUND'!B820</f>
        <v>444.31</v>
      </c>
      <c r="C820" s="10">
        <f t="shared" si="48"/>
        <v>-2.5368175287356219E-3</v>
      </c>
      <c r="D820" s="9">
        <f>'QUANT ACTIVE FUND'!B820</f>
        <v>400.065</v>
      </c>
      <c r="E820" s="10">
        <f t="shared" si="49"/>
        <v>-4.8456144453039559E-3</v>
      </c>
      <c r="F820" s="9">
        <f>'NIPPON INDIA '!B820</f>
        <v>158.9</v>
      </c>
      <c r="G820" s="10">
        <f t="shared" si="50"/>
        <v>-4.1800622935820164E-3</v>
      </c>
      <c r="H820" s="9">
        <f>'NIFTY500 TRI'!B820</f>
        <v>22150.83</v>
      </c>
      <c r="I820" s="10">
        <f t="shared" si="51"/>
        <v>-1.1399654853803862E-3</v>
      </c>
    </row>
    <row r="821" spans="1:9" ht="14.25" customHeight="1" x14ac:dyDescent="0.3">
      <c r="A821" s="8">
        <f>'ICICI PRUDENTIAL MULTICAP FUND'!A821</f>
        <v>45009</v>
      </c>
      <c r="B821" s="9">
        <f>'ICICI PRUDENTIAL MULTICAP FUND'!B821</f>
        <v>445.44</v>
      </c>
      <c r="C821" s="10">
        <f t="shared" si="48"/>
        <v>-7.0441373160945713E-3</v>
      </c>
      <c r="D821" s="9">
        <f>'QUANT ACTIVE FUND'!B821</f>
        <v>402.01299999999998</v>
      </c>
      <c r="E821" s="10">
        <f t="shared" si="49"/>
        <v>-1.0768007992342394E-2</v>
      </c>
      <c r="F821" s="9">
        <f>'NIPPON INDIA '!B821</f>
        <v>159.56700000000001</v>
      </c>
      <c r="G821" s="10">
        <f t="shared" si="50"/>
        <v>-9.5342731047839031E-3</v>
      </c>
      <c r="H821" s="9">
        <f>'NIFTY500 TRI'!B821</f>
        <v>22176.11</v>
      </c>
      <c r="I821" s="10">
        <f t="shared" si="51"/>
        <v>-8.615560134347713E-3</v>
      </c>
    </row>
    <row r="822" spans="1:9" ht="14.25" customHeight="1" x14ac:dyDescent="0.3">
      <c r="A822" s="8">
        <f>'ICICI PRUDENTIAL MULTICAP FUND'!A822</f>
        <v>45008</v>
      </c>
      <c r="B822" s="9">
        <f>'ICICI PRUDENTIAL MULTICAP FUND'!B822</f>
        <v>448.6</v>
      </c>
      <c r="C822" s="10">
        <f t="shared" si="48"/>
        <v>-3.1332637052509239E-3</v>
      </c>
      <c r="D822" s="9">
        <f>'QUANT ACTIVE FUND'!B822</f>
        <v>406.38900000000001</v>
      </c>
      <c r="E822" s="10">
        <f t="shared" si="49"/>
        <v>-3.9753830166343899E-3</v>
      </c>
      <c r="F822" s="9">
        <f>'NIPPON INDIA '!B822</f>
        <v>161.10300000000001</v>
      </c>
      <c r="G822" s="10">
        <f t="shared" si="50"/>
        <v>-2.5137918010759617E-3</v>
      </c>
      <c r="H822" s="9">
        <f>'NIFTY500 TRI'!B822</f>
        <v>22368.83</v>
      </c>
      <c r="I822" s="10">
        <f t="shared" si="51"/>
        <v>-3.9022178918670788E-3</v>
      </c>
    </row>
    <row r="823" spans="1:9" ht="14.25" customHeight="1" x14ac:dyDescent="0.3">
      <c r="A823" s="8">
        <f>'ICICI PRUDENTIAL MULTICAP FUND'!A823</f>
        <v>45007</v>
      </c>
      <c r="B823" s="9">
        <f>'ICICI PRUDENTIAL MULTICAP FUND'!B823</f>
        <v>450.01</v>
      </c>
      <c r="C823" s="10">
        <f t="shared" si="48"/>
        <v>3.1431119037003299E-3</v>
      </c>
      <c r="D823" s="9">
        <f>'QUANT ACTIVE FUND'!B823</f>
        <v>408.01100000000002</v>
      </c>
      <c r="E823" s="10">
        <f t="shared" si="49"/>
        <v>3.2703765359090812E-3</v>
      </c>
      <c r="F823" s="9">
        <f>'NIPPON INDIA '!B823</f>
        <v>161.50899999999999</v>
      </c>
      <c r="G823" s="10">
        <f t="shared" si="50"/>
        <v>4.8591409088645258E-3</v>
      </c>
      <c r="H823" s="9">
        <f>'NIFTY500 TRI'!B823</f>
        <v>22456.46</v>
      </c>
      <c r="I823" s="10">
        <f t="shared" si="51"/>
        <v>3.3778862831901251E-3</v>
      </c>
    </row>
    <row r="824" spans="1:9" ht="14.25" customHeight="1" x14ac:dyDescent="0.3">
      <c r="A824" s="8">
        <f>'ICICI PRUDENTIAL MULTICAP FUND'!A824</f>
        <v>45006</v>
      </c>
      <c r="B824" s="9">
        <f>'ICICI PRUDENTIAL MULTICAP FUND'!B824</f>
        <v>448.6</v>
      </c>
      <c r="C824" s="10">
        <f t="shared" si="48"/>
        <v>6.1679937198609392E-3</v>
      </c>
      <c r="D824" s="9">
        <f>'QUANT ACTIVE FUND'!B824</f>
        <v>406.68099999999998</v>
      </c>
      <c r="E824" s="10">
        <f t="shared" si="49"/>
        <v>7.4989966654609814E-3</v>
      </c>
      <c r="F824" s="9">
        <f>'NIPPON INDIA '!B824</f>
        <v>160.72800000000001</v>
      </c>
      <c r="G824" s="10">
        <f t="shared" si="50"/>
        <v>7.3327567404957196E-3</v>
      </c>
      <c r="H824" s="9">
        <f>'NIFTY500 TRI'!B824</f>
        <v>22380.86</v>
      </c>
      <c r="I824" s="10">
        <f t="shared" si="51"/>
        <v>6.5839212717910258E-3</v>
      </c>
    </row>
    <row r="825" spans="1:9" ht="14.25" customHeight="1" x14ac:dyDescent="0.3">
      <c r="A825" s="8">
        <f>'ICICI PRUDENTIAL MULTICAP FUND'!A825</f>
        <v>45005</v>
      </c>
      <c r="B825" s="9">
        <f>'ICICI PRUDENTIAL MULTICAP FUND'!B825</f>
        <v>445.85</v>
      </c>
      <c r="C825" s="10">
        <f t="shared" si="48"/>
        <v>-7.3472113993097062E-3</v>
      </c>
      <c r="D825" s="9">
        <f>'QUANT ACTIVE FUND'!B825</f>
        <v>403.654</v>
      </c>
      <c r="E825" s="10">
        <f t="shared" si="49"/>
        <v>-1.2034628008351131E-2</v>
      </c>
      <c r="F825" s="9">
        <f>'NIPPON INDIA '!B825</f>
        <v>159.55799999999999</v>
      </c>
      <c r="G825" s="10">
        <f t="shared" si="50"/>
        <v>-1.0333449114275771E-2</v>
      </c>
      <c r="H825" s="9">
        <f>'NIFTY500 TRI'!B825</f>
        <v>22234.47</v>
      </c>
      <c r="I825" s="10">
        <f t="shared" si="51"/>
        <v>-7.1796442640093151E-3</v>
      </c>
    </row>
    <row r="826" spans="1:9" ht="14.25" customHeight="1" x14ac:dyDescent="0.3">
      <c r="A826" s="8">
        <f>'ICICI PRUDENTIAL MULTICAP FUND'!A826</f>
        <v>45002</v>
      </c>
      <c r="B826" s="9">
        <f>'ICICI PRUDENTIAL MULTICAP FUND'!B826</f>
        <v>449.15</v>
      </c>
      <c r="C826" s="10">
        <f t="shared" si="48"/>
        <v>3.7544416385454889E-3</v>
      </c>
      <c r="D826" s="9">
        <f>'QUANT ACTIVE FUND'!B826</f>
        <v>408.57100000000003</v>
      </c>
      <c r="E826" s="10">
        <f t="shared" si="49"/>
        <v>2.5150535154314707E-3</v>
      </c>
      <c r="F826" s="9">
        <f>'NIPPON INDIA '!B826</f>
        <v>161.22399999999999</v>
      </c>
      <c r="G826" s="10">
        <f t="shared" si="50"/>
        <v>6.3103493474312052E-3</v>
      </c>
      <c r="H826" s="9">
        <f>'NIFTY500 TRI'!B826</f>
        <v>22395.26</v>
      </c>
      <c r="I826" s="10">
        <f t="shared" si="51"/>
        <v>6.3168735744570624E-3</v>
      </c>
    </row>
    <row r="827" spans="1:9" ht="14.25" customHeight="1" x14ac:dyDescent="0.3">
      <c r="A827" s="8">
        <f>'ICICI PRUDENTIAL MULTICAP FUND'!A827</f>
        <v>45001</v>
      </c>
      <c r="B827" s="9">
        <f>'ICICI PRUDENTIAL MULTICAP FUND'!B827</f>
        <v>447.47</v>
      </c>
      <c r="C827" s="10">
        <f t="shared" si="48"/>
        <v>-2.0295285249118341E-3</v>
      </c>
      <c r="D827" s="9">
        <f>'QUANT ACTIVE FUND'!B827</f>
        <v>407.54599999999999</v>
      </c>
      <c r="E827" s="10">
        <f t="shared" si="49"/>
        <v>-1.6681895122076277E-3</v>
      </c>
      <c r="F827" s="9">
        <f>'NIPPON INDIA '!B827</f>
        <v>160.21299999999999</v>
      </c>
      <c r="G827" s="10">
        <f t="shared" si="50"/>
        <v>5.2457705974559999E-4</v>
      </c>
      <c r="H827" s="9">
        <f>'NIFTY500 TRI'!B827</f>
        <v>22254.68</v>
      </c>
      <c r="I827" s="10">
        <f t="shared" si="51"/>
        <v>7.1271735068789786E-4</v>
      </c>
    </row>
    <row r="828" spans="1:9" ht="14.25" customHeight="1" x14ac:dyDescent="0.3">
      <c r="A828" s="8">
        <f>'ICICI PRUDENTIAL MULTICAP FUND'!A828</f>
        <v>45000</v>
      </c>
      <c r="B828" s="9">
        <f>'ICICI PRUDENTIAL MULTICAP FUND'!B828</f>
        <v>448.38</v>
      </c>
      <c r="C828" s="10">
        <f t="shared" si="48"/>
        <v>-1.9809913860261898E-3</v>
      </c>
      <c r="D828" s="9">
        <f>'QUANT ACTIVE FUND'!B828</f>
        <v>408.22699999999998</v>
      </c>
      <c r="E828" s="10">
        <f t="shared" si="49"/>
        <v>-4.3073906139861401E-3</v>
      </c>
      <c r="F828" s="9">
        <f>'NIPPON INDIA '!B828</f>
        <v>160.12899999999999</v>
      </c>
      <c r="G828" s="10">
        <f t="shared" si="50"/>
        <v>-1.9944032060032883E-3</v>
      </c>
      <c r="H828" s="9">
        <f>'NIFTY500 TRI'!B828</f>
        <v>22238.83</v>
      </c>
      <c r="I828" s="10">
        <f t="shared" si="51"/>
        <v>-2.6553903392405398E-3</v>
      </c>
    </row>
    <row r="829" spans="1:9" ht="14.25" customHeight="1" x14ac:dyDescent="0.3">
      <c r="A829" s="8">
        <f>'ICICI PRUDENTIAL MULTICAP FUND'!A829</f>
        <v>44999</v>
      </c>
      <c r="B829" s="9">
        <f>'ICICI PRUDENTIAL MULTICAP FUND'!B829</f>
        <v>449.27</v>
      </c>
      <c r="C829" s="10">
        <f t="shared" si="48"/>
        <v>-3.570794889992933E-3</v>
      </c>
      <c r="D829" s="9">
        <f>'QUANT ACTIVE FUND'!B829</f>
        <v>409.99299999999999</v>
      </c>
      <c r="E829" s="10">
        <f t="shared" si="49"/>
        <v>-9.2312227987037462E-3</v>
      </c>
      <c r="F829" s="9">
        <f>'NIPPON INDIA '!B829</f>
        <v>160.44900000000001</v>
      </c>
      <c r="G829" s="10">
        <f t="shared" si="50"/>
        <v>-6.2493032243678614E-3</v>
      </c>
      <c r="H829" s="9">
        <f>'NIFTY500 TRI'!B829</f>
        <v>22298.04</v>
      </c>
      <c r="I829" s="10">
        <f t="shared" si="51"/>
        <v>-6.6347484760749574E-3</v>
      </c>
    </row>
    <row r="830" spans="1:9" ht="14.25" customHeight="1" x14ac:dyDescent="0.3">
      <c r="A830" s="8">
        <f>'ICICI PRUDENTIAL MULTICAP FUND'!A830</f>
        <v>44998</v>
      </c>
      <c r="B830" s="9">
        <f>'ICICI PRUDENTIAL MULTICAP FUND'!B830</f>
        <v>450.88</v>
      </c>
      <c r="C830" s="10">
        <f t="shared" si="48"/>
        <v>-1.5631822548249116E-2</v>
      </c>
      <c r="D830" s="9">
        <f>'QUANT ACTIVE FUND'!B830</f>
        <v>413.81299999999999</v>
      </c>
      <c r="E830" s="10">
        <f t="shared" si="49"/>
        <v>-2.1704799595266219E-2</v>
      </c>
      <c r="F830" s="9">
        <f>'NIPPON INDIA '!B830</f>
        <v>161.458</v>
      </c>
      <c r="G830" s="10">
        <f t="shared" si="50"/>
        <v>-1.9374665954035263E-2</v>
      </c>
      <c r="H830" s="9">
        <f>'NIFTY500 TRI'!B830</f>
        <v>22446.97</v>
      </c>
      <c r="I830" s="10">
        <f t="shared" si="51"/>
        <v>-1.5354645192505388E-2</v>
      </c>
    </row>
    <row r="831" spans="1:9" ht="14.25" customHeight="1" x14ac:dyDescent="0.3">
      <c r="A831" s="8">
        <f>'ICICI PRUDENTIAL MULTICAP FUND'!A831</f>
        <v>44995</v>
      </c>
      <c r="B831" s="9">
        <f>'ICICI PRUDENTIAL MULTICAP FUND'!B831</f>
        <v>458.04</v>
      </c>
      <c r="C831" s="10">
        <f t="shared" si="48"/>
        <v>-7.8627591136525982E-3</v>
      </c>
      <c r="D831" s="9">
        <f>'QUANT ACTIVE FUND'!B831</f>
        <v>422.99400000000003</v>
      </c>
      <c r="E831" s="10">
        <f t="shared" si="49"/>
        <v>-5.4735000775882146E-3</v>
      </c>
      <c r="F831" s="9">
        <f>'NIPPON INDIA '!B831</f>
        <v>164.648</v>
      </c>
      <c r="G831" s="10">
        <f t="shared" si="50"/>
        <v>-7.8517152653493939E-3</v>
      </c>
      <c r="H831" s="9">
        <f>'NIFTY500 TRI'!B831</f>
        <v>22797.01</v>
      </c>
      <c r="I831" s="10">
        <f t="shared" si="51"/>
        <v>-8.3828735700680768E-3</v>
      </c>
    </row>
    <row r="832" spans="1:9" ht="14.25" customHeight="1" x14ac:dyDescent="0.3">
      <c r="A832" s="8">
        <f>'ICICI PRUDENTIAL MULTICAP FUND'!A832</f>
        <v>44994</v>
      </c>
      <c r="B832" s="9">
        <f>'ICICI PRUDENTIAL MULTICAP FUND'!B832</f>
        <v>461.67</v>
      </c>
      <c r="C832" s="10">
        <f t="shared" si="48"/>
        <v>-5.9427685550028867E-3</v>
      </c>
      <c r="D832" s="9">
        <f>'QUANT ACTIVE FUND'!B832</f>
        <v>425.322</v>
      </c>
      <c r="E832" s="10">
        <f t="shared" si="49"/>
        <v>-6.6422836002858563E-3</v>
      </c>
      <c r="F832" s="9">
        <f>'NIPPON INDIA '!B832</f>
        <v>165.95099999999999</v>
      </c>
      <c r="G832" s="10">
        <f t="shared" si="50"/>
        <v>-3.2134834160229488E-3</v>
      </c>
      <c r="H832" s="9">
        <f>'NIFTY500 TRI'!B832</f>
        <v>22989.73</v>
      </c>
      <c r="I832" s="10">
        <f t="shared" si="51"/>
        <v>-7.9083450171946752E-3</v>
      </c>
    </row>
    <row r="833" spans="1:9" ht="14.25" customHeight="1" x14ac:dyDescent="0.3">
      <c r="A833" s="8">
        <f>'ICICI PRUDENTIAL MULTICAP FUND'!A833</f>
        <v>44993</v>
      </c>
      <c r="B833" s="9">
        <f>'ICICI PRUDENTIAL MULTICAP FUND'!B833</f>
        <v>464.43</v>
      </c>
      <c r="C833" s="10">
        <f t="shared" si="48"/>
        <v>3.4569928483460942E-3</v>
      </c>
      <c r="D833" s="9">
        <f>'QUANT ACTIVE FUND'!B833</f>
        <v>428.166</v>
      </c>
      <c r="E833" s="10">
        <f t="shared" si="49"/>
        <v>3.4003960488851385E-3</v>
      </c>
      <c r="F833" s="9">
        <f>'NIPPON INDIA '!B833</f>
        <v>166.48599999999999</v>
      </c>
      <c r="G833" s="10">
        <f t="shared" si="50"/>
        <v>6.2617104865518372E-3</v>
      </c>
      <c r="H833" s="9">
        <f>'NIFTY500 TRI'!B833</f>
        <v>23172.99</v>
      </c>
      <c r="I833" s="10">
        <f t="shared" si="51"/>
        <v>2.7703528110513118E-3</v>
      </c>
    </row>
    <row r="834" spans="1:9" ht="14.25" customHeight="1" x14ac:dyDescent="0.3">
      <c r="A834" s="8">
        <f>'ICICI PRUDENTIAL MULTICAP FUND'!A834</f>
        <v>44991</v>
      </c>
      <c r="B834" s="9">
        <f>'ICICI PRUDENTIAL MULTICAP FUND'!B834</f>
        <v>462.83</v>
      </c>
      <c r="C834" s="10">
        <f t="shared" ref="C834:C897" si="52">(B834-B835)/B835</f>
        <v>4.9724236765535321E-3</v>
      </c>
      <c r="D834" s="9">
        <f>'QUANT ACTIVE FUND'!B834</f>
        <v>426.71499999999997</v>
      </c>
      <c r="E834" s="10">
        <f t="shared" ref="E834:E897" si="53">(D834-D835)/D835</f>
        <v>6.9162592263983143E-3</v>
      </c>
      <c r="F834" s="9">
        <f>'NIPPON INDIA '!B834</f>
        <v>165.45</v>
      </c>
      <c r="G834" s="10">
        <f t="shared" ref="G834:G897" si="54">(F834-F835)/F835</f>
        <v>5.8667963644099758E-3</v>
      </c>
      <c r="H834" s="9">
        <f>'NIFTY500 TRI'!B834</f>
        <v>23108.97</v>
      </c>
      <c r="I834" s="10">
        <f t="shared" ref="I834:I897" si="55">(H834-H835)/H835</f>
        <v>7.1918709760652498E-3</v>
      </c>
    </row>
    <row r="835" spans="1:9" ht="14.25" customHeight="1" x14ac:dyDescent="0.3">
      <c r="A835" s="8">
        <f>'ICICI PRUDENTIAL MULTICAP FUND'!A835</f>
        <v>44988</v>
      </c>
      <c r="B835" s="9">
        <f>'ICICI PRUDENTIAL MULTICAP FUND'!B835</f>
        <v>460.54</v>
      </c>
      <c r="C835" s="10">
        <f t="shared" si="52"/>
        <v>7.7902752855704893E-3</v>
      </c>
      <c r="D835" s="9">
        <f>'QUANT ACTIVE FUND'!B835</f>
        <v>423.78399999999999</v>
      </c>
      <c r="E835" s="10">
        <f t="shared" si="53"/>
        <v>1.6385579155394372E-2</v>
      </c>
      <c r="F835" s="9">
        <f>'NIPPON INDIA '!B835</f>
        <v>164.48500000000001</v>
      </c>
      <c r="G835" s="10">
        <f t="shared" si="54"/>
        <v>1.013295667393377E-2</v>
      </c>
      <c r="H835" s="9">
        <f>'NIFTY500 TRI'!B835</f>
        <v>22943.96</v>
      </c>
      <c r="I835" s="10">
        <f t="shared" si="55"/>
        <v>1.2855839955784489E-2</v>
      </c>
    </row>
    <row r="836" spans="1:9" ht="14.25" customHeight="1" x14ac:dyDescent="0.3">
      <c r="A836" s="8">
        <f>'ICICI PRUDENTIAL MULTICAP FUND'!A836</f>
        <v>44987</v>
      </c>
      <c r="B836" s="9">
        <f>'ICICI PRUDENTIAL MULTICAP FUND'!B836</f>
        <v>456.98</v>
      </c>
      <c r="C836" s="10">
        <f t="shared" si="52"/>
        <v>-3.7280080228476301E-3</v>
      </c>
      <c r="D836" s="9">
        <f>'QUANT ACTIVE FUND'!B836</f>
        <v>416.952</v>
      </c>
      <c r="E836" s="10">
        <f t="shared" si="53"/>
        <v>4.6789855959226403E-4</v>
      </c>
      <c r="F836" s="9">
        <f>'NIPPON INDIA '!B836</f>
        <v>162.83500000000001</v>
      </c>
      <c r="G836" s="10">
        <f t="shared" si="54"/>
        <v>-6.0248318296687552E-3</v>
      </c>
      <c r="H836" s="9">
        <f>'NIFTY500 TRI'!B836</f>
        <v>22652.74</v>
      </c>
      <c r="I836" s="10">
        <f t="shared" si="55"/>
        <v>-5.2930451827754828E-3</v>
      </c>
    </row>
    <row r="837" spans="1:9" ht="14.25" customHeight="1" x14ac:dyDescent="0.3">
      <c r="A837" s="8">
        <f>'ICICI PRUDENTIAL MULTICAP FUND'!A837</f>
        <v>44986</v>
      </c>
      <c r="B837" s="9">
        <f>'ICICI PRUDENTIAL MULTICAP FUND'!B837</f>
        <v>458.69</v>
      </c>
      <c r="C837" s="10">
        <f t="shared" si="52"/>
        <v>8.2206835916034931E-3</v>
      </c>
      <c r="D837" s="9">
        <f>'QUANT ACTIVE FUND'!B837</f>
        <v>416.75700000000001</v>
      </c>
      <c r="E837" s="10">
        <f t="shared" si="53"/>
        <v>1.2617721666618032E-2</v>
      </c>
      <c r="F837" s="9">
        <f>'NIPPON INDIA '!B837</f>
        <v>163.822</v>
      </c>
      <c r="G837" s="10">
        <f t="shared" si="54"/>
        <v>1.1196977927015905E-2</v>
      </c>
      <c r="H837" s="9">
        <f>'NIFTY500 TRI'!B837</f>
        <v>22773.279999999999</v>
      </c>
      <c r="I837" s="10">
        <f t="shared" si="55"/>
        <v>1.0065043787575386E-2</v>
      </c>
    </row>
    <row r="838" spans="1:9" ht="14.25" customHeight="1" x14ac:dyDescent="0.3">
      <c r="A838" s="8">
        <f>'ICICI PRUDENTIAL MULTICAP FUND'!A838</f>
        <v>44985</v>
      </c>
      <c r="B838" s="9">
        <f>'ICICI PRUDENTIAL MULTICAP FUND'!B838</f>
        <v>454.95</v>
      </c>
      <c r="C838" s="10">
        <f t="shared" si="52"/>
        <v>-2.1975607076150474E-4</v>
      </c>
      <c r="D838" s="9">
        <f>'QUANT ACTIVE FUND'!B838</f>
        <v>411.56400000000002</v>
      </c>
      <c r="E838" s="10">
        <f t="shared" si="53"/>
        <v>-6.3133765880568128E-4</v>
      </c>
      <c r="F838" s="9">
        <f>'NIPPON INDIA '!B838</f>
        <v>162.00800000000001</v>
      </c>
      <c r="G838" s="10">
        <f t="shared" si="54"/>
        <v>-9.8663114794531959E-4</v>
      </c>
      <c r="H838" s="9">
        <f>'NIFTY500 TRI'!B838</f>
        <v>22546.35</v>
      </c>
      <c r="I838" s="10">
        <f t="shared" si="55"/>
        <v>-2.0599400961984443E-3</v>
      </c>
    </row>
    <row r="839" spans="1:9" ht="14.25" customHeight="1" x14ac:dyDescent="0.3">
      <c r="A839" s="8">
        <f>'ICICI PRUDENTIAL MULTICAP FUND'!A839</f>
        <v>44984</v>
      </c>
      <c r="B839" s="9">
        <f>'ICICI PRUDENTIAL MULTICAP FUND'!B839</f>
        <v>455.05</v>
      </c>
      <c r="C839" s="10">
        <f t="shared" si="52"/>
        <v>-5.659470326020398E-3</v>
      </c>
      <c r="D839" s="9">
        <f>'QUANT ACTIVE FUND'!B839</f>
        <v>411.82400000000001</v>
      </c>
      <c r="E839" s="10">
        <f t="shared" si="53"/>
        <v>-4.457681038900747E-3</v>
      </c>
      <c r="F839" s="9">
        <f>'NIPPON INDIA '!B839</f>
        <v>162.16800000000001</v>
      </c>
      <c r="G839" s="10">
        <f t="shared" si="54"/>
        <v>-7.1083518542328751E-3</v>
      </c>
      <c r="H839" s="9">
        <f>'NIFTY500 TRI'!B839</f>
        <v>22592.89</v>
      </c>
      <c r="I839" s="10">
        <f t="shared" si="55"/>
        <v>-5.5876273776576208E-3</v>
      </c>
    </row>
    <row r="840" spans="1:9" ht="14.25" customHeight="1" x14ac:dyDescent="0.3">
      <c r="A840" s="8">
        <f>'ICICI PRUDENTIAL MULTICAP FUND'!A840</f>
        <v>44981</v>
      </c>
      <c r="B840" s="9">
        <f>'ICICI PRUDENTIAL MULTICAP FUND'!B840</f>
        <v>457.64</v>
      </c>
      <c r="C840" s="10">
        <f t="shared" si="52"/>
        <v>-3.1584220958853137E-3</v>
      </c>
      <c r="D840" s="9">
        <f>'QUANT ACTIVE FUND'!B840</f>
        <v>413.66800000000001</v>
      </c>
      <c r="E840" s="10">
        <f t="shared" si="53"/>
        <v>-9.5532708579747286E-3</v>
      </c>
      <c r="F840" s="9">
        <f>'NIPPON INDIA '!B840</f>
        <v>163.32900000000001</v>
      </c>
      <c r="G840" s="10">
        <f t="shared" si="54"/>
        <v>1.3471559700453613E-4</v>
      </c>
      <c r="H840" s="9">
        <f>'NIFTY500 TRI'!B840</f>
        <v>22719.84</v>
      </c>
      <c r="I840" s="10">
        <f t="shared" si="55"/>
        <v>-2.4574318103286409E-3</v>
      </c>
    </row>
    <row r="841" spans="1:9" ht="14.25" customHeight="1" x14ac:dyDescent="0.3">
      <c r="A841" s="8">
        <f>'ICICI PRUDENTIAL MULTICAP FUND'!A841</f>
        <v>44980</v>
      </c>
      <c r="B841" s="9">
        <f>'ICICI PRUDENTIAL MULTICAP FUND'!B841</f>
        <v>459.09</v>
      </c>
      <c r="C841" s="10">
        <f t="shared" si="52"/>
        <v>-7.1829698315275983E-4</v>
      </c>
      <c r="D841" s="9">
        <f>'QUANT ACTIVE FUND'!B841</f>
        <v>417.65800000000002</v>
      </c>
      <c r="E841" s="10">
        <f t="shared" si="53"/>
        <v>-5.5454097388728876E-3</v>
      </c>
      <c r="F841" s="9">
        <f>'NIPPON INDIA '!B841</f>
        <v>163.30699999999999</v>
      </c>
      <c r="G841" s="10">
        <f t="shared" si="54"/>
        <v>2.1478058628963122E-3</v>
      </c>
      <c r="H841" s="9">
        <f>'NIFTY500 TRI'!B841</f>
        <v>22775.81</v>
      </c>
      <c r="I841" s="10">
        <f t="shared" si="55"/>
        <v>-2.388925268337859E-3</v>
      </c>
    </row>
    <row r="842" spans="1:9" ht="14.25" customHeight="1" x14ac:dyDescent="0.3">
      <c r="A842" s="8">
        <f>'ICICI PRUDENTIAL MULTICAP FUND'!A842</f>
        <v>44979</v>
      </c>
      <c r="B842" s="9">
        <f>'ICICI PRUDENTIAL MULTICAP FUND'!B842</f>
        <v>459.42</v>
      </c>
      <c r="C842" s="10">
        <f t="shared" si="52"/>
        <v>-8.6742620403935395E-3</v>
      </c>
      <c r="D842" s="9">
        <f>'QUANT ACTIVE FUND'!B842</f>
        <v>419.98700000000002</v>
      </c>
      <c r="E842" s="10">
        <f t="shared" si="53"/>
        <v>-7.3317907107014729E-3</v>
      </c>
      <c r="F842" s="9">
        <f>'NIPPON INDIA '!B842</f>
        <v>162.95699999999999</v>
      </c>
      <c r="G842" s="10">
        <f t="shared" si="54"/>
        <v>-1.1944678554754522E-2</v>
      </c>
      <c r="H842" s="9">
        <f>'NIFTY500 TRI'!B842</f>
        <v>22830.35</v>
      </c>
      <c r="I842" s="10">
        <f t="shared" si="55"/>
        <v>-1.4189324563797364E-2</v>
      </c>
    </row>
    <row r="843" spans="1:9" ht="14.25" customHeight="1" x14ac:dyDescent="0.3">
      <c r="A843" s="8">
        <f>'ICICI PRUDENTIAL MULTICAP FUND'!A843</f>
        <v>44978</v>
      </c>
      <c r="B843" s="9">
        <f>'ICICI PRUDENTIAL MULTICAP FUND'!B843</f>
        <v>463.44</v>
      </c>
      <c r="C843" s="10">
        <f t="shared" si="52"/>
        <v>-1.3360341335172275E-3</v>
      </c>
      <c r="D843" s="9">
        <f>'QUANT ACTIVE FUND'!B843</f>
        <v>423.089</v>
      </c>
      <c r="E843" s="10">
        <f t="shared" si="53"/>
        <v>-8.5016141259045041E-4</v>
      </c>
      <c r="F843" s="9">
        <f>'NIPPON INDIA '!B843</f>
        <v>164.92699999999999</v>
      </c>
      <c r="G843" s="10">
        <f t="shared" si="54"/>
        <v>-2.3349645823377211E-3</v>
      </c>
      <c r="H843" s="9">
        <f>'NIFTY500 TRI'!B843</f>
        <v>23158.959999999999</v>
      </c>
      <c r="I843" s="10">
        <f t="shared" si="55"/>
        <v>-1.6398672242100647E-3</v>
      </c>
    </row>
    <row r="844" spans="1:9" ht="14.25" customHeight="1" x14ac:dyDescent="0.3">
      <c r="A844" s="8">
        <f>'ICICI PRUDENTIAL MULTICAP FUND'!A844</f>
        <v>44977</v>
      </c>
      <c r="B844" s="9">
        <f>'ICICI PRUDENTIAL MULTICAP FUND'!B844</f>
        <v>464.06</v>
      </c>
      <c r="C844" s="10">
        <f t="shared" si="52"/>
        <v>-1.8497806074163591E-3</v>
      </c>
      <c r="D844" s="9">
        <f>'QUANT ACTIVE FUND'!B844</f>
        <v>423.44900000000001</v>
      </c>
      <c r="E844" s="10">
        <f t="shared" si="53"/>
        <v>-1.5185348496674206E-3</v>
      </c>
      <c r="F844" s="9">
        <f>'NIPPON INDIA '!B844</f>
        <v>165.31299999999999</v>
      </c>
      <c r="G844" s="10">
        <f t="shared" si="54"/>
        <v>-1.8174791986185718E-3</v>
      </c>
      <c r="H844" s="9">
        <f>'NIFTY500 TRI'!B844</f>
        <v>23197</v>
      </c>
      <c r="I844" s="10">
        <f t="shared" si="55"/>
        <v>-4.3458199650188321E-3</v>
      </c>
    </row>
    <row r="845" spans="1:9" ht="14.25" customHeight="1" x14ac:dyDescent="0.3">
      <c r="A845" s="8">
        <f>'ICICI PRUDENTIAL MULTICAP FUND'!A845</f>
        <v>44974</v>
      </c>
      <c r="B845" s="9">
        <f>'ICICI PRUDENTIAL MULTICAP FUND'!B845</f>
        <v>464.92</v>
      </c>
      <c r="C845" s="10">
        <f t="shared" si="52"/>
        <v>-3.6005143591941852E-3</v>
      </c>
      <c r="D845" s="9">
        <f>'QUANT ACTIVE FUND'!B845</f>
        <v>424.09300000000002</v>
      </c>
      <c r="E845" s="10">
        <f t="shared" si="53"/>
        <v>-6.6381371990996193E-3</v>
      </c>
      <c r="F845" s="9">
        <f>'NIPPON INDIA '!B845</f>
        <v>165.614</v>
      </c>
      <c r="G845" s="10">
        <f t="shared" si="54"/>
        <v>-5.3213213213212955E-3</v>
      </c>
      <c r="H845" s="9">
        <f>'NIFTY500 TRI'!B845</f>
        <v>23298.25</v>
      </c>
      <c r="I845" s="10">
        <f t="shared" si="55"/>
        <v>-5.2384746299678278E-3</v>
      </c>
    </row>
    <row r="846" spans="1:9" ht="14.25" customHeight="1" x14ac:dyDescent="0.3">
      <c r="A846" s="8">
        <f>'ICICI PRUDENTIAL MULTICAP FUND'!A846</f>
        <v>44973</v>
      </c>
      <c r="B846" s="9">
        <f>'ICICI PRUDENTIAL MULTICAP FUND'!B846</f>
        <v>466.6</v>
      </c>
      <c r="C846" s="10">
        <f t="shared" si="52"/>
        <v>3.5487686848048911E-3</v>
      </c>
      <c r="D846" s="9">
        <f>'QUANT ACTIVE FUND'!B846</f>
        <v>426.92700000000002</v>
      </c>
      <c r="E846" s="10">
        <f t="shared" si="53"/>
        <v>4.9408231095879902E-3</v>
      </c>
      <c r="F846" s="9">
        <f>'NIPPON INDIA '!B846</f>
        <v>166.5</v>
      </c>
      <c r="G846" s="10">
        <f t="shared" si="54"/>
        <v>6.4740764920298011E-3</v>
      </c>
      <c r="H846" s="9">
        <f>'NIFTY500 TRI'!B846</f>
        <v>23420.94</v>
      </c>
      <c r="I846" s="10">
        <f t="shared" si="55"/>
        <v>2.9414724491215491E-3</v>
      </c>
    </row>
    <row r="847" spans="1:9" ht="14.25" customHeight="1" x14ac:dyDescent="0.3">
      <c r="A847" s="8">
        <f>'ICICI PRUDENTIAL MULTICAP FUND'!A847</f>
        <v>44972</v>
      </c>
      <c r="B847" s="9">
        <f>'ICICI PRUDENTIAL MULTICAP FUND'!B847</f>
        <v>464.95</v>
      </c>
      <c r="C847" s="10">
        <f t="shared" si="52"/>
        <v>3.7997366091668447E-3</v>
      </c>
      <c r="D847" s="9">
        <f>'QUANT ACTIVE FUND'!B847</f>
        <v>424.82799999999997</v>
      </c>
      <c r="E847" s="10">
        <f t="shared" si="53"/>
        <v>5.1246622596779383E-3</v>
      </c>
      <c r="F847" s="9">
        <f>'NIPPON INDIA '!B847</f>
        <v>165.429</v>
      </c>
      <c r="G847" s="10">
        <f t="shared" si="54"/>
        <v>5.464049109584884E-3</v>
      </c>
      <c r="H847" s="9">
        <f>'NIFTY500 TRI'!B847</f>
        <v>23352.25</v>
      </c>
      <c r="I847" s="10">
        <f t="shared" si="55"/>
        <v>5.1868671107428415E-3</v>
      </c>
    </row>
    <row r="848" spans="1:9" ht="14.25" customHeight="1" x14ac:dyDescent="0.3">
      <c r="A848" s="8">
        <f>'ICICI PRUDENTIAL MULTICAP FUND'!A848</f>
        <v>44971</v>
      </c>
      <c r="B848" s="9">
        <f>'ICICI PRUDENTIAL MULTICAP FUND'!B848</f>
        <v>463.19</v>
      </c>
      <c r="C848" s="10">
        <f t="shared" si="52"/>
        <v>2.5323579065841652E-3</v>
      </c>
      <c r="D848" s="9">
        <f>'QUANT ACTIVE FUND'!B848</f>
        <v>422.66199999999998</v>
      </c>
      <c r="E848" s="10">
        <f t="shared" si="53"/>
        <v>4.2005825694829864E-3</v>
      </c>
      <c r="F848" s="9">
        <f>'NIPPON INDIA '!B848</f>
        <v>164.53</v>
      </c>
      <c r="G848" s="10">
        <f t="shared" si="54"/>
        <v>2.2477933248457294E-3</v>
      </c>
      <c r="H848" s="9">
        <f>'NIFTY500 TRI'!B848</f>
        <v>23231.75</v>
      </c>
      <c r="I848" s="10">
        <f t="shared" si="55"/>
        <v>4.5984049580093996E-3</v>
      </c>
    </row>
    <row r="849" spans="1:9" ht="14.25" customHeight="1" x14ac:dyDescent="0.3">
      <c r="A849" s="8">
        <f>'ICICI PRUDENTIAL MULTICAP FUND'!A849</f>
        <v>44970</v>
      </c>
      <c r="B849" s="9">
        <f>'ICICI PRUDENTIAL MULTICAP FUND'!B849</f>
        <v>462.02</v>
      </c>
      <c r="C849" s="10">
        <f t="shared" si="52"/>
        <v>-8.3705357142857869E-3</v>
      </c>
      <c r="D849" s="9">
        <f>'QUANT ACTIVE FUND'!B849</f>
        <v>420.89400000000001</v>
      </c>
      <c r="E849" s="10">
        <f t="shared" si="53"/>
        <v>-7.3488832810546583E-3</v>
      </c>
      <c r="F849" s="9">
        <f>'NIPPON INDIA '!B849</f>
        <v>164.161</v>
      </c>
      <c r="G849" s="10">
        <f t="shared" si="54"/>
        <v>-1.179862871039789E-2</v>
      </c>
      <c r="H849" s="9">
        <f>'NIFTY500 TRI'!B849</f>
        <v>23125.41</v>
      </c>
      <c r="I849" s="10">
        <f t="shared" si="55"/>
        <v>-7.6686010885628434E-3</v>
      </c>
    </row>
    <row r="850" spans="1:9" ht="14.25" customHeight="1" x14ac:dyDescent="0.3">
      <c r="A850" s="8">
        <f>'ICICI PRUDENTIAL MULTICAP FUND'!A850</f>
        <v>44967</v>
      </c>
      <c r="B850" s="9">
        <f>'ICICI PRUDENTIAL MULTICAP FUND'!B850</f>
        <v>465.92</v>
      </c>
      <c r="C850" s="10">
        <f t="shared" si="52"/>
        <v>2.6900811328469665E-3</v>
      </c>
      <c r="D850" s="9">
        <f>'QUANT ACTIVE FUND'!B850</f>
        <v>424.01</v>
      </c>
      <c r="E850" s="10">
        <f t="shared" si="53"/>
        <v>4.2585241537426736E-3</v>
      </c>
      <c r="F850" s="9">
        <f>'NIPPON INDIA '!B850</f>
        <v>166.12100000000001</v>
      </c>
      <c r="G850" s="10">
        <f t="shared" si="54"/>
        <v>2.0085892826983763E-3</v>
      </c>
      <c r="H850" s="9">
        <f>'NIFTY500 TRI'!B850</f>
        <v>23304.12</v>
      </c>
      <c r="I850" s="10">
        <f t="shared" si="55"/>
        <v>-9.1316683686721504E-4</v>
      </c>
    </row>
    <row r="851" spans="1:9" ht="14.25" customHeight="1" x14ac:dyDescent="0.3">
      <c r="A851" s="8">
        <f>'ICICI PRUDENTIAL MULTICAP FUND'!A851</f>
        <v>44966</v>
      </c>
      <c r="B851" s="9">
        <f>'ICICI PRUDENTIAL MULTICAP FUND'!B851</f>
        <v>464.67</v>
      </c>
      <c r="C851" s="10">
        <f t="shared" si="52"/>
        <v>2.0702594293848233E-3</v>
      </c>
      <c r="D851" s="9">
        <f>'QUANT ACTIVE FUND'!B851</f>
        <v>422.21199999999999</v>
      </c>
      <c r="E851" s="10">
        <f t="shared" si="53"/>
        <v>-2.6046476385320597E-4</v>
      </c>
      <c r="F851" s="9">
        <f>'NIPPON INDIA '!B851</f>
        <v>165.78800000000001</v>
      </c>
      <c r="G851" s="10">
        <f t="shared" si="54"/>
        <v>4.2523290890808313E-3</v>
      </c>
      <c r="H851" s="9">
        <f>'NIFTY500 TRI'!B851</f>
        <v>23325.42</v>
      </c>
      <c r="I851" s="10">
        <f t="shared" si="55"/>
        <v>1.1919748364674137E-4</v>
      </c>
    </row>
    <row r="852" spans="1:9" ht="14.25" customHeight="1" x14ac:dyDescent="0.3">
      <c r="A852" s="8">
        <f>'ICICI PRUDENTIAL MULTICAP FUND'!A852</f>
        <v>44965</v>
      </c>
      <c r="B852" s="9">
        <f>'ICICI PRUDENTIAL MULTICAP FUND'!B852</f>
        <v>463.71</v>
      </c>
      <c r="C852" s="10">
        <f t="shared" si="52"/>
        <v>5.922165820642894E-3</v>
      </c>
      <c r="D852" s="9">
        <f>'QUANT ACTIVE FUND'!B852</f>
        <v>422.322</v>
      </c>
      <c r="E852" s="10">
        <f t="shared" si="53"/>
        <v>4.9877922832000012E-3</v>
      </c>
      <c r="F852" s="9">
        <f>'NIPPON INDIA '!B852</f>
        <v>165.08600000000001</v>
      </c>
      <c r="G852" s="10">
        <f t="shared" si="54"/>
        <v>8.5776078004913478E-3</v>
      </c>
      <c r="H852" s="9">
        <f>'NIFTY500 TRI'!B852</f>
        <v>23322.639999999999</v>
      </c>
      <c r="I852" s="10">
        <f t="shared" si="55"/>
        <v>8.5457223388346899E-3</v>
      </c>
    </row>
    <row r="853" spans="1:9" ht="14.25" customHeight="1" x14ac:dyDescent="0.3">
      <c r="A853" s="8">
        <f>'ICICI PRUDENTIAL MULTICAP FUND'!A853</f>
        <v>44964</v>
      </c>
      <c r="B853" s="9">
        <f>'ICICI PRUDENTIAL MULTICAP FUND'!B853</f>
        <v>460.98</v>
      </c>
      <c r="C853" s="10">
        <f t="shared" si="52"/>
        <v>-1.7324266966952976E-3</v>
      </c>
      <c r="D853" s="9">
        <f>'QUANT ACTIVE FUND'!B853</f>
        <v>420.226</v>
      </c>
      <c r="E853" s="10">
        <f t="shared" si="53"/>
        <v>-2.7812187053569914E-3</v>
      </c>
      <c r="F853" s="9">
        <f>'NIPPON INDIA '!B853</f>
        <v>163.68199999999999</v>
      </c>
      <c r="G853" s="10">
        <f t="shared" si="54"/>
        <v>8.0097339667749041E-4</v>
      </c>
      <c r="H853" s="9">
        <f>'NIFTY500 TRI'!B853</f>
        <v>23125.02</v>
      </c>
      <c r="I853" s="10">
        <f t="shared" si="55"/>
        <v>-2.1174509980758558E-3</v>
      </c>
    </row>
    <row r="854" spans="1:9" ht="14.25" customHeight="1" x14ac:dyDescent="0.3">
      <c r="A854" s="8">
        <f>'ICICI PRUDENTIAL MULTICAP FUND'!A854</f>
        <v>44963</v>
      </c>
      <c r="B854" s="9">
        <f>'ICICI PRUDENTIAL MULTICAP FUND'!B854</f>
        <v>461.78</v>
      </c>
      <c r="C854" s="10">
        <f t="shared" si="52"/>
        <v>4.4372906425370071E-3</v>
      </c>
      <c r="D854" s="9">
        <f>'QUANT ACTIVE FUND'!B854</f>
        <v>421.39800000000002</v>
      </c>
      <c r="E854" s="10">
        <f t="shared" si="53"/>
        <v>1.9115821909015118E-3</v>
      </c>
      <c r="F854" s="9">
        <f>'NIPPON INDIA '!B854</f>
        <v>163.55099999999999</v>
      </c>
      <c r="G854" s="10">
        <f t="shared" si="54"/>
        <v>1.7333463997843241E-3</v>
      </c>
      <c r="H854" s="9">
        <f>'NIFTY500 TRI'!B854</f>
        <v>23174.09</v>
      </c>
      <c r="I854" s="10">
        <f t="shared" si="55"/>
        <v>-1.8731495702825874E-3</v>
      </c>
    </row>
    <row r="855" spans="1:9" ht="14.25" customHeight="1" x14ac:dyDescent="0.3">
      <c r="A855" s="8">
        <f>'ICICI PRUDENTIAL MULTICAP FUND'!A855</f>
        <v>44960</v>
      </c>
      <c r="B855" s="9">
        <f>'ICICI PRUDENTIAL MULTICAP FUND'!B855</f>
        <v>459.74</v>
      </c>
      <c r="C855" s="10">
        <f t="shared" si="52"/>
        <v>4.4351226759302385E-3</v>
      </c>
      <c r="D855" s="9">
        <f>'QUANT ACTIVE FUND'!B855</f>
        <v>420.59399999999999</v>
      </c>
      <c r="E855" s="10">
        <f t="shared" si="53"/>
        <v>2.4549294029039019E-3</v>
      </c>
      <c r="F855" s="9">
        <f>'NIPPON INDIA '!B855</f>
        <v>163.268</v>
      </c>
      <c r="G855" s="10">
        <f t="shared" si="54"/>
        <v>3.4232473526681533E-3</v>
      </c>
      <c r="H855" s="9">
        <f>'NIFTY500 TRI'!B855</f>
        <v>23217.58</v>
      </c>
      <c r="I855" s="10">
        <f t="shared" si="55"/>
        <v>8.3096502077629752E-3</v>
      </c>
    </row>
    <row r="856" spans="1:9" ht="14.25" customHeight="1" x14ac:dyDescent="0.3">
      <c r="A856" s="8">
        <f>'ICICI PRUDENTIAL MULTICAP FUND'!A856</f>
        <v>44959</v>
      </c>
      <c r="B856" s="9">
        <f>'ICICI PRUDENTIAL MULTICAP FUND'!B856</f>
        <v>457.71</v>
      </c>
      <c r="C856" s="10">
        <f t="shared" si="52"/>
        <v>1.8385974128307286E-3</v>
      </c>
      <c r="D856" s="9">
        <f>'QUANT ACTIVE FUND'!B856</f>
        <v>419.56400000000002</v>
      </c>
      <c r="E856" s="10">
        <f t="shared" si="53"/>
        <v>3.147113238856477E-4</v>
      </c>
      <c r="F856" s="9">
        <f>'NIPPON INDIA '!B856</f>
        <v>162.71100000000001</v>
      </c>
      <c r="G856" s="10">
        <f t="shared" si="54"/>
        <v>-1.0253072852071685E-3</v>
      </c>
      <c r="H856" s="9">
        <f>'NIFTY500 TRI'!B856</f>
        <v>23026.240000000002</v>
      </c>
      <c r="I856" s="10">
        <f t="shared" si="55"/>
        <v>-5.4516728301811171E-4</v>
      </c>
    </row>
    <row r="857" spans="1:9" ht="14.25" customHeight="1" x14ac:dyDescent="0.3">
      <c r="A857" s="8">
        <f>'ICICI PRUDENTIAL MULTICAP FUND'!A857</f>
        <v>44958</v>
      </c>
      <c r="B857" s="9">
        <f>'ICICI PRUDENTIAL MULTICAP FUND'!B857</f>
        <v>456.87</v>
      </c>
      <c r="C857" s="10">
        <f t="shared" si="52"/>
        <v>-4.0112489372369801E-3</v>
      </c>
      <c r="D857" s="9">
        <f>'QUANT ACTIVE FUND'!B857</f>
        <v>419.43200000000002</v>
      </c>
      <c r="E857" s="10">
        <f t="shared" si="53"/>
        <v>-3.141987539199792E-2</v>
      </c>
      <c r="F857" s="9">
        <f>'NIPPON INDIA '!B857</f>
        <v>162.87799999999999</v>
      </c>
      <c r="G857" s="10">
        <f t="shared" si="54"/>
        <v>-1.3427592169078678E-3</v>
      </c>
      <c r="H857" s="9">
        <f>'NIFTY500 TRI'!B857</f>
        <v>23038.799999999999</v>
      </c>
      <c r="I857" s="10">
        <f t="shared" si="55"/>
        <v>-5.8791674667368569E-3</v>
      </c>
    </row>
    <row r="858" spans="1:9" ht="14.25" customHeight="1" x14ac:dyDescent="0.3">
      <c r="A858" s="8">
        <f>'ICICI PRUDENTIAL MULTICAP FUND'!A858</f>
        <v>44957</v>
      </c>
      <c r="B858" s="9">
        <f>'ICICI PRUDENTIAL MULTICAP FUND'!B858</f>
        <v>458.71</v>
      </c>
      <c r="C858" s="10">
        <f t="shared" si="52"/>
        <v>9.1741100893209821E-3</v>
      </c>
      <c r="D858" s="9">
        <f>'QUANT ACTIVE FUND'!B858</f>
        <v>433.03800000000001</v>
      </c>
      <c r="E858" s="10">
        <f t="shared" si="53"/>
        <v>2.1438899490268871E-2</v>
      </c>
      <c r="F858" s="9">
        <f>'NIPPON INDIA '!B858</f>
        <v>163.09700000000001</v>
      </c>
      <c r="G858" s="10">
        <f t="shared" si="54"/>
        <v>1.3106648362911377E-2</v>
      </c>
      <c r="H858" s="9">
        <f>'NIFTY500 TRI'!B858</f>
        <v>23175.05</v>
      </c>
      <c r="I858" s="10">
        <f t="shared" si="55"/>
        <v>5.4997572488023365E-3</v>
      </c>
    </row>
    <row r="859" spans="1:9" ht="14.25" customHeight="1" x14ac:dyDescent="0.3">
      <c r="A859" s="8">
        <f>'ICICI PRUDENTIAL MULTICAP FUND'!A859</f>
        <v>44956</v>
      </c>
      <c r="B859" s="9">
        <f>'ICICI PRUDENTIAL MULTICAP FUND'!B859</f>
        <v>454.54</v>
      </c>
      <c r="C859" s="10">
        <f t="shared" si="52"/>
        <v>7.2653618370366335E-4</v>
      </c>
      <c r="D859" s="9">
        <f>'QUANT ACTIVE FUND'!B859</f>
        <v>423.94900000000001</v>
      </c>
      <c r="E859" s="10">
        <f t="shared" si="53"/>
        <v>-1.8928647943627795E-3</v>
      </c>
      <c r="F859" s="9">
        <f>'NIPPON INDIA '!B859</f>
        <v>160.98699999999999</v>
      </c>
      <c r="G859" s="10">
        <f t="shared" si="54"/>
        <v>-6.9522467551005765E-4</v>
      </c>
      <c r="H859" s="9">
        <f>'NIFTY500 TRI'!B859</f>
        <v>23048.29</v>
      </c>
      <c r="I859" s="10">
        <f t="shared" si="55"/>
        <v>-1.3773782413232913E-3</v>
      </c>
    </row>
    <row r="860" spans="1:9" ht="14.25" customHeight="1" x14ac:dyDescent="0.3">
      <c r="A860" s="8">
        <f>'ICICI PRUDENTIAL MULTICAP FUND'!A860</f>
        <v>44953</v>
      </c>
      <c r="B860" s="9">
        <f>'ICICI PRUDENTIAL MULTICAP FUND'!B860</f>
        <v>454.21</v>
      </c>
      <c r="C860" s="10">
        <f t="shared" si="52"/>
        <v>-1.1856589653222045E-2</v>
      </c>
      <c r="D860" s="9">
        <f>'QUANT ACTIVE FUND'!B860</f>
        <v>424.75299999999999</v>
      </c>
      <c r="E860" s="10">
        <f t="shared" si="53"/>
        <v>-3.9405034635451489E-2</v>
      </c>
      <c r="F860" s="9">
        <f>'NIPPON INDIA '!B860</f>
        <v>161.09899999999999</v>
      </c>
      <c r="G860" s="10">
        <f t="shared" si="54"/>
        <v>-1.7371467608434513E-2</v>
      </c>
      <c r="H860" s="9">
        <f>'NIFTY500 TRI'!B860</f>
        <v>23080.080000000002</v>
      </c>
      <c r="I860" s="10">
        <f t="shared" si="55"/>
        <v>-1.9586120649959394E-2</v>
      </c>
    </row>
    <row r="861" spans="1:9" ht="14.25" customHeight="1" x14ac:dyDescent="0.3">
      <c r="A861" s="8">
        <f>'ICICI PRUDENTIAL MULTICAP FUND'!A861</f>
        <v>44951</v>
      </c>
      <c r="B861" s="9">
        <f>'ICICI PRUDENTIAL MULTICAP FUND'!B861</f>
        <v>459.66</v>
      </c>
      <c r="C861" s="10">
        <f t="shared" si="52"/>
        <v>-9.2039747375681283E-3</v>
      </c>
      <c r="D861" s="9">
        <f>'QUANT ACTIVE FUND'!B861</f>
        <v>442.17700000000002</v>
      </c>
      <c r="E861" s="10">
        <f t="shared" si="53"/>
        <v>-2.1223423682666796E-2</v>
      </c>
      <c r="F861" s="9">
        <f>'NIPPON INDIA '!B861</f>
        <v>163.947</v>
      </c>
      <c r="G861" s="10">
        <f t="shared" si="54"/>
        <v>-1.1032960138982769E-2</v>
      </c>
      <c r="H861" s="9">
        <f>'NIFTY500 TRI'!B861</f>
        <v>23541.16</v>
      </c>
      <c r="I861" s="10">
        <f t="shared" si="55"/>
        <v>-1.4051379045477885E-2</v>
      </c>
    </row>
    <row r="862" spans="1:9" ht="14.25" customHeight="1" x14ac:dyDescent="0.3">
      <c r="A862" s="8">
        <f>'ICICI PRUDENTIAL MULTICAP FUND'!A862</f>
        <v>44950</v>
      </c>
      <c r="B862" s="9">
        <f>'ICICI PRUDENTIAL MULTICAP FUND'!B862</f>
        <v>463.93</v>
      </c>
      <c r="C862" s="10">
        <f t="shared" si="52"/>
        <v>-1.7643894566971344E-3</v>
      </c>
      <c r="D862" s="9">
        <f>'QUANT ACTIVE FUND'!B862</f>
        <v>451.76499999999999</v>
      </c>
      <c r="E862" s="10">
        <f t="shared" si="53"/>
        <v>-8.4131185826101674E-3</v>
      </c>
      <c r="F862" s="9">
        <f>'NIPPON INDIA '!B862</f>
        <v>165.77600000000001</v>
      </c>
      <c r="G862" s="10">
        <f t="shared" si="54"/>
        <v>-1.7102252198000229E-3</v>
      </c>
      <c r="H862" s="9">
        <f>'NIFTY500 TRI'!B862</f>
        <v>23876.66</v>
      </c>
      <c r="I862" s="10">
        <f t="shared" si="55"/>
        <v>-9.3518518131079683E-4</v>
      </c>
    </row>
    <row r="863" spans="1:9" ht="14.25" customHeight="1" x14ac:dyDescent="0.3">
      <c r="A863" s="8">
        <f>'ICICI PRUDENTIAL MULTICAP FUND'!A863</f>
        <v>44949</v>
      </c>
      <c r="B863" s="9">
        <f>'ICICI PRUDENTIAL MULTICAP FUND'!B863</f>
        <v>464.75</v>
      </c>
      <c r="C863" s="10">
        <f t="shared" si="52"/>
        <v>1.9834853286764889E-3</v>
      </c>
      <c r="D863" s="9">
        <f>'QUANT ACTIVE FUND'!B863</f>
        <v>455.59800000000001</v>
      </c>
      <c r="E863" s="10">
        <f t="shared" si="53"/>
        <v>-1.0086436374320362E-3</v>
      </c>
      <c r="F863" s="9">
        <f>'NIPPON INDIA '!B863</f>
        <v>166.06</v>
      </c>
      <c r="G863" s="10">
        <f t="shared" si="54"/>
        <v>2.3782791882462633E-3</v>
      </c>
      <c r="H863" s="9">
        <f>'NIFTY500 TRI'!B863</f>
        <v>23899.01</v>
      </c>
      <c r="I863" s="10">
        <f t="shared" si="55"/>
        <v>3.6038850737763277E-3</v>
      </c>
    </row>
    <row r="864" spans="1:9" ht="14.25" customHeight="1" x14ac:dyDescent="0.3">
      <c r="A864" s="8">
        <f>'ICICI PRUDENTIAL MULTICAP FUND'!A864</f>
        <v>44946</v>
      </c>
      <c r="B864" s="9">
        <f>'ICICI PRUDENTIAL MULTICAP FUND'!B864</f>
        <v>463.83</v>
      </c>
      <c r="C864" s="10">
        <f t="shared" si="52"/>
        <v>-4.5712078289981877E-3</v>
      </c>
      <c r="D864" s="9">
        <f>'QUANT ACTIVE FUND'!B864</f>
        <v>456.05799999999999</v>
      </c>
      <c r="E864" s="10">
        <f t="shared" si="53"/>
        <v>-1.60248691959112E-3</v>
      </c>
      <c r="F864" s="9">
        <f>'NIPPON INDIA '!B864</f>
        <v>165.666</v>
      </c>
      <c r="G864" s="10">
        <f t="shared" si="54"/>
        <v>-4.452937676900694E-3</v>
      </c>
      <c r="H864" s="9">
        <f>'NIFTY500 TRI'!B864</f>
        <v>23813.19</v>
      </c>
      <c r="I864" s="10">
        <f t="shared" si="55"/>
        <v>-4.657129207121951E-3</v>
      </c>
    </row>
    <row r="865" spans="1:9" ht="14.25" customHeight="1" x14ac:dyDescent="0.3">
      <c r="A865" s="8">
        <f>'ICICI PRUDENTIAL MULTICAP FUND'!A865</f>
        <v>44945</v>
      </c>
      <c r="B865" s="9">
        <f>'ICICI PRUDENTIAL MULTICAP FUND'!B865</f>
        <v>465.96</v>
      </c>
      <c r="C865" s="10">
        <f t="shared" si="52"/>
        <v>-2.1415110501970193E-3</v>
      </c>
      <c r="D865" s="9">
        <f>'QUANT ACTIVE FUND'!B865</f>
        <v>456.79</v>
      </c>
      <c r="E865" s="10">
        <f t="shared" si="53"/>
        <v>-4.5220271757488335E-3</v>
      </c>
      <c r="F865" s="9">
        <f>'NIPPON INDIA '!B865</f>
        <v>166.40700000000001</v>
      </c>
      <c r="G865" s="10">
        <f t="shared" si="54"/>
        <v>-1.9971212666426677E-3</v>
      </c>
      <c r="H865" s="9">
        <f>'NIFTY500 TRI'!B865</f>
        <v>23924.61</v>
      </c>
      <c r="I865" s="10">
        <f t="shared" si="55"/>
        <v>-2.9297880258771247E-3</v>
      </c>
    </row>
    <row r="866" spans="1:9" ht="14.25" customHeight="1" x14ac:dyDescent="0.3">
      <c r="A866" s="8">
        <f>'ICICI PRUDENTIAL MULTICAP FUND'!A866</f>
        <v>44944</v>
      </c>
      <c r="B866" s="9">
        <f>'ICICI PRUDENTIAL MULTICAP FUND'!B866</f>
        <v>466.96</v>
      </c>
      <c r="C866" s="10">
        <f t="shared" si="52"/>
        <v>3.1579625770692611E-3</v>
      </c>
      <c r="D866" s="9">
        <f>'QUANT ACTIVE FUND'!B866</f>
        <v>458.86500000000001</v>
      </c>
      <c r="E866" s="10">
        <f t="shared" si="53"/>
        <v>2.5256221747879241E-3</v>
      </c>
      <c r="F866" s="9">
        <f>'NIPPON INDIA '!B866</f>
        <v>166.74</v>
      </c>
      <c r="G866" s="10">
        <f t="shared" si="54"/>
        <v>4.8755205476975214E-3</v>
      </c>
      <c r="H866" s="9">
        <f>'NIFTY500 TRI'!B866</f>
        <v>23994.91</v>
      </c>
      <c r="I866" s="10">
        <f t="shared" si="55"/>
        <v>4.5599952105815269E-3</v>
      </c>
    </row>
    <row r="867" spans="1:9" ht="14.25" customHeight="1" x14ac:dyDescent="0.3">
      <c r="A867" s="8">
        <f>'ICICI PRUDENTIAL MULTICAP FUND'!A867</f>
        <v>44943</v>
      </c>
      <c r="B867" s="9">
        <f>'ICICI PRUDENTIAL MULTICAP FUND'!B867</f>
        <v>465.49</v>
      </c>
      <c r="C867" s="10">
        <f t="shared" si="52"/>
        <v>4.2983945496354666E-4</v>
      </c>
      <c r="D867" s="9">
        <f>'QUANT ACTIVE FUND'!B867</f>
        <v>457.709</v>
      </c>
      <c r="E867" s="10">
        <f t="shared" si="53"/>
        <v>-1.2786523963822707E-3</v>
      </c>
      <c r="F867" s="9">
        <f>'NIPPON INDIA '!B867</f>
        <v>165.93100000000001</v>
      </c>
      <c r="G867" s="10">
        <f t="shared" si="54"/>
        <v>9.7726354143420143E-4</v>
      </c>
      <c r="H867" s="9">
        <f>'NIFTY500 TRI'!B867</f>
        <v>23885.99</v>
      </c>
      <c r="I867" s="10">
        <f t="shared" si="55"/>
        <v>3.2614621598986513E-3</v>
      </c>
    </row>
    <row r="868" spans="1:9" ht="14.25" customHeight="1" x14ac:dyDescent="0.3">
      <c r="A868" s="8">
        <f>'ICICI PRUDENTIAL MULTICAP FUND'!A868</f>
        <v>44942</v>
      </c>
      <c r="B868" s="9">
        <f>'ICICI PRUDENTIAL MULTICAP FUND'!B868</f>
        <v>465.29</v>
      </c>
      <c r="C868" s="10">
        <f t="shared" si="52"/>
        <v>-3.298845404108484E-3</v>
      </c>
      <c r="D868" s="9">
        <f>'QUANT ACTIVE FUND'!B868</f>
        <v>458.29500000000002</v>
      </c>
      <c r="E868" s="10">
        <f t="shared" si="53"/>
        <v>2.3862433399532991E-3</v>
      </c>
      <c r="F868" s="9">
        <f>'NIPPON INDIA '!B868</f>
        <v>165.76900000000001</v>
      </c>
      <c r="G868" s="10">
        <f t="shared" si="54"/>
        <v>-2.3471494171244793E-3</v>
      </c>
      <c r="H868" s="9">
        <f>'NIFTY500 TRI'!B868</f>
        <v>23808.34</v>
      </c>
      <c r="I868" s="10">
        <f t="shared" si="55"/>
        <v>0</v>
      </c>
    </row>
    <row r="869" spans="1:9" ht="14.25" customHeight="1" x14ac:dyDescent="0.3">
      <c r="A869" s="8">
        <f>'ICICI PRUDENTIAL MULTICAP FUND'!A869</f>
        <v>44939</v>
      </c>
      <c r="B869" s="9">
        <f>'ICICI PRUDENTIAL MULTICAP FUND'!B869</f>
        <v>466.83</v>
      </c>
      <c r="C869" s="10">
        <f t="shared" si="52"/>
        <v>2.0391517128874144E-3</v>
      </c>
      <c r="D869" s="9">
        <f>'QUANT ACTIVE FUND'!B869</f>
        <v>457.20400000000001</v>
      </c>
      <c r="E869" s="10">
        <f t="shared" si="53"/>
        <v>4.4245260221006831E-3</v>
      </c>
      <c r="F869" s="9">
        <f>'NIPPON INDIA '!B869</f>
        <v>166.15899999999999</v>
      </c>
      <c r="G869" s="10">
        <f t="shared" si="54"/>
        <v>2.5341048274696207E-3</v>
      </c>
      <c r="H869" s="9">
        <f>'NIFTY500 TRI'!B869</f>
        <v>23808.34</v>
      </c>
      <c r="I869" s="10">
        <f t="shared" si="55"/>
        <v>2.9238891559139292E-3</v>
      </c>
    </row>
    <row r="870" spans="1:9" ht="14.25" customHeight="1" x14ac:dyDescent="0.3">
      <c r="A870" s="8">
        <f>'ICICI PRUDENTIAL MULTICAP FUND'!A870</f>
        <v>44938</v>
      </c>
      <c r="B870" s="9">
        <f>'ICICI PRUDENTIAL MULTICAP FUND'!B870</f>
        <v>465.88</v>
      </c>
      <c r="C870" s="10">
        <f t="shared" si="52"/>
        <v>9.6684786111765164E-4</v>
      </c>
      <c r="D870" s="9">
        <f>'QUANT ACTIVE FUND'!B870</f>
        <v>455.19</v>
      </c>
      <c r="E870" s="10">
        <f t="shared" si="53"/>
        <v>-3.2081111561243721E-3</v>
      </c>
      <c r="F870" s="9">
        <f>'NIPPON INDIA '!B870</f>
        <v>165.739</v>
      </c>
      <c r="G870" s="10">
        <f t="shared" si="54"/>
        <v>-3.5585471477338388E-4</v>
      </c>
      <c r="H870" s="9">
        <f>'NIFTY500 TRI'!B870</f>
        <v>23738.93</v>
      </c>
      <c r="I870" s="10">
        <f t="shared" si="55"/>
        <v>0</v>
      </c>
    </row>
    <row r="871" spans="1:9" ht="14.25" customHeight="1" x14ac:dyDescent="0.3">
      <c r="A871" s="8">
        <f>'ICICI PRUDENTIAL MULTICAP FUND'!A871</f>
        <v>44937</v>
      </c>
      <c r="B871" s="9">
        <f>'ICICI PRUDENTIAL MULTICAP FUND'!B871</f>
        <v>465.43</v>
      </c>
      <c r="C871" s="10">
        <f t="shared" si="52"/>
        <v>2.1531770126822125E-3</v>
      </c>
      <c r="D871" s="9">
        <f>'QUANT ACTIVE FUND'!B871</f>
        <v>456.65499999999997</v>
      </c>
      <c r="E871" s="10">
        <f t="shared" si="53"/>
        <v>5.6529731790520398E-4</v>
      </c>
      <c r="F871" s="9">
        <f>'NIPPON INDIA '!B871</f>
        <v>165.798</v>
      </c>
      <c r="G871" s="10">
        <f t="shared" si="54"/>
        <v>1.1835605850170768E-3</v>
      </c>
      <c r="H871" s="9">
        <f>'NIFTY500 TRI'!B871</f>
        <v>23738.93</v>
      </c>
      <c r="I871" s="10">
        <f t="shared" si="55"/>
        <v>-1.5570355758655462E-3</v>
      </c>
    </row>
    <row r="872" spans="1:9" ht="14.25" customHeight="1" x14ac:dyDescent="0.3">
      <c r="A872" s="8">
        <f>'ICICI PRUDENTIAL MULTICAP FUND'!A872</f>
        <v>44936</v>
      </c>
      <c r="B872" s="9">
        <f>'ICICI PRUDENTIAL MULTICAP FUND'!B872</f>
        <v>464.43</v>
      </c>
      <c r="C872" s="10">
        <f t="shared" si="52"/>
        <v>-4.7146561515547403E-3</v>
      </c>
      <c r="D872" s="9">
        <f>'QUANT ACTIVE FUND'!B872</f>
        <v>456.39699999999999</v>
      </c>
      <c r="E872" s="10">
        <f t="shared" si="53"/>
        <v>-1.0173762925949126E-2</v>
      </c>
      <c r="F872" s="9">
        <f>'NIPPON INDIA '!B872</f>
        <v>165.602</v>
      </c>
      <c r="G872" s="10">
        <f t="shared" si="54"/>
        <v>-3.6400392281912904E-3</v>
      </c>
      <c r="H872" s="9">
        <f>'NIFTY500 TRI'!B872</f>
        <v>23775.95</v>
      </c>
      <c r="I872" s="10">
        <f t="shared" si="55"/>
        <v>3.4870573279483707E-3</v>
      </c>
    </row>
    <row r="873" spans="1:9" ht="14.25" customHeight="1" x14ac:dyDescent="0.3">
      <c r="A873" s="8">
        <f>'ICICI PRUDENTIAL MULTICAP FUND'!A873</f>
        <v>44935</v>
      </c>
      <c r="B873" s="9">
        <f>'ICICI PRUDENTIAL MULTICAP FUND'!B873</f>
        <v>466.63</v>
      </c>
      <c r="C873" s="10">
        <f t="shared" si="52"/>
        <v>7.0571477900552093E-3</v>
      </c>
      <c r="D873" s="9">
        <f>'QUANT ACTIVE FUND'!B873</f>
        <v>461.08800000000002</v>
      </c>
      <c r="E873" s="10">
        <f t="shared" si="53"/>
        <v>1.0289400340058603E-2</v>
      </c>
      <c r="F873" s="9">
        <f>'NIPPON INDIA '!B873</f>
        <v>166.20699999999999</v>
      </c>
      <c r="G873" s="10">
        <f t="shared" si="54"/>
        <v>9.8612258785786607E-3</v>
      </c>
      <c r="H873" s="9">
        <f>'NIFTY500 TRI'!B873</f>
        <v>23693.33</v>
      </c>
      <c r="I873" s="10">
        <f t="shared" si="55"/>
        <v>0</v>
      </c>
    </row>
    <row r="874" spans="1:9" ht="14.25" customHeight="1" x14ac:dyDescent="0.3">
      <c r="A874" s="8">
        <f>'ICICI PRUDENTIAL MULTICAP FUND'!A874</f>
        <v>44932</v>
      </c>
      <c r="B874" s="9">
        <f>'ICICI PRUDENTIAL MULTICAP FUND'!B874</f>
        <v>463.36</v>
      </c>
      <c r="C874" s="10">
        <f t="shared" si="52"/>
        <v>-6.6245042341086403E-3</v>
      </c>
      <c r="D874" s="9">
        <f>'QUANT ACTIVE FUND'!B874</f>
        <v>456.392</v>
      </c>
      <c r="E874" s="10">
        <f t="shared" si="53"/>
        <v>-6.7465810068510932E-3</v>
      </c>
      <c r="F874" s="9">
        <f>'NIPPON INDIA '!B874</f>
        <v>164.584</v>
      </c>
      <c r="G874" s="10">
        <f t="shared" si="54"/>
        <v>-5.2582590931618727E-3</v>
      </c>
      <c r="H874" s="9">
        <f>'NIFTY500 TRI'!B874</f>
        <v>23693.33</v>
      </c>
      <c r="I874" s="10">
        <f t="shared" si="55"/>
        <v>-7.4221319201524163E-3</v>
      </c>
    </row>
    <row r="875" spans="1:9" ht="14.25" customHeight="1" x14ac:dyDescent="0.3">
      <c r="A875" s="8">
        <f>'ICICI PRUDENTIAL MULTICAP FUND'!A875</f>
        <v>44931</v>
      </c>
      <c r="B875" s="9">
        <f>'ICICI PRUDENTIAL MULTICAP FUND'!B875</f>
        <v>466.45</v>
      </c>
      <c r="C875" s="10">
        <f t="shared" si="52"/>
        <v>8.5827700890457517E-4</v>
      </c>
      <c r="D875" s="9">
        <f>'QUANT ACTIVE FUND'!B875</f>
        <v>459.49200000000002</v>
      </c>
      <c r="E875" s="10">
        <f t="shared" si="53"/>
        <v>2.8963364726681397E-3</v>
      </c>
      <c r="F875" s="9">
        <f>'NIPPON INDIA '!B875</f>
        <v>165.45400000000001</v>
      </c>
      <c r="G875" s="10">
        <f t="shared" si="54"/>
        <v>-1.3942119081389055E-3</v>
      </c>
      <c r="H875" s="9">
        <f>'NIFTY500 TRI'!B875</f>
        <v>23870.5</v>
      </c>
      <c r="I875" s="10">
        <f t="shared" si="55"/>
        <v>-4.4470276100949126E-4</v>
      </c>
    </row>
    <row r="876" spans="1:9" ht="14.25" customHeight="1" x14ac:dyDescent="0.3">
      <c r="A876" s="8">
        <f>'ICICI PRUDENTIAL MULTICAP FUND'!A876</f>
        <v>44930</v>
      </c>
      <c r="B876" s="9">
        <f>'ICICI PRUDENTIAL MULTICAP FUND'!B876</f>
        <v>466.05</v>
      </c>
      <c r="C876" s="10">
        <f t="shared" si="52"/>
        <v>-7.7497924162745349E-3</v>
      </c>
      <c r="D876" s="9">
        <f>'QUANT ACTIVE FUND'!B876</f>
        <v>458.16500000000002</v>
      </c>
      <c r="E876" s="10">
        <f t="shared" si="53"/>
        <v>-1.3404681410021676E-2</v>
      </c>
      <c r="F876" s="9">
        <f>'NIPPON INDIA '!B876</f>
        <v>165.685</v>
      </c>
      <c r="G876" s="10">
        <f t="shared" si="54"/>
        <v>-9.9965343754108062E-3</v>
      </c>
      <c r="H876" s="9">
        <f>'NIFTY500 TRI'!B876</f>
        <v>23881.119999999999</v>
      </c>
      <c r="I876" s="10">
        <f t="shared" si="55"/>
        <v>-1.0592543581810252E-2</v>
      </c>
    </row>
    <row r="877" spans="1:9" ht="14.25" customHeight="1" x14ac:dyDescent="0.3">
      <c r="A877" s="8">
        <f>'ICICI PRUDENTIAL MULTICAP FUND'!A877</f>
        <v>44929</v>
      </c>
      <c r="B877" s="9">
        <f>'ICICI PRUDENTIAL MULTICAP FUND'!B877</f>
        <v>469.69</v>
      </c>
      <c r="C877" s="10">
        <f t="shared" si="52"/>
        <v>9.5899752791745937E-4</v>
      </c>
      <c r="D877" s="9">
        <f>'QUANT ACTIVE FUND'!B877</f>
        <v>464.39</v>
      </c>
      <c r="E877" s="10">
        <f t="shared" si="53"/>
        <v>2.8895242866891092E-3</v>
      </c>
      <c r="F877" s="9">
        <f>'NIPPON INDIA '!B877</f>
        <v>167.358</v>
      </c>
      <c r="G877" s="10">
        <f t="shared" si="54"/>
        <v>9.9287047227138137E-4</v>
      </c>
      <c r="H877" s="9">
        <f>'NIFTY500 TRI'!B877</f>
        <v>24136.79</v>
      </c>
      <c r="I877" s="10">
        <f t="shared" si="55"/>
        <v>2.2276995441624912E-3</v>
      </c>
    </row>
    <row r="878" spans="1:9" ht="14.25" customHeight="1" x14ac:dyDescent="0.3">
      <c r="A878" s="8">
        <f>'ICICI PRUDENTIAL MULTICAP FUND'!A878</f>
        <v>44928</v>
      </c>
      <c r="B878" s="9">
        <f>'ICICI PRUDENTIAL MULTICAP FUND'!B878</f>
        <v>469.24</v>
      </c>
      <c r="C878" s="10">
        <f t="shared" si="52"/>
        <v>5.5932966161627278E-3</v>
      </c>
      <c r="D878" s="9">
        <f>'QUANT ACTIVE FUND'!B878</f>
        <v>463.05200000000002</v>
      </c>
      <c r="E878" s="10">
        <f t="shared" si="53"/>
        <v>9.8465336494111561E-3</v>
      </c>
      <c r="F878" s="9">
        <f>'NIPPON INDIA '!B878</f>
        <v>167.19200000000001</v>
      </c>
      <c r="G878" s="10">
        <f t="shared" si="54"/>
        <v>5.7448101204907003E-3</v>
      </c>
      <c r="H878" s="9">
        <f>'NIFTY500 TRI'!B878</f>
        <v>24083.14</v>
      </c>
      <c r="I878" s="10">
        <f t="shared" si="55"/>
        <v>4.8407985606948372E-3</v>
      </c>
    </row>
    <row r="879" spans="1:9" ht="14.25" customHeight="1" x14ac:dyDescent="0.3">
      <c r="A879" s="8">
        <f>'ICICI PRUDENTIAL MULTICAP FUND'!A879</f>
        <v>44925</v>
      </c>
      <c r="B879" s="9">
        <f>'ICICI PRUDENTIAL MULTICAP FUND'!B879</f>
        <v>466.63</v>
      </c>
      <c r="C879" s="10">
        <f t="shared" si="52"/>
        <v>-3.21350529157156E-4</v>
      </c>
      <c r="D879" s="9">
        <f>'QUANT ACTIVE FUND'!B879</f>
        <v>458.53699999999998</v>
      </c>
      <c r="E879" s="10">
        <f t="shared" si="53"/>
        <v>4.2730175695268029E-3</v>
      </c>
      <c r="F879" s="9">
        <f>'NIPPON INDIA '!B879</f>
        <v>166.23699999999999</v>
      </c>
      <c r="G879" s="10">
        <f t="shared" si="54"/>
        <v>1.8320647490252214E-3</v>
      </c>
      <c r="H879" s="9">
        <f>'NIFTY500 TRI'!B879</f>
        <v>23967.119999999999</v>
      </c>
      <c r="I879" s="10">
        <f t="shared" si="55"/>
        <v>-2.3481145360402847E-3</v>
      </c>
    </row>
    <row r="880" spans="1:9" ht="14.25" customHeight="1" x14ac:dyDescent="0.3">
      <c r="A880" s="8">
        <f>'ICICI PRUDENTIAL MULTICAP FUND'!A880</f>
        <v>44924</v>
      </c>
      <c r="B880" s="9">
        <f>'ICICI PRUDENTIAL MULTICAP FUND'!B880</f>
        <v>466.78</v>
      </c>
      <c r="C880" s="10">
        <f t="shared" si="52"/>
        <v>2.9651912333476483E-3</v>
      </c>
      <c r="D880" s="9">
        <f>'QUANT ACTIVE FUND'!B880</f>
        <v>456.58600000000001</v>
      </c>
      <c r="E880" s="10">
        <f t="shared" si="53"/>
        <v>5.4657082958970366E-3</v>
      </c>
      <c r="F880" s="9">
        <f>'NIPPON INDIA '!B880</f>
        <v>165.93299999999999</v>
      </c>
      <c r="G880" s="10">
        <f t="shared" si="54"/>
        <v>-3.6146102546494297E-4</v>
      </c>
      <c r="H880" s="9">
        <f>'NIFTY500 TRI'!B880</f>
        <v>24023.53</v>
      </c>
      <c r="I880" s="10">
        <f t="shared" si="55"/>
        <v>3.3956736694952506E-3</v>
      </c>
    </row>
    <row r="881" spans="1:9" ht="14.25" customHeight="1" x14ac:dyDescent="0.3">
      <c r="A881" s="8">
        <f>'ICICI PRUDENTIAL MULTICAP FUND'!A881</f>
        <v>44923</v>
      </c>
      <c r="B881" s="9">
        <f>'ICICI PRUDENTIAL MULTICAP FUND'!B881</f>
        <v>465.4</v>
      </c>
      <c r="C881" s="10">
        <f t="shared" si="52"/>
        <v>5.8048287575512608E-4</v>
      </c>
      <c r="D881" s="9">
        <f>'QUANT ACTIVE FUND'!B881</f>
        <v>454.10399999999998</v>
      </c>
      <c r="E881" s="10">
        <f t="shared" si="53"/>
        <v>2.1450703106379158E-3</v>
      </c>
      <c r="F881" s="9">
        <f>'NIPPON INDIA '!B881</f>
        <v>165.99299999999999</v>
      </c>
      <c r="G881" s="10">
        <f t="shared" si="54"/>
        <v>3.3304723105377575E-3</v>
      </c>
      <c r="H881" s="9">
        <f>'NIFTY500 TRI'!B881</f>
        <v>23942.23</v>
      </c>
      <c r="I881" s="10">
        <f t="shared" si="55"/>
        <v>9.3729841499569822E-4</v>
      </c>
    </row>
    <row r="882" spans="1:9" ht="14.25" customHeight="1" x14ac:dyDescent="0.3">
      <c r="A882" s="8">
        <f>'ICICI PRUDENTIAL MULTICAP FUND'!A882</f>
        <v>44922</v>
      </c>
      <c r="B882" s="9">
        <f>'ICICI PRUDENTIAL MULTICAP FUND'!B882</f>
        <v>465.13</v>
      </c>
      <c r="C882" s="10">
        <f t="shared" si="52"/>
        <v>7.7128062915700814E-3</v>
      </c>
      <c r="D882" s="9">
        <f>'QUANT ACTIVE FUND'!B882</f>
        <v>453.13200000000001</v>
      </c>
      <c r="E882" s="10">
        <f t="shared" si="53"/>
        <v>1.3545795345757729E-2</v>
      </c>
      <c r="F882" s="9">
        <f>'NIPPON INDIA '!B882</f>
        <v>165.44200000000001</v>
      </c>
      <c r="G882" s="10">
        <f t="shared" si="54"/>
        <v>7.4596418154027552E-3</v>
      </c>
      <c r="H882" s="9">
        <f>'NIFTY500 TRI'!B882</f>
        <v>23919.81</v>
      </c>
      <c r="I882" s="10">
        <f t="shared" si="55"/>
        <v>7.8301270288957201E-3</v>
      </c>
    </row>
    <row r="883" spans="1:9" ht="14.25" customHeight="1" x14ac:dyDescent="0.3">
      <c r="A883" s="8">
        <f>'ICICI PRUDENTIAL MULTICAP FUND'!A883</f>
        <v>44921</v>
      </c>
      <c r="B883" s="9">
        <f>'ICICI PRUDENTIAL MULTICAP FUND'!B883</f>
        <v>461.57</v>
      </c>
      <c r="C883" s="10">
        <f t="shared" si="52"/>
        <v>1.7817371937639163E-2</v>
      </c>
      <c r="D883" s="9">
        <f>'QUANT ACTIVE FUND'!B883</f>
        <v>447.07600000000002</v>
      </c>
      <c r="E883" s="10">
        <f t="shared" si="53"/>
        <v>3.420628329659102E-2</v>
      </c>
      <c r="F883" s="9">
        <f>'NIPPON INDIA '!B883</f>
        <v>164.21700000000001</v>
      </c>
      <c r="G883" s="10">
        <f t="shared" si="54"/>
        <v>2.098332525086731E-2</v>
      </c>
      <c r="H883" s="9">
        <f>'NIFTY500 TRI'!B883</f>
        <v>23733.97</v>
      </c>
      <c r="I883" s="10">
        <f t="shared" si="55"/>
        <v>1.6786814228178838E-2</v>
      </c>
    </row>
    <row r="884" spans="1:9" ht="14.25" customHeight="1" x14ac:dyDescent="0.3">
      <c r="A884" s="8">
        <f>'ICICI PRUDENTIAL MULTICAP FUND'!A884</f>
        <v>44918</v>
      </c>
      <c r="B884" s="9">
        <f>'ICICI PRUDENTIAL MULTICAP FUND'!B884</f>
        <v>453.49</v>
      </c>
      <c r="C884" s="10">
        <f t="shared" si="52"/>
        <v>-2.4207083530576236E-2</v>
      </c>
      <c r="D884" s="9">
        <f>'QUANT ACTIVE FUND'!B884</f>
        <v>432.28899999999999</v>
      </c>
      <c r="E884" s="10">
        <f t="shared" si="53"/>
        <v>-4.5359285734791768E-2</v>
      </c>
      <c r="F884" s="9">
        <f>'NIPPON INDIA '!B884</f>
        <v>160.84200000000001</v>
      </c>
      <c r="G884" s="10">
        <f t="shared" si="54"/>
        <v>-2.3507412848938071E-2</v>
      </c>
      <c r="H884" s="9">
        <f>'NIFTY500 TRI'!B884</f>
        <v>23342.13</v>
      </c>
      <c r="I884" s="10">
        <f t="shared" si="55"/>
        <v>-2.4981015180336959E-2</v>
      </c>
    </row>
    <row r="885" spans="1:9" ht="14.25" customHeight="1" x14ac:dyDescent="0.3">
      <c r="A885" s="8">
        <f>'ICICI PRUDENTIAL MULTICAP FUND'!A885</f>
        <v>44917</v>
      </c>
      <c r="B885" s="9">
        <f>'ICICI PRUDENTIAL MULTICAP FUND'!B885</f>
        <v>464.74</v>
      </c>
      <c r="C885" s="10">
        <f t="shared" si="52"/>
        <v>-6.5200196669445935E-3</v>
      </c>
      <c r="D885" s="9">
        <f>'QUANT ACTIVE FUND'!B885</f>
        <v>452.82900000000001</v>
      </c>
      <c r="E885" s="10">
        <f t="shared" si="53"/>
        <v>-1.059694676836815E-2</v>
      </c>
      <c r="F885" s="9">
        <f>'NIPPON INDIA '!B885</f>
        <v>164.714</v>
      </c>
      <c r="G885" s="10">
        <f t="shared" si="54"/>
        <v>-1.0839603889045734E-2</v>
      </c>
      <c r="H885" s="9">
        <f>'NIFTY500 TRI'!B885</f>
        <v>23940.18</v>
      </c>
      <c r="I885" s="10">
        <f t="shared" si="55"/>
        <v>-6.1874123830441769E-3</v>
      </c>
    </row>
    <row r="886" spans="1:9" ht="14.25" customHeight="1" x14ac:dyDescent="0.3">
      <c r="A886" s="8">
        <f>'ICICI PRUDENTIAL MULTICAP FUND'!A886</f>
        <v>44916</v>
      </c>
      <c r="B886" s="9">
        <f>'ICICI PRUDENTIAL MULTICAP FUND'!B886</f>
        <v>467.79</v>
      </c>
      <c r="C886" s="10">
        <f t="shared" si="52"/>
        <v>-1.3579908483225434E-2</v>
      </c>
      <c r="D886" s="9">
        <f>'QUANT ACTIVE FUND'!B886</f>
        <v>457.67899999999997</v>
      </c>
      <c r="E886" s="10">
        <f t="shared" si="53"/>
        <v>-2.5094789758445889E-2</v>
      </c>
      <c r="F886" s="9">
        <f>'NIPPON INDIA '!B886</f>
        <v>166.51900000000001</v>
      </c>
      <c r="G886" s="10">
        <f t="shared" si="54"/>
        <v>-1.6316066185809396E-2</v>
      </c>
      <c r="H886" s="9">
        <f>'NIFTY500 TRI'!B886</f>
        <v>24089.23</v>
      </c>
      <c r="I886" s="10">
        <f t="shared" si="55"/>
        <v>-1.2632882794260347E-2</v>
      </c>
    </row>
    <row r="887" spans="1:9" ht="14.25" customHeight="1" x14ac:dyDescent="0.3">
      <c r="A887" s="8">
        <f>'ICICI PRUDENTIAL MULTICAP FUND'!A887</f>
        <v>44915</v>
      </c>
      <c r="B887" s="9">
        <f>'ICICI PRUDENTIAL MULTICAP FUND'!B887</f>
        <v>474.23</v>
      </c>
      <c r="C887" s="10">
        <f t="shared" si="52"/>
        <v>-3.0273088485714837E-3</v>
      </c>
      <c r="D887" s="9">
        <f>'QUANT ACTIVE FUND'!B887</f>
        <v>469.46</v>
      </c>
      <c r="E887" s="10">
        <f t="shared" si="53"/>
        <v>-2.4076006230437726E-3</v>
      </c>
      <c r="F887" s="9">
        <f>'NIPPON INDIA '!B887</f>
        <v>169.28100000000001</v>
      </c>
      <c r="G887" s="10">
        <f t="shared" si="54"/>
        <v>-1.6925363276090188E-3</v>
      </c>
      <c r="H887" s="9">
        <f>'NIFTY500 TRI'!B887</f>
        <v>24397.439999999999</v>
      </c>
      <c r="I887" s="10">
        <f t="shared" si="55"/>
        <v>-1.8386098244116296E-3</v>
      </c>
    </row>
    <row r="888" spans="1:9" ht="14.25" customHeight="1" x14ac:dyDescent="0.3">
      <c r="A888" s="8">
        <f>'ICICI PRUDENTIAL MULTICAP FUND'!A888</f>
        <v>44914</v>
      </c>
      <c r="B888" s="9">
        <f>'ICICI PRUDENTIAL MULTICAP FUND'!B888</f>
        <v>475.67</v>
      </c>
      <c r="C888" s="10">
        <f t="shared" si="52"/>
        <v>3.4173610378652134E-3</v>
      </c>
      <c r="D888" s="9">
        <f>'QUANT ACTIVE FUND'!B888</f>
        <v>470.59300000000002</v>
      </c>
      <c r="E888" s="10">
        <f t="shared" si="53"/>
        <v>8.4884877162303765E-3</v>
      </c>
      <c r="F888" s="9">
        <f>'NIPPON INDIA '!B888</f>
        <v>169.56800000000001</v>
      </c>
      <c r="G888" s="10">
        <f t="shared" si="54"/>
        <v>4.9843830566536958E-3</v>
      </c>
      <c r="H888" s="9">
        <f>'NIFTY500 TRI'!B888</f>
        <v>24442.38</v>
      </c>
      <c r="I888" s="10">
        <f t="shared" si="55"/>
        <v>7.6007914914667744E-3</v>
      </c>
    </row>
    <row r="889" spans="1:9" ht="14.25" customHeight="1" x14ac:dyDescent="0.3">
      <c r="A889" s="8">
        <f>'ICICI PRUDENTIAL MULTICAP FUND'!A889</f>
        <v>44911</v>
      </c>
      <c r="B889" s="9">
        <f>'ICICI PRUDENTIAL MULTICAP FUND'!B889</f>
        <v>474.05</v>
      </c>
      <c r="C889" s="10">
        <f t="shared" si="52"/>
        <v>-8.9477975456274395E-3</v>
      </c>
      <c r="D889" s="9">
        <f>'QUANT ACTIVE FUND'!B889</f>
        <v>466.63200000000001</v>
      </c>
      <c r="E889" s="10">
        <f t="shared" si="53"/>
        <v>-1.2552797081453551E-2</v>
      </c>
      <c r="F889" s="9">
        <f>'NIPPON INDIA '!B889</f>
        <v>168.727</v>
      </c>
      <c r="G889" s="10">
        <f t="shared" si="54"/>
        <v>-9.0678976455179257E-3</v>
      </c>
      <c r="H889" s="9">
        <f>'NIFTY500 TRI'!B889</f>
        <v>24258</v>
      </c>
      <c r="I889" s="10">
        <f t="shared" si="55"/>
        <v>-9.3438097260564578E-3</v>
      </c>
    </row>
    <row r="890" spans="1:9" ht="14.25" customHeight="1" x14ac:dyDescent="0.3">
      <c r="A890" s="8">
        <f>'ICICI PRUDENTIAL MULTICAP FUND'!A890</f>
        <v>44910</v>
      </c>
      <c r="B890" s="9">
        <f>'ICICI PRUDENTIAL MULTICAP FUND'!B890</f>
        <v>478.33</v>
      </c>
      <c r="C890" s="10">
        <f t="shared" si="52"/>
        <v>-7.8199543663141219E-3</v>
      </c>
      <c r="D890" s="9">
        <f>'QUANT ACTIVE FUND'!B890</f>
        <v>472.56400000000002</v>
      </c>
      <c r="E890" s="10">
        <f t="shared" si="53"/>
        <v>-1.3874832277087643E-2</v>
      </c>
      <c r="F890" s="9">
        <f>'NIPPON INDIA '!B890</f>
        <v>170.27099999999999</v>
      </c>
      <c r="G890" s="10">
        <f t="shared" si="54"/>
        <v>-8.6228981321907344E-3</v>
      </c>
      <c r="H890" s="9">
        <f>'NIFTY500 TRI'!B890</f>
        <v>24486.799999999999</v>
      </c>
      <c r="I890" s="10">
        <f t="shared" si="55"/>
        <v>-1.1273120921069673E-2</v>
      </c>
    </row>
    <row r="891" spans="1:9" ht="14.25" customHeight="1" x14ac:dyDescent="0.3">
      <c r="A891" s="8">
        <f>'ICICI PRUDENTIAL MULTICAP FUND'!A891</f>
        <v>44909</v>
      </c>
      <c r="B891" s="9">
        <f>'ICICI PRUDENTIAL MULTICAP FUND'!B891</f>
        <v>482.1</v>
      </c>
      <c r="C891" s="10">
        <f t="shared" si="52"/>
        <v>3.3716283716283811E-3</v>
      </c>
      <c r="D891" s="9">
        <f>'QUANT ACTIVE FUND'!B891</f>
        <v>479.21300000000002</v>
      </c>
      <c r="E891" s="10">
        <f t="shared" si="53"/>
        <v>3.5096756900513354E-3</v>
      </c>
      <c r="F891" s="9">
        <f>'NIPPON INDIA '!B891</f>
        <v>171.75200000000001</v>
      </c>
      <c r="G891" s="10">
        <f t="shared" si="54"/>
        <v>7.1422707495280577E-3</v>
      </c>
      <c r="H891" s="9">
        <f>'NIFTY500 TRI'!B891</f>
        <v>24765.99</v>
      </c>
      <c r="I891" s="10">
        <f t="shared" si="55"/>
        <v>3.7286227318727126E-3</v>
      </c>
    </row>
    <row r="892" spans="1:9" ht="14.25" customHeight="1" x14ac:dyDescent="0.3">
      <c r="A892" s="8">
        <f>'ICICI PRUDENTIAL MULTICAP FUND'!A892</f>
        <v>44908</v>
      </c>
      <c r="B892" s="9">
        <f>'ICICI PRUDENTIAL MULTICAP FUND'!B892</f>
        <v>480.48</v>
      </c>
      <c r="C892" s="10">
        <f t="shared" si="52"/>
        <v>5.4406964091404178E-3</v>
      </c>
      <c r="D892" s="9">
        <f>'QUANT ACTIVE FUND'!B892</f>
        <v>477.53699999999998</v>
      </c>
      <c r="E892" s="10">
        <f t="shared" si="53"/>
        <v>8.8902222344288424E-3</v>
      </c>
      <c r="F892" s="9">
        <f>'NIPPON INDIA '!B892</f>
        <v>170.53399999999999</v>
      </c>
      <c r="G892" s="10">
        <f t="shared" si="54"/>
        <v>4.5534604532253943E-3</v>
      </c>
      <c r="H892" s="9">
        <f>'NIFTY500 TRI'!B892</f>
        <v>24673.99</v>
      </c>
      <c r="I892" s="10">
        <f t="shared" si="55"/>
        <v>4.8331705036507491E-3</v>
      </c>
    </row>
    <row r="893" spans="1:9" ht="14.25" customHeight="1" x14ac:dyDescent="0.3">
      <c r="A893" s="8">
        <f>'ICICI PRUDENTIAL MULTICAP FUND'!A893</f>
        <v>44907</v>
      </c>
      <c r="B893" s="9">
        <f>'ICICI PRUDENTIAL MULTICAP FUND'!B893</f>
        <v>477.88</v>
      </c>
      <c r="C893" s="10">
        <f t="shared" si="52"/>
        <v>9.4254655132687223E-4</v>
      </c>
      <c r="D893" s="9">
        <f>'QUANT ACTIVE FUND'!B893</f>
        <v>473.32900000000001</v>
      </c>
      <c r="E893" s="10">
        <f t="shared" si="53"/>
        <v>8.138306482530706E-3</v>
      </c>
      <c r="F893" s="9">
        <f>'NIPPON INDIA '!B893</f>
        <v>169.761</v>
      </c>
      <c r="G893" s="10">
        <f t="shared" si="54"/>
        <v>9.0208009056171631E-4</v>
      </c>
      <c r="H893" s="9">
        <f>'NIFTY500 TRI'!B893</f>
        <v>24555.31</v>
      </c>
      <c r="I893" s="10">
        <f t="shared" si="55"/>
        <v>9.6569244102111187E-4</v>
      </c>
    </row>
    <row r="894" spans="1:9" ht="14.25" customHeight="1" x14ac:dyDescent="0.3">
      <c r="A894" s="8">
        <f>'ICICI PRUDENTIAL MULTICAP FUND'!A894</f>
        <v>44904</v>
      </c>
      <c r="B894" s="9">
        <f>'ICICI PRUDENTIAL MULTICAP FUND'!B894</f>
        <v>477.43</v>
      </c>
      <c r="C894" s="10">
        <f t="shared" si="52"/>
        <v>-5.5613413872110306E-3</v>
      </c>
      <c r="D894" s="9">
        <f>'QUANT ACTIVE FUND'!B894</f>
        <v>469.50799999999998</v>
      </c>
      <c r="E894" s="10">
        <f t="shared" si="53"/>
        <v>-7.275625913153492E-3</v>
      </c>
      <c r="F894" s="9">
        <f>'NIPPON INDIA '!B894</f>
        <v>169.608</v>
      </c>
      <c r="G894" s="10">
        <f t="shared" si="54"/>
        <v>-8.0417351432598566E-3</v>
      </c>
      <c r="H894" s="9">
        <f>'NIFTY500 TRI'!B894</f>
        <v>24531.62</v>
      </c>
      <c r="I894" s="10">
        <f t="shared" si="55"/>
        <v>-6.1804767263891813E-3</v>
      </c>
    </row>
    <row r="895" spans="1:9" ht="14.25" customHeight="1" x14ac:dyDescent="0.3">
      <c r="A895" s="8">
        <f>'ICICI PRUDENTIAL MULTICAP FUND'!A895</f>
        <v>44903</v>
      </c>
      <c r="B895" s="9">
        <f>'ICICI PRUDENTIAL MULTICAP FUND'!B895</f>
        <v>480.1</v>
      </c>
      <c r="C895" s="10">
        <f t="shared" si="52"/>
        <v>3.5115588813176848E-3</v>
      </c>
      <c r="D895" s="9">
        <f>'QUANT ACTIVE FUND'!B895</f>
        <v>472.94900000000001</v>
      </c>
      <c r="E895" s="10">
        <f t="shared" si="53"/>
        <v>5.2670621568598457E-3</v>
      </c>
      <c r="F895" s="9">
        <f>'NIPPON INDIA '!B895</f>
        <v>170.983</v>
      </c>
      <c r="G895" s="10">
        <f t="shared" si="54"/>
        <v>5.3624662640897403E-3</v>
      </c>
      <c r="H895" s="9">
        <f>'NIFTY500 TRI'!B895</f>
        <v>24684.18</v>
      </c>
      <c r="I895" s="10">
        <f t="shared" si="55"/>
        <v>3.0957412223667218E-3</v>
      </c>
    </row>
    <row r="896" spans="1:9" ht="14.25" customHeight="1" x14ac:dyDescent="0.3">
      <c r="A896" s="8">
        <f>'ICICI PRUDENTIAL MULTICAP FUND'!A896</f>
        <v>44902</v>
      </c>
      <c r="B896" s="9">
        <f>'ICICI PRUDENTIAL MULTICAP FUND'!B896</f>
        <v>478.42</v>
      </c>
      <c r="C896" s="10">
        <f t="shared" si="52"/>
        <v>-5.7152357794542467E-3</v>
      </c>
      <c r="D896" s="9">
        <f>'QUANT ACTIVE FUND'!B896</f>
        <v>470.471</v>
      </c>
      <c r="E896" s="10">
        <f t="shared" si="53"/>
        <v>-3.4336527625970807E-3</v>
      </c>
      <c r="F896" s="9">
        <f>'NIPPON INDIA '!B896</f>
        <v>170.071</v>
      </c>
      <c r="G896" s="10">
        <f t="shared" si="54"/>
        <v>-1.6319438329546495E-3</v>
      </c>
      <c r="H896" s="9">
        <f>'NIFTY500 TRI'!B896</f>
        <v>24608</v>
      </c>
      <c r="I896" s="10">
        <f t="shared" si="55"/>
        <v>-3.8198779387880583E-3</v>
      </c>
    </row>
    <row r="897" spans="1:9" ht="14.25" customHeight="1" x14ac:dyDescent="0.3">
      <c r="A897" s="8">
        <f>'ICICI PRUDENTIAL MULTICAP FUND'!A897</f>
        <v>44901</v>
      </c>
      <c r="B897" s="9">
        <f>'ICICI PRUDENTIAL MULTICAP FUND'!B897</f>
        <v>481.17</v>
      </c>
      <c r="C897" s="10">
        <f t="shared" si="52"/>
        <v>-5.3127713234381964E-3</v>
      </c>
      <c r="D897" s="9">
        <f>'QUANT ACTIVE FUND'!B897</f>
        <v>472.09199999999998</v>
      </c>
      <c r="E897" s="10">
        <f t="shared" si="53"/>
        <v>-1.6832738407402859E-3</v>
      </c>
      <c r="F897" s="9">
        <f>'NIPPON INDIA '!B897</f>
        <v>170.34899999999999</v>
      </c>
      <c r="G897" s="10">
        <f t="shared" si="54"/>
        <v>-3.1949442640218885E-3</v>
      </c>
      <c r="H897" s="9">
        <f>'NIFTY500 TRI'!B897</f>
        <v>24702.36</v>
      </c>
      <c r="I897" s="10">
        <f t="shared" si="55"/>
        <v>-2.7770208488504112E-3</v>
      </c>
    </row>
    <row r="898" spans="1:9" ht="14.25" customHeight="1" x14ac:dyDescent="0.3">
      <c r="A898" s="8">
        <f>'ICICI PRUDENTIAL MULTICAP FUND'!A898</f>
        <v>44900</v>
      </c>
      <c r="B898" s="9">
        <f>'ICICI PRUDENTIAL MULTICAP FUND'!B898</f>
        <v>483.74</v>
      </c>
      <c r="C898" s="10">
        <f t="shared" ref="C898:C961" si="56">(B898-B899)/B899</f>
        <v>2.1753092046655439E-3</v>
      </c>
      <c r="D898" s="9">
        <f>'QUANT ACTIVE FUND'!B898</f>
        <v>472.88799999999998</v>
      </c>
      <c r="E898" s="10">
        <f t="shared" ref="E898:E961" si="57">(D898-D899)/D899</f>
        <v>4.6910852383784526E-3</v>
      </c>
      <c r="F898" s="9">
        <f>'NIPPON INDIA '!B898</f>
        <v>170.89500000000001</v>
      </c>
      <c r="G898" s="10">
        <f t="shared" ref="G898:G961" si="58">(F898-F899)/F899</f>
        <v>1.1703229506238112E-5</v>
      </c>
      <c r="H898" s="9">
        <f>'NIFTY500 TRI'!B898</f>
        <v>24771.15</v>
      </c>
      <c r="I898" s="10">
        <f t="shared" ref="I898:I961" si="59">(H898-H899)/H899</f>
        <v>2.3056323651034528E-4</v>
      </c>
    </row>
    <row r="899" spans="1:9" ht="14.25" customHeight="1" x14ac:dyDescent="0.3">
      <c r="A899" s="8">
        <f>'ICICI PRUDENTIAL MULTICAP FUND'!A899</f>
        <v>44897</v>
      </c>
      <c r="B899" s="9">
        <f>'ICICI PRUDENTIAL MULTICAP FUND'!B899</f>
        <v>482.69</v>
      </c>
      <c r="C899" s="10">
        <f t="shared" si="56"/>
        <v>1.2861202729894093E-3</v>
      </c>
      <c r="D899" s="9">
        <f>'QUANT ACTIVE FUND'!B899</f>
        <v>470.68</v>
      </c>
      <c r="E899" s="10">
        <f t="shared" si="57"/>
        <v>7.1224314067329202E-4</v>
      </c>
      <c r="F899" s="9">
        <f>'NIPPON INDIA '!B899</f>
        <v>170.893</v>
      </c>
      <c r="G899" s="10">
        <f t="shared" si="58"/>
        <v>-9.061783826762145E-4</v>
      </c>
      <c r="H899" s="9">
        <f>'NIFTY500 TRI'!B899</f>
        <v>24765.439999999999</v>
      </c>
      <c r="I899" s="10">
        <f t="shared" si="59"/>
        <v>-2.5281725907747854E-3</v>
      </c>
    </row>
    <row r="900" spans="1:9" ht="14.25" customHeight="1" x14ac:dyDescent="0.3">
      <c r="A900" s="8">
        <f>'ICICI PRUDENTIAL MULTICAP FUND'!A900</f>
        <v>44896</v>
      </c>
      <c r="B900" s="9">
        <f>'ICICI PRUDENTIAL MULTICAP FUND'!B900</f>
        <v>482.07</v>
      </c>
      <c r="C900" s="10">
        <f t="shared" si="56"/>
        <v>5.3178178178178419E-3</v>
      </c>
      <c r="D900" s="9">
        <f>'QUANT ACTIVE FUND'!B900</f>
        <v>470.34500000000003</v>
      </c>
      <c r="E900" s="10">
        <f t="shared" si="57"/>
        <v>8.4194863834586593E-3</v>
      </c>
      <c r="F900" s="9">
        <f>'NIPPON INDIA '!B900</f>
        <v>171.048</v>
      </c>
      <c r="G900" s="10">
        <f t="shared" si="58"/>
        <v>3.7203516143040748E-3</v>
      </c>
      <c r="H900" s="9">
        <f>'NIFTY500 TRI'!B900</f>
        <v>24828.21</v>
      </c>
      <c r="I900" s="10">
        <f t="shared" si="59"/>
        <v>3.6267371209802021E-3</v>
      </c>
    </row>
    <row r="901" spans="1:9" ht="14.25" customHeight="1" x14ac:dyDescent="0.3">
      <c r="A901" s="8">
        <f>'ICICI PRUDENTIAL MULTICAP FUND'!A901</f>
        <v>44895</v>
      </c>
      <c r="B901" s="9">
        <f>'ICICI PRUDENTIAL MULTICAP FUND'!B901</f>
        <v>479.52</v>
      </c>
      <c r="C901" s="10">
        <f t="shared" si="56"/>
        <v>7.0987524677615732E-3</v>
      </c>
      <c r="D901" s="9">
        <f>'QUANT ACTIVE FUND'!B901</f>
        <v>466.41800000000001</v>
      </c>
      <c r="E901" s="10">
        <f t="shared" si="57"/>
        <v>2.3316635613635384E-3</v>
      </c>
      <c r="F901" s="9">
        <f>'NIPPON INDIA '!B901</f>
        <v>170.41399999999999</v>
      </c>
      <c r="G901" s="10">
        <f t="shared" si="58"/>
        <v>7.1927989266948262E-3</v>
      </c>
      <c r="H901" s="9">
        <f>'NIFTY500 TRI'!B901</f>
        <v>24738.49</v>
      </c>
      <c r="I901" s="10">
        <f t="shared" si="59"/>
        <v>8.4529330691248458E-3</v>
      </c>
    </row>
    <row r="902" spans="1:9" ht="14.25" customHeight="1" x14ac:dyDescent="0.3">
      <c r="A902" s="8">
        <f>'ICICI PRUDENTIAL MULTICAP FUND'!A902</f>
        <v>44894</v>
      </c>
      <c r="B902" s="9">
        <f>'ICICI PRUDENTIAL MULTICAP FUND'!B902</f>
        <v>476.14</v>
      </c>
      <c r="C902" s="10">
        <f t="shared" si="56"/>
        <v>3.7818304059166071E-4</v>
      </c>
      <c r="D902" s="9">
        <f>'QUANT ACTIVE FUND'!B902</f>
        <v>465.33300000000003</v>
      </c>
      <c r="E902" s="10">
        <f t="shared" si="57"/>
        <v>-1.3284630176498252E-3</v>
      </c>
      <c r="F902" s="9">
        <f>'NIPPON INDIA '!B902</f>
        <v>169.197</v>
      </c>
      <c r="G902" s="10">
        <f t="shared" si="58"/>
        <v>1.3595469753033051E-4</v>
      </c>
      <c r="H902" s="9">
        <f>'NIFTY500 TRI'!B902</f>
        <v>24531.13</v>
      </c>
      <c r="I902" s="10">
        <f t="shared" si="59"/>
        <v>1.7764071084053457E-3</v>
      </c>
    </row>
    <row r="903" spans="1:9" ht="14.25" customHeight="1" x14ac:dyDescent="0.3">
      <c r="A903" s="8">
        <f>'ICICI PRUDENTIAL MULTICAP FUND'!A903</f>
        <v>44893</v>
      </c>
      <c r="B903" s="9">
        <f>'ICICI PRUDENTIAL MULTICAP FUND'!B903</f>
        <v>475.96</v>
      </c>
      <c r="C903" s="10">
        <f t="shared" si="56"/>
        <v>5.6201140925416608E-3</v>
      </c>
      <c r="D903" s="9">
        <f>'QUANT ACTIVE FUND'!B903</f>
        <v>465.952</v>
      </c>
      <c r="E903" s="10">
        <f t="shared" si="57"/>
        <v>6.6562822038970194E-3</v>
      </c>
      <c r="F903" s="9">
        <f>'NIPPON INDIA '!B903</f>
        <v>169.17400000000001</v>
      </c>
      <c r="G903" s="10">
        <f t="shared" si="58"/>
        <v>1.2310168909721387E-3</v>
      </c>
      <c r="H903" s="9">
        <f>'NIFTY500 TRI'!B903</f>
        <v>24487.63</v>
      </c>
      <c r="I903" s="10">
        <f t="shared" si="59"/>
        <v>3.6362280118251663E-3</v>
      </c>
    </row>
    <row r="904" spans="1:9" ht="14.25" customHeight="1" x14ac:dyDescent="0.3">
      <c r="A904" s="8">
        <f>'ICICI PRUDENTIAL MULTICAP FUND'!A904</f>
        <v>44890</v>
      </c>
      <c r="B904" s="9">
        <f>'ICICI PRUDENTIAL MULTICAP FUND'!B904</f>
        <v>473.3</v>
      </c>
      <c r="C904" s="10">
        <f t="shared" si="56"/>
        <v>3.1793132683340399E-3</v>
      </c>
      <c r="D904" s="9">
        <f>'QUANT ACTIVE FUND'!B904</f>
        <v>462.87099999999998</v>
      </c>
      <c r="E904" s="10">
        <f t="shared" si="57"/>
        <v>6.0422829396792645E-3</v>
      </c>
      <c r="F904" s="9">
        <f>'NIPPON INDIA '!B904</f>
        <v>168.96600000000001</v>
      </c>
      <c r="G904" s="10">
        <f t="shared" si="58"/>
        <v>6.0374392683624489E-3</v>
      </c>
      <c r="H904" s="9">
        <f>'NIFTY500 TRI'!B904</f>
        <v>24398.91</v>
      </c>
      <c r="I904" s="10">
        <f t="shared" si="59"/>
        <v>2.960509954211181E-3</v>
      </c>
    </row>
    <row r="905" spans="1:9" ht="14.25" customHeight="1" x14ac:dyDescent="0.3">
      <c r="A905" s="8">
        <f>'ICICI PRUDENTIAL MULTICAP FUND'!A905</f>
        <v>44889</v>
      </c>
      <c r="B905" s="9">
        <f>'ICICI PRUDENTIAL MULTICAP FUND'!B905</f>
        <v>471.8</v>
      </c>
      <c r="C905" s="10">
        <f t="shared" si="56"/>
        <v>8.0550392068885306E-3</v>
      </c>
      <c r="D905" s="9">
        <f>'QUANT ACTIVE FUND'!B905</f>
        <v>460.09100000000001</v>
      </c>
      <c r="E905" s="10">
        <f t="shared" si="57"/>
        <v>1.1698195355464604E-2</v>
      </c>
      <c r="F905" s="9">
        <f>'NIPPON INDIA '!B905</f>
        <v>167.952</v>
      </c>
      <c r="G905" s="10">
        <f t="shared" si="58"/>
        <v>9.9156359175721475E-3</v>
      </c>
      <c r="H905" s="9">
        <f>'NIFTY500 TRI'!B905</f>
        <v>24326.89</v>
      </c>
      <c r="I905" s="10">
        <f t="shared" si="59"/>
        <v>9.1867229969666911E-3</v>
      </c>
    </row>
    <row r="906" spans="1:9" ht="14.25" customHeight="1" x14ac:dyDescent="0.3">
      <c r="A906" s="8">
        <f>'ICICI PRUDENTIAL MULTICAP FUND'!A906</f>
        <v>44888</v>
      </c>
      <c r="B906" s="9">
        <f>'ICICI PRUDENTIAL MULTICAP FUND'!B906</f>
        <v>468.03</v>
      </c>
      <c r="C906" s="10">
        <f t="shared" si="56"/>
        <v>3.7531097194818566E-3</v>
      </c>
      <c r="D906" s="9">
        <f>'QUANT ACTIVE FUND'!B906</f>
        <v>454.77100000000002</v>
      </c>
      <c r="E906" s="10">
        <f t="shared" si="57"/>
        <v>3.8895474482846929E-3</v>
      </c>
      <c r="F906" s="9">
        <f>'NIPPON INDIA '!B906</f>
        <v>166.303</v>
      </c>
      <c r="G906" s="10">
        <f t="shared" si="58"/>
        <v>1.6804799306124197E-3</v>
      </c>
      <c r="H906" s="9">
        <f>'NIFTY500 TRI'!B906</f>
        <v>24105.439999999999</v>
      </c>
      <c r="I906" s="10">
        <f t="shared" si="59"/>
        <v>1.8677916086531324E-3</v>
      </c>
    </row>
    <row r="907" spans="1:9" ht="14.25" customHeight="1" x14ac:dyDescent="0.3">
      <c r="A907" s="8">
        <f>'ICICI PRUDENTIAL MULTICAP FUND'!A907</f>
        <v>44887</v>
      </c>
      <c r="B907" s="9">
        <f>'ICICI PRUDENTIAL MULTICAP FUND'!B907</f>
        <v>466.28</v>
      </c>
      <c r="C907" s="10">
        <f t="shared" si="56"/>
        <v>-3.4835759013486615E-3</v>
      </c>
      <c r="D907" s="9">
        <f>'QUANT ACTIVE FUND'!B907</f>
        <v>453.00900000000001</v>
      </c>
      <c r="E907" s="10">
        <f t="shared" si="57"/>
        <v>4.6157243816255121E-4</v>
      </c>
      <c r="F907" s="9">
        <f>'NIPPON INDIA '!B907</f>
        <v>166.024</v>
      </c>
      <c r="G907" s="10">
        <f t="shared" si="58"/>
        <v>-1.233238484259741E-3</v>
      </c>
      <c r="H907" s="9">
        <f>'NIFTY500 TRI'!B907</f>
        <v>24060.5</v>
      </c>
      <c r="I907" s="10">
        <f t="shared" si="59"/>
        <v>-2.6446363210538451E-3</v>
      </c>
    </row>
    <row r="908" spans="1:9" ht="14.25" customHeight="1" x14ac:dyDescent="0.3">
      <c r="A908" s="8">
        <f>'ICICI PRUDENTIAL MULTICAP FUND'!A908</f>
        <v>44883</v>
      </c>
      <c r="B908" s="9">
        <f>'ICICI PRUDENTIAL MULTICAP FUND'!B908</f>
        <v>467.91</v>
      </c>
      <c r="C908" s="10">
        <f t="shared" si="56"/>
        <v>-5.9695785180149605E-3</v>
      </c>
      <c r="D908" s="9">
        <f>'QUANT ACTIVE FUND'!B908</f>
        <v>452.8</v>
      </c>
      <c r="E908" s="10">
        <f t="shared" si="57"/>
        <v>-5.9814024733433611E-4</v>
      </c>
      <c r="F908" s="9">
        <f>'NIPPON INDIA '!B908</f>
        <v>166.22900000000001</v>
      </c>
      <c r="G908" s="10">
        <f t="shared" si="58"/>
        <v>-3.2439887269892472E-3</v>
      </c>
      <c r="H908" s="9">
        <f>'NIFTY500 TRI'!B908</f>
        <v>24124.3</v>
      </c>
      <c r="I908" s="10">
        <f t="shared" si="59"/>
        <v>-2.9455805339572675E-3</v>
      </c>
    </row>
    <row r="909" spans="1:9" ht="14.25" customHeight="1" x14ac:dyDescent="0.3">
      <c r="A909" s="8">
        <f>'ICICI PRUDENTIAL MULTICAP FUND'!A909</f>
        <v>44882</v>
      </c>
      <c r="B909" s="9">
        <f>'ICICI PRUDENTIAL MULTICAP FUND'!B909</f>
        <v>470.72</v>
      </c>
      <c r="C909" s="10">
        <f t="shared" si="56"/>
        <v>-2.0141200415544525E-3</v>
      </c>
      <c r="D909" s="9">
        <f>'QUANT ACTIVE FUND'!B909</f>
        <v>453.07100000000003</v>
      </c>
      <c r="E909" s="10">
        <f t="shared" si="57"/>
        <v>-4.0338003895309792E-3</v>
      </c>
      <c r="F909" s="9">
        <f>'NIPPON INDIA '!B909</f>
        <v>166.77</v>
      </c>
      <c r="G909" s="10">
        <f t="shared" si="58"/>
        <v>-4.2749841777819028E-3</v>
      </c>
      <c r="H909" s="9">
        <f>'NIFTY500 TRI'!B909</f>
        <v>24195.57</v>
      </c>
      <c r="I909" s="10">
        <f t="shared" si="59"/>
        <v>-4.2012293369935666E-3</v>
      </c>
    </row>
    <row r="910" spans="1:9" ht="14.25" customHeight="1" x14ac:dyDescent="0.3">
      <c r="A910" s="8">
        <f>'ICICI PRUDENTIAL MULTICAP FUND'!A910</f>
        <v>44881</v>
      </c>
      <c r="B910" s="9">
        <f>'ICICI PRUDENTIAL MULTICAP FUND'!B910</f>
        <v>471.67</v>
      </c>
      <c r="C910" s="10">
        <f t="shared" si="56"/>
        <v>-1.4838682325008092E-4</v>
      </c>
      <c r="D910" s="9">
        <f>'QUANT ACTIVE FUND'!B910</f>
        <v>454.90600000000001</v>
      </c>
      <c r="E910" s="10">
        <f t="shared" si="57"/>
        <v>-7.0871521085751135E-3</v>
      </c>
      <c r="F910" s="9">
        <f>'NIPPON INDIA '!B910</f>
        <v>167.48599999999999</v>
      </c>
      <c r="G910" s="10">
        <f t="shared" si="58"/>
        <v>-3.0773260001309261E-3</v>
      </c>
      <c r="H910" s="9">
        <f>'NIFTY500 TRI'!B910</f>
        <v>24297.65</v>
      </c>
      <c r="I910" s="10">
        <f t="shared" si="59"/>
        <v>-1.9457778223225522E-3</v>
      </c>
    </row>
    <row r="911" spans="1:9" ht="14.25" customHeight="1" x14ac:dyDescent="0.3">
      <c r="A911" s="8">
        <f>'ICICI PRUDENTIAL MULTICAP FUND'!A911</f>
        <v>44880</v>
      </c>
      <c r="B911" s="9">
        <f>'ICICI PRUDENTIAL MULTICAP FUND'!B911</f>
        <v>471.74</v>
      </c>
      <c r="C911" s="10">
        <f t="shared" si="56"/>
        <v>3.2325294542979491E-3</v>
      </c>
      <c r="D911" s="9">
        <f>'QUANT ACTIVE FUND'!B911</f>
        <v>458.15300000000002</v>
      </c>
      <c r="E911" s="10">
        <f t="shared" si="57"/>
        <v>3.2232564963290281E-3</v>
      </c>
      <c r="F911" s="9">
        <f>'NIPPON INDIA '!B911</f>
        <v>168.00299999999999</v>
      </c>
      <c r="G911" s="10">
        <f t="shared" si="58"/>
        <v>2.033853824957234E-3</v>
      </c>
      <c r="H911" s="9">
        <f>'NIFTY500 TRI'!B911</f>
        <v>24345.02</v>
      </c>
      <c r="I911" s="10">
        <f t="shared" si="59"/>
        <v>2.796872116626744E-3</v>
      </c>
    </row>
    <row r="912" spans="1:9" ht="14.25" customHeight="1" x14ac:dyDescent="0.3">
      <c r="A912" s="8">
        <f>'ICICI PRUDENTIAL MULTICAP FUND'!A912</f>
        <v>44879</v>
      </c>
      <c r="B912" s="9">
        <f>'ICICI PRUDENTIAL MULTICAP FUND'!B912</f>
        <v>470.22</v>
      </c>
      <c r="C912" s="10">
        <f t="shared" si="56"/>
        <v>-5.5262710423395445E-4</v>
      </c>
      <c r="D912" s="9">
        <f>'QUANT ACTIVE FUND'!B912</f>
        <v>456.68099999999998</v>
      </c>
      <c r="E912" s="10">
        <f t="shared" si="57"/>
        <v>7.5163584886632473E-4</v>
      </c>
      <c r="F912" s="9">
        <f>'NIPPON INDIA '!B912</f>
        <v>167.66200000000001</v>
      </c>
      <c r="G912" s="10">
        <f t="shared" si="58"/>
        <v>-1.0545820697215338E-3</v>
      </c>
      <c r="H912" s="9">
        <f>'NIFTY500 TRI'!B912</f>
        <v>24277.119999999999</v>
      </c>
      <c r="I912" s="10">
        <f t="shared" si="59"/>
        <v>7.2089529428387707E-5</v>
      </c>
    </row>
    <row r="913" spans="1:9" ht="14.25" customHeight="1" x14ac:dyDescent="0.3">
      <c r="A913" s="8">
        <f>'ICICI PRUDENTIAL MULTICAP FUND'!A913</f>
        <v>44876</v>
      </c>
      <c r="B913" s="9">
        <f>'ICICI PRUDENTIAL MULTICAP FUND'!B913</f>
        <v>470.48</v>
      </c>
      <c r="C913" s="10">
        <f t="shared" si="56"/>
        <v>5.9869996578857578E-3</v>
      </c>
      <c r="D913" s="9">
        <f>'QUANT ACTIVE FUND'!B913</f>
        <v>456.33800000000002</v>
      </c>
      <c r="E913" s="10">
        <f t="shared" si="57"/>
        <v>2.3700794492805361E-3</v>
      </c>
      <c r="F913" s="9">
        <f>'NIPPON INDIA '!B913</f>
        <v>167.839</v>
      </c>
      <c r="G913" s="10">
        <f t="shared" si="58"/>
        <v>9.2361532864710886E-3</v>
      </c>
      <c r="H913" s="9">
        <f>'NIFTY500 TRI'!B913</f>
        <v>24275.37</v>
      </c>
      <c r="I913" s="10">
        <f t="shared" si="59"/>
        <v>1.3545606143224455E-2</v>
      </c>
    </row>
    <row r="914" spans="1:9" ht="14.25" customHeight="1" x14ac:dyDescent="0.3">
      <c r="A914" s="8">
        <f>'ICICI PRUDENTIAL MULTICAP FUND'!A914</f>
        <v>44875</v>
      </c>
      <c r="B914" s="9">
        <f>'ICICI PRUDENTIAL MULTICAP FUND'!B914</f>
        <v>467.68</v>
      </c>
      <c r="C914" s="10">
        <f t="shared" si="56"/>
        <v>-5.2959567815896568E-3</v>
      </c>
      <c r="D914" s="9">
        <f>'QUANT ACTIVE FUND'!B914</f>
        <v>455.25900000000001</v>
      </c>
      <c r="E914" s="10">
        <f t="shared" si="57"/>
        <v>-9.4236167018428608E-3</v>
      </c>
      <c r="F914" s="9">
        <f>'NIPPON INDIA '!B914</f>
        <v>166.303</v>
      </c>
      <c r="G914" s="10">
        <f t="shared" si="58"/>
        <v>-9.2342704628455338E-3</v>
      </c>
      <c r="H914" s="9">
        <f>'NIFTY500 TRI'!B914</f>
        <v>23950.94</v>
      </c>
      <c r="I914" s="10">
        <f t="shared" si="59"/>
        <v>-8.1720105945433854E-3</v>
      </c>
    </row>
    <row r="915" spans="1:9" ht="14.25" customHeight="1" x14ac:dyDescent="0.3">
      <c r="A915" s="8">
        <f>'ICICI PRUDENTIAL MULTICAP FUND'!A915</f>
        <v>44874</v>
      </c>
      <c r="B915" s="9">
        <f>'ICICI PRUDENTIAL MULTICAP FUND'!B915</f>
        <v>470.17</v>
      </c>
      <c r="C915" s="10">
        <f t="shared" si="56"/>
        <v>-2.5246096401900834E-3</v>
      </c>
      <c r="D915" s="9">
        <f>'QUANT ACTIVE FUND'!B915</f>
        <v>459.59</v>
      </c>
      <c r="E915" s="10">
        <f t="shared" si="57"/>
        <v>5.2824410783615982E-3</v>
      </c>
      <c r="F915" s="9">
        <f>'NIPPON INDIA '!B915</f>
        <v>167.85300000000001</v>
      </c>
      <c r="G915" s="10">
        <f t="shared" si="58"/>
        <v>-3.4908365540455939E-3</v>
      </c>
      <c r="H915" s="9">
        <f>'NIFTY500 TRI'!B915</f>
        <v>24148.28</v>
      </c>
      <c r="I915" s="10">
        <f t="shared" si="59"/>
        <v>-2.9727154269067082E-3</v>
      </c>
    </row>
    <row r="916" spans="1:9" ht="14.25" customHeight="1" x14ac:dyDescent="0.3">
      <c r="A916" s="8">
        <f>'ICICI PRUDENTIAL MULTICAP FUND'!A916</f>
        <v>44872</v>
      </c>
      <c r="B916" s="9">
        <f>'ICICI PRUDENTIAL MULTICAP FUND'!B916</f>
        <v>471.36</v>
      </c>
      <c r="C916" s="10">
        <f t="shared" si="56"/>
        <v>6.2764185986934748E-3</v>
      </c>
      <c r="D916" s="9">
        <f>'QUANT ACTIVE FUND'!B916</f>
        <v>457.17500000000001</v>
      </c>
      <c r="E916" s="10">
        <f t="shared" si="57"/>
        <v>6.6807445264796435E-3</v>
      </c>
      <c r="F916" s="9">
        <f>'NIPPON INDIA '!B916</f>
        <v>168.441</v>
      </c>
      <c r="G916" s="10">
        <f t="shared" si="58"/>
        <v>4.1551411674933397E-3</v>
      </c>
      <c r="H916" s="9">
        <f>'NIFTY500 TRI'!B916</f>
        <v>24220.28</v>
      </c>
      <c r="I916" s="10">
        <f t="shared" si="59"/>
        <v>5.4318429286205009E-3</v>
      </c>
    </row>
    <row r="917" spans="1:9" ht="14.25" customHeight="1" x14ac:dyDescent="0.3">
      <c r="A917" s="8">
        <f>'ICICI PRUDENTIAL MULTICAP FUND'!A917</f>
        <v>44869</v>
      </c>
      <c r="B917" s="9">
        <f>'ICICI PRUDENTIAL MULTICAP FUND'!B917</f>
        <v>468.42</v>
      </c>
      <c r="C917" s="10">
        <f t="shared" si="56"/>
        <v>-4.6944349607368224E-4</v>
      </c>
      <c r="D917" s="9">
        <f>'QUANT ACTIVE FUND'!B917</f>
        <v>454.14100000000002</v>
      </c>
      <c r="E917" s="10">
        <f t="shared" si="57"/>
        <v>7.5319581316307602E-3</v>
      </c>
      <c r="F917" s="9">
        <f>'NIPPON INDIA '!B917</f>
        <v>167.744</v>
      </c>
      <c r="G917" s="10">
        <f t="shared" si="58"/>
        <v>-1.9073049780666296E-4</v>
      </c>
      <c r="H917" s="9">
        <f>'NIFTY500 TRI'!B917</f>
        <v>24089.43</v>
      </c>
      <c r="I917" s="10">
        <f t="shared" si="59"/>
        <v>2.9878002320792166E-3</v>
      </c>
    </row>
    <row r="918" spans="1:9" ht="14.25" customHeight="1" x14ac:dyDescent="0.3">
      <c r="A918" s="8">
        <f>'ICICI PRUDENTIAL MULTICAP FUND'!A918</f>
        <v>44868</v>
      </c>
      <c r="B918" s="9">
        <f>'ICICI PRUDENTIAL MULTICAP FUND'!B918</f>
        <v>468.64</v>
      </c>
      <c r="C918" s="10">
        <f t="shared" si="56"/>
        <v>1.8170546612795611E-3</v>
      </c>
      <c r="D918" s="9">
        <f>'QUANT ACTIVE FUND'!B918</f>
        <v>450.74599999999998</v>
      </c>
      <c r="E918" s="10">
        <f t="shared" si="57"/>
        <v>9.9934265460938716E-4</v>
      </c>
      <c r="F918" s="9">
        <f>'NIPPON INDIA '!B918</f>
        <v>167.77600000000001</v>
      </c>
      <c r="G918" s="10">
        <f t="shared" si="58"/>
        <v>-3.932269634537392E-4</v>
      </c>
      <c r="H918" s="9">
        <f>'NIFTY500 TRI'!B918</f>
        <v>24017.67</v>
      </c>
      <c r="I918" s="10">
        <f t="shared" si="59"/>
        <v>-8.0625534331380184E-4</v>
      </c>
    </row>
    <row r="919" spans="1:9" ht="14.25" customHeight="1" x14ac:dyDescent="0.3">
      <c r="A919" s="8">
        <f>'ICICI PRUDENTIAL MULTICAP FUND'!A919</f>
        <v>44867</v>
      </c>
      <c r="B919" s="9">
        <f>'ICICI PRUDENTIAL MULTICAP FUND'!B919</f>
        <v>467.79</v>
      </c>
      <c r="C919" s="10">
        <f t="shared" si="56"/>
        <v>-2.0905774686945868E-3</v>
      </c>
      <c r="D919" s="9">
        <f>'QUANT ACTIVE FUND'!B919</f>
        <v>450.29599999999999</v>
      </c>
      <c r="E919" s="10">
        <f t="shared" si="57"/>
        <v>7.1114903905984586E-4</v>
      </c>
      <c r="F919" s="9">
        <f>'NIPPON INDIA '!B919</f>
        <v>167.84200000000001</v>
      </c>
      <c r="G919" s="10">
        <f t="shared" si="58"/>
        <v>-9.7020921996358736E-4</v>
      </c>
      <c r="H919" s="9">
        <f>'NIFTY500 TRI'!B919</f>
        <v>24037.05</v>
      </c>
      <c r="I919" s="10">
        <f t="shared" si="59"/>
        <v>-2.564023828532862E-3</v>
      </c>
    </row>
    <row r="920" spans="1:9" ht="14.25" customHeight="1" x14ac:dyDescent="0.3">
      <c r="A920" s="8">
        <f>'ICICI PRUDENTIAL MULTICAP FUND'!A920</f>
        <v>44866</v>
      </c>
      <c r="B920" s="9">
        <f>'ICICI PRUDENTIAL MULTICAP FUND'!B920</f>
        <v>468.77</v>
      </c>
      <c r="C920" s="10">
        <f t="shared" si="56"/>
        <v>6.9598092496724363E-3</v>
      </c>
      <c r="D920" s="9">
        <f>'QUANT ACTIVE FUND'!B920</f>
        <v>449.976</v>
      </c>
      <c r="E920" s="10">
        <f t="shared" si="57"/>
        <v>2.1357765964317679E-3</v>
      </c>
      <c r="F920" s="9">
        <f>'NIPPON INDIA '!B920</f>
        <v>168.005</v>
      </c>
      <c r="G920" s="10">
        <f t="shared" si="58"/>
        <v>3.9859446150904256E-3</v>
      </c>
      <c r="H920" s="9">
        <f>'NIFTY500 TRI'!B920</f>
        <v>24098.84</v>
      </c>
      <c r="I920" s="10">
        <f t="shared" si="59"/>
        <v>7.4866971909417889E-3</v>
      </c>
    </row>
    <row r="921" spans="1:9" ht="14.25" customHeight="1" x14ac:dyDescent="0.3">
      <c r="A921" s="8">
        <f>'ICICI PRUDENTIAL MULTICAP FUND'!A921</f>
        <v>44865</v>
      </c>
      <c r="B921" s="9">
        <f>'ICICI PRUDENTIAL MULTICAP FUND'!B921</f>
        <v>465.53</v>
      </c>
      <c r="C921" s="10">
        <f t="shared" si="56"/>
        <v>8.885421407363989E-3</v>
      </c>
      <c r="D921" s="9">
        <f>'QUANT ACTIVE FUND'!B921</f>
        <v>449.017</v>
      </c>
      <c r="E921" s="10">
        <f t="shared" si="57"/>
        <v>9.1448888409432494E-3</v>
      </c>
      <c r="F921" s="9">
        <f>'NIPPON INDIA '!B921</f>
        <v>167.33799999999999</v>
      </c>
      <c r="G921" s="10">
        <f t="shared" si="58"/>
        <v>1.0788151154924141E-2</v>
      </c>
      <c r="H921" s="9">
        <f>'NIFTY500 TRI'!B921</f>
        <v>23919.759999999998</v>
      </c>
      <c r="I921" s="10">
        <f t="shared" si="59"/>
        <v>1.2055512986554023E-2</v>
      </c>
    </row>
    <row r="922" spans="1:9" ht="14.25" customHeight="1" x14ac:dyDescent="0.3">
      <c r="A922" s="8">
        <f>'ICICI PRUDENTIAL MULTICAP FUND'!A922</f>
        <v>44862</v>
      </c>
      <c r="B922" s="9">
        <f>'ICICI PRUDENTIAL MULTICAP FUND'!B922</f>
        <v>461.43</v>
      </c>
      <c r="C922" s="10">
        <f t="shared" si="56"/>
        <v>-4.4015793902518405E-3</v>
      </c>
      <c r="D922" s="9">
        <f>'QUANT ACTIVE FUND'!B922</f>
        <v>444.94799999999998</v>
      </c>
      <c r="E922" s="10">
        <f t="shared" si="57"/>
        <v>-3.4178921952902307E-3</v>
      </c>
      <c r="F922" s="9">
        <f>'NIPPON INDIA '!B922</f>
        <v>165.55199999999999</v>
      </c>
      <c r="G922" s="10">
        <f t="shared" si="58"/>
        <v>-4.6056349883958408E-3</v>
      </c>
      <c r="H922" s="9">
        <f>'NIFTY500 TRI'!B922</f>
        <v>23634.83</v>
      </c>
      <c r="I922" s="10">
        <f t="shared" si="59"/>
        <v>-1.6879015111574786E-4</v>
      </c>
    </row>
    <row r="923" spans="1:9" ht="14.25" customHeight="1" x14ac:dyDescent="0.3">
      <c r="A923" s="8">
        <f>'ICICI PRUDENTIAL MULTICAP FUND'!A923</f>
        <v>44861</v>
      </c>
      <c r="B923" s="9">
        <f>'ICICI PRUDENTIAL MULTICAP FUND'!B923</f>
        <v>463.47</v>
      </c>
      <c r="C923" s="10">
        <f t="shared" si="56"/>
        <v>5.9907534023573355E-3</v>
      </c>
      <c r="D923" s="9">
        <f>'QUANT ACTIVE FUND'!B923</f>
        <v>446.47399999999999</v>
      </c>
      <c r="E923" s="10">
        <f t="shared" si="57"/>
        <v>7.3099085358975377E-3</v>
      </c>
      <c r="F923" s="9">
        <f>'NIPPON INDIA '!B923</f>
        <v>166.31800000000001</v>
      </c>
      <c r="G923" s="10">
        <f t="shared" si="58"/>
        <v>5.1065732778157085E-3</v>
      </c>
      <c r="H923" s="9">
        <f>'NIFTY500 TRI'!B923</f>
        <v>23638.82</v>
      </c>
      <c r="I923" s="10">
        <f t="shared" si="59"/>
        <v>6.2090967715846233E-3</v>
      </c>
    </row>
    <row r="924" spans="1:9" ht="14.25" customHeight="1" x14ac:dyDescent="0.3">
      <c r="A924" s="8">
        <f>'ICICI PRUDENTIAL MULTICAP FUND'!A924</f>
        <v>44859</v>
      </c>
      <c r="B924" s="9">
        <f>'ICICI PRUDENTIAL MULTICAP FUND'!B924</f>
        <v>460.71</v>
      </c>
      <c r="C924" s="10">
        <f t="shared" si="56"/>
        <v>9.7532108885284453E-3</v>
      </c>
      <c r="D924" s="9">
        <f>'QUANT ACTIVE FUND'!B924</f>
        <v>443.23399999999998</v>
      </c>
      <c r="E924" s="10">
        <f t="shared" si="57"/>
        <v>4.5168060085078107E-3</v>
      </c>
      <c r="F924" s="9">
        <f>'NIPPON INDIA '!B924</f>
        <v>165.47300000000001</v>
      </c>
      <c r="G924" s="10">
        <f t="shared" si="58"/>
        <v>5.4137147440182984E-3</v>
      </c>
      <c r="H924" s="9">
        <f>'NIFTY500 TRI'!B924</f>
        <v>23492.95</v>
      </c>
      <c r="I924" s="10">
        <f t="shared" si="59"/>
        <v>-2.6681326891890129E-3</v>
      </c>
    </row>
    <row r="925" spans="1:9" ht="14.25" customHeight="1" x14ac:dyDescent="0.3">
      <c r="A925" s="8">
        <f>'ICICI PRUDENTIAL MULTICAP FUND'!A925</f>
        <v>44858</v>
      </c>
      <c r="B925" s="9">
        <f>'ICICI PRUDENTIAL MULTICAP FUND'!B925</f>
        <v>456.26</v>
      </c>
      <c r="C925" s="10">
        <f t="shared" si="56"/>
        <v>0</v>
      </c>
      <c r="D925" s="9">
        <f>'QUANT ACTIVE FUND'!B925</f>
        <v>441.24099999999999</v>
      </c>
      <c r="E925" s="10">
        <f t="shared" si="57"/>
        <v>0</v>
      </c>
      <c r="F925" s="9">
        <f>'NIPPON INDIA '!B925</f>
        <v>164.58199999999999</v>
      </c>
      <c r="G925" s="10">
        <f t="shared" si="58"/>
        <v>0</v>
      </c>
      <c r="H925" s="9">
        <f>'NIFTY500 TRI'!B925</f>
        <v>23555.8</v>
      </c>
      <c r="I925" s="10">
        <f t="shared" si="59"/>
        <v>7.8024491912397527E-3</v>
      </c>
    </row>
    <row r="926" spans="1:9" ht="14.25" customHeight="1" x14ac:dyDescent="0.3">
      <c r="A926" s="8">
        <f>'ICICI PRUDENTIAL MULTICAP FUND'!A926</f>
        <v>44855</v>
      </c>
      <c r="B926" s="9">
        <f>'ICICI PRUDENTIAL MULTICAP FUND'!B926</f>
        <v>456.26</v>
      </c>
      <c r="C926" s="10">
        <f t="shared" si="56"/>
        <v>-1.8813440672033901E-3</v>
      </c>
      <c r="D926" s="9">
        <f>'QUANT ACTIVE FUND'!B926</f>
        <v>441.24099999999999</v>
      </c>
      <c r="E926" s="10">
        <f t="shared" si="57"/>
        <v>-6.8045126321286996E-3</v>
      </c>
      <c r="F926" s="9">
        <f>'NIPPON INDIA '!B926</f>
        <v>164.58199999999999</v>
      </c>
      <c r="G926" s="10">
        <f t="shared" si="58"/>
        <v>9.852815959129433E-4</v>
      </c>
      <c r="H926" s="9">
        <f>'NIFTY500 TRI'!B926</f>
        <v>23373.43</v>
      </c>
      <c r="I926" s="10">
        <f t="shared" si="59"/>
        <v>-2.0498312657120316E-3</v>
      </c>
    </row>
    <row r="927" spans="1:9" ht="14.25" customHeight="1" x14ac:dyDescent="0.3">
      <c r="A927" s="8">
        <f>'ICICI PRUDENTIAL MULTICAP FUND'!A927</f>
        <v>44854</v>
      </c>
      <c r="B927" s="9">
        <f>'ICICI PRUDENTIAL MULTICAP FUND'!B927</f>
        <v>457.12</v>
      </c>
      <c r="C927" s="10">
        <f t="shared" si="56"/>
        <v>4.3754101947017737E-5</v>
      </c>
      <c r="D927" s="9">
        <f>'QUANT ACTIVE FUND'!B927</f>
        <v>444.26400000000001</v>
      </c>
      <c r="E927" s="10">
        <f t="shared" si="57"/>
        <v>6.8693864692804165E-3</v>
      </c>
      <c r="F927" s="9">
        <f>'NIPPON INDIA '!B927</f>
        <v>164.42</v>
      </c>
      <c r="G927" s="10">
        <f t="shared" si="58"/>
        <v>-4.4443368008041514E-3</v>
      </c>
      <c r="H927" s="9">
        <f>'NIFTY500 TRI'!B927</f>
        <v>23421.439999999999</v>
      </c>
      <c r="I927" s="10">
        <f t="shared" si="59"/>
        <v>2.8872985838406463E-3</v>
      </c>
    </row>
    <row r="928" spans="1:9" ht="14.25" customHeight="1" x14ac:dyDescent="0.3">
      <c r="A928" s="8">
        <f>'ICICI PRUDENTIAL MULTICAP FUND'!A928</f>
        <v>44853</v>
      </c>
      <c r="B928" s="9">
        <f>'ICICI PRUDENTIAL MULTICAP FUND'!B928</f>
        <v>457.1</v>
      </c>
      <c r="C928" s="10">
        <f t="shared" si="56"/>
        <v>4.3773254541485112E-4</v>
      </c>
      <c r="D928" s="9">
        <f>'QUANT ACTIVE FUND'!B928</f>
        <v>441.233</v>
      </c>
      <c r="E928" s="10">
        <f t="shared" si="57"/>
        <v>5.6010848416959745E-4</v>
      </c>
      <c r="F928" s="9">
        <f>'NIPPON INDIA '!B928</f>
        <v>165.154</v>
      </c>
      <c r="G928" s="10">
        <f t="shared" si="58"/>
        <v>1.5160335710473973E-3</v>
      </c>
      <c r="H928" s="9">
        <f>'NIFTY500 TRI'!B928</f>
        <v>23354.01</v>
      </c>
      <c r="I928" s="10">
        <f t="shared" si="59"/>
        <v>8.9314910918662771E-4</v>
      </c>
    </row>
    <row r="929" spans="1:9" ht="14.25" customHeight="1" x14ac:dyDescent="0.3">
      <c r="A929" s="8">
        <f>'ICICI PRUDENTIAL MULTICAP FUND'!A929</f>
        <v>44852</v>
      </c>
      <c r="B929" s="9">
        <f>'ICICI PRUDENTIAL MULTICAP FUND'!B929</f>
        <v>456.9</v>
      </c>
      <c r="C929" s="10">
        <f t="shared" si="56"/>
        <v>1.1444889646470146E-2</v>
      </c>
      <c r="D929" s="9">
        <f>'QUANT ACTIVE FUND'!B929</f>
        <v>440.98599999999999</v>
      </c>
      <c r="E929" s="10">
        <f t="shared" si="57"/>
        <v>9.9347758377456557E-3</v>
      </c>
      <c r="F929" s="9">
        <f>'NIPPON INDIA '!B929</f>
        <v>164.904</v>
      </c>
      <c r="G929" s="10">
        <f t="shared" si="58"/>
        <v>1.0955326544750125E-2</v>
      </c>
      <c r="H929" s="9">
        <f>'NIFTY500 TRI'!B929</f>
        <v>23333.17</v>
      </c>
      <c r="I929" s="10">
        <f t="shared" si="59"/>
        <v>1.0087380384975716E-2</v>
      </c>
    </row>
    <row r="930" spans="1:9" ht="14.25" customHeight="1" x14ac:dyDescent="0.3">
      <c r="A930" s="8">
        <f>'ICICI PRUDENTIAL MULTICAP FUND'!A930</f>
        <v>44851</v>
      </c>
      <c r="B930" s="9">
        <f>'ICICI PRUDENTIAL MULTICAP FUND'!B930</f>
        <v>451.73</v>
      </c>
      <c r="C930" s="10">
        <f t="shared" si="56"/>
        <v>3.6883151509765704E-3</v>
      </c>
      <c r="D930" s="9">
        <f>'QUANT ACTIVE FUND'!B930</f>
        <v>436.64800000000002</v>
      </c>
      <c r="E930" s="10">
        <f t="shared" si="57"/>
        <v>9.978396332465226E-3</v>
      </c>
      <c r="F930" s="9">
        <f>'NIPPON INDIA '!B930</f>
        <v>163.11699999999999</v>
      </c>
      <c r="G930" s="10">
        <f t="shared" si="58"/>
        <v>3.2968182013888548E-3</v>
      </c>
      <c r="H930" s="9">
        <f>'NIFTY500 TRI'!B930</f>
        <v>23100.15</v>
      </c>
      <c r="I930" s="10">
        <f t="shared" si="59"/>
        <v>6.2189152246467337E-3</v>
      </c>
    </row>
    <row r="931" spans="1:9" ht="14.25" customHeight="1" x14ac:dyDescent="0.3">
      <c r="A931" s="8">
        <f>'ICICI PRUDENTIAL MULTICAP FUND'!A931</f>
        <v>44848</v>
      </c>
      <c r="B931" s="9">
        <f>'ICICI PRUDENTIAL MULTICAP FUND'!B931</f>
        <v>450.07</v>
      </c>
      <c r="C931" s="10">
        <f t="shared" si="56"/>
        <v>1.9144720731951953E-3</v>
      </c>
      <c r="D931" s="9">
        <f>'QUANT ACTIVE FUND'!B931</f>
        <v>432.334</v>
      </c>
      <c r="E931" s="10">
        <f t="shared" si="57"/>
        <v>2.8857083207683505E-3</v>
      </c>
      <c r="F931" s="9">
        <f>'NIPPON INDIA '!B931</f>
        <v>162.58099999999999</v>
      </c>
      <c r="G931" s="10">
        <f t="shared" si="58"/>
        <v>2.4972868981846955E-3</v>
      </c>
      <c r="H931" s="9">
        <f>'NIFTY500 TRI'!B931</f>
        <v>22957.38</v>
      </c>
      <c r="I931" s="10">
        <f t="shared" si="59"/>
        <v>5.7565984023468632E-3</v>
      </c>
    </row>
    <row r="932" spans="1:9" ht="14.25" customHeight="1" x14ac:dyDescent="0.3">
      <c r="A932" s="8">
        <f>'ICICI PRUDENTIAL MULTICAP FUND'!A932</f>
        <v>44847</v>
      </c>
      <c r="B932" s="9">
        <f>'ICICI PRUDENTIAL MULTICAP FUND'!B932</f>
        <v>449.21</v>
      </c>
      <c r="C932" s="10">
        <f t="shared" si="56"/>
        <v>-5.688609500199197E-3</v>
      </c>
      <c r="D932" s="9">
        <f>'QUANT ACTIVE FUND'!B932</f>
        <v>431.09</v>
      </c>
      <c r="E932" s="10">
        <f t="shared" si="57"/>
        <v>-9.1684498677252462E-3</v>
      </c>
      <c r="F932" s="9">
        <f>'NIPPON INDIA '!B932</f>
        <v>162.17599999999999</v>
      </c>
      <c r="G932" s="10">
        <f t="shared" si="58"/>
        <v>-7.6305048860932307E-3</v>
      </c>
      <c r="H932" s="9">
        <f>'NIFTY500 TRI'!B932</f>
        <v>22825.98</v>
      </c>
      <c r="I932" s="10">
        <f t="shared" si="59"/>
        <v>-6.7196393448330704E-3</v>
      </c>
    </row>
    <row r="933" spans="1:9" ht="14.25" customHeight="1" x14ac:dyDescent="0.3">
      <c r="A933" s="8">
        <f>'ICICI PRUDENTIAL MULTICAP FUND'!A933</f>
        <v>44846</v>
      </c>
      <c r="B933" s="9">
        <f>'ICICI PRUDENTIAL MULTICAP FUND'!B933</f>
        <v>451.78</v>
      </c>
      <c r="C933" s="10">
        <f t="shared" si="56"/>
        <v>4.9828713796324069E-3</v>
      </c>
      <c r="D933" s="9">
        <f>'QUANT ACTIVE FUND'!B933</f>
        <v>435.07900000000001</v>
      </c>
      <c r="E933" s="10">
        <f t="shared" si="57"/>
        <v>7.2392302848464868E-3</v>
      </c>
      <c r="F933" s="9">
        <f>'NIPPON INDIA '!B933</f>
        <v>163.423</v>
      </c>
      <c r="G933" s="10">
        <f t="shared" si="58"/>
        <v>5.6428685710066184E-3</v>
      </c>
      <c r="H933" s="9">
        <f>'NIFTY500 TRI'!B933</f>
        <v>22980.400000000001</v>
      </c>
      <c r="I933" s="10">
        <f t="shared" si="59"/>
        <v>7.3388044876207268E-3</v>
      </c>
    </row>
    <row r="934" spans="1:9" ht="14.25" customHeight="1" x14ac:dyDescent="0.3">
      <c r="A934" s="8">
        <f>'ICICI PRUDENTIAL MULTICAP FUND'!A934</f>
        <v>44845</v>
      </c>
      <c r="B934" s="9">
        <f>'ICICI PRUDENTIAL MULTICAP FUND'!B934</f>
        <v>449.54</v>
      </c>
      <c r="C934" s="10">
        <f t="shared" si="56"/>
        <v>-1.356095848327922E-2</v>
      </c>
      <c r="D934" s="9">
        <f>'QUANT ACTIVE FUND'!B934</f>
        <v>431.952</v>
      </c>
      <c r="E934" s="10">
        <f t="shared" si="57"/>
        <v>-1.9097923980725004E-2</v>
      </c>
      <c r="F934" s="9">
        <f>'NIPPON INDIA '!B934</f>
        <v>162.506</v>
      </c>
      <c r="G934" s="10">
        <f t="shared" si="58"/>
        <v>-1.4135261714674054E-2</v>
      </c>
      <c r="H934" s="9">
        <f>'NIFTY500 TRI'!B934</f>
        <v>22812.98</v>
      </c>
      <c r="I934" s="10">
        <f t="shared" si="59"/>
        <v>-1.5365372148450213E-2</v>
      </c>
    </row>
    <row r="935" spans="1:9" ht="14.25" customHeight="1" x14ac:dyDescent="0.3">
      <c r="A935" s="8">
        <f>'ICICI PRUDENTIAL MULTICAP FUND'!A935</f>
        <v>44844</v>
      </c>
      <c r="B935" s="9">
        <f>'ICICI PRUDENTIAL MULTICAP FUND'!B935</f>
        <v>455.72</v>
      </c>
      <c r="C935" s="10">
        <f t="shared" si="56"/>
        <v>-4.6521786611335488E-3</v>
      </c>
      <c r="D935" s="9">
        <f>'QUANT ACTIVE FUND'!B935</f>
        <v>440.36200000000002</v>
      </c>
      <c r="E935" s="10">
        <f t="shared" si="57"/>
        <v>-5.7820433800005386E-3</v>
      </c>
      <c r="F935" s="9">
        <f>'NIPPON INDIA '!B935</f>
        <v>164.83600000000001</v>
      </c>
      <c r="G935" s="10">
        <f t="shared" si="58"/>
        <v>-4.9680367501915325E-3</v>
      </c>
      <c r="H935" s="9">
        <f>'NIFTY500 TRI'!B935</f>
        <v>23168.98</v>
      </c>
      <c r="I935" s="10">
        <f t="shared" si="59"/>
        <v>-5.6560362597459597E-3</v>
      </c>
    </row>
    <row r="936" spans="1:9" ht="14.25" customHeight="1" x14ac:dyDescent="0.3">
      <c r="A936" s="8">
        <f>'ICICI PRUDENTIAL MULTICAP FUND'!A936</f>
        <v>44841</v>
      </c>
      <c r="B936" s="9">
        <f>'ICICI PRUDENTIAL MULTICAP FUND'!B936</f>
        <v>457.85</v>
      </c>
      <c r="C936" s="10">
        <f t="shared" si="56"/>
        <v>-1.0254843777272875E-3</v>
      </c>
      <c r="D936" s="9">
        <f>'QUANT ACTIVE FUND'!B936</f>
        <v>442.923</v>
      </c>
      <c r="E936" s="10">
        <f t="shared" si="57"/>
        <v>2.0323688613986532E-4</v>
      </c>
      <c r="F936" s="9">
        <f>'NIPPON INDIA '!B936</f>
        <v>165.65899999999999</v>
      </c>
      <c r="G936" s="10">
        <f t="shared" si="58"/>
        <v>-1.5850821470329748E-3</v>
      </c>
      <c r="H936" s="9">
        <f>'NIFTY500 TRI'!B936</f>
        <v>23300.77</v>
      </c>
      <c r="I936" s="10">
        <f t="shared" si="59"/>
        <v>-1.0854798210930211E-3</v>
      </c>
    </row>
    <row r="937" spans="1:9" ht="14.25" customHeight="1" x14ac:dyDescent="0.3">
      <c r="A937" s="8">
        <f>'ICICI PRUDENTIAL MULTICAP FUND'!A937</f>
        <v>44840</v>
      </c>
      <c r="B937" s="9">
        <f>'ICICI PRUDENTIAL MULTICAP FUND'!B937</f>
        <v>458.32</v>
      </c>
      <c r="C937" s="10">
        <f t="shared" si="56"/>
        <v>1.0338822388290011E-2</v>
      </c>
      <c r="D937" s="9">
        <f>'QUANT ACTIVE FUND'!B937</f>
        <v>442.83300000000003</v>
      </c>
      <c r="E937" s="10">
        <f t="shared" si="57"/>
        <v>1.5117894360417999E-2</v>
      </c>
      <c r="F937" s="9">
        <f>'NIPPON INDIA '!B937</f>
        <v>165.922</v>
      </c>
      <c r="G937" s="10">
        <f t="shared" si="58"/>
        <v>6.1366806136680645E-3</v>
      </c>
      <c r="H937" s="9">
        <f>'NIFTY500 TRI'!B937</f>
        <v>23326.09</v>
      </c>
      <c r="I937" s="10">
        <f t="shared" si="59"/>
        <v>5.8272731388752689E-3</v>
      </c>
    </row>
    <row r="938" spans="1:9" ht="14.25" customHeight="1" x14ac:dyDescent="0.3">
      <c r="A938" s="8">
        <f>'ICICI PRUDENTIAL MULTICAP FUND'!A938</f>
        <v>44838</v>
      </c>
      <c r="B938" s="9">
        <f>'ICICI PRUDENTIAL MULTICAP FUND'!B938</f>
        <v>453.63</v>
      </c>
      <c r="C938" s="10">
        <f t="shared" si="56"/>
        <v>1.6492258050059411E-2</v>
      </c>
      <c r="D938" s="9">
        <f>'QUANT ACTIVE FUND'!B938</f>
        <v>436.238</v>
      </c>
      <c r="E938" s="10">
        <f t="shared" si="57"/>
        <v>2.3453867647645382E-2</v>
      </c>
      <c r="F938" s="9">
        <f>'NIPPON INDIA '!B938</f>
        <v>164.91</v>
      </c>
      <c r="G938" s="10">
        <f t="shared" si="58"/>
        <v>1.9422877206864125E-2</v>
      </c>
      <c r="H938" s="9">
        <f>'NIFTY500 TRI'!B938</f>
        <v>23190.95</v>
      </c>
      <c r="I938" s="10">
        <f t="shared" si="59"/>
        <v>2.2359167968626116E-2</v>
      </c>
    </row>
    <row r="939" spans="1:9" ht="14.25" customHeight="1" x14ac:dyDescent="0.3">
      <c r="A939" s="8">
        <f>'ICICI PRUDENTIAL MULTICAP FUND'!A939</f>
        <v>44837</v>
      </c>
      <c r="B939" s="9">
        <f>'ICICI PRUDENTIAL MULTICAP FUND'!B939</f>
        <v>446.27</v>
      </c>
      <c r="C939" s="10">
        <f t="shared" si="56"/>
        <v>-9.4335434608896398E-3</v>
      </c>
      <c r="D939" s="9">
        <f>'QUANT ACTIVE FUND'!B939</f>
        <v>426.24099999999999</v>
      </c>
      <c r="E939" s="10">
        <f t="shared" si="57"/>
        <v>-2.1080795553718317E-2</v>
      </c>
      <c r="F939" s="9">
        <f>'NIPPON INDIA '!B939</f>
        <v>161.768</v>
      </c>
      <c r="G939" s="10">
        <f t="shared" si="58"/>
        <v>-6.930759928052639E-3</v>
      </c>
      <c r="H939" s="9">
        <f>'NIFTY500 TRI'!B939</f>
        <v>22683.759999999998</v>
      </c>
      <c r="I939" s="10">
        <f t="shared" si="59"/>
        <v>-1.2867583862973323E-2</v>
      </c>
    </row>
    <row r="940" spans="1:9" ht="14.25" customHeight="1" x14ac:dyDescent="0.3">
      <c r="A940" s="8">
        <f>'ICICI PRUDENTIAL MULTICAP FUND'!A940</f>
        <v>44834</v>
      </c>
      <c r="B940" s="9">
        <f>'ICICI PRUDENTIAL MULTICAP FUND'!B940</f>
        <v>450.52</v>
      </c>
      <c r="C940" s="10">
        <f t="shared" si="56"/>
        <v>1.7342606810586234E-2</v>
      </c>
      <c r="D940" s="9">
        <f>'QUANT ACTIVE FUND'!B940</f>
        <v>435.42</v>
      </c>
      <c r="E940" s="10">
        <f t="shared" si="57"/>
        <v>1.5772443830643995E-2</v>
      </c>
      <c r="F940" s="9">
        <f>'NIPPON INDIA '!B940</f>
        <v>162.89699999999999</v>
      </c>
      <c r="G940" s="10">
        <f t="shared" si="58"/>
        <v>1.8144430416140552E-2</v>
      </c>
      <c r="H940" s="9">
        <f>'NIFTY500 TRI'!B940</f>
        <v>22979.45</v>
      </c>
      <c r="I940" s="10">
        <f t="shared" si="59"/>
        <v>1.5533437393384185E-2</v>
      </c>
    </row>
    <row r="941" spans="1:9" ht="14.25" customHeight="1" x14ac:dyDescent="0.3">
      <c r="A941" s="8">
        <f>'ICICI PRUDENTIAL MULTICAP FUND'!A941</f>
        <v>44833</v>
      </c>
      <c r="B941" s="9">
        <f>'ICICI PRUDENTIAL MULTICAP FUND'!B941</f>
        <v>442.84</v>
      </c>
      <c r="C941" s="10">
        <f t="shared" si="56"/>
        <v>1.1303522177510514E-3</v>
      </c>
      <c r="D941" s="9">
        <f>'QUANT ACTIVE FUND'!B941</f>
        <v>428.65899999999999</v>
      </c>
      <c r="E941" s="10">
        <f t="shared" si="57"/>
        <v>6.3362757066391506E-3</v>
      </c>
      <c r="F941" s="9">
        <f>'NIPPON INDIA '!B941</f>
        <v>159.994</v>
      </c>
      <c r="G941" s="10">
        <f t="shared" si="58"/>
        <v>2.6822756727623506E-3</v>
      </c>
      <c r="H941" s="9">
        <f>'NIFTY500 TRI'!B941</f>
        <v>22627.96</v>
      </c>
      <c r="I941" s="10">
        <f t="shared" si="59"/>
        <v>-1.2376412429378916E-3</v>
      </c>
    </row>
    <row r="942" spans="1:9" ht="14.25" customHeight="1" x14ac:dyDescent="0.3">
      <c r="A942" s="8">
        <f>'ICICI PRUDENTIAL MULTICAP FUND'!A942</f>
        <v>44832</v>
      </c>
      <c r="B942" s="9">
        <f>'ICICI PRUDENTIAL MULTICAP FUND'!B942</f>
        <v>442.34</v>
      </c>
      <c r="C942" s="10">
        <f t="shared" si="56"/>
        <v>-3.1325355508981657E-3</v>
      </c>
      <c r="D942" s="9">
        <f>'QUANT ACTIVE FUND'!B942</f>
        <v>425.96</v>
      </c>
      <c r="E942" s="10">
        <f t="shared" si="57"/>
        <v>-1.1762522330232219E-2</v>
      </c>
      <c r="F942" s="9">
        <f>'NIPPON INDIA '!B942</f>
        <v>159.566</v>
      </c>
      <c r="G942" s="10">
        <f t="shared" si="58"/>
        <v>-5.0444271239282771E-3</v>
      </c>
      <c r="H942" s="9">
        <f>'NIFTY500 TRI'!B942</f>
        <v>22656</v>
      </c>
      <c r="I942" s="10">
        <f t="shared" si="59"/>
        <v>-7.2445383332172897E-3</v>
      </c>
    </row>
    <row r="943" spans="1:9" ht="14.25" customHeight="1" x14ac:dyDescent="0.3">
      <c r="A943" s="8">
        <f>'ICICI PRUDENTIAL MULTICAP FUND'!A943</f>
        <v>44831</v>
      </c>
      <c r="B943" s="9">
        <f>'ICICI PRUDENTIAL MULTICAP FUND'!B943</f>
        <v>443.73</v>
      </c>
      <c r="C943" s="10">
        <f t="shared" si="56"/>
        <v>-3.6044966095196595E-4</v>
      </c>
      <c r="D943" s="9">
        <f>'QUANT ACTIVE FUND'!B943</f>
        <v>431.03</v>
      </c>
      <c r="E943" s="10">
        <f t="shared" si="57"/>
        <v>-6.9088953186438584E-4</v>
      </c>
      <c r="F943" s="9">
        <f>'NIPPON INDIA '!B943</f>
        <v>160.375</v>
      </c>
      <c r="G943" s="10">
        <f t="shared" si="58"/>
        <v>-2.2442351210329319E-4</v>
      </c>
      <c r="H943" s="9">
        <f>'NIFTY500 TRI'!B943</f>
        <v>22821.33</v>
      </c>
      <c r="I943" s="10">
        <f t="shared" si="59"/>
        <v>1.0780551359479084E-4</v>
      </c>
    </row>
    <row r="944" spans="1:9" ht="14.25" customHeight="1" x14ac:dyDescent="0.3">
      <c r="A944" s="8">
        <f>'ICICI PRUDENTIAL MULTICAP FUND'!A944</f>
        <v>44830</v>
      </c>
      <c r="B944" s="9">
        <f>'ICICI PRUDENTIAL MULTICAP FUND'!B944</f>
        <v>443.89</v>
      </c>
      <c r="C944" s="10">
        <f t="shared" si="56"/>
        <v>-1.7638206524144707E-2</v>
      </c>
      <c r="D944" s="9">
        <f>'QUANT ACTIVE FUND'!B944</f>
        <v>431.32799999999997</v>
      </c>
      <c r="E944" s="10">
        <f t="shared" si="57"/>
        <v>-3.7167003736790723E-2</v>
      </c>
      <c r="F944" s="9">
        <f>'NIPPON INDIA '!B944</f>
        <v>160.411</v>
      </c>
      <c r="G944" s="10">
        <f t="shared" si="58"/>
        <v>-2.3408581726086102E-2</v>
      </c>
      <c r="H944" s="9">
        <f>'NIFTY500 TRI'!B944</f>
        <v>22818.87</v>
      </c>
      <c r="I944" s="10">
        <f t="shared" si="59"/>
        <v>-2.2044935874771025E-2</v>
      </c>
    </row>
    <row r="945" spans="1:9" ht="14.25" customHeight="1" x14ac:dyDescent="0.3">
      <c r="A945" s="8">
        <f>'ICICI PRUDENTIAL MULTICAP FUND'!A945</f>
        <v>44827</v>
      </c>
      <c r="B945" s="9">
        <f>'ICICI PRUDENTIAL MULTICAP FUND'!B945</f>
        <v>451.86</v>
      </c>
      <c r="C945" s="10">
        <f t="shared" si="56"/>
        <v>-1.8463810930576072E-2</v>
      </c>
      <c r="D945" s="9">
        <f>'QUANT ACTIVE FUND'!B945</f>
        <v>447.97800000000001</v>
      </c>
      <c r="E945" s="10">
        <f t="shared" si="57"/>
        <v>-1.713300291583562E-2</v>
      </c>
      <c r="F945" s="9">
        <f>'NIPPON INDIA '!B945</f>
        <v>164.256</v>
      </c>
      <c r="G945" s="10">
        <f t="shared" si="58"/>
        <v>-1.4997871153834649E-2</v>
      </c>
      <c r="H945" s="9">
        <f>'NIFTY500 TRI'!B945</f>
        <v>23333.25</v>
      </c>
      <c r="I945" s="10">
        <f t="shared" si="59"/>
        <v>-1.8103018754860353E-2</v>
      </c>
    </row>
    <row r="946" spans="1:9" ht="14.25" customHeight="1" x14ac:dyDescent="0.3">
      <c r="A946" s="8">
        <f>'ICICI PRUDENTIAL MULTICAP FUND'!A946</f>
        <v>44826</v>
      </c>
      <c r="B946" s="9">
        <f>'ICICI PRUDENTIAL MULTICAP FUND'!B946</f>
        <v>460.36</v>
      </c>
      <c r="C946" s="10">
        <f t="shared" si="56"/>
        <v>-1.5398963281063169E-3</v>
      </c>
      <c r="D946" s="9">
        <f>'QUANT ACTIVE FUND'!B946</f>
        <v>455.78699999999998</v>
      </c>
      <c r="E946" s="10">
        <f t="shared" si="57"/>
        <v>-1.8854785305093787E-3</v>
      </c>
      <c r="F946" s="9">
        <f>'NIPPON INDIA '!B946</f>
        <v>166.75700000000001</v>
      </c>
      <c r="G946" s="10">
        <f t="shared" si="58"/>
        <v>-1.9630726875542563E-3</v>
      </c>
      <c r="H946" s="9">
        <f>'NIFTY500 TRI'!B946</f>
        <v>23763.439999999999</v>
      </c>
      <c r="I946" s="10">
        <f t="shared" si="59"/>
        <v>-1.6321958937565327E-3</v>
      </c>
    </row>
    <row r="947" spans="1:9" ht="14.25" customHeight="1" x14ac:dyDescent="0.3">
      <c r="A947" s="8">
        <f>'ICICI PRUDENTIAL MULTICAP FUND'!A947</f>
        <v>44825</v>
      </c>
      <c r="B947" s="9">
        <f>'ICICI PRUDENTIAL MULTICAP FUND'!B947</f>
        <v>461.07</v>
      </c>
      <c r="C947" s="10">
        <f t="shared" si="56"/>
        <v>-6.4645419872002069E-3</v>
      </c>
      <c r="D947" s="9">
        <f>'QUANT ACTIVE FUND'!B947</f>
        <v>456.64800000000002</v>
      </c>
      <c r="E947" s="10">
        <f t="shared" si="57"/>
        <v>-9.6637634893645703E-3</v>
      </c>
      <c r="F947" s="9">
        <f>'NIPPON INDIA '!B947</f>
        <v>167.08500000000001</v>
      </c>
      <c r="G947" s="10">
        <f t="shared" si="58"/>
        <v>-2.4061425296140115E-3</v>
      </c>
      <c r="H947" s="9">
        <f>'NIFTY500 TRI'!B947</f>
        <v>23802.29</v>
      </c>
      <c r="I947" s="10">
        <f t="shared" si="59"/>
        <v>-7.0430584803713014E-3</v>
      </c>
    </row>
    <row r="948" spans="1:9" ht="14.25" customHeight="1" x14ac:dyDescent="0.3">
      <c r="A948" s="8">
        <f>'ICICI PRUDENTIAL MULTICAP FUND'!A948</f>
        <v>44824</v>
      </c>
      <c r="B948" s="9">
        <f>'ICICI PRUDENTIAL MULTICAP FUND'!B948</f>
        <v>464.07</v>
      </c>
      <c r="C948" s="10">
        <f t="shared" si="56"/>
        <v>1.2413281556786941E-2</v>
      </c>
      <c r="D948" s="9">
        <f>'QUANT ACTIVE FUND'!B948</f>
        <v>461.10399999999998</v>
      </c>
      <c r="E948" s="10">
        <f t="shared" si="57"/>
        <v>1.0441798750490285E-2</v>
      </c>
      <c r="F948" s="9">
        <f>'NIPPON INDIA '!B948</f>
        <v>167.488</v>
      </c>
      <c r="G948" s="10">
        <f t="shared" si="58"/>
        <v>1.3432727448749902E-2</v>
      </c>
      <c r="H948" s="9">
        <f>'NIFTY500 TRI'!B948</f>
        <v>23971.119999999999</v>
      </c>
      <c r="I948" s="10">
        <f t="shared" si="59"/>
        <v>1.1580088543937106E-2</v>
      </c>
    </row>
    <row r="949" spans="1:9" ht="14.25" customHeight="1" x14ac:dyDescent="0.3">
      <c r="A949" s="8">
        <f>'ICICI PRUDENTIAL MULTICAP FUND'!A949</f>
        <v>44823</v>
      </c>
      <c r="B949" s="9">
        <f>'ICICI PRUDENTIAL MULTICAP FUND'!B949</f>
        <v>458.38</v>
      </c>
      <c r="C949" s="10">
        <f t="shared" si="56"/>
        <v>3.151398433054663E-3</v>
      </c>
      <c r="D949" s="9">
        <f>'QUANT ACTIVE FUND'!B949</f>
        <v>456.339</v>
      </c>
      <c r="E949" s="10">
        <f t="shared" si="57"/>
        <v>1.3892900467910545E-2</v>
      </c>
      <c r="F949" s="9">
        <f>'NIPPON INDIA '!B949</f>
        <v>165.268</v>
      </c>
      <c r="G949" s="10">
        <f t="shared" si="58"/>
        <v>5.4694011644531564E-3</v>
      </c>
      <c r="H949" s="9">
        <f>'NIFTY500 TRI'!B949</f>
        <v>23696.71</v>
      </c>
      <c r="I949" s="10">
        <f t="shared" si="59"/>
        <v>3.30076739878271E-3</v>
      </c>
    </row>
    <row r="950" spans="1:9" ht="14.25" customHeight="1" x14ac:dyDescent="0.3">
      <c r="A950" s="8">
        <f>'ICICI PRUDENTIAL MULTICAP FUND'!A950</f>
        <v>44820</v>
      </c>
      <c r="B950" s="9">
        <f>'ICICI PRUDENTIAL MULTICAP FUND'!B950</f>
        <v>456.94</v>
      </c>
      <c r="C950" s="10">
        <f t="shared" si="56"/>
        <v>-2.0849851072492379E-2</v>
      </c>
      <c r="D950" s="9">
        <f>'QUANT ACTIVE FUND'!B950</f>
        <v>450.08600000000001</v>
      </c>
      <c r="E950" s="10">
        <f t="shared" si="57"/>
        <v>-2.5349074908183687E-2</v>
      </c>
      <c r="F950" s="9">
        <f>'NIPPON INDIA '!B950</f>
        <v>164.369</v>
      </c>
      <c r="G950" s="10">
        <f t="shared" si="58"/>
        <v>-1.9067341433720807E-2</v>
      </c>
      <c r="H950" s="9">
        <f>'NIFTY500 TRI'!B950</f>
        <v>23618.75</v>
      </c>
      <c r="I950" s="10">
        <f t="shared" si="59"/>
        <v>-2.1590360208020347E-2</v>
      </c>
    </row>
    <row r="951" spans="1:9" ht="14.25" customHeight="1" x14ac:dyDescent="0.3">
      <c r="A951" s="8">
        <f>'ICICI PRUDENTIAL MULTICAP FUND'!A951</f>
        <v>44819</v>
      </c>
      <c r="B951" s="9">
        <f>'ICICI PRUDENTIAL MULTICAP FUND'!B951</f>
        <v>466.67</v>
      </c>
      <c r="C951" s="10">
        <f t="shared" si="56"/>
        <v>-3.5019538339988178E-3</v>
      </c>
      <c r="D951" s="9">
        <f>'QUANT ACTIVE FUND'!B951</f>
        <v>461.79199999999997</v>
      </c>
      <c r="E951" s="10">
        <f t="shared" si="57"/>
        <v>6.8154168828733252E-3</v>
      </c>
      <c r="F951" s="9">
        <f>'NIPPON INDIA '!B951</f>
        <v>167.56399999999999</v>
      </c>
      <c r="G951" s="10">
        <f t="shared" si="58"/>
        <v>6.6884838640323655E-4</v>
      </c>
      <c r="H951" s="9">
        <f>'NIFTY500 TRI'!B951</f>
        <v>24139.94</v>
      </c>
      <c r="I951" s="10">
        <f t="shared" si="59"/>
        <v>-3.1334887689122657E-3</v>
      </c>
    </row>
    <row r="952" spans="1:9" ht="14.25" customHeight="1" x14ac:dyDescent="0.3">
      <c r="A952" s="8">
        <f>'ICICI PRUDENTIAL MULTICAP FUND'!A952</f>
        <v>44818</v>
      </c>
      <c r="B952" s="9">
        <f>'ICICI PRUDENTIAL MULTICAP FUND'!B952</f>
        <v>468.31</v>
      </c>
      <c r="C952" s="10">
        <f t="shared" si="56"/>
        <v>-5.3354959877070177E-4</v>
      </c>
      <c r="D952" s="9">
        <f>'QUANT ACTIVE FUND'!B952</f>
        <v>458.666</v>
      </c>
      <c r="E952" s="10">
        <f t="shared" si="57"/>
        <v>1.38057557137173E-2</v>
      </c>
      <c r="F952" s="9">
        <f>'NIPPON INDIA '!B952</f>
        <v>167.452</v>
      </c>
      <c r="G952" s="10">
        <f t="shared" si="58"/>
        <v>9.982963206503965E-4</v>
      </c>
      <c r="H952" s="9">
        <f>'NIFTY500 TRI'!B952</f>
        <v>24215.82</v>
      </c>
      <c r="I952" s="10">
        <f t="shared" si="59"/>
        <v>-2.4962494469941842E-3</v>
      </c>
    </row>
    <row r="953" spans="1:9" ht="14.25" customHeight="1" x14ac:dyDescent="0.3">
      <c r="A953" s="8">
        <f>'ICICI PRUDENTIAL MULTICAP FUND'!A953</f>
        <v>44817</v>
      </c>
      <c r="B953" s="9">
        <f>'ICICI PRUDENTIAL MULTICAP FUND'!B953</f>
        <v>468.56</v>
      </c>
      <c r="C953" s="10">
        <f t="shared" si="56"/>
        <v>3.3834425457192683E-3</v>
      </c>
      <c r="D953" s="9">
        <f>'QUANT ACTIVE FUND'!B953</f>
        <v>452.42</v>
      </c>
      <c r="E953" s="10">
        <f t="shared" si="57"/>
        <v>5.9522883068775304E-3</v>
      </c>
      <c r="F953" s="9">
        <f>'NIPPON INDIA '!B953</f>
        <v>167.285</v>
      </c>
      <c r="G953" s="10">
        <f t="shared" si="58"/>
        <v>6.5040552573944598E-3</v>
      </c>
      <c r="H953" s="9">
        <f>'NIFTY500 TRI'!B953</f>
        <v>24276.42</v>
      </c>
      <c r="I953" s="10">
        <f t="shared" si="59"/>
        <v>5.9374809649638165E-3</v>
      </c>
    </row>
    <row r="954" spans="1:9" ht="14.25" customHeight="1" x14ac:dyDescent="0.3">
      <c r="A954" s="8">
        <f>'ICICI PRUDENTIAL MULTICAP FUND'!A954</f>
        <v>44816</v>
      </c>
      <c r="B954" s="9">
        <f>'ICICI PRUDENTIAL MULTICAP FUND'!B954</f>
        <v>466.98</v>
      </c>
      <c r="C954" s="10">
        <f t="shared" si="56"/>
        <v>6.6393619314508321E-3</v>
      </c>
      <c r="D954" s="9">
        <f>'QUANT ACTIVE FUND'!B954</f>
        <v>449.74299999999999</v>
      </c>
      <c r="E954" s="10">
        <f t="shared" si="57"/>
        <v>8.9579360628154678E-3</v>
      </c>
      <c r="F954" s="9">
        <f>'NIPPON INDIA '!B954</f>
        <v>166.20400000000001</v>
      </c>
      <c r="G954" s="10">
        <f t="shared" si="58"/>
        <v>5.8156775173533086E-3</v>
      </c>
      <c r="H954" s="9">
        <f>'NIFTY500 TRI'!B954</f>
        <v>24133.13</v>
      </c>
      <c r="I954" s="10">
        <f t="shared" si="59"/>
        <v>7.1156659831020999E-3</v>
      </c>
    </row>
    <row r="955" spans="1:9" ht="14.25" customHeight="1" x14ac:dyDescent="0.3">
      <c r="A955" s="8">
        <f>'ICICI PRUDENTIAL MULTICAP FUND'!A955</f>
        <v>44813</v>
      </c>
      <c r="B955" s="9">
        <f>'ICICI PRUDENTIAL MULTICAP FUND'!B955</f>
        <v>463.9</v>
      </c>
      <c r="C955" s="10">
        <f t="shared" si="56"/>
        <v>1.8356548968793129E-3</v>
      </c>
      <c r="D955" s="9">
        <f>'QUANT ACTIVE FUND'!B955</f>
        <v>445.75</v>
      </c>
      <c r="E955" s="10">
        <f t="shared" si="57"/>
        <v>7.6281757890656412E-5</v>
      </c>
      <c r="F955" s="9">
        <f>'NIPPON INDIA '!B955</f>
        <v>165.24299999999999</v>
      </c>
      <c r="G955" s="10">
        <f t="shared" si="58"/>
        <v>1.0894235133908721E-4</v>
      </c>
      <c r="H955" s="9">
        <f>'NIFTY500 TRI'!B955</f>
        <v>23962.62</v>
      </c>
      <c r="I955" s="10">
        <f t="shared" si="59"/>
        <v>1.7398938171480699E-3</v>
      </c>
    </row>
    <row r="956" spans="1:9" ht="14.25" customHeight="1" x14ac:dyDescent="0.3">
      <c r="A956" s="8">
        <f>'ICICI PRUDENTIAL MULTICAP FUND'!A956</f>
        <v>44812</v>
      </c>
      <c r="B956" s="9">
        <f>'ICICI PRUDENTIAL MULTICAP FUND'!B956</f>
        <v>463.05</v>
      </c>
      <c r="C956" s="10">
        <f t="shared" si="56"/>
        <v>9.4613154280482926E-3</v>
      </c>
      <c r="D956" s="9">
        <f>'QUANT ACTIVE FUND'!B956</f>
        <v>445.71600000000001</v>
      </c>
      <c r="E956" s="10">
        <f t="shared" si="57"/>
        <v>6.9856130711393512E-3</v>
      </c>
      <c r="F956" s="9">
        <f>'NIPPON INDIA '!B956</f>
        <v>165.22499999999999</v>
      </c>
      <c r="G956" s="10">
        <f t="shared" si="58"/>
        <v>5.9177001333309501E-3</v>
      </c>
      <c r="H956" s="9">
        <f>'NIFTY500 TRI'!B956</f>
        <v>23921</v>
      </c>
      <c r="I956" s="10">
        <f t="shared" si="59"/>
        <v>7.927829990919821E-3</v>
      </c>
    </row>
    <row r="957" spans="1:9" ht="14.25" customHeight="1" x14ac:dyDescent="0.3">
      <c r="A957" s="8">
        <f>'ICICI PRUDENTIAL MULTICAP FUND'!A957</f>
        <v>44811</v>
      </c>
      <c r="B957" s="9">
        <f>'ICICI PRUDENTIAL MULTICAP FUND'!B957</f>
        <v>458.71</v>
      </c>
      <c r="C957" s="10">
        <f t="shared" si="56"/>
        <v>5.4530384330148758E-4</v>
      </c>
      <c r="D957" s="9">
        <f>'QUANT ACTIVE FUND'!B957</f>
        <v>442.62400000000002</v>
      </c>
      <c r="E957" s="10">
        <f t="shared" si="57"/>
        <v>5.8767651884610254E-3</v>
      </c>
      <c r="F957" s="9">
        <f>'NIPPON INDIA '!B957</f>
        <v>164.25299999999999</v>
      </c>
      <c r="G957" s="10">
        <f t="shared" si="58"/>
        <v>9.8555179833998158E-3</v>
      </c>
      <c r="H957" s="9">
        <f>'NIFTY500 TRI'!B957</f>
        <v>23732.85</v>
      </c>
      <c r="I957" s="10">
        <f t="shared" si="59"/>
        <v>4.2743851777471539E-4</v>
      </c>
    </row>
    <row r="958" spans="1:9" ht="14.25" customHeight="1" x14ac:dyDescent="0.3">
      <c r="A958" s="8">
        <f>'ICICI PRUDENTIAL MULTICAP FUND'!A958</f>
        <v>44810</v>
      </c>
      <c r="B958" s="9">
        <f>'ICICI PRUDENTIAL MULTICAP FUND'!B958</f>
        <v>458.46</v>
      </c>
      <c r="C958" s="10">
        <f t="shared" si="56"/>
        <v>1.048080702213986E-3</v>
      </c>
      <c r="D958" s="9">
        <f>'QUANT ACTIVE FUND'!B958</f>
        <v>440.03800000000001</v>
      </c>
      <c r="E958" s="10">
        <f t="shared" si="57"/>
        <v>2.9813324823923433E-3</v>
      </c>
      <c r="F958" s="9">
        <f>'NIPPON INDIA '!B958</f>
        <v>162.65</v>
      </c>
      <c r="G958" s="10">
        <f t="shared" si="58"/>
        <v>-2.3920510304218986E-3</v>
      </c>
      <c r="H958" s="9">
        <f>'NIFTY500 TRI'!B958</f>
        <v>23722.71</v>
      </c>
      <c r="I958" s="10">
        <f t="shared" si="59"/>
        <v>1.2205729855796921E-3</v>
      </c>
    </row>
    <row r="959" spans="1:9" ht="14.25" customHeight="1" x14ac:dyDescent="0.3">
      <c r="A959" s="8">
        <f>'ICICI PRUDENTIAL MULTICAP FUND'!A959</f>
        <v>44809</v>
      </c>
      <c r="B959" s="9">
        <f>'ICICI PRUDENTIAL MULTICAP FUND'!B959</f>
        <v>457.98</v>
      </c>
      <c r="C959" s="10">
        <f t="shared" si="56"/>
        <v>7.1913967143894765E-3</v>
      </c>
      <c r="D959" s="9">
        <f>'QUANT ACTIVE FUND'!B959</f>
        <v>438.73</v>
      </c>
      <c r="E959" s="10">
        <f t="shared" si="57"/>
        <v>9.386862993213025E-3</v>
      </c>
      <c r="F959" s="9">
        <f>'NIPPON INDIA '!B959</f>
        <v>163.04</v>
      </c>
      <c r="G959" s="10">
        <f t="shared" si="58"/>
        <v>6.8610316867268369E-3</v>
      </c>
      <c r="H959" s="9">
        <f>'NIFTY500 TRI'!B959</f>
        <v>23693.79</v>
      </c>
      <c r="I959" s="10">
        <f t="shared" si="59"/>
        <v>6.1027419451407643E-3</v>
      </c>
    </row>
    <row r="960" spans="1:9" ht="14.25" customHeight="1" x14ac:dyDescent="0.3">
      <c r="A960" s="8">
        <f>'ICICI PRUDENTIAL MULTICAP FUND'!A960</f>
        <v>44806</v>
      </c>
      <c r="B960" s="9">
        <f>'ICICI PRUDENTIAL MULTICAP FUND'!B960</f>
        <v>454.71</v>
      </c>
      <c r="C960" s="10">
        <f t="shared" si="56"/>
        <v>-3.957000593550239E-4</v>
      </c>
      <c r="D960" s="9">
        <f>'QUANT ACTIVE FUND'!B960</f>
        <v>434.65</v>
      </c>
      <c r="E960" s="10">
        <f t="shared" si="57"/>
        <v>5.8362337085307858E-3</v>
      </c>
      <c r="F960" s="9">
        <f>'NIPPON INDIA '!B960</f>
        <v>161.929</v>
      </c>
      <c r="G960" s="10">
        <f t="shared" si="58"/>
        <v>4.8963634106988689E-3</v>
      </c>
      <c r="H960" s="9">
        <f>'NIFTY500 TRI'!B960</f>
        <v>23550.07</v>
      </c>
      <c r="I960" s="10">
        <f t="shared" si="59"/>
        <v>-6.2084388937695017E-4</v>
      </c>
    </row>
    <row r="961" spans="1:9" ht="14.25" customHeight="1" x14ac:dyDescent="0.3">
      <c r="A961" s="8">
        <f>'ICICI PRUDENTIAL MULTICAP FUND'!A961</f>
        <v>44805</v>
      </c>
      <c r="B961" s="9">
        <f>'ICICI PRUDENTIAL MULTICAP FUND'!B961</f>
        <v>454.89</v>
      </c>
      <c r="C961" s="10">
        <f t="shared" si="56"/>
        <v>-3.3303389496287081E-3</v>
      </c>
      <c r="D961" s="9">
        <f>'QUANT ACTIVE FUND'!B961</f>
        <v>432.12799999999999</v>
      </c>
      <c r="E961" s="10">
        <f t="shared" si="57"/>
        <v>-8.6242575161673727E-4</v>
      </c>
      <c r="F961" s="9">
        <f>'NIPPON INDIA '!B961</f>
        <v>161.13999999999999</v>
      </c>
      <c r="G961" s="10">
        <f t="shared" si="58"/>
        <v>2.6506713789712639E-3</v>
      </c>
      <c r="H961" s="9">
        <f>'NIFTY500 TRI'!B961</f>
        <v>23564.7</v>
      </c>
      <c r="I961" s="10">
        <f t="shared" si="59"/>
        <v>-7.3996319349697694E-3</v>
      </c>
    </row>
    <row r="962" spans="1:9" ht="14.25" customHeight="1" x14ac:dyDescent="0.3">
      <c r="A962" s="8">
        <f>'ICICI PRUDENTIAL MULTICAP FUND'!A962</f>
        <v>44803</v>
      </c>
      <c r="B962" s="9">
        <f>'ICICI PRUDENTIAL MULTICAP FUND'!B962</f>
        <v>456.41</v>
      </c>
      <c r="C962" s="10">
        <f t="shared" ref="C962:C1025" si="60">(B962-B963)/B963</f>
        <v>1.8544967641151534E-2</v>
      </c>
      <c r="D962" s="9">
        <f>'QUANT ACTIVE FUND'!B962</f>
        <v>432.50099999999998</v>
      </c>
      <c r="E962" s="10">
        <f t="shared" ref="E962:E1025" si="61">(D962-D963)/D963</f>
        <v>1.6324602753117121E-2</v>
      </c>
      <c r="F962" s="9">
        <f>'NIPPON INDIA '!B962</f>
        <v>160.714</v>
      </c>
      <c r="G962" s="10">
        <f t="shared" ref="G962:G1025" si="62">(F962-F963)/F963</f>
        <v>2.1469975085167958E-2</v>
      </c>
      <c r="H962" s="9">
        <f>'NIFTY500 TRI'!B962</f>
        <v>23740.37</v>
      </c>
      <c r="I962" s="10">
        <f t="shared" ref="I962:I1025" si="63">(H962-H963)/H963</f>
        <v>2.35309283461911E-2</v>
      </c>
    </row>
    <row r="963" spans="1:9" ht="14.25" customHeight="1" x14ac:dyDescent="0.3">
      <c r="A963" s="8">
        <f>'ICICI PRUDENTIAL MULTICAP FUND'!A963</f>
        <v>44802</v>
      </c>
      <c r="B963" s="9">
        <f>'ICICI PRUDENTIAL MULTICAP FUND'!B963</f>
        <v>448.1</v>
      </c>
      <c r="C963" s="10">
        <f t="shared" si="60"/>
        <v>-1.1209673860276234E-2</v>
      </c>
      <c r="D963" s="9">
        <f>'QUANT ACTIVE FUND'!B963</f>
        <v>425.55399999999997</v>
      </c>
      <c r="E963" s="10">
        <f t="shared" si="61"/>
        <v>-4.4868435827375977E-3</v>
      </c>
      <c r="F963" s="9">
        <f>'NIPPON INDIA '!B963</f>
        <v>157.33600000000001</v>
      </c>
      <c r="G963" s="10">
        <f t="shared" si="62"/>
        <v>-1.2527301483694304E-2</v>
      </c>
      <c r="H963" s="9">
        <f>'NIFTY500 TRI'!B963</f>
        <v>23194.58</v>
      </c>
      <c r="I963" s="10">
        <f t="shared" si="63"/>
        <v>-1.1538299269603283E-2</v>
      </c>
    </row>
    <row r="964" spans="1:9" ht="14.25" customHeight="1" x14ac:dyDescent="0.3">
      <c r="A964" s="8">
        <f>'ICICI PRUDENTIAL MULTICAP FUND'!A964</f>
        <v>44799</v>
      </c>
      <c r="B964" s="9">
        <f>'ICICI PRUDENTIAL MULTICAP FUND'!B964</f>
        <v>453.18</v>
      </c>
      <c r="C964" s="10">
        <f t="shared" si="60"/>
        <v>3.6320148824024144E-3</v>
      </c>
      <c r="D964" s="9">
        <f>'QUANT ACTIVE FUND'!B964</f>
        <v>427.47199999999998</v>
      </c>
      <c r="E964" s="10">
        <f t="shared" si="61"/>
        <v>7.8511441922751914E-3</v>
      </c>
      <c r="F964" s="9">
        <f>'NIPPON INDIA '!B964</f>
        <v>159.33199999999999</v>
      </c>
      <c r="G964" s="10">
        <f t="shared" si="62"/>
        <v>3.9570521221896481E-3</v>
      </c>
      <c r="H964" s="9">
        <f>'NIFTY500 TRI'!B964</f>
        <v>23465.33</v>
      </c>
      <c r="I964" s="10">
        <f t="shared" si="63"/>
        <v>3.1043859390383851E-3</v>
      </c>
    </row>
    <row r="965" spans="1:9" ht="14.25" customHeight="1" x14ac:dyDescent="0.3">
      <c r="A965" s="8">
        <f>'ICICI PRUDENTIAL MULTICAP FUND'!A965</f>
        <v>44798</v>
      </c>
      <c r="B965" s="9">
        <f>'ICICI PRUDENTIAL MULTICAP FUND'!B965</f>
        <v>451.54</v>
      </c>
      <c r="C965" s="10">
        <f t="shared" si="60"/>
        <v>2.9318999600195308E-3</v>
      </c>
      <c r="D965" s="9">
        <f>'QUANT ACTIVE FUND'!B965</f>
        <v>424.142</v>
      </c>
      <c r="E965" s="10">
        <f t="shared" si="61"/>
        <v>-5.3584787079617967E-3</v>
      </c>
      <c r="F965" s="9">
        <f>'NIPPON INDIA '!B965</f>
        <v>158.70400000000001</v>
      </c>
      <c r="G965" s="10">
        <f t="shared" si="62"/>
        <v>-1.283761673420969E-3</v>
      </c>
      <c r="H965" s="9">
        <f>'NIFTY500 TRI'!B965</f>
        <v>23392.71</v>
      </c>
      <c r="I965" s="10">
        <f t="shared" si="63"/>
        <v>-2.6127750544791086E-3</v>
      </c>
    </row>
    <row r="966" spans="1:9" ht="14.25" customHeight="1" x14ac:dyDescent="0.3">
      <c r="A966" s="8">
        <f>'ICICI PRUDENTIAL MULTICAP FUND'!A966</f>
        <v>44797</v>
      </c>
      <c r="B966" s="9">
        <f>'ICICI PRUDENTIAL MULTICAP FUND'!B966</f>
        <v>450.22</v>
      </c>
      <c r="C966" s="10">
        <f t="shared" si="60"/>
        <v>4.2604447815128479E-3</v>
      </c>
      <c r="D966" s="9">
        <f>'QUANT ACTIVE FUND'!B966</f>
        <v>426.42700000000002</v>
      </c>
      <c r="E966" s="10">
        <f t="shared" si="61"/>
        <v>8.2422843848197428E-3</v>
      </c>
      <c r="F966" s="9">
        <f>'NIPPON INDIA '!B966</f>
        <v>158.90799999999999</v>
      </c>
      <c r="G966" s="10">
        <f t="shared" si="62"/>
        <v>7.5131718265565185E-3</v>
      </c>
      <c r="H966" s="9">
        <f>'NIFTY500 TRI'!B966</f>
        <v>23453.99</v>
      </c>
      <c r="I966" s="10">
        <f t="shared" si="63"/>
        <v>3.3127215093759488E-3</v>
      </c>
    </row>
    <row r="967" spans="1:9" ht="14.25" customHeight="1" x14ac:dyDescent="0.3">
      <c r="A967" s="8">
        <f>'ICICI PRUDENTIAL MULTICAP FUND'!A967</f>
        <v>44796</v>
      </c>
      <c r="B967" s="9">
        <f>'ICICI PRUDENTIAL MULTICAP FUND'!B967</f>
        <v>448.31</v>
      </c>
      <c r="C967" s="10">
        <f t="shared" si="60"/>
        <v>4.5262049340114765E-3</v>
      </c>
      <c r="D967" s="9">
        <f>'QUANT ACTIVE FUND'!B967</f>
        <v>422.94099999999997</v>
      </c>
      <c r="E967" s="10">
        <f t="shared" si="61"/>
        <v>8.4526318801322834E-3</v>
      </c>
      <c r="F967" s="9">
        <f>'NIPPON INDIA '!B967</f>
        <v>157.72300000000001</v>
      </c>
      <c r="G967" s="10">
        <f t="shared" si="62"/>
        <v>7.434896748190878E-3</v>
      </c>
      <c r="H967" s="9">
        <f>'NIFTY500 TRI'!B967</f>
        <v>23376.55</v>
      </c>
      <c r="I967" s="10">
        <f t="shared" si="63"/>
        <v>5.9249894357984289E-3</v>
      </c>
    </row>
    <row r="968" spans="1:9" ht="14.25" customHeight="1" x14ac:dyDescent="0.3">
      <c r="A968" s="8">
        <f>'ICICI PRUDENTIAL MULTICAP FUND'!A968</f>
        <v>44795</v>
      </c>
      <c r="B968" s="9">
        <f>'ICICI PRUDENTIAL MULTICAP FUND'!B968</f>
        <v>446.29</v>
      </c>
      <c r="C968" s="10">
        <f t="shared" si="60"/>
        <v>-1.4094152473104016E-2</v>
      </c>
      <c r="D968" s="9">
        <f>'QUANT ACTIVE FUND'!B968</f>
        <v>419.39600000000002</v>
      </c>
      <c r="E968" s="10">
        <f t="shared" si="61"/>
        <v>-1.4634948604992622E-2</v>
      </c>
      <c r="F968" s="9">
        <f>'NIPPON INDIA '!B968</f>
        <v>156.559</v>
      </c>
      <c r="G968" s="10">
        <f t="shared" si="62"/>
        <v>-1.3136413204490606E-2</v>
      </c>
      <c r="H968" s="9">
        <f>'NIFTY500 TRI'!B968</f>
        <v>23238.86</v>
      </c>
      <c r="I968" s="10">
        <f t="shared" si="63"/>
        <v>-1.5403088074480499E-2</v>
      </c>
    </row>
    <row r="969" spans="1:9" ht="14.25" customHeight="1" x14ac:dyDescent="0.3">
      <c r="A969" s="8">
        <f>'ICICI PRUDENTIAL MULTICAP FUND'!A969</f>
        <v>44792</v>
      </c>
      <c r="B969" s="9">
        <f>'ICICI PRUDENTIAL MULTICAP FUND'!B969</f>
        <v>452.67</v>
      </c>
      <c r="C969" s="10">
        <f t="shared" si="60"/>
        <v>-9.9730988780263805E-3</v>
      </c>
      <c r="D969" s="9">
        <f>'QUANT ACTIVE FUND'!B969</f>
        <v>425.625</v>
      </c>
      <c r="E969" s="10">
        <f t="shared" si="61"/>
        <v>-1.9111715598911869E-3</v>
      </c>
      <c r="F969" s="9">
        <f>'NIPPON INDIA '!B969</f>
        <v>158.643</v>
      </c>
      <c r="G969" s="10">
        <f t="shared" si="62"/>
        <v>-1.1046348533491204E-2</v>
      </c>
      <c r="H969" s="9">
        <f>'NIFTY500 TRI'!B969</f>
        <v>23602.41</v>
      </c>
      <c r="I969" s="10">
        <f t="shared" si="63"/>
        <v>-1.0744895902010061E-2</v>
      </c>
    </row>
    <row r="970" spans="1:9" ht="14.25" customHeight="1" x14ac:dyDescent="0.3">
      <c r="A970" s="8">
        <f>'ICICI PRUDENTIAL MULTICAP FUND'!A970</f>
        <v>44791</v>
      </c>
      <c r="B970" s="9">
        <f>'ICICI PRUDENTIAL MULTICAP FUND'!B970</f>
        <v>457.23</v>
      </c>
      <c r="C970" s="10">
        <f t="shared" si="60"/>
        <v>1.4674960574733132E-3</v>
      </c>
      <c r="D970" s="9">
        <f>'QUANT ACTIVE FUND'!B970</f>
        <v>426.44</v>
      </c>
      <c r="E970" s="10">
        <f t="shared" si="61"/>
        <v>3.1592789410417334E-3</v>
      </c>
      <c r="F970" s="9">
        <f>'NIPPON INDIA '!B970</f>
        <v>160.41499999999999</v>
      </c>
      <c r="G970" s="10">
        <f t="shared" si="62"/>
        <v>1.5984115784938731E-3</v>
      </c>
      <c r="H970" s="9">
        <f>'NIFTY500 TRI'!B970</f>
        <v>23858.77</v>
      </c>
      <c r="I970" s="10">
        <f t="shared" si="63"/>
        <v>2.0504032977809576E-3</v>
      </c>
    </row>
    <row r="971" spans="1:9" ht="14.25" customHeight="1" x14ac:dyDescent="0.3">
      <c r="A971" s="8">
        <f>'ICICI PRUDENTIAL MULTICAP FUND'!A971</f>
        <v>44790</v>
      </c>
      <c r="B971" s="9">
        <f>'ICICI PRUDENTIAL MULTICAP FUND'!B971</f>
        <v>456.56</v>
      </c>
      <c r="C971" s="10">
        <f t="shared" si="60"/>
        <v>5.0631796768370787E-3</v>
      </c>
      <c r="D971" s="9">
        <f>'QUANT ACTIVE FUND'!B971</f>
        <v>425.09699999999998</v>
      </c>
      <c r="E971" s="10">
        <f t="shared" si="61"/>
        <v>3.4273979393123918E-3</v>
      </c>
      <c r="F971" s="9">
        <f>'NIPPON INDIA '!B971</f>
        <v>160.15899999999999</v>
      </c>
      <c r="G971" s="10">
        <f t="shared" si="62"/>
        <v>5.7143215969958786E-3</v>
      </c>
      <c r="H971" s="9">
        <f>'NIFTY500 TRI'!B971</f>
        <v>23809.95</v>
      </c>
      <c r="I971" s="10">
        <f t="shared" si="63"/>
        <v>6.4653168195460426E-3</v>
      </c>
    </row>
    <row r="972" spans="1:9" ht="14.25" customHeight="1" x14ac:dyDescent="0.3">
      <c r="A972" s="8">
        <f>'ICICI PRUDENTIAL MULTICAP FUND'!A972</f>
        <v>44789</v>
      </c>
      <c r="B972" s="9">
        <f>'ICICI PRUDENTIAL MULTICAP FUND'!B972</f>
        <v>454.26</v>
      </c>
      <c r="C972" s="10">
        <f t="shared" si="60"/>
        <v>5.7342750238005072E-3</v>
      </c>
      <c r="D972" s="9">
        <f>'QUANT ACTIVE FUND'!B972</f>
        <v>423.64499999999998</v>
      </c>
      <c r="E972" s="10">
        <f t="shared" si="61"/>
        <v>7.4049237749416238E-3</v>
      </c>
      <c r="F972" s="9">
        <f>'NIPPON INDIA '!B972</f>
        <v>159.249</v>
      </c>
      <c r="G972" s="10">
        <f t="shared" si="62"/>
        <v>6.3382328779241553E-3</v>
      </c>
      <c r="H972" s="9">
        <f>'NIFTY500 TRI'!B972</f>
        <v>23657</v>
      </c>
      <c r="I972" s="10">
        <f t="shared" si="63"/>
        <v>9.2408872036685644E-3</v>
      </c>
    </row>
    <row r="973" spans="1:9" ht="14.25" customHeight="1" x14ac:dyDescent="0.3">
      <c r="A973" s="8">
        <f>'ICICI PRUDENTIAL MULTICAP FUND'!A973</f>
        <v>44785</v>
      </c>
      <c r="B973" s="9">
        <f>'ICICI PRUDENTIAL MULTICAP FUND'!B973</f>
        <v>451.67</v>
      </c>
      <c r="C973" s="10">
        <f t="shared" si="60"/>
        <v>1.1526099966752492E-3</v>
      </c>
      <c r="D973" s="9">
        <f>'QUANT ACTIVE FUND'!B973</f>
        <v>420.53100000000001</v>
      </c>
      <c r="E973" s="10">
        <f t="shared" si="61"/>
        <v>4.8098289679297758E-3</v>
      </c>
      <c r="F973" s="9">
        <f>'NIPPON INDIA '!B973</f>
        <v>158.24600000000001</v>
      </c>
      <c r="G973" s="10">
        <f t="shared" si="62"/>
        <v>4.468649629940002E-3</v>
      </c>
      <c r="H973" s="9">
        <f>'NIFTY500 TRI'!B973</f>
        <v>23440.39</v>
      </c>
      <c r="I973" s="10">
        <f t="shared" si="63"/>
        <v>3.0424544348586773E-3</v>
      </c>
    </row>
    <row r="974" spans="1:9" ht="14.25" customHeight="1" x14ac:dyDescent="0.3">
      <c r="A974" s="8">
        <f>'ICICI PRUDENTIAL MULTICAP FUND'!A974</f>
        <v>44784</v>
      </c>
      <c r="B974" s="9">
        <f>'ICICI PRUDENTIAL MULTICAP FUND'!B974</f>
        <v>451.15</v>
      </c>
      <c r="C974" s="10">
        <f t="shared" si="60"/>
        <v>6.5594252694049617E-3</v>
      </c>
      <c r="D974" s="9">
        <f>'QUANT ACTIVE FUND'!B974</f>
        <v>418.51799999999997</v>
      </c>
      <c r="E974" s="10">
        <f t="shared" si="61"/>
        <v>3.7534206493297752E-3</v>
      </c>
      <c r="F974" s="9">
        <f>'NIPPON INDIA '!B974</f>
        <v>157.542</v>
      </c>
      <c r="G974" s="10">
        <f t="shared" si="62"/>
        <v>9.3928598887721895E-3</v>
      </c>
      <c r="H974" s="9">
        <f>'NIFTY500 TRI'!B974</f>
        <v>23369.29</v>
      </c>
      <c r="I974" s="10">
        <f t="shared" si="63"/>
        <v>7.6574809091183547E-3</v>
      </c>
    </row>
    <row r="975" spans="1:9" ht="14.25" customHeight="1" x14ac:dyDescent="0.3">
      <c r="A975" s="8">
        <f>'ICICI PRUDENTIAL MULTICAP FUND'!A975</f>
        <v>44783</v>
      </c>
      <c r="B975" s="9">
        <f>'ICICI PRUDENTIAL MULTICAP FUND'!B975</f>
        <v>448.21</v>
      </c>
      <c r="C975" s="10">
        <f t="shared" si="60"/>
        <v>-1.3384790416490569E-4</v>
      </c>
      <c r="D975" s="9">
        <f>'QUANT ACTIVE FUND'!B975</f>
        <v>416.95299999999997</v>
      </c>
      <c r="E975" s="10">
        <f t="shared" si="61"/>
        <v>-5.4456201280424759E-3</v>
      </c>
      <c r="F975" s="9">
        <f>'NIPPON INDIA '!B975</f>
        <v>156.07599999999999</v>
      </c>
      <c r="G975" s="10">
        <f t="shared" si="62"/>
        <v>-1.8577239678419245E-4</v>
      </c>
      <c r="H975" s="9">
        <f>'NIFTY500 TRI'!B975</f>
        <v>23191.7</v>
      </c>
      <c r="I975" s="10">
        <f t="shared" si="63"/>
        <v>-3.564659781887837E-4</v>
      </c>
    </row>
    <row r="976" spans="1:9" ht="14.25" customHeight="1" x14ac:dyDescent="0.3">
      <c r="A976" s="8">
        <f>'ICICI PRUDENTIAL MULTICAP FUND'!A976</f>
        <v>44781</v>
      </c>
      <c r="B976" s="9">
        <f>'ICICI PRUDENTIAL MULTICAP FUND'!B976</f>
        <v>448.27</v>
      </c>
      <c r="C976" s="10">
        <f t="shared" si="60"/>
        <v>4.6616912077814031E-3</v>
      </c>
      <c r="D976" s="9">
        <f>'QUANT ACTIVE FUND'!B976</f>
        <v>419.23599999999999</v>
      </c>
      <c r="E976" s="10">
        <f t="shared" si="61"/>
        <v>1.1364815149870365E-2</v>
      </c>
      <c r="F976" s="9">
        <f>'NIPPON INDIA '!B976</f>
        <v>156.10499999999999</v>
      </c>
      <c r="G976" s="10">
        <f t="shared" si="62"/>
        <v>5.5266768439968285E-3</v>
      </c>
      <c r="H976" s="9">
        <f>'NIFTY500 TRI'!B976</f>
        <v>23199.97</v>
      </c>
      <c r="I976" s="10">
        <f t="shared" si="63"/>
        <v>6.5800919893909725E-3</v>
      </c>
    </row>
    <row r="977" spans="1:9" ht="14.25" customHeight="1" x14ac:dyDescent="0.3">
      <c r="A977" s="8">
        <f>'ICICI PRUDENTIAL MULTICAP FUND'!A977</f>
        <v>44778</v>
      </c>
      <c r="B977" s="9">
        <f>'ICICI PRUDENTIAL MULTICAP FUND'!B977</f>
        <v>446.19</v>
      </c>
      <c r="C977" s="10">
        <f t="shared" si="60"/>
        <v>2.2462319459107347E-3</v>
      </c>
      <c r="D977" s="9">
        <f>'QUANT ACTIVE FUND'!B977</f>
        <v>414.52499999999998</v>
      </c>
      <c r="E977" s="10">
        <f t="shared" si="61"/>
        <v>3.4106643170441035E-3</v>
      </c>
      <c r="F977" s="9">
        <f>'NIPPON INDIA '!B977</f>
        <v>155.24700000000001</v>
      </c>
      <c r="G977" s="10">
        <f t="shared" si="62"/>
        <v>-4.8286784872708714E-4</v>
      </c>
      <c r="H977" s="9">
        <f>'NIFTY500 TRI'!B977</f>
        <v>23048.31</v>
      </c>
      <c r="I977" s="10">
        <f t="shared" si="63"/>
        <v>5.3568397597323421E-4</v>
      </c>
    </row>
    <row r="978" spans="1:9" ht="14.25" customHeight="1" x14ac:dyDescent="0.3">
      <c r="A978" s="8">
        <f>'ICICI PRUDENTIAL MULTICAP FUND'!A978</f>
        <v>44777</v>
      </c>
      <c r="B978" s="9">
        <f>'ICICI PRUDENTIAL MULTICAP FUND'!B978</f>
        <v>445.19</v>
      </c>
      <c r="C978" s="10">
        <f t="shared" si="60"/>
        <v>2.2462824026216148E-5</v>
      </c>
      <c r="D978" s="9">
        <f>'QUANT ACTIVE FUND'!B978</f>
        <v>413.11599999999999</v>
      </c>
      <c r="E978" s="10">
        <f t="shared" si="61"/>
        <v>-3.8172264702833305E-3</v>
      </c>
      <c r="F978" s="9">
        <f>'NIPPON INDIA '!B978</f>
        <v>155.322</v>
      </c>
      <c r="G978" s="10">
        <f t="shared" si="62"/>
        <v>-2.6775566813707651E-3</v>
      </c>
      <c r="H978" s="9">
        <f>'NIFTY500 TRI'!B978</f>
        <v>23035.97</v>
      </c>
      <c r="I978" s="10">
        <f t="shared" si="63"/>
        <v>1.0129207140765696E-3</v>
      </c>
    </row>
    <row r="979" spans="1:9" ht="14.25" customHeight="1" x14ac:dyDescent="0.3">
      <c r="A979" s="8">
        <f>'ICICI PRUDENTIAL MULTICAP FUND'!A979</f>
        <v>44776</v>
      </c>
      <c r="B979" s="9">
        <f>'ICICI PRUDENTIAL MULTICAP FUND'!B979</f>
        <v>445.18</v>
      </c>
      <c r="C979" s="10">
        <f t="shared" si="60"/>
        <v>-2.1517909176491227E-3</v>
      </c>
      <c r="D979" s="9">
        <f>'QUANT ACTIVE FUND'!B979</f>
        <v>414.69900000000001</v>
      </c>
      <c r="E979" s="10">
        <f t="shared" si="61"/>
        <v>-3.8409985154864773E-3</v>
      </c>
      <c r="F979" s="9">
        <f>'NIPPON INDIA '!B979</f>
        <v>155.739</v>
      </c>
      <c r="G979" s="10">
        <f t="shared" si="62"/>
        <v>-2.8300497499696331E-3</v>
      </c>
      <c r="H979" s="9">
        <f>'NIFTY500 TRI'!B979</f>
        <v>23012.66</v>
      </c>
      <c r="I979" s="10">
        <f t="shared" si="63"/>
        <v>1.716741181926639E-4</v>
      </c>
    </row>
    <row r="980" spans="1:9" ht="14.25" customHeight="1" x14ac:dyDescent="0.3">
      <c r="A980" s="8">
        <f>'ICICI PRUDENTIAL MULTICAP FUND'!A980</f>
        <v>44775</v>
      </c>
      <c r="B980" s="9">
        <f>'ICICI PRUDENTIAL MULTICAP FUND'!B980</f>
        <v>446.14</v>
      </c>
      <c r="C980" s="10">
        <f t="shared" si="60"/>
        <v>7.6267384477338488E-4</v>
      </c>
      <c r="D980" s="9">
        <f>'QUANT ACTIVE FUND'!B980</f>
        <v>416.298</v>
      </c>
      <c r="E980" s="10">
        <f t="shared" si="61"/>
        <v>-1.7772568760630463E-4</v>
      </c>
      <c r="F980" s="9">
        <f>'NIPPON INDIA '!B980</f>
        <v>156.18100000000001</v>
      </c>
      <c r="G980" s="10">
        <f t="shared" si="62"/>
        <v>1.0190870518261544E-3</v>
      </c>
      <c r="H980" s="9">
        <f>'NIFTY500 TRI'!B980</f>
        <v>23008.71</v>
      </c>
      <c r="I980" s="10">
        <f t="shared" si="63"/>
        <v>2.097510730361418E-3</v>
      </c>
    </row>
    <row r="981" spans="1:9" ht="14.25" customHeight="1" x14ac:dyDescent="0.3">
      <c r="A981" s="8">
        <f>'ICICI PRUDENTIAL MULTICAP FUND'!A981</f>
        <v>44774</v>
      </c>
      <c r="B981" s="9">
        <f>'ICICI PRUDENTIAL MULTICAP FUND'!B981</f>
        <v>445.8</v>
      </c>
      <c r="C981" s="10">
        <f t="shared" si="60"/>
        <v>9.5565922369673165E-3</v>
      </c>
      <c r="D981" s="9">
        <f>'QUANT ACTIVE FUND'!B981</f>
        <v>416.37200000000001</v>
      </c>
      <c r="E981" s="10">
        <f t="shared" si="61"/>
        <v>1.3378764831153061E-2</v>
      </c>
      <c r="F981" s="9">
        <f>'NIPPON INDIA '!B981</f>
        <v>156.02199999999999</v>
      </c>
      <c r="G981" s="10">
        <f t="shared" si="62"/>
        <v>1.1802700354080967E-2</v>
      </c>
      <c r="H981" s="9">
        <f>'NIFTY500 TRI'!B981</f>
        <v>22960.55</v>
      </c>
      <c r="I981" s="10">
        <f t="shared" si="63"/>
        <v>1.2446264687505027E-2</v>
      </c>
    </row>
    <row r="982" spans="1:9" ht="14.25" customHeight="1" x14ac:dyDescent="0.3">
      <c r="A982" s="8">
        <f>'ICICI PRUDENTIAL MULTICAP FUND'!A982</f>
        <v>44771</v>
      </c>
      <c r="B982" s="9">
        <f>'ICICI PRUDENTIAL MULTICAP FUND'!B982</f>
        <v>441.58</v>
      </c>
      <c r="C982" s="10">
        <f t="shared" si="60"/>
        <v>1.2984033767663718E-2</v>
      </c>
      <c r="D982" s="9">
        <f>'QUANT ACTIVE FUND'!B982</f>
        <v>410.875</v>
      </c>
      <c r="E982" s="10">
        <f t="shared" si="61"/>
        <v>1.0352501444678001E-2</v>
      </c>
      <c r="F982" s="9">
        <f>'NIPPON INDIA '!B982</f>
        <v>154.202</v>
      </c>
      <c r="G982" s="10">
        <f t="shared" si="62"/>
        <v>1.0438440721058321E-2</v>
      </c>
      <c r="H982" s="9">
        <f>'NIFTY500 TRI'!B982</f>
        <v>22678.29</v>
      </c>
      <c r="I982" s="10">
        <f t="shared" si="63"/>
        <v>1.3585664279406086E-2</v>
      </c>
    </row>
    <row r="983" spans="1:9" ht="14.25" customHeight="1" x14ac:dyDescent="0.3">
      <c r="A983" s="8">
        <f>'ICICI PRUDENTIAL MULTICAP FUND'!A983</f>
        <v>44770</v>
      </c>
      <c r="B983" s="9">
        <f>'ICICI PRUDENTIAL MULTICAP FUND'!B983</f>
        <v>435.92</v>
      </c>
      <c r="C983" s="10">
        <f t="shared" si="60"/>
        <v>9.4946968644343075E-3</v>
      </c>
      <c r="D983" s="9">
        <f>'QUANT ACTIVE FUND'!B983</f>
        <v>406.66500000000002</v>
      </c>
      <c r="E983" s="10">
        <f t="shared" si="61"/>
        <v>3.1995618795761516E-3</v>
      </c>
      <c r="F983" s="9">
        <f>'NIPPON INDIA '!B983</f>
        <v>152.60900000000001</v>
      </c>
      <c r="G983" s="10">
        <f t="shared" si="62"/>
        <v>1.2311529455467042E-2</v>
      </c>
      <c r="H983" s="9">
        <f>'NIFTY500 TRI'!B983</f>
        <v>22374.32</v>
      </c>
      <c r="I983" s="10">
        <f t="shared" si="63"/>
        <v>1.4539070123444225E-2</v>
      </c>
    </row>
    <row r="984" spans="1:9" ht="14.25" customHeight="1" x14ac:dyDescent="0.3">
      <c r="A984" s="8">
        <f>'ICICI PRUDENTIAL MULTICAP FUND'!A984</f>
        <v>44769</v>
      </c>
      <c r="B984" s="9">
        <f>'ICICI PRUDENTIAL MULTICAP FUND'!B984</f>
        <v>431.82</v>
      </c>
      <c r="C984" s="10">
        <f t="shared" si="60"/>
        <v>3.8123576177413786E-3</v>
      </c>
      <c r="D984" s="9">
        <f>'QUANT ACTIVE FUND'!B984</f>
        <v>405.36799999999999</v>
      </c>
      <c r="E984" s="10">
        <f t="shared" si="61"/>
        <v>9.254302864924983E-3</v>
      </c>
      <c r="F984" s="9">
        <f>'NIPPON INDIA '!B984</f>
        <v>150.75299999999999</v>
      </c>
      <c r="G984" s="10">
        <f t="shared" si="62"/>
        <v>9.8741283100770346E-3</v>
      </c>
      <c r="H984" s="9">
        <f>'NIFTY500 TRI'!B984</f>
        <v>22053.68</v>
      </c>
      <c r="I984" s="10">
        <f t="shared" si="63"/>
        <v>8.6685281613965697E-3</v>
      </c>
    </row>
    <row r="985" spans="1:9" ht="14.25" customHeight="1" x14ac:dyDescent="0.3">
      <c r="A985" s="8">
        <f>'ICICI PRUDENTIAL MULTICAP FUND'!A985</f>
        <v>44768</v>
      </c>
      <c r="B985" s="9">
        <f>'ICICI PRUDENTIAL MULTICAP FUND'!B985</f>
        <v>430.18</v>
      </c>
      <c r="C985" s="10">
        <f t="shared" si="60"/>
        <v>-8.7333225799018834E-3</v>
      </c>
      <c r="D985" s="9">
        <f>'QUANT ACTIVE FUND'!B985</f>
        <v>401.65100000000001</v>
      </c>
      <c r="E985" s="10">
        <f t="shared" si="61"/>
        <v>-6.0948148294787249E-3</v>
      </c>
      <c r="F985" s="9">
        <f>'NIPPON INDIA '!B985</f>
        <v>149.279</v>
      </c>
      <c r="G985" s="10">
        <f t="shared" si="62"/>
        <v>-8.9163601598705212E-3</v>
      </c>
      <c r="H985" s="9">
        <f>'NIFTY500 TRI'!B985</f>
        <v>21864.15</v>
      </c>
      <c r="I985" s="10">
        <f t="shared" si="63"/>
        <v>-9.6470872799136274E-3</v>
      </c>
    </row>
    <row r="986" spans="1:9" ht="14.25" customHeight="1" x14ac:dyDescent="0.3">
      <c r="A986" s="8">
        <f>'ICICI PRUDENTIAL MULTICAP FUND'!A986</f>
        <v>44767</v>
      </c>
      <c r="B986" s="9">
        <f>'ICICI PRUDENTIAL MULTICAP FUND'!B986</f>
        <v>433.97</v>
      </c>
      <c r="C986" s="10">
        <f t="shared" si="60"/>
        <v>-1.9318782916675674E-3</v>
      </c>
      <c r="D986" s="9">
        <f>'QUANT ACTIVE FUND'!B986</f>
        <v>404.11399999999998</v>
      </c>
      <c r="E986" s="10">
        <f t="shared" si="61"/>
        <v>-1.8080949299240396E-3</v>
      </c>
      <c r="F986" s="9">
        <f>'NIPPON INDIA '!B986</f>
        <v>150.62200000000001</v>
      </c>
      <c r="G986" s="10">
        <f t="shared" si="62"/>
        <v>1.123274378045045E-3</v>
      </c>
      <c r="H986" s="9">
        <f>'NIFTY500 TRI'!B986</f>
        <v>22077.13</v>
      </c>
      <c r="I986" s="10">
        <f t="shared" si="63"/>
        <v>-3.9697506713249455E-3</v>
      </c>
    </row>
    <row r="987" spans="1:9" ht="14.25" customHeight="1" x14ac:dyDescent="0.3">
      <c r="A987" s="8">
        <f>'ICICI PRUDENTIAL MULTICAP FUND'!A987</f>
        <v>44764</v>
      </c>
      <c r="B987" s="9">
        <f>'ICICI PRUDENTIAL MULTICAP FUND'!B987</f>
        <v>434.81</v>
      </c>
      <c r="C987" s="10">
        <f t="shared" si="60"/>
        <v>2.5824897968595184E-3</v>
      </c>
      <c r="D987" s="9">
        <f>'QUANT ACTIVE FUND'!B987</f>
        <v>404.846</v>
      </c>
      <c r="E987" s="10">
        <f t="shared" si="61"/>
        <v>5.1617932948826682E-3</v>
      </c>
      <c r="F987" s="9">
        <f>'NIPPON INDIA '!B987</f>
        <v>150.453</v>
      </c>
      <c r="G987" s="10">
        <f t="shared" si="62"/>
        <v>3.7493912242897295E-3</v>
      </c>
      <c r="H987" s="9">
        <f>'NIFTY500 TRI'!B987</f>
        <v>22165.119999999999</v>
      </c>
      <c r="I987" s="10">
        <f t="shared" si="63"/>
        <v>4.5452423608066421E-3</v>
      </c>
    </row>
    <row r="988" spans="1:9" ht="14.25" customHeight="1" x14ac:dyDescent="0.3">
      <c r="A988" s="8">
        <f>'ICICI PRUDENTIAL MULTICAP FUND'!A988</f>
        <v>44763</v>
      </c>
      <c r="B988" s="9">
        <f>'ICICI PRUDENTIAL MULTICAP FUND'!B988</f>
        <v>433.69</v>
      </c>
      <c r="C988" s="10">
        <f t="shared" si="60"/>
        <v>8.276567549345552E-3</v>
      </c>
      <c r="D988" s="9">
        <f>'QUANT ACTIVE FUND'!B988</f>
        <v>402.767</v>
      </c>
      <c r="E988" s="10">
        <f t="shared" si="61"/>
        <v>1.4431904331334407E-2</v>
      </c>
      <c r="F988" s="9">
        <f>'NIPPON INDIA '!B988</f>
        <v>149.89099999999999</v>
      </c>
      <c r="G988" s="10">
        <f t="shared" si="62"/>
        <v>1.098730625514286E-2</v>
      </c>
      <c r="H988" s="9">
        <f>'NIFTY500 TRI'!B988</f>
        <v>22064.83</v>
      </c>
      <c r="I988" s="10">
        <f t="shared" si="63"/>
        <v>8.0351044705205595E-3</v>
      </c>
    </row>
    <row r="989" spans="1:9" ht="14.25" customHeight="1" x14ac:dyDescent="0.3">
      <c r="A989" s="8">
        <f>'ICICI PRUDENTIAL MULTICAP FUND'!A989</f>
        <v>44762</v>
      </c>
      <c r="B989" s="9">
        <f>'ICICI PRUDENTIAL MULTICAP FUND'!B989</f>
        <v>430.13</v>
      </c>
      <c r="C989" s="10">
        <f t="shared" si="60"/>
        <v>4.014845591839524E-3</v>
      </c>
      <c r="D989" s="9">
        <f>'QUANT ACTIVE FUND'!B989</f>
        <v>397.03699999999998</v>
      </c>
      <c r="E989" s="10">
        <f t="shared" si="61"/>
        <v>4.8110017816649295E-3</v>
      </c>
      <c r="F989" s="9">
        <f>'NIPPON INDIA '!B989</f>
        <v>148.262</v>
      </c>
      <c r="G989" s="10">
        <f t="shared" si="62"/>
        <v>6.0254861780232967E-3</v>
      </c>
      <c r="H989" s="9">
        <f>'NIFTY500 TRI'!B989</f>
        <v>21888.95</v>
      </c>
      <c r="I989" s="10">
        <f t="shared" si="63"/>
        <v>8.0500503128144215E-3</v>
      </c>
    </row>
    <row r="990" spans="1:9" ht="14.25" customHeight="1" x14ac:dyDescent="0.3">
      <c r="A990" s="8">
        <f>'ICICI PRUDENTIAL MULTICAP FUND'!A990</f>
        <v>44761</v>
      </c>
      <c r="B990" s="9">
        <f>'ICICI PRUDENTIAL MULTICAP FUND'!B990</f>
        <v>428.41</v>
      </c>
      <c r="C990" s="10">
        <f t="shared" si="60"/>
        <v>4.8081433530350205E-3</v>
      </c>
      <c r="D990" s="9">
        <f>'QUANT ACTIVE FUND'!B990</f>
        <v>395.13600000000002</v>
      </c>
      <c r="E990" s="10">
        <f t="shared" si="61"/>
        <v>3.8029768391851775E-3</v>
      </c>
      <c r="F990" s="9">
        <f>'NIPPON INDIA '!B990</f>
        <v>147.374</v>
      </c>
      <c r="G990" s="10">
        <f t="shared" si="62"/>
        <v>5.355108500637815E-3</v>
      </c>
      <c r="H990" s="9">
        <f>'NIFTY500 TRI'!B990</f>
        <v>21714.15</v>
      </c>
      <c r="I990" s="10">
        <f t="shared" si="63"/>
        <v>4.959506159812165E-3</v>
      </c>
    </row>
    <row r="991" spans="1:9" ht="14.25" customHeight="1" x14ac:dyDescent="0.3">
      <c r="A991" s="8">
        <f>'ICICI PRUDENTIAL MULTICAP FUND'!A991</f>
        <v>44760</v>
      </c>
      <c r="B991" s="9">
        <f>'ICICI PRUDENTIAL MULTICAP FUND'!B991</f>
        <v>426.36</v>
      </c>
      <c r="C991" s="10">
        <f t="shared" si="60"/>
        <v>1.5650682484099177E-2</v>
      </c>
      <c r="D991" s="9">
        <f>'QUANT ACTIVE FUND'!B991</f>
        <v>393.63900000000001</v>
      </c>
      <c r="E991" s="10">
        <f t="shared" si="61"/>
        <v>1.6480011981707249E-2</v>
      </c>
      <c r="F991" s="9">
        <f>'NIPPON INDIA '!B991</f>
        <v>146.589</v>
      </c>
      <c r="G991" s="10">
        <f t="shared" si="62"/>
        <v>1.5145219595296548E-2</v>
      </c>
      <c r="H991" s="9">
        <f>'NIFTY500 TRI'!B991</f>
        <v>21606.99</v>
      </c>
      <c r="I991" s="10">
        <f t="shared" si="63"/>
        <v>1.4082266153657114E-2</v>
      </c>
    </row>
    <row r="992" spans="1:9" ht="14.25" customHeight="1" x14ac:dyDescent="0.3">
      <c r="A992" s="8">
        <f>'ICICI PRUDENTIAL MULTICAP FUND'!A992</f>
        <v>44757</v>
      </c>
      <c r="B992" s="9">
        <f>'ICICI PRUDENTIAL MULTICAP FUND'!B992</f>
        <v>419.79</v>
      </c>
      <c r="C992" s="10">
        <f t="shared" si="60"/>
        <v>5.172042238345006E-3</v>
      </c>
      <c r="D992" s="9">
        <f>'QUANT ACTIVE FUND'!B992</f>
        <v>387.25700000000001</v>
      </c>
      <c r="E992" s="10">
        <f t="shared" si="61"/>
        <v>4.2008417242121593E-3</v>
      </c>
      <c r="F992" s="9">
        <f>'NIPPON INDIA '!B992</f>
        <v>144.40199999999999</v>
      </c>
      <c r="G992" s="10">
        <f t="shared" si="62"/>
        <v>5.6970135948293931E-3</v>
      </c>
      <c r="H992" s="9">
        <f>'NIFTY500 TRI'!B992</f>
        <v>21306.94</v>
      </c>
      <c r="I992" s="10">
        <f t="shared" si="63"/>
        <v>6.41201557399466E-3</v>
      </c>
    </row>
    <row r="993" spans="1:9" ht="14.25" customHeight="1" x14ac:dyDescent="0.3">
      <c r="A993" s="8">
        <f>'ICICI PRUDENTIAL MULTICAP FUND'!A993</f>
        <v>44756</v>
      </c>
      <c r="B993" s="9">
        <f>'ICICI PRUDENTIAL MULTICAP FUND'!B993</f>
        <v>417.63</v>
      </c>
      <c r="C993" s="10">
        <f t="shared" si="60"/>
        <v>-3.5075161059413677E-3</v>
      </c>
      <c r="D993" s="9">
        <f>'QUANT ACTIVE FUND'!B993</f>
        <v>385.637</v>
      </c>
      <c r="E993" s="10">
        <f t="shared" si="61"/>
        <v>-1.9720547931024678E-3</v>
      </c>
      <c r="F993" s="9">
        <f>'NIPPON INDIA '!B993</f>
        <v>143.584</v>
      </c>
      <c r="G993" s="10">
        <f t="shared" si="62"/>
        <v>-2.5494786420378478E-3</v>
      </c>
      <c r="H993" s="9">
        <f>'NIFTY500 TRI'!B993</f>
        <v>21171.19</v>
      </c>
      <c r="I993" s="10">
        <f t="shared" si="63"/>
        <v>-1.3999425495274625E-3</v>
      </c>
    </row>
    <row r="994" spans="1:9" ht="14.25" customHeight="1" x14ac:dyDescent="0.3">
      <c r="A994" s="8">
        <f>'ICICI PRUDENTIAL MULTICAP FUND'!A994</f>
        <v>44755</v>
      </c>
      <c r="B994" s="9">
        <f>'ICICI PRUDENTIAL MULTICAP FUND'!B994</f>
        <v>419.1</v>
      </c>
      <c r="C994" s="10">
        <f t="shared" si="60"/>
        <v>-9.5351609058397441E-4</v>
      </c>
      <c r="D994" s="9">
        <f>'QUANT ACTIVE FUND'!B994</f>
        <v>386.399</v>
      </c>
      <c r="E994" s="10">
        <f t="shared" si="61"/>
        <v>-1.9011455952057811E-3</v>
      </c>
      <c r="F994" s="9">
        <f>'NIPPON INDIA '!B994</f>
        <v>143.95099999999999</v>
      </c>
      <c r="G994" s="10">
        <f t="shared" si="62"/>
        <v>-2.0935439817542272E-3</v>
      </c>
      <c r="H994" s="9">
        <f>'NIFTY500 TRI'!B994</f>
        <v>21200.87</v>
      </c>
      <c r="I994" s="10">
        <f t="shared" si="63"/>
        <v>-3.7676712380263328E-3</v>
      </c>
    </row>
    <row r="995" spans="1:9" ht="14.25" customHeight="1" x14ac:dyDescent="0.3">
      <c r="A995" s="8">
        <f>'ICICI PRUDENTIAL MULTICAP FUND'!A995</f>
        <v>44754</v>
      </c>
      <c r="B995" s="9">
        <f>'ICICI PRUDENTIAL MULTICAP FUND'!B995</f>
        <v>419.5</v>
      </c>
      <c r="C995" s="10">
        <f t="shared" si="60"/>
        <v>-7.7347020838753507E-3</v>
      </c>
      <c r="D995" s="9">
        <f>'QUANT ACTIVE FUND'!B995</f>
        <v>387.13499999999999</v>
      </c>
      <c r="E995" s="10">
        <f t="shared" si="61"/>
        <v>-3.6750797168026736E-3</v>
      </c>
      <c r="F995" s="9">
        <f>'NIPPON INDIA '!B995</f>
        <v>144.25299999999999</v>
      </c>
      <c r="G995" s="10">
        <f t="shared" si="62"/>
        <v>-8.0045661786449698E-3</v>
      </c>
      <c r="H995" s="9">
        <f>'NIFTY500 TRI'!B995</f>
        <v>21281.05</v>
      </c>
      <c r="I995" s="10">
        <f t="shared" si="63"/>
        <v>-7.7279630191745058E-3</v>
      </c>
    </row>
    <row r="996" spans="1:9" ht="14.25" customHeight="1" x14ac:dyDescent="0.3">
      <c r="A996" s="8">
        <f>'ICICI PRUDENTIAL MULTICAP FUND'!A996</f>
        <v>44753</v>
      </c>
      <c r="B996" s="9">
        <f>'ICICI PRUDENTIAL MULTICAP FUND'!B996</f>
        <v>422.77</v>
      </c>
      <c r="C996" s="10">
        <f t="shared" si="60"/>
        <v>4.9203708105538231E-3</v>
      </c>
      <c r="D996" s="9">
        <f>'QUANT ACTIVE FUND'!B996</f>
        <v>388.56299999999999</v>
      </c>
      <c r="E996" s="10">
        <f t="shared" si="61"/>
        <v>8.6415010097758965E-3</v>
      </c>
      <c r="F996" s="9">
        <f>'NIPPON INDIA '!B996</f>
        <v>145.417</v>
      </c>
      <c r="G996" s="10">
        <f t="shared" si="62"/>
        <v>1.7428563555703504E-3</v>
      </c>
      <c r="H996" s="9">
        <f>'NIFTY500 TRI'!B996</f>
        <v>21446.79</v>
      </c>
      <c r="I996" s="10">
        <f t="shared" si="63"/>
        <v>4.2785391249623109E-3</v>
      </c>
    </row>
    <row r="997" spans="1:9" ht="14.25" customHeight="1" x14ac:dyDescent="0.3">
      <c r="A997" s="8">
        <f>'ICICI PRUDENTIAL MULTICAP FUND'!A997</f>
        <v>44750</v>
      </c>
      <c r="B997" s="9">
        <f>'ICICI PRUDENTIAL MULTICAP FUND'!B997</f>
        <v>420.7</v>
      </c>
      <c r="C997" s="10">
        <f t="shared" si="60"/>
        <v>6.3871014042054782E-3</v>
      </c>
      <c r="D997" s="9">
        <f>'QUANT ACTIVE FUND'!B997</f>
        <v>385.23399999999998</v>
      </c>
      <c r="E997" s="10">
        <f t="shared" si="61"/>
        <v>4.5398481849733517E-3</v>
      </c>
      <c r="F997" s="9">
        <f>'NIPPON INDIA '!B997</f>
        <v>145.16399999999999</v>
      </c>
      <c r="G997" s="10">
        <f t="shared" si="62"/>
        <v>5.9247863958588149E-3</v>
      </c>
      <c r="H997" s="9">
        <f>'NIFTY500 TRI'!B997</f>
        <v>21355.42</v>
      </c>
      <c r="I997" s="10">
        <f t="shared" si="63"/>
        <v>4.5926693226340728E-3</v>
      </c>
    </row>
    <row r="998" spans="1:9" ht="14.25" customHeight="1" x14ac:dyDescent="0.3">
      <c r="A998" s="8">
        <f>'ICICI PRUDENTIAL MULTICAP FUND'!A998</f>
        <v>44749</v>
      </c>
      <c r="B998" s="9">
        <f>'ICICI PRUDENTIAL MULTICAP FUND'!B998</f>
        <v>418.03</v>
      </c>
      <c r="C998" s="10">
        <f t="shared" si="60"/>
        <v>1.119980648282534E-2</v>
      </c>
      <c r="D998" s="9">
        <f>'QUANT ACTIVE FUND'!B998</f>
        <v>383.49299999999999</v>
      </c>
      <c r="E998" s="10">
        <f t="shared" si="61"/>
        <v>1.5482753689963564E-2</v>
      </c>
      <c r="F998" s="9">
        <f>'NIPPON INDIA '!B998</f>
        <v>144.309</v>
      </c>
      <c r="G998" s="10">
        <f t="shared" si="62"/>
        <v>1.1197454996461272E-2</v>
      </c>
      <c r="H998" s="9">
        <f>'NIFTY500 TRI'!B998</f>
        <v>21257.79</v>
      </c>
      <c r="I998" s="10">
        <f t="shared" si="63"/>
        <v>9.9216350459286635E-3</v>
      </c>
    </row>
    <row r="999" spans="1:9" ht="14.25" customHeight="1" x14ac:dyDescent="0.3">
      <c r="A999" s="8">
        <f>'ICICI PRUDENTIAL MULTICAP FUND'!A999</f>
        <v>44748</v>
      </c>
      <c r="B999" s="9">
        <f>'ICICI PRUDENTIAL MULTICAP FUND'!B999</f>
        <v>413.4</v>
      </c>
      <c r="C999" s="10">
        <f t="shared" si="60"/>
        <v>9.4745067395975678E-3</v>
      </c>
      <c r="D999" s="9">
        <f>'QUANT ACTIVE FUND'!B999</f>
        <v>377.64600000000002</v>
      </c>
      <c r="E999" s="10">
        <f t="shared" si="61"/>
        <v>8.4005340453938981E-3</v>
      </c>
      <c r="F999" s="9">
        <f>'NIPPON INDIA '!B999</f>
        <v>142.71100000000001</v>
      </c>
      <c r="G999" s="10">
        <f t="shared" si="62"/>
        <v>1.3205444050805558E-2</v>
      </c>
      <c r="H999" s="9">
        <f>'NIFTY500 TRI'!B999</f>
        <v>21048.95</v>
      </c>
      <c r="I999" s="10">
        <f t="shared" si="63"/>
        <v>1.2588960738452415E-2</v>
      </c>
    </row>
    <row r="1000" spans="1:9" ht="14.25" customHeight="1" x14ac:dyDescent="0.3">
      <c r="A1000" s="8">
        <f>'ICICI PRUDENTIAL MULTICAP FUND'!A1000</f>
        <v>44747</v>
      </c>
      <c r="B1000" s="9">
        <f>'ICICI PRUDENTIAL MULTICAP FUND'!B1000</f>
        <v>409.52</v>
      </c>
      <c r="C1000" s="10">
        <f t="shared" si="60"/>
        <v>1.5652514185090646E-3</v>
      </c>
      <c r="D1000" s="9">
        <f>'QUANT ACTIVE FUND'!B1000</f>
        <v>374.5</v>
      </c>
      <c r="E1000" s="10">
        <f t="shared" si="61"/>
        <v>-3.0958598531130583E-3</v>
      </c>
      <c r="F1000" s="9">
        <f>'NIPPON INDIA '!B1000</f>
        <v>140.851</v>
      </c>
      <c r="G1000" s="10">
        <f t="shared" si="62"/>
        <v>1.1301282233530819E-3</v>
      </c>
      <c r="H1000" s="9">
        <f>'NIFTY500 TRI'!B1000</f>
        <v>20787.259999999998</v>
      </c>
      <c r="I1000" s="10">
        <f t="shared" si="63"/>
        <v>-7.4557378656794438E-4</v>
      </c>
    </row>
    <row r="1001" spans="1:9" ht="14.25" customHeight="1" x14ac:dyDescent="0.3">
      <c r="A1001" s="8">
        <f>'ICICI PRUDENTIAL MULTICAP FUND'!A1001</f>
        <v>44746</v>
      </c>
      <c r="B1001" s="9">
        <f>'ICICI PRUDENTIAL MULTICAP FUND'!B1001</f>
        <v>408.88</v>
      </c>
      <c r="C1001" s="10">
        <f t="shared" si="60"/>
        <v>8.7831836573571565E-3</v>
      </c>
      <c r="D1001" s="9">
        <f>'QUANT ACTIVE FUND'!B1001</f>
        <v>375.66300000000001</v>
      </c>
      <c r="E1001" s="10">
        <f t="shared" si="61"/>
        <v>7.9609118423594142E-3</v>
      </c>
      <c r="F1001" s="9">
        <f>'NIPPON INDIA '!B1001</f>
        <v>140.69200000000001</v>
      </c>
      <c r="G1001" s="10">
        <f t="shared" si="62"/>
        <v>1.3733373683224576E-2</v>
      </c>
      <c r="H1001" s="9">
        <f>'NIFTY500 TRI'!B1001</f>
        <v>20802.77</v>
      </c>
      <c r="I1001" s="10">
        <f t="shared" si="63"/>
        <v>6.0300569491944459E-3</v>
      </c>
    </row>
    <row r="1002" spans="1:9" ht="14.25" customHeight="1" x14ac:dyDescent="0.3">
      <c r="A1002" s="8">
        <f>'ICICI PRUDENTIAL MULTICAP FUND'!A1002</f>
        <v>44743</v>
      </c>
      <c r="B1002" s="9">
        <f>'ICICI PRUDENTIAL MULTICAP FUND'!B1002</f>
        <v>405.32</v>
      </c>
      <c r="C1002" s="10">
        <f t="shared" si="60"/>
        <v>2.9445970356073484E-3</v>
      </c>
      <c r="D1002" s="9">
        <f>'QUANT ACTIVE FUND'!B1002</f>
        <v>372.69600000000003</v>
      </c>
      <c r="E1002" s="10">
        <f t="shared" si="61"/>
        <v>1.1174384871603462E-3</v>
      </c>
      <c r="F1002" s="9">
        <f>'NIPPON INDIA '!B1002</f>
        <v>138.786</v>
      </c>
      <c r="G1002" s="10">
        <f t="shared" si="62"/>
        <v>4.8800973123262759E-3</v>
      </c>
      <c r="H1002" s="9">
        <f>'NIFTY500 TRI'!B1002</f>
        <v>20678.080000000002</v>
      </c>
      <c r="I1002" s="10">
        <f t="shared" si="63"/>
        <v>5.2304924646561011E-4</v>
      </c>
    </row>
    <row r="1003" spans="1:9" ht="14.25" customHeight="1" x14ac:dyDescent="0.3">
      <c r="A1003" s="8">
        <f>'ICICI PRUDENTIAL MULTICAP FUND'!A1003</f>
        <v>44742</v>
      </c>
      <c r="B1003" s="9">
        <f>'ICICI PRUDENTIAL MULTICAP FUND'!B1003</f>
        <v>404.13</v>
      </c>
      <c r="C1003" s="10">
        <f t="shared" si="60"/>
        <v>-1.9510026671935702E-3</v>
      </c>
      <c r="D1003" s="9">
        <f>'QUANT ACTIVE FUND'!B1003</f>
        <v>372.28</v>
      </c>
      <c r="E1003" s="10">
        <f t="shared" si="61"/>
        <v>-6.7156353972952091E-3</v>
      </c>
      <c r="F1003" s="9">
        <f>'NIPPON INDIA '!B1003</f>
        <v>138.11199999999999</v>
      </c>
      <c r="G1003" s="10">
        <f t="shared" si="62"/>
        <v>-4.3542201332219307E-3</v>
      </c>
      <c r="H1003" s="9">
        <f>'NIFTY500 TRI'!B1003</f>
        <v>20667.27</v>
      </c>
      <c r="I1003" s="10">
        <f t="shared" si="63"/>
        <v>-1.9827769791190939E-3</v>
      </c>
    </row>
    <row r="1004" spans="1:9" ht="14.25" customHeight="1" x14ac:dyDescent="0.3">
      <c r="A1004" s="8">
        <f>'ICICI PRUDENTIAL MULTICAP FUND'!A1004</f>
        <v>44741</v>
      </c>
      <c r="B1004" s="9">
        <f>'ICICI PRUDENTIAL MULTICAP FUND'!B1004</f>
        <v>404.92</v>
      </c>
      <c r="C1004" s="10">
        <f t="shared" si="60"/>
        <v>-2.0947827587055865E-3</v>
      </c>
      <c r="D1004" s="9">
        <f>'QUANT ACTIVE FUND'!B1004</f>
        <v>374.79700000000003</v>
      </c>
      <c r="E1004" s="10">
        <f t="shared" si="61"/>
        <v>-1.0687690232889131E-3</v>
      </c>
      <c r="F1004" s="9">
        <f>'NIPPON INDIA '!B1004</f>
        <v>138.71600000000001</v>
      </c>
      <c r="G1004" s="10">
        <f t="shared" si="62"/>
        <v>-2.2369755515114233E-3</v>
      </c>
      <c r="H1004" s="9">
        <f>'NIFTY500 TRI'!B1004</f>
        <v>20708.330000000002</v>
      </c>
      <c r="I1004" s="10">
        <f t="shared" si="63"/>
        <v>-3.4451528206074188E-3</v>
      </c>
    </row>
    <row r="1005" spans="1:9" ht="14.25" customHeight="1" x14ac:dyDescent="0.3">
      <c r="A1005" s="8">
        <f>'ICICI PRUDENTIAL MULTICAP FUND'!A1005</f>
        <v>44740</v>
      </c>
      <c r="B1005" s="9">
        <f>'ICICI PRUDENTIAL MULTICAP FUND'!B1005</f>
        <v>405.77</v>
      </c>
      <c r="C1005" s="10">
        <f t="shared" si="60"/>
        <v>2.792605773032808E-3</v>
      </c>
      <c r="D1005" s="9">
        <f>'QUANT ACTIVE FUND'!B1005</f>
        <v>375.19799999999998</v>
      </c>
      <c r="E1005" s="10">
        <f t="shared" si="61"/>
        <v>6.2893419122280643E-3</v>
      </c>
      <c r="F1005" s="9">
        <f>'NIPPON INDIA '!B1005</f>
        <v>139.02699999999999</v>
      </c>
      <c r="G1005" s="10">
        <f t="shared" si="62"/>
        <v>5.3511899166225358E-3</v>
      </c>
      <c r="H1005" s="9">
        <f>'NIFTY500 TRI'!B1005</f>
        <v>20779.919999999998</v>
      </c>
      <c r="I1005" s="10">
        <f t="shared" si="63"/>
        <v>1.4708859051344519E-3</v>
      </c>
    </row>
    <row r="1006" spans="1:9" ht="14.25" customHeight="1" x14ac:dyDescent="0.3">
      <c r="A1006" s="8">
        <f>'ICICI PRUDENTIAL MULTICAP FUND'!A1006</f>
        <v>44739</v>
      </c>
      <c r="B1006" s="9">
        <f>'ICICI PRUDENTIAL MULTICAP FUND'!B1006</f>
        <v>404.64</v>
      </c>
      <c r="C1006" s="10">
        <f t="shared" si="60"/>
        <v>1.2055424941223533E-2</v>
      </c>
      <c r="D1006" s="9">
        <f>'QUANT ACTIVE FUND'!B1006</f>
        <v>372.85300000000001</v>
      </c>
      <c r="E1006" s="10">
        <f t="shared" si="61"/>
        <v>1.2351209870107399E-2</v>
      </c>
      <c r="F1006" s="9">
        <f>'NIPPON INDIA '!B1006</f>
        <v>138.28700000000001</v>
      </c>
      <c r="G1006" s="10">
        <f t="shared" si="62"/>
        <v>1.2075792062179392E-2</v>
      </c>
      <c r="H1006" s="9">
        <f>'NIFTY500 TRI'!B1006</f>
        <v>20749.400000000001</v>
      </c>
      <c r="I1006" s="10">
        <f t="shared" si="63"/>
        <v>9.1619968270057143E-3</v>
      </c>
    </row>
    <row r="1007" spans="1:9" ht="14.25" customHeight="1" x14ac:dyDescent="0.3">
      <c r="A1007" s="8">
        <f>'ICICI PRUDENTIAL MULTICAP FUND'!A1007</f>
        <v>44736</v>
      </c>
      <c r="B1007" s="9">
        <f>'ICICI PRUDENTIAL MULTICAP FUND'!B1007</f>
        <v>399.82</v>
      </c>
      <c r="C1007" s="10">
        <f t="shared" si="60"/>
        <v>1.1511118981961726E-2</v>
      </c>
      <c r="D1007" s="9">
        <f>'QUANT ACTIVE FUND'!B1007</f>
        <v>368.30399999999997</v>
      </c>
      <c r="E1007" s="10">
        <f t="shared" si="61"/>
        <v>1.651859273181908E-2</v>
      </c>
      <c r="F1007" s="9">
        <f>'NIPPON INDIA '!B1007</f>
        <v>136.637</v>
      </c>
      <c r="G1007" s="10">
        <f t="shared" si="62"/>
        <v>1.4199400255336919E-2</v>
      </c>
      <c r="H1007" s="9">
        <f>'NIFTY500 TRI'!B1007</f>
        <v>20561.02</v>
      </c>
      <c r="I1007" s="10">
        <f t="shared" si="63"/>
        <v>1.0908518792574861E-2</v>
      </c>
    </row>
    <row r="1008" spans="1:9" ht="14.25" customHeight="1" x14ac:dyDescent="0.3">
      <c r="A1008" s="8">
        <f>'ICICI PRUDENTIAL MULTICAP FUND'!A1008</f>
        <v>44735</v>
      </c>
      <c r="B1008" s="9">
        <f>'ICICI PRUDENTIAL MULTICAP FUND'!B1008</f>
        <v>395.27</v>
      </c>
      <c r="C1008" s="10">
        <f t="shared" si="60"/>
        <v>1.0274760383386535E-2</v>
      </c>
      <c r="D1008" s="9">
        <f>'QUANT ACTIVE FUND'!B1008</f>
        <v>362.31900000000002</v>
      </c>
      <c r="E1008" s="10">
        <f t="shared" si="61"/>
        <v>9.1102025355941692E-3</v>
      </c>
      <c r="F1008" s="9">
        <f>'NIPPON INDIA '!B1008</f>
        <v>134.72399999999999</v>
      </c>
      <c r="G1008" s="10">
        <f t="shared" si="62"/>
        <v>1.2285012285012217E-2</v>
      </c>
      <c r="H1008" s="9">
        <f>'NIFTY500 TRI'!B1008</f>
        <v>20339.150000000001</v>
      </c>
      <c r="I1008" s="10">
        <f t="shared" si="63"/>
        <v>1.0068830575475259E-2</v>
      </c>
    </row>
    <row r="1009" spans="1:9" ht="14.25" customHeight="1" x14ac:dyDescent="0.3">
      <c r="A1009" s="8">
        <f>'ICICI PRUDENTIAL MULTICAP FUND'!A1009</f>
        <v>44734</v>
      </c>
      <c r="B1009" s="9">
        <f>'ICICI PRUDENTIAL MULTICAP FUND'!B1009</f>
        <v>391.25</v>
      </c>
      <c r="C1009" s="10">
        <f t="shared" si="60"/>
        <v>-9.016995516830887E-3</v>
      </c>
      <c r="D1009" s="9">
        <f>'QUANT ACTIVE FUND'!B1009</f>
        <v>359.048</v>
      </c>
      <c r="E1009" s="10">
        <f t="shared" si="61"/>
        <v>-2.0415735640368766E-2</v>
      </c>
      <c r="F1009" s="9">
        <f>'NIPPON INDIA '!B1009</f>
        <v>133.089</v>
      </c>
      <c r="G1009" s="10">
        <f t="shared" si="62"/>
        <v>-1.2458447109106034E-2</v>
      </c>
      <c r="H1009" s="9">
        <f>'NIFTY500 TRI'!B1009</f>
        <v>20136.400000000001</v>
      </c>
      <c r="I1009" s="10">
        <f t="shared" si="63"/>
        <v>-1.4636294683271687E-2</v>
      </c>
    </row>
    <row r="1010" spans="1:9" ht="14.25" customHeight="1" x14ac:dyDescent="0.3">
      <c r="A1010" s="8">
        <f>'ICICI PRUDENTIAL MULTICAP FUND'!A1010</f>
        <v>44733</v>
      </c>
      <c r="B1010" s="9">
        <f>'ICICI PRUDENTIAL MULTICAP FUND'!B1010</f>
        <v>394.81</v>
      </c>
      <c r="C1010" s="10">
        <f t="shared" si="60"/>
        <v>2.0128158751485766E-2</v>
      </c>
      <c r="D1010" s="9">
        <f>'QUANT ACTIVE FUND'!B1010</f>
        <v>366.53100000000001</v>
      </c>
      <c r="E1010" s="10">
        <f t="shared" si="61"/>
        <v>3.3285032870626223E-2</v>
      </c>
      <c r="F1010" s="9">
        <f>'NIPPON INDIA '!B1010</f>
        <v>134.768</v>
      </c>
      <c r="G1010" s="10">
        <f t="shared" si="62"/>
        <v>2.5553610836313859E-2</v>
      </c>
      <c r="H1010" s="9">
        <f>'NIFTY500 TRI'!B1010</f>
        <v>20435.5</v>
      </c>
      <c r="I1010" s="10">
        <f t="shared" si="63"/>
        <v>2.2498929241903259E-2</v>
      </c>
    </row>
    <row r="1011" spans="1:9" ht="14.25" customHeight="1" x14ac:dyDescent="0.3">
      <c r="A1011" s="8">
        <f>'ICICI PRUDENTIAL MULTICAP FUND'!A1011</f>
        <v>44732</v>
      </c>
      <c r="B1011" s="9">
        <f>'ICICI PRUDENTIAL MULTICAP FUND'!B1011</f>
        <v>387.02</v>
      </c>
      <c r="C1011" s="10">
        <f t="shared" si="60"/>
        <v>-5.7545085546935448E-3</v>
      </c>
      <c r="D1011" s="9">
        <f>'QUANT ACTIVE FUND'!B1011</f>
        <v>354.72399999999999</v>
      </c>
      <c r="E1011" s="10">
        <f t="shared" si="61"/>
        <v>-2.6569266148197386E-2</v>
      </c>
      <c r="F1011" s="9">
        <f>'NIPPON INDIA '!B1011</f>
        <v>131.41</v>
      </c>
      <c r="G1011" s="10">
        <f t="shared" si="62"/>
        <v>-8.0617159075470034E-3</v>
      </c>
      <c r="H1011" s="9">
        <f>'NIFTY500 TRI'!B1011</f>
        <v>19985.84</v>
      </c>
      <c r="I1011" s="10">
        <f t="shared" si="63"/>
        <v>-3.3158241461217521E-3</v>
      </c>
    </row>
    <row r="1012" spans="1:9" ht="14.25" customHeight="1" x14ac:dyDescent="0.3">
      <c r="A1012" s="8">
        <f>'ICICI PRUDENTIAL MULTICAP FUND'!A1012</f>
        <v>44729</v>
      </c>
      <c r="B1012" s="9">
        <f>'ICICI PRUDENTIAL MULTICAP FUND'!B1012</f>
        <v>389.26</v>
      </c>
      <c r="C1012" s="10">
        <f t="shared" si="60"/>
        <v>-6.2546271476347009E-3</v>
      </c>
      <c r="D1012" s="9">
        <f>'QUANT ACTIVE FUND'!B1012</f>
        <v>364.40600000000001</v>
      </c>
      <c r="E1012" s="10">
        <f t="shared" si="61"/>
        <v>-7.6386600619262682E-3</v>
      </c>
      <c r="F1012" s="9">
        <f>'NIPPON INDIA '!B1012</f>
        <v>132.47800000000001</v>
      </c>
      <c r="G1012" s="10">
        <f t="shared" si="62"/>
        <v>-9.9322158033584157E-3</v>
      </c>
      <c r="H1012" s="9">
        <f>'NIFTY500 TRI'!B1012</f>
        <v>20052.330000000002</v>
      </c>
      <c r="I1012" s="10">
        <f t="shared" si="63"/>
        <v>-7.1629449918303835E-3</v>
      </c>
    </row>
    <row r="1013" spans="1:9" ht="14.25" customHeight="1" x14ac:dyDescent="0.3">
      <c r="A1013" s="8">
        <f>'ICICI PRUDENTIAL MULTICAP FUND'!A1013</f>
        <v>44728</v>
      </c>
      <c r="B1013" s="9">
        <f>'ICICI PRUDENTIAL MULTICAP FUND'!B1013</f>
        <v>391.71</v>
      </c>
      <c r="C1013" s="10">
        <f t="shared" si="60"/>
        <v>-1.9352092930102188E-2</v>
      </c>
      <c r="D1013" s="9">
        <f>'QUANT ACTIVE FUND'!B1013</f>
        <v>367.21100000000001</v>
      </c>
      <c r="E1013" s="10">
        <f t="shared" si="61"/>
        <v>-3.0842154991989851E-2</v>
      </c>
      <c r="F1013" s="9">
        <f>'NIPPON INDIA '!B1013</f>
        <v>133.80699999999999</v>
      </c>
      <c r="G1013" s="10">
        <f t="shared" si="62"/>
        <v>-2.3442004393551385E-2</v>
      </c>
      <c r="H1013" s="9">
        <f>'NIFTY500 TRI'!B1013</f>
        <v>20197</v>
      </c>
      <c r="I1013" s="10">
        <f t="shared" si="63"/>
        <v>-2.1784036921997988E-2</v>
      </c>
    </row>
    <row r="1014" spans="1:9" ht="14.25" customHeight="1" x14ac:dyDescent="0.3">
      <c r="A1014" s="8">
        <f>'ICICI PRUDENTIAL MULTICAP FUND'!A1014</f>
        <v>44727</v>
      </c>
      <c r="B1014" s="9">
        <f>'ICICI PRUDENTIAL MULTICAP FUND'!B1014</f>
        <v>399.44</v>
      </c>
      <c r="C1014" s="10">
        <f t="shared" si="60"/>
        <v>-2.5028783100571338E-4</v>
      </c>
      <c r="D1014" s="9">
        <f>'QUANT ACTIVE FUND'!B1014</f>
        <v>378.89699999999999</v>
      </c>
      <c r="E1014" s="10">
        <f t="shared" si="61"/>
        <v>-8.2013037699635934E-4</v>
      </c>
      <c r="F1014" s="9">
        <f>'NIPPON INDIA '!B1014</f>
        <v>137.01900000000001</v>
      </c>
      <c r="G1014" s="10">
        <f t="shared" si="62"/>
        <v>1.630164624696725E-3</v>
      </c>
      <c r="H1014" s="9">
        <f>'NIFTY500 TRI'!B1014</f>
        <v>20646.77</v>
      </c>
      <c r="I1014" s="10">
        <f t="shared" si="63"/>
        <v>1.2303680011319741E-4</v>
      </c>
    </row>
    <row r="1015" spans="1:9" ht="14.25" customHeight="1" x14ac:dyDescent="0.3">
      <c r="A1015" s="8">
        <f>'ICICI PRUDENTIAL MULTICAP FUND'!A1015</f>
        <v>44726</v>
      </c>
      <c r="B1015" s="9">
        <f>'ICICI PRUDENTIAL MULTICAP FUND'!B1015</f>
        <v>399.54</v>
      </c>
      <c r="C1015" s="10">
        <f t="shared" si="60"/>
        <v>-8.5025507652289431E-4</v>
      </c>
      <c r="D1015" s="9">
        <f>'QUANT ACTIVE FUND'!B1015</f>
        <v>379.20800000000003</v>
      </c>
      <c r="E1015" s="10">
        <f t="shared" si="61"/>
        <v>1.8758355394217047E-3</v>
      </c>
      <c r="F1015" s="9">
        <f>'NIPPON INDIA '!B1015</f>
        <v>136.79599999999999</v>
      </c>
      <c r="G1015" s="10">
        <f t="shared" si="62"/>
        <v>1.4715033493172766E-3</v>
      </c>
      <c r="H1015" s="9">
        <f>'NIFTY500 TRI'!B1015</f>
        <v>20644.23</v>
      </c>
      <c r="I1015" s="10">
        <f t="shared" si="63"/>
        <v>-2.1060721778052623E-3</v>
      </c>
    </row>
    <row r="1016" spans="1:9" ht="14.25" customHeight="1" x14ac:dyDescent="0.3">
      <c r="A1016" s="8">
        <f>'ICICI PRUDENTIAL MULTICAP FUND'!A1016</f>
        <v>44725</v>
      </c>
      <c r="B1016" s="9">
        <f>'ICICI PRUDENTIAL MULTICAP FUND'!B1016</f>
        <v>399.88</v>
      </c>
      <c r="C1016" s="10">
        <f t="shared" si="60"/>
        <v>-2.3492063492063502E-2</v>
      </c>
      <c r="D1016" s="9">
        <f>'QUANT ACTIVE FUND'!B1016</f>
        <v>378.49799999999999</v>
      </c>
      <c r="E1016" s="10">
        <f t="shared" si="61"/>
        <v>-3.4643351756397343E-2</v>
      </c>
      <c r="F1016" s="9">
        <f>'NIPPON INDIA '!B1016</f>
        <v>136.595</v>
      </c>
      <c r="G1016" s="10">
        <f t="shared" si="62"/>
        <v>-2.8609424113555847E-2</v>
      </c>
      <c r="H1016" s="9">
        <f>'NIFTY500 TRI'!B1016</f>
        <v>20687.8</v>
      </c>
      <c r="I1016" s="10">
        <f t="shared" si="63"/>
        <v>-2.6471130787677571E-2</v>
      </c>
    </row>
    <row r="1017" spans="1:9" ht="14.25" customHeight="1" x14ac:dyDescent="0.3">
      <c r="A1017" s="8">
        <f>'ICICI PRUDENTIAL MULTICAP FUND'!A1017</f>
        <v>44722</v>
      </c>
      <c r="B1017" s="9">
        <f>'ICICI PRUDENTIAL MULTICAP FUND'!B1017</f>
        <v>409.5</v>
      </c>
      <c r="C1017" s="10">
        <f t="shared" si="60"/>
        <v>-9.841139347631582E-3</v>
      </c>
      <c r="D1017" s="9">
        <f>'QUANT ACTIVE FUND'!B1017</f>
        <v>392.08100000000002</v>
      </c>
      <c r="E1017" s="10">
        <f t="shared" si="61"/>
        <v>-7.0580548436438954E-3</v>
      </c>
      <c r="F1017" s="9">
        <f>'NIPPON INDIA '!B1017</f>
        <v>140.61799999999999</v>
      </c>
      <c r="G1017" s="10">
        <f t="shared" si="62"/>
        <v>-9.7672617161367586E-3</v>
      </c>
      <c r="H1017" s="9">
        <f>'NIFTY500 TRI'!B1017</f>
        <v>21250.32</v>
      </c>
      <c r="I1017" s="10">
        <f t="shared" si="63"/>
        <v>-1.3952020787898487E-2</v>
      </c>
    </row>
    <row r="1018" spans="1:9" ht="14.25" customHeight="1" x14ac:dyDescent="0.3">
      <c r="A1018" s="8">
        <f>'ICICI PRUDENTIAL MULTICAP FUND'!A1018</f>
        <v>44721</v>
      </c>
      <c r="B1018" s="9">
        <f>'ICICI PRUDENTIAL MULTICAP FUND'!B1018</f>
        <v>413.57</v>
      </c>
      <c r="C1018" s="10">
        <f t="shared" si="60"/>
        <v>4.9571112677083582E-3</v>
      </c>
      <c r="D1018" s="9">
        <f>'QUANT ACTIVE FUND'!B1018</f>
        <v>394.86799999999999</v>
      </c>
      <c r="E1018" s="10">
        <f t="shared" si="61"/>
        <v>4.6637067945602042E-3</v>
      </c>
      <c r="F1018" s="9">
        <f>'NIPPON INDIA '!B1018</f>
        <v>142.005</v>
      </c>
      <c r="G1018" s="10">
        <f t="shared" si="62"/>
        <v>1.3892023017037314E-3</v>
      </c>
      <c r="H1018" s="9">
        <f>'NIFTY500 TRI'!B1018</f>
        <v>21551</v>
      </c>
      <c r="I1018" s="10">
        <f t="shared" si="63"/>
        <v>3.1372768064943241E-3</v>
      </c>
    </row>
    <row r="1019" spans="1:9" ht="14.25" customHeight="1" x14ac:dyDescent="0.3">
      <c r="A1019" s="8">
        <f>'ICICI PRUDENTIAL MULTICAP FUND'!A1019</f>
        <v>44720</v>
      </c>
      <c r="B1019" s="9">
        <f>'ICICI PRUDENTIAL MULTICAP FUND'!B1019</f>
        <v>411.53</v>
      </c>
      <c r="C1019" s="10">
        <f t="shared" si="60"/>
        <v>-2.9150977772380557E-4</v>
      </c>
      <c r="D1019" s="9">
        <f>'QUANT ACTIVE FUND'!B1019</f>
        <v>393.03500000000003</v>
      </c>
      <c r="E1019" s="10">
        <f t="shared" si="61"/>
        <v>-9.4050660261040843E-4</v>
      </c>
      <c r="F1019" s="9">
        <f>'NIPPON INDIA '!B1019</f>
        <v>141.80799999999999</v>
      </c>
      <c r="G1019" s="10">
        <f t="shared" si="62"/>
        <v>-1.387275095947345E-3</v>
      </c>
      <c r="H1019" s="9">
        <f>'NIFTY500 TRI'!B1019</f>
        <v>21483.599999999999</v>
      </c>
      <c r="I1019" s="10">
        <f t="shared" si="63"/>
        <v>0</v>
      </c>
    </row>
    <row r="1020" spans="1:9" ht="14.25" customHeight="1" x14ac:dyDescent="0.3">
      <c r="A1020" s="8">
        <f>'ICICI PRUDENTIAL MULTICAP FUND'!A1020</f>
        <v>44719</v>
      </c>
      <c r="B1020" s="9">
        <f>'ICICI PRUDENTIAL MULTICAP FUND'!B1020</f>
        <v>411.65</v>
      </c>
      <c r="C1020" s="10">
        <f t="shared" si="60"/>
        <v>-6.2284238225141604E-3</v>
      </c>
      <c r="D1020" s="9">
        <f>'QUANT ACTIVE FUND'!B1020</f>
        <v>393.40499999999997</v>
      </c>
      <c r="E1020" s="10">
        <f t="shared" si="61"/>
        <v>-7.2775171655029905E-3</v>
      </c>
      <c r="F1020" s="9">
        <f>'NIPPON INDIA '!B1020</f>
        <v>142.005</v>
      </c>
      <c r="G1020" s="10">
        <f t="shared" si="62"/>
        <v>-8.0609671763563345E-3</v>
      </c>
      <c r="H1020" s="9">
        <f>'NIFTY500 TRI'!B1020</f>
        <v>21483.599999999999</v>
      </c>
      <c r="I1020" s="10">
        <f t="shared" si="63"/>
        <v>-8.4265008536349405E-3</v>
      </c>
    </row>
    <row r="1021" spans="1:9" ht="14.25" customHeight="1" x14ac:dyDescent="0.3">
      <c r="A1021" s="8">
        <f>'ICICI PRUDENTIAL MULTICAP FUND'!A1021</f>
        <v>44718</v>
      </c>
      <c r="B1021" s="9">
        <f>'ICICI PRUDENTIAL MULTICAP FUND'!B1021</f>
        <v>414.23</v>
      </c>
      <c r="C1021" s="10">
        <f t="shared" si="60"/>
        <v>-5.283000744422805E-3</v>
      </c>
      <c r="D1021" s="9">
        <f>'QUANT ACTIVE FUND'!B1021</f>
        <v>396.28899999999999</v>
      </c>
      <c r="E1021" s="10">
        <f t="shared" si="61"/>
        <v>6.211446736843749E-4</v>
      </c>
      <c r="F1021" s="9">
        <f>'NIPPON INDIA '!B1021</f>
        <v>143.15899999999999</v>
      </c>
      <c r="G1021" s="10">
        <f t="shared" si="62"/>
        <v>-6.1715539264690245E-3</v>
      </c>
      <c r="H1021" s="9">
        <f>'NIFTY500 TRI'!B1021</f>
        <v>21666.17</v>
      </c>
      <c r="I1021" s="10">
        <f t="shared" si="63"/>
        <v>-1.6776807181451924E-3</v>
      </c>
    </row>
    <row r="1022" spans="1:9" ht="14.25" customHeight="1" x14ac:dyDescent="0.3">
      <c r="A1022" s="8">
        <f>'ICICI PRUDENTIAL MULTICAP FUND'!A1022</f>
        <v>44715</v>
      </c>
      <c r="B1022" s="9">
        <f>'ICICI PRUDENTIAL MULTICAP FUND'!B1022</f>
        <v>416.43</v>
      </c>
      <c r="C1022" s="10">
        <f t="shared" si="60"/>
        <v>-8.9719181342217558E-3</v>
      </c>
      <c r="D1022" s="9">
        <f>'QUANT ACTIVE FUND'!B1022</f>
        <v>396.04300000000001</v>
      </c>
      <c r="E1022" s="10">
        <f t="shared" si="61"/>
        <v>-1.0085533321002326E-2</v>
      </c>
      <c r="F1022" s="9">
        <f>'NIPPON INDIA '!B1022</f>
        <v>144.048</v>
      </c>
      <c r="G1022" s="10">
        <f t="shared" si="62"/>
        <v>-5.8799171842650365E-3</v>
      </c>
      <c r="H1022" s="9">
        <f>'NIFTY500 TRI'!B1022</f>
        <v>21702.58</v>
      </c>
      <c r="I1022" s="10">
        <f t="shared" si="63"/>
        <v>-6.3449010949966989E-3</v>
      </c>
    </row>
    <row r="1023" spans="1:9" ht="14.25" customHeight="1" x14ac:dyDescent="0.3">
      <c r="A1023" s="8">
        <f>'ICICI PRUDENTIAL MULTICAP FUND'!A1023</f>
        <v>44714</v>
      </c>
      <c r="B1023" s="9">
        <f>'ICICI PRUDENTIAL MULTICAP FUND'!B1023</f>
        <v>420.2</v>
      </c>
      <c r="C1023" s="10">
        <f t="shared" si="60"/>
        <v>5.3593645324911694E-3</v>
      </c>
      <c r="D1023" s="9">
        <f>'QUANT ACTIVE FUND'!B1023</f>
        <v>400.07799999999997</v>
      </c>
      <c r="E1023" s="10">
        <f t="shared" si="61"/>
        <v>7.9435661648925189E-3</v>
      </c>
      <c r="F1023" s="9">
        <f>'NIPPON INDIA '!B1023</f>
        <v>144.9</v>
      </c>
      <c r="G1023" s="10">
        <f t="shared" si="62"/>
        <v>7.9719520848116586E-3</v>
      </c>
      <c r="H1023" s="9">
        <f>'NIFTY500 TRI'!B1023</f>
        <v>21841.16</v>
      </c>
      <c r="I1023" s="10">
        <f t="shared" si="63"/>
        <v>6.0650895069390507E-3</v>
      </c>
    </row>
    <row r="1024" spans="1:9" ht="14.25" customHeight="1" x14ac:dyDescent="0.3">
      <c r="A1024" s="8">
        <f>'ICICI PRUDENTIAL MULTICAP FUND'!A1024</f>
        <v>44713</v>
      </c>
      <c r="B1024" s="9">
        <f>'ICICI PRUDENTIAL MULTICAP FUND'!B1024</f>
        <v>417.96</v>
      </c>
      <c r="C1024" s="10">
        <f t="shared" si="60"/>
        <v>-2.1528525296024838E-4</v>
      </c>
      <c r="D1024" s="9">
        <f>'QUANT ACTIVE FUND'!B1024</f>
        <v>396.92500000000001</v>
      </c>
      <c r="E1024" s="10">
        <f t="shared" si="61"/>
        <v>1.8829872355678565E-3</v>
      </c>
      <c r="F1024" s="9">
        <f>'NIPPON INDIA '!B1024</f>
        <v>143.75399999999999</v>
      </c>
      <c r="G1024" s="10">
        <f t="shared" si="62"/>
        <v>1.7351311800982213E-3</v>
      </c>
      <c r="H1024" s="9">
        <f>'NIFTY500 TRI'!B1024</f>
        <v>21709.49</v>
      </c>
      <c r="I1024" s="10">
        <f t="shared" si="63"/>
        <v>-2.5880026573773976E-3</v>
      </c>
    </row>
    <row r="1025" spans="1:9" ht="14.25" customHeight="1" x14ac:dyDescent="0.3">
      <c r="A1025" s="8">
        <f>'ICICI PRUDENTIAL MULTICAP FUND'!A1025</f>
        <v>44712</v>
      </c>
      <c r="B1025" s="9">
        <f>'ICICI PRUDENTIAL MULTICAP FUND'!B1025</f>
        <v>418.05</v>
      </c>
      <c r="C1025" s="10">
        <f t="shared" si="60"/>
        <v>1.581254941421752E-3</v>
      </c>
      <c r="D1025" s="9">
        <f>'QUANT ACTIVE FUND'!B1025</f>
        <v>396.17899999999997</v>
      </c>
      <c r="E1025" s="10">
        <f t="shared" si="61"/>
        <v>1.1359792393472681E-4</v>
      </c>
      <c r="F1025" s="9">
        <f>'NIPPON INDIA '!B1025</f>
        <v>143.505</v>
      </c>
      <c r="G1025" s="10">
        <f t="shared" si="62"/>
        <v>1.3187641296156254E-3</v>
      </c>
      <c r="H1025" s="9">
        <f>'NIFTY500 TRI'!B1025</f>
        <v>21765.82</v>
      </c>
      <c r="I1025" s="10">
        <f t="shared" si="63"/>
        <v>-1.441925013476484E-3</v>
      </c>
    </row>
    <row r="1026" spans="1:9" ht="14.25" customHeight="1" x14ac:dyDescent="0.3">
      <c r="A1026" s="8">
        <f>'ICICI PRUDENTIAL MULTICAP FUND'!A1026</f>
        <v>44711</v>
      </c>
      <c r="B1026" s="9">
        <f>'ICICI PRUDENTIAL MULTICAP FUND'!B1026</f>
        <v>417.39</v>
      </c>
      <c r="C1026" s="10">
        <f t="shared" ref="C1026:C1089" si="64">(B1026-B1027)/B1027</f>
        <v>2.0338817317329536E-2</v>
      </c>
      <c r="D1026" s="9">
        <f>'QUANT ACTIVE FUND'!B1026</f>
        <v>396.13400000000001</v>
      </c>
      <c r="E1026" s="10">
        <f t="shared" ref="E1026:E1089" si="65">(D1026-D1027)/D1027</f>
        <v>1.715482997948415E-2</v>
      </c>
      <c r="F1026" s="9">
        <f>'NIPPON INDIA '!B1026</f>
        <v>143.316</v>
      </c>
      <c r="G1026" s="10">
        <f t="shared" ref="G1026:G1089" si="66">(F1026-F1027)/F1027</f>
        <v>2.3605288155930656E-2</v>
      </c>
      <c r="H1026" s="9">
        <f>'NIFTY500 TRI'!B1026</f>
        <v>21797.25</v>
      </c>
      <c r="I1026" s="10">
        <f t="shared" ref="I1026:I1089" si="67">(H1026-H1027)/H1027</f>
        <v>2.0310485012884284E-2</v>
      </c>
    </row>
    <row r="1027" spans="1:9" ht="14.25" customHeight="1" x14ac:dyDescent="0.3">
      <c r="A1027" s="8">
        <f>'ICICI PRUDENTIAL MULTICAP FUND'!A1027</f>
        <v>44708</v>
      </c>
      <c r="B1027" s="9">
        <f>'ICICI PRUDENTIAL MULTICAP FUND'!B1027</f>
        <v>409.07</v>
      </c>
      <c r="C1027" s="10">
        <f t="shared" si="64"/>
        <v>8.5800931975640871E-3</v>
      </c>
      <c r="D1027" s="9">
        <f>'QUANT ACTIVE FUND'!B1027</f>
        <v>389.45299999999997</v>
      </c>
      <c r="E1027" s="10">
        <f t="shared" si="65"/>
        <v>3.8586850055159789E-3</v>
      </c>
      <c r="F1027" s="9">
        <f>'NIPPON INDIA '!B1027</f>
        <v>140.011</v>
      </c>
      <c r="G1027" s="10">
        <f t="shared" si="66"/>
        <v>1.1486696382774315E-2</v>
      </c>
      <c r="H1027" s="9">
        <f>'NIFTY500 TRI'!B1027</f>
        <v>21363.35</v>
      </c>
      <c r="I1027" s="10">
        <f t="shared" si="67"/>
        <v>1.0978948339788987E-2</v>
      </c>
    </row>
    <row r="1028" spans="1:9" ht="14.25" customHeight="1" x14ac:dyDescent="0.3">
      <c r="A1028" s="8">
        <f>'ICICI PRUDENTIAL MULTICAP FUND'!A1028</f>
        <v>44707</v>
      </c>
      <c r="B1028" s="9">
        <f>'ICICI PRUDENTIAL MULTICAP FUND'!B1028</f>
        <v>405.59</v>
      </c>
      <c r="C1028" s="10">
        <f t="shared" si="64"/>
        <v>1.1395940352102124E-2</v>
      </c>
      <c r="D1028" s="9">
        <f>'QUANT ACTIVE FUND'!B1028</f>
        <v>387.95600000000002</v>
      </c>
      <c r="E1028" s="10">
        <f t="shared" si="65"/>
        <v>1.179606345828352E-2</v>
      </c>
      <c r="F1028" s="9">
        <f>'NIPPON INDIA '!B1028</f>
        <v>138.42099999999999</v>
      </c>
      <c r="G1028" s="10">
        <f t="shared" si="66"/>
        <v>1.2885994438753079E-2</v>
      </c>
      <c r="H1028" s="9">
        <f>'NIFTY500 TRI'!B1028</f>
        <v>21131.35</v>
      </c>
      <c r="I1028" s="10">
        <f t="shared" si="67"/>
        <v>1.0442323591531829E-2</v>
      </c>
    </row>
    <row r="1029" spans="1:9" ht="14.25" customHeight="1" x14ac:dyDescent="0.3">
      <c r="A1029" s="8">
        <f>'ICICI PRUDENTIAL MULTICAP FUND'!A1029</f>
        <v>44706</v>
      </c>
      <c r="B1029" s="9">
        <f>'ICICI PRUDENTIAL MULTICAP FUND'!B1029</f>
        <v>401.02</v>
      </c>
      <c r="C1029" s="10">
        <f t="shared" si="64"/>
        <v>-1.1389409328468604E-2</v>
      </c>
      <c r="D1029" s="9">
        <f>'QUANT ACTIVE FUND'!B1029</f>
        <v>383.43299999999999</v>
      </c>
      <c r="E1029" s="10">
        <f t="shared" si="65"/>
        <v>-2.0134828474465436E-2</v>
      </c>
      <c r="F1029" s="9">
        <f>'NIPPON INDIA '!B1029</f>
        <v>136.66</v>
      </c>
      <c r="G1029" s="10">
        <f t="shared" si="66"/>
        <v>-1.5332737700665866E-2</v>
      </c>
      <c r="H1029" s="9">
        <f>'NIFTY500 TRI'!B1029</f>
        <v>20912.97</v>
      </c>
      <c r="I1029" s="10">
        <f t="shared" si="67"/>
        <v>-1.1132284238996816E-2</v>
      </c>
    </row>
    <row r="1030" spans="1:9" ht="14.25" customHeight="1" x14ac:dyDescent="0.3">
      <c r="A1030" s="8">
        <f>'ICICI PRUDENTIAL MULTICAP FUND'!A1030</f>
        <v>44705</v>
      </c>
      <c r="B1030" s="9">
        <f>'ICICI PRUDENTIAL MULTICAP FUND'!B1030</f>
        <v>405.64</v>
      </c>
      <c r="C1030" s="10">
        <f t="shared" si="64"/>
        <v>-7.0255318107267989E-3</v>
      </c>
      <c r="D1030" s="9">
        <f>'QUANT ACTIVE FUND'!B1030</f>
        <v>391.31200000000001</v>
      </c>
      <c r="E1030" s="10">
        <f t="shared" si="65"/>
        <v>-1.0318873421819318E-2</v>
      </c>
      <c r="F1030" s="9">
        <f>'NIPPON INDIA '!B1030</f>
        <v>138.78800000000001</v>
      </c>
      <c r="G1030" s="10">
        <f t="shared" si="66"/>
        <v>-7.9627167588738976E-3</v>
      </c>
      <c r="H1030" s="9">
        <f>'NIFTY500 TRI'!B1030</f>
        <v>21148.400000000001</v>
      </c>
      <c r="I1030" s="10">
        <f t="shared" si="67"/>
        <v>-6.3999263317831151E-3</v>
      </c>
    </row>
    <row r="1031" spans="1:9" ht="14.25" customHeight="1" x14ac:dyDescent="0.3">
      <c r="A1031" s="8">
        <f>'ICICI PRUDENTIAL MULTICAP FUND'!A1031</f>
        <v>44704</v>
      </c>
      <c r="B1031" s="9">
        <f>'ICICI PRUDENTIAL MULTICAP FUND'!B1031</f>
        <v>408.51</v>
      </c>
      <c r="C1031" s="10">
        <f t="shared" si="64"/>
        <v>-2.3201289503247905E-3</v>
      </c>
      <c r="D1031" s="9">
        <f>'QUANT ACTIVE FUND'!B1031</f>
        <v>395.392</v>
      </c>
      <c r="E1031" s="10">
        <f t="shared" si="65"/>
        <v>-1.4619023172123635E-2</v>
      </c>
      <c r="F1031" s="9">
        <f>'NIPPON INDIA '!B1031</f>
        <v>139.90199999999999</v>
      </c>
      <c r="G1031" s="10">
        <f t="shared" si="66"/>
        <v>-1.8193882574543108E-3</v>
      </c>
      <c r="H1031" s="9">
        <f>'NIFTY500 TRI'!B1031</f>
        <v>21284.62</v>
      </c>
      <c r="I1031" s="10">
        <f t="shared" si="67"/>
        <v>-4.2483355890385035E-3</v>
      </c>
    </row>
    <row r="1032" spans="1:9" ht="14.25" customHeight="1" x14ac:dyDescent="0.3">
      <c r="A1032" s="8">
        <f>'ICICI PRUDENTIAL MULTICAP FUND'!A1032</f>
        <v>44701</v>
      </c>
      <c r="B1032" s="9">
        <f>'ICICI PRUDENTIAL MULTICAP FUND'!B1032</f>
        <v>409.46</v>
      </c>
      <c r="C1032" s="10">
        <f t="shared" si="64"/>
        <v>2.1250062353469303E-2</v>
      </c>
      <c r="D1032" s="9">
        <f>'QUANT ACTIVE FUND'!B1032</f>
        <v>401.25799999999998</v>
      </c>
      <c r="E1032" s="10">
        <f t="shared" si="65"/>
        <v>3.4458045022841374E-2</v>
      </c>
      <c r="F1032" s="9">
        <f>'NIPPON INDIA '!B1032</f>
        <v>140.15700000000001</v>
      </c>
      <c r="G1032" s="10">
        <f t="shared" si="66"/>
        <v>2.3096070602147672E-2</v>
      </c>
      <c r="H1032" s="9">
        <f>'NIFTY500 TRI'!B1032</f>
        <v>21375.43</v>
      </c>
      <c r="I1032" s="10">
        <f t="shared" si="67"/>
        <v>2.5402117442758471E-2</v>
      </c>
    </row>
    <row r="1033" spans="1:9" ht="14.25" customHeight="1" x14ac:dyDescent="0.3">
      <c r="A1033" s="8">
        <f>'ICICI PRUDENTIAL MULTICAP FUND'!A1033</f>
        <v>44700</v>
      </c>
      <c r="B1033" s="9">
        <f>'ICICI PRUDENTIAL MULTICAP FUND'!B1033</f>
        <v>400.94</v>
      </c>
      <c r="C1033" s="10">
        <f t="shared" si="64"/>
        <v>-2.2788759170342981E-2</v>
      </c>
      <c r="D1033" s="9">
        <f>'QUANT ACTIVE FUND'!B1033</f>
        <v>387.892</v>
      </c>
      <c r="E1033" s="10">
        <f t="shared" si="65"/>
        <v>-2.1391575064775136E-2</v>
      </c>
      <c r="F1033" s="9">
        <f>'NIPPON INDIA '!B1033</f>
        <v>136.99299999999999</v>
      </c>
      <c r="G1033" s="10">
        <f t="shared" si="66"/>
        <v>-2.7252522527000406E-2</v>
      </c>
      <c r="H1033" s="9">
        <f>'NIFTY500 TRI'!B1033</f>
        <v>20845.900000000001</v>
      </c>
      <c r="I1033" s="10">
        <f t="shared" si="67"/>
        <v>-2.6392066126818957E-2</v>
      </c>
    </row>
    <row r="1034" spans="1:9" ht="14.25" customHeight="1" x14ac:dyDescent="0.3">
      <c r="A1034" s="8">
        <f>'ICICI PRUDENTIAL MULTICAP FUND'!A1034</f>
        <v>44699</v>
      </c>
      <c r="B1034" s="9">
        <f>'ICICI PRUDENTIAL MULTICAP FUND'!B1034</f>
        <v>410.29</v>
      </c>
      <c r="C1034" s="10">
        <f t="shared" si="64"/>
        <v>-2.7223451058554834E-3</v>
      </c>
      <c r="D1034" s="9">
        <f>'QUANT ACTIVE FUND'!B1034</f>
        <v>396.37099999999998</v>
      </c>
      <c r="E1034" s="10">
        <f t="shared" si="65"/>
        <v>4.0784170675420232E-3</v>
      </c>
      <c r="F1034" s="9">
        <f>'NIPPON INDIA '!B1034</f>
        <v>140.83099999999999</v>
      </c>
      <c r="G1034" s="10">
        <f t="shared" si="66"/>
        <v>-2.9381363012051347E-3</v>
      </c>
      <c r="H1034" s="9">
        <f>'NIFTY500 TRI'!B1034</f>
        <v>21410.98</v>
      </c>
      <c r="I1034" s="10">
        <f t="shared" si="67"/>
        <v>-5.6247879034848354E-4</v>
      </c>
    </row>
    <row r="1035" spans="1:9" ht="14.25" customHeight="1" x14ac:dyDescent="0.3">
      <c r="A1035" s="8">
        <f>'ICICI PRUDENTIAL MULTICAP FUND'!A1035</f>
        <v>44698</v>
      </c>
      <c r="B1035" s="9">
        <f>'ICICI PRUDENTIAL MULTICAP FUND'!B1035</f>
        <v>411.41</v>
      </c>
      <c r="C1035" s="10">
        <f t="shared" si="64"/>
        <v>2.3382502922812951E-2</v>
      </c>
      <c r="D1035" s="9">
        <f>'QUANT ACTIVE FUND'!B1035</f>
        <v>394.76100000000002</v>
      </c>
      <c r="E1035" s="10">
        <f t="shared" si="65"/>
        <v>3.6899186526333484E-2</v>
      </c>
      <c r="F1035" s="9">
        <f>'NIPPON INDIA '!B1035</f>
        <v>141.24600000000001</v>
      </c>
      <c r="G1035" s="10">
        <f t="shared" si="66"/>
        <v>2.3143620835778242E-2</v>
      </c>
      <c r="H1035" s="9">
        <f>'NIFTY500 TRI'!B1035</f>
        <v>21423.03</v>
      </c>
      <c r="I1035" s="10">
        <f t="shared" si="67"/>
        <v>2.615265382448843E-2</v>
      </c>
    </row>
    <row r="1036" spans="1:9" ht="14.25" customHeight="1" x14ac:dyDescent="0.3">
      <c r="A1036" s="8">
        <f>'ICICI PRUDENTIAL MULTICAP FUND'!A1036</f>
        <v>44697</v>
      </c>
      <c r="B1036" s="9">
        <f>'ICICI PRUDENTIAL MULTICAP FUND'!B1036</f>
        <v>402.01</v>
      </c>
      <c r="C1036" s="10">
        <f t="shared" si="64"/>
        <v>1.2517630465444213E-2</v>
      </c>
      <c r="D1036" s="9">
        <f>'QUANT ACTIVE FUND'!B1036</f>
        <v>380.71300000000002</v>
      </c>
      <c r="E1036" s="10">
        <f t="shared" si="65"/>
        <v>1.3324212750893724E-2</v>
      </c>
      <c r="F1036" s="9">
        <f>'NIPPON INDIA '!B1036</f>
        <v>138.05099999999999</v>
      </c>
      <c r="G1036" s="10">
        <f t="shared" si="66"/>
        <v>6.7896732788796906E-3</v>
      </c>
      <c r="H1036" s="9">
        <f>'NIFTY500 TRI'!B1036</f>
        <v>20877.04</v>
      </c>
      <c r="I1036" s="10">
        <f t="shared" si="67"/>
        <v>7.400230074967408E-3</v>
      </c>
    </row>
    <row r="1037" spans="1:9" ht="14.25" customHeight="1" x14ac:dyDescent="0.3">
      <c r="A1037" s="8">
        <f>'ICICI PRUDENTIAL MULTICAP FUND'!A1037</f>
        <v>44694</v>
      </c>
      <c r="B1037" s="9">
        <f>'ICICI PRUDENTIAL MULTICAP FUND'!B1037</f>
        <v>397.04</v>
      </c>
      <c r="C1037" s="10">
        <f t="shared" si="64"/>
        <v>2.5187013575920584E-5</v>
      </c>
      <c r="D1037" s="9">
        <f>'QUANT ACTIVE FUND'!B1037</f>
        <v>375.70699999999999</v>
      </c>
      <c r="E1037" s="10">
        <f t="shared" si="65"/>
        <v>-6.9686596501307408E-4</v>
      </c>
      <c r="F1037" s="9">
        <f>'NIPPON INDIA '!B1037</f>
        <v>137.12</v>
      </c>
      <c r="G1037" s="10">
        <f t="shared" si="66"/>
        <v>2.8450332285302624E-4</v>
      </c>
      <c r="H1037" s="9">
        <f>'NIFTY500 TRI'!B1037</f>
        <v>20723.68</v>
      </c>
      <c r="I1037" s="10">
        <f t="shared" si="67"/>
        <v>4.6586782002350365E-4</v>
      </c>
    </row>
    <row r="1038" spans="1:9" ht="14.25" customHeight="1" x14ac:dyDescent="0.3">
      <c r="A1038" s="8">
        <f>'ICICI PRUDENTIAL MULTICAP FUND'!A1038</f>
        <v>44693</v>
      </c>
      <c r="B1038" s="9">
        <f>'ICICI PRUDENTIAL MULTICAP FUND'!B1038</f>
        <v>397.03</v>
      </c>
      <c r="C1038" s="10">
        <f t="shared" si="64"/>
        <v>-1.8928068398033123E-2</v>
      </c>
      <c r="D1038" s="9">
        <f>'QUANT ACTIVE FUND'!B1038</f>
        <v>375.96899999999999</v>
      </c>
      <c r="E1038" s="10">
        <f t="shared" si="65"/>
        <v>-1.9156718286930798E-2</v>
      </c>
      <c r="F1038" s="9">
        <f>'NIPPON INDIA '!B1038</f>
        <v>137.08099999999999</v>
      </c>
      <c r="G1038" s="10">
        <f t="shared" si="66"/>
        <v>-1.4628080163317122E-2</v>
      </c>
      <c r="H1038" s="9">
        <f>'NIFTY500 TRI'!B1038</f>
        <v>20714.03</v>
      </c>
      <c r="I1038" s="10">
        <f t="shared" si="67"/>
        <v>-2.161937487453806E-2</v>
      </c>
    </row>
    <row r="1039" spans="1:9" ht="14.25" customHeight="1" x14ac:dyDescent="0.3">
      <c r="A1039" s="8">
        <f>'ICICI PRUDENTIAL MULTICAP FUND'!A1039</f>
        <v>44692</v>
      </c>
      <c r="B1039" s="9">
        <f>'ICICI PRUDENTIAL MULTICAP FUND'!B1039</f>
        <v>404.69</v>
      </c>
      <c r="C1039" s="10">
        <f t="shared" si="64"/>
        <v>-8.89008620689654E-3</v>
      </c>
      <c r="D1039" s="9">
        <f>'QUANT ACTIVE FUND'!B1039</f>
        <v>383.31200000000001</v>
      </c>
      <c r="E1039" s="10">
        <f t="shared" si="65"/>
        <v>-2.1256929248257925E-2</v>
      </c>
      <c r="F1039" s="9">
        <f>'NIPPON INDIA '!B1039</f>
        <v>139.11600000000001</v>
      </c>
      <c r="G1039" s="10">
        <f t="shared" si="66"/>
        <v>-1.0329520232200771E-2</v>
      </c>
      <c r="H1039" s="9">
        <f>'NIFTY500 TRI'!B1039</f>
        <v>21171.75</v>
      </c>
      <c r="I1039" s="10">
        <f t="shared" si="67"/>
        <v>-6.0701233037807655E-3</v>
      </c>
    </row>
    <row r="1040" spans="1:9" ht="14.25" customHeight="1" x14ac:dyDescent="0.3">
      <c r="A1040" s="8">
        <f>'ICICI PRUDENTIAL MULTICAP FUND'!A1040</f>
        <v>44691</v>
      </c>
      <c r="B1040" s="9">
        <f>'ICICI PRUDENTIAL MULTICAP FUND'!B1040</f>
        <v>408.32</v>
      </c>
      <c r="C1040" s="10">
        <f t="shared" si="64"/>
        <v>-1.142746465233398E-2</v>
      </c>
      <c r="D1040" s="9">
        <f>'QUANT ACTIVE FUND'!B1040</f>
        <v>391.637</v>
      </c>
      <c r="E1040" s="10">
        <f t="shared" si="65"/>
        <v>-2.4613966925682362E-2</v>
      </c>
      <c r="F1040" s="9">
        <f>'NIPPON INDIA '!B1040</f>
        <v>140.56800000000001</v>
      </c>
      <c r="G1040" s="10">
        <f t="shared" si="66"/>
        <v>-1.1692247119122994E-2</v>
      </c>
      <c r="H1040" s="9">
        <f>'NIFTY500 TRI'!B1040</f>
        <v>21301.05</v>
      </c>
      <c r="I1040" s="10">
        <f t="shared" si="67"/>
        <v>-9.7007351563549605E-3</v>
      </c>
    </row>
    <row r="1041" spans="1:9" ht="14.25" customHeight="1" x14ac:dyDescent="0.3">
      <c r="A1041" s="8">
        <f>'ICICI PRUDENTIAL MULTICAP FUND'!A1041</f>
        <v>44690</v>
      </c>
      <c r="B1041" s="9">
        <f>'ICICI PRUDENTIAL MULTICAP FUND'!B1041</f>
        <v>413.04</v>
      </c>
      <c r="C1041" s="10">
        <f t="shared" si="64"/>
        <v>-9.5914061001342796E-3</v>
      </c>
      <c r="D1041" s="9">
        <f>'QUANT ACTIVE FUND'!B1041</f>
        <v>401.52</v>
      </c>
      <c r="E1041" s="10">
        <f t="shared" si="65"/>
        <v>-1.8036415216620406E-2</v>
      </c>
      <c r="F1041" s="9">
        <f>'NIPPON INDIA '!B1041</f>
        <v>142.23099999999999</v>
      </c>
      <c r="G1041" s="10">
        <f t="shared" si="66"/>
        <v>-1.0140025611046112E-2</v>
      </c>
      <c r="H1041" s="9">
        <f>'NIFTY500 TRI'!B1041</f>
        <v>21509.71</v>
      </c>
      <c r="I1041" s="10">
        <f t="shared" si="67"/>
        <v>-1.08863745576865E-2</v>
      </c>
    </row>
    <row r="1042" spans="1:9" ht="14.25" customHeight="1" x14ac:dyDescent="0.3">
      <c r="A1042" s="8">
        <f>'ICICI PRUDENTIAL MULTICAP FUND'!A1042</f>
        <v>44687</v>
      </c>
      <c r="B1042" s="9">
        <f>'ICICI PRUDENTIAL MULTICAP FUND'!B1042</f>
        <v>417.04</v>
      </c>
      <c r="C1042" s="10">
        <f t="shared" si="64"/>
        <v>-1.9928557999623901E-2</v>
      </c>
      <c r="D1042" s="9">
        <f>'QUANT ACTIVE FUND'!B1042</f>
        <v>408.89499999999998</v>
      </c>
      <c r="E1042" s="10">
        <f t="shared" si="65"/>
        <v>-1.0703596979572762E-2</v>
      </c>
      <c r="F1042" s="9">
        <f>'NIPPON INDIA '!B1042</f>
        <v>143.68799999999999</v>
      </c>
      <c r="G1042" s="10">
        <f t="shared" si="66"/>
        <v>-1.3761814225803736E-2</v>
      </c>
      <c r="H1042" s="9">
        <f>'NIFTY500 TRI'!B1042</f>
        <v>21746.45</v>
      </c>
      <c r="I1042" s="10">
        <f t="shared" si="67"/>
        <v>-1.734899384963386E-2</v>
      </c>
    </row>
    <row r="1043" spans="1:9" ht="14.25" customHeight="1" x14ac:dyDescent="0.3">
      <c r="A1043" s="8">
        <f>'ICICI PRUDENTIAL MULTICAP FUND'!A1043</f>
        <v>44686</v>
      </c>
      <c r="B1043" s="9">
        <f>'ICICI PRUDENTIAL MULTICAP FUND'!B1043</f>
        <v>425.52</v>
      </c>
      <c r="C1043" s="10">
        <f t="shared" si="64"/>
        <v>1.0586491636671339E-3</v>
      </c>
      <c r="D1043" s="9">
        <f>'QUANT ACTIVE FUND'!B1043</f>
        <v>413.31900000000002</v>
      </c>
      <c r="E1043" s="10">
        <f t="shared" si="65"/>
        <v>4.6914234459356149E-3</v>
      </c>
      <c r="F1043" s="9">
        <f>'NIPPON INDIA '!B1043</f>
        <v>145.69300000000001</v>
      </c>
      <c r="G1043" s="10">
        <f t="shared" si="66"/>
        <v>1.181959992028817E-3</v>
      </c>
      <c r="H1043" s="9">
        <f>'NIFTY500 TRI'!B1043</f>
        <v>22130.39</v>
      </c>
      <c r="I1043" s="10">
        <f t="shared" si="67"/>
        <v>1.7445121309127921E-4</v>
      </c>
    </row>
    <row r="1044" spans="1:9" ht="14.25" customHeight="1" x14ac:dyDescent="0.3">
      <c r="A1044" s="8">
        <f>'ICICI PRUDENTIAL MULTICAP FUND'!A1044</f>
        <v>44685</v>
      </c>
      <c r="B1044" s="9">
        <f>'ICICI PRUDENTIAL MULTICAP FUND'!B1044</f>
        <v>425.07</v>
      </c>
      <c r="C1044" s="10">
        <f t="shared" si="64"/>
        <v>-2.1342726895980067E-2</v>
      </c>
      <c r="D1044" s="9">
        <f>'QUANT ACTIVE FUND'!B1044</f>
        <v>411.38900000000001</v>
      </c>
      <c r="E1044" s="10">
        <f t="shared" si="65"/>
        <v>-3.2897412449486629E-2</v>
      </c>
      <c r="F1044" s="9">
        <f>'NIPPON INDIA '!B1044</f>
        <v>145.52099999999999</v>
      </c>
      <c r="G1044" s="10">
        <f t="shared" si="66"/>
        <v>-2.7552056881665947E-2</v>
      </c>
      <c r="H1044" s="9">
        <f>'NIFTY500 TRI'!B1044</f>
        <v>22126.53</v>
      </c>
      <c r="I1044" s="10">
        <f t="shared" si="67"/>
        <v>-2.3269949959565134E-2</v>
      </c>
    </row>
    <row r="1045" spans="1:9" ht="14.25" customHeight="1" x14ac:dyDescent="0.3">
      <c r="A1045" s="8">
        <f>'ICICI PRUDENTIAL MULTICAP FUND'!A1045</f>
        <v>44683</v>
      </c>
      <c r="B1045" s="9">
        <f>'ICICI PRUDENTIAL MULTICAP FUND'!B1045</f>
        <v>434.34</v>
      </c>
      <c r="C1045" s="10">
        <f t="shared" si="64"/>
        <v>-7.9711303473951282E-3</v>
      </c>
      <c r="D1045" s="9">
        <f>'QUANT ACTIVE FUND'!B1045</f>
        <v>425.38299999999998</v>
      </c>
      <c r="E1045" s="10">
        <f t="shared" si="65"/>
        <v>-1.9169404035664179E-3</v>
      </c>
      <c r="F1045" s="9">
        <f>'NIPPON INDIA '!B1045</f>
        <v>149.64400000000001</v>
      </c>
      <c r="G1045" s="10">
        <f t="shared" si="66"/>
        <v>-3.1442351248368488E-3</v>
      </c>
      <c r="H1045" s="9">
        <f>'NIFTY500 TRI'!B1045</f>
        <v>22653.68</v>
      </c>
      <c r="I1045" s="10">
        <f t="shared" si="67"/>
        <v>-3.1826968306358271E-3</v>
      </c>
    </row>
    <row r="1046" spans="1:9" ht="14.25" customHeight="1" x14ac:dyDescent="0.3">
      <c r="A1046" s="8">
        <f>'ICICI PRUDENTIAL MULTICAP FUND'!A1046</f>
        <v>44680</v>
      </c>
      <c r="B1046" s="9">
        <f>'ICICI PRUDENTIAL MULTICAP FUND'!B1046</f>
        <v>437.83</v>
      </c>
      <c r="C1046" s="10">
        <f t="shared" si="64"/>
        <v>-8.1777818050018432E-3</v>
      </c>
      <c r="D1046" s="9">
        <f>'QUANT ACTIVE FUND'!B1046</f>
        <v>426.2</v>
      </c>
      <c r="E1046" s="10">
        <f t="shared" si="65"/>
        <v>-1.0549189309659658E-2</v>
      </c>
      <c r="F1046" s="9">
        <f>'NIPPON INDIA '!B1046</f>
        <v>150.11600000000001</v>
      </c>
      <c r="G1046" s="10">
        <f t="shared" si="66"/>
        <v>-7.3596995285295777E-3</v>
      </c>
      <c r="H1046" s="9">
        <f>'NIFTY500 TRI'!B1046</f>
        <v>22726.01</v>
      </c>
      <c r="I1046" s="10">
        <f t="shared" si="67"/>
        <v>-8.7552787705536504E-3</v>
      </c>
    </row>
    <row r="1047" spans="1:9" ht="14.25" customHeight="1" x14ac:dyDescent="0.3">
      <c r="A1047" s="8">
        <f>'ICICI PRUDENTIAL MULTICAP FUND'!A1047</f>
        <v>44679</v>
      </c>
      <c r="B1047" s="9">
        <f>'ICICI PRUDENTIAL MULTICAP FUND'!B1047</f>
        <v>441.44</v>
      </c>
      <c r="C1047" s="10">
        <f t="shared" si="64"/>
        <v>1.2360967778924403E-2</v>
      </c>
      <c r="D1047" s="9">
        <f>'QUANT ACTIVE FUND'!B1047</f>
        <v>430.74400000000003</v>
      </c>
      <c r="E1047" s="10">
        <f t="shared" si="65"/>
        <v>6.9230519043039502E-4</v>
      </c>
      <c r="F1047" s="9">
        <f>'NIPPON INDIA '!B1047</f>
        <v>151.22900000000001</v>
      </c>
      <c r="G1047" s="10">
        <f t="shared" si="66"/>
        <v>1.2221976801001466E-2</v>
      </c>
      <c r="H1047" s="9">
        <f>'NIFTY500 TRI'!B1047</f>
        <v>22926.74</v>
      </c>
      <c r="I1047" s="10">
        <f t="shared" si="67"/>
        <v>1.0867600283242044E-2</v>
      </c>
    </row>
    <row r="1048" spans="1:9" ht="14.25" customHeight="1" x14ac:dyDescent="0.3">
      <c r="A1048" s="8">
        <f>'ICICI PRUDENTIAL MULTICAP FUND'!A1048</f>
        <v>44678</v>
      </c>
      <c r="B1048" s="9">
        <f>'ICICI PRUDENTIAL MULTICAP FUND'!B1048</f>
        <v>436.05</v>
      </c>
      <c r="C1048" s="10">
        <f t="shared" si="64"/>
        <v>-7.013868330562667E-3</v>
      </c>
      <c r="D1048" s="9">
        <f>'QUANT ACTIVE FUND'!B1048</f>
        <v>430.44600000000003</v>
      </c>
      <c r="E1048" s="10">
        <f t="shared" si="65"/>
        <v>-5.4412998121537645E-3</v>
      </c>
      <c r="F1048" s="9">
        <f>'NIPPON INDIA '!B1048</f>
        <v>149.40299999999999</v>
      </c>
      <c r="G1048" s="10">
        <f t="shared" si="66"/>
        <v>-5.6637427289789235E-3</v>
      </c>
      <c r="H1048" s="9">
        <f>'NIFTY500 TRI'!B1048</f>
        <v>22680.26</v>
      </c>
      <c r="I1048" s="10">
        <f t="shared" si="67"/>
        <v>-9.5532472568695976E-3</v>
      </c>
    </row>
    <row r="1049" spans="1:9" ht="14.25" customHeight="1" x14ac:dyDescent="0.3">
      <c r="A1049" s="8">
        <f>'ICICI PRUDENTIAL MULTICAP FUND'!A1049</f>
        <v>44677</v>
      </c>
      <c r="B1049" s="9">
        <f>'ICICI PRUDENTIAL MULTICAP FUND'!B1049</f>
        <v>439.13</v>
      </c>
      <c r="C1049" s="10">
        <f t="shared" si="64"/>
        <v>1.2940579442701638E-2</v>
      </c>
      <c r="D1049" s="9">
        <f>'QUANT ACTIVE FUND'!B1049</f>
        <v>432.80099999999999</v>
      </c>
      <c r="E1049" s="10">
        <f t="shared" si="65"/>
        <v>1.9782990304072798E-2</v>
      </c>
      <c r="F1049" s="9">
        <f>'NIPPON INDIA '!B1049</f>
        <v>150.25399999999999</v>
      </c>
      <c r="G1049" s="10">
        <f t="shared" si="66"/>
        <v>1.3032544278962471E-2</v>
      </c>
      <c r="H1049" s="9">
        <f>'NIFTY500 TRI'!B1049</f>
        <v>22899.02</v>
      </c>
      <c r="I1049" s="10">
        <f t="shared" si="67"/>
        <v>1.5359184272521626E-2</v>
      </c>
    </row>
    <row r="1050" spans="1:9" ht="14.25" customHeight="1" x14ac:dyDescent="0.3">
      <c r="A1050" s="8">
        <f>'ICICI PRUDENTIAL MULTICAP FUND'!A1050</f>
        <v>44676</v>
      </c>
      <c r="B1050" s="9">
        <f>'ICICI PRUDENTIAL MULTICAP FUND'!B1050</f>
        <v>433.52</v>
      </c>
      <c r="C1050" s="10">
        <f t="shared" si="64"/>
        <v>-1.3134831204898901E-2</v>
      </c>
      <c r="D1050" s="9">
        <f>'QUANT ACTIVE FUND'!B1050</f>
        <v>424.40499999999997</v>
      </c>
      <c r="E1050" s="10">
        <f t="shared" si="65"/>
        <v>-2.2923275977180441E-2</v>
      </c>
      <c r="F1050" s="9">
        <f>'NIPPON INDIA '!B1050</f>
        <v>148.321</v>
      </c>
      <c r="G1050" s="10">
        <f t="shared" si="66"/>
        <v>-1.5877755218493311E-2</v>
      </c>
      <c r="H1050" s="9">
        <f>'NIFTY500 TRI'!B1050</f>
        <v>22552.63</v>
      </c>
      <c r="I1050" s="10">
        <f t="shared" si="67"/>
        <v>-1.4876469868781984E-2</v>
      </c>
    </row>
    <row r="1051" spans="1:9" ht="14.25" customHeight="1" x14ac:dyDescent="0.3">
      <c r="A1051" s="8">
        <f>'ICICI PRUDENTIAL MULTICAP FUND'!A1051</f>
        <v>44673</v>
      </c>
      <c r="B1051" s="9">
        <f>'ICICI PRUDENTIAL MULTICAP FUND'!B1051</f>
        <v>439.29</v>
      </c>
      <c r="C1051" s="10">
        <f t="shared" si="64"/>
        <v>-5.0958010599266206E-3</v>
      </c>
      <c r="D1051" s="9">
        <f>'QUANT ACTIVE FUND'!B1051</f>
        <v>434.36200000000002</v>
      </c>
      <c r="E1051" s="10">
        <f t="shared" si="65"/>
        <v>-1.2088419453371446E-2</v>
      </c>
      <c r="F1051" s="9">
        <f>'NIPPON INDIA '!B1051</f>
        <v>150.714</v>
      </c>
      <c r="G1051" s="10">
        <f t="shared" si="66"/>
        <v>-8.375716344160988E-3</v>
      </c>
      <c r="H1051" s="9">
        <f>'NIFTY500 TRI'!B1051</f>
        <v>22893.200000000001</v>
      </c>
      <c r="I1051" s="10">
        <f t="shared" si="67"/>
        <v>-1.0565886712015408E-2</v>
      </c>
    </row>
    <row r="1052" spans="1:9" ht="14.25" customHeight="1" x14ac:dyDescent="0.3">
      <c r="A1052" s="8">
        <f>'ICICI PRUDENTIAL MULTICAP FUND'!A1052</f>
        <v>44672</v>
      </c>
      <c r="B1052" s="9">
        <f>'ICICI PRUDENTIAL MULTICAP FUND'!B1052</f>
        <v>441.54</v>
      </c>
      <c r="C1052" s="10">
        <f t="shared" si="64"/>
        <v>1.0042319569941767E-2</v>
      </c>
      <c r="D1052" s="9">
        <f>'QUANT ACTIVE FUND'!B1052</f>
        <v>439.67700000000002</v>
      </c>
      <c r="E1052" s="10">
        <f t="shared" si="65"/>
        <v>1.58919036319401E-2</v>
      </c>
      <c r="F1052" s="9">
        <f>'NIPPON INDIA '!B1052</f>
        <v>151.98699999999999</v>
      </c>
      <c r="G1052" s="10">
        <f t="shared" si="66"/>
        <v>1.1708869185504607E-2</v>
      </c>
      <c r="H1052" s="9">
        <f>'NIFTY500 TRI'!B1052</f>
        <v>23137.67</v>
      </c>
      <c r="I1052" s="10">
        <f t="shared" si="67"/>
        <v>1.3738548288870086E-2</v>
      </c>
    </row>
    <row r="1053" spans="1:9" ht="14.25" customHeight="1" x14ac:dyDescent="0.3">
      <c r="A1053" s="8">
        <f>'ICICI PRUDENTIAL MULTICAP FUND'!A1053</f>
        <v>44671</v>
      </c>
      <c r="B1053" s="9">
        <f>'ICICI PRUDENTIAL MULTICAP FUND'!B1053</f>
        <v>437.15</v>
      </c>
      <c r="C1053" s="10">
        <f t="shared" si="64"/>
        <v>4.0884764682912753E-3</v>
      </c>
      <c r="D1053" s="9">
        <f>'QUANT ACTIVE FUND'!B1053</f>
        <v>432.79899999999998</v>
      </c>
      <c r="E1053" s="10">
        <f t="shared" si="65"/>
        <v>3.0037940229066578E-5</v>
      </c>
      <c r="F1053" s="9">
        <f>'NIPPON INDIA '!B1053</f>
        <v>150.22800000000001</v>
      </c>
      <c r="G1053" s="10">
        <f t="shared" si="66"/>
        <v>4.0032346670766895E-3</v>
      </c>
      <c r="H1053" s="9">
        <f>'NIFTY500 TRI'!B1053</f>
        <v>22824.1</v>
      </c>
      <c r="I1053" s="10">
        <f t="shared" si="67"/>
        <v>8.3984234344687565E-3</v>
      </c>
    </row>
    <row r="1054" spans="1:9" ht="14.25" customHeight="1" x14ac:dyDescent="0.3">
      <c r="A1054" s="8">
        <f>'ICICI PRUDENTIAL MULTICAP FUND'!A1054</f>
        <v>44670</v>
      </c>
      <c r="B1054" s="9">
        <f>'ICICI PRUDENTIAL MULTICAP FUND'!B1054</f>
        <v>435.37</v>
      </c>
      <c r="C1054" s="10">
        <f t="shared" si="64"/>
        <v>-1.2071978034445967E-2</v>
      </c>
      <c r="D1054" s="9">
        <f>'QUANT ACTIVE FUND'!B1054</f>
        <v>432.786</v>
      </c>
      <c r="E1054" s="10">
        <f t="shared" si="65"/>
        <v>-1.2688548824221877E-2</v>
      </c>
      <c r="F1054" s="9">
        <f>'NIPPON INDIA '!B1054</f>
        <v>149.62899999999999</v>
      </c>
      <c r="G1054" s="10">
        <f t="shared" si="66"/>
        <v>-1.3606428773905331E-2</v>
      </c>
      <c r="H1054" s="9">
        <f>'NIFTY500 TRI'!B1054</f>
        <v>22634.01</v>
      </c>
      <c r="I1054" s="10">
        <f t="shared" si="67"/>
        <v>-1.3342580608881733E-2</v>
      </c>
    </row>
    <row r="1055" spans="1:9" ht="14.25" customHeight="1" x14ac:dyDescent="0.3">
      <c r="A1055" s="8">
        <f>'ICICI PRUDENTIAL MULTICAP FUND'!A1055</f>
        <v>44669</v>
      </c>
      <c r="B1055" s="9">
        <f>'ICICI PRUDENTIAL MULTICAP FUND'!B1055</f>
        <v>440.69</v>
      </c>
      <c r="C1055" s="10">
        <f t="shared" si="64"/>
        <v>-1.7106789187260274E-2</v>
      </c>
      <c r="D1055" s="9">
        <f>'QUANT ACTIVE FUND'!B1055</f>
        <v>438.34800000000001</v>
      </c>
      <c r="E1055" s="10">
        <f t="shared" si="65"/>
        <v>-9.895443939746373E-3</v>
      </c>
      <c r="F1055" s="9">
        <f>'NIPPON INDIA '!B1055</f>
        <v>151.69300000000001</v>
      </c>
      <c r="G1055" s="10">
        <f t="shared" si="66"/>
        <v>-1.7494203142609126E-2</v>
      </c>
      <c r="H1055" s="9">
        <f>'NIFTY500 TRI'!B1055</f>
        <v>22940.09</v>
      </c>
      <c r="I1055" s="10">
        <f t="shared" si="67"/>
        <v>-1.4035540140071788E-2</v>
      </c>
    </row>
    <row r="1056" spans="1:9" ht="14.25" customHeight="1" x14ac:dyDescent="0.3">
      <c r="A1056" s="8">
        <f>'ICICI PRUDENTIAL MULTICAP FUND'!A1056</f>
        <v>44664</v>
      </c>
      <c r="B1056" s="9">
        <f>'ICICI PRUDENTIAL MULTICAP FUND'!B1056</f>
        <v>448.36</v>
      </c>
      <c r="C1056" s="10">
        <f t="shared" si="64"/>
        <v>4.4609002096709314E-5</v>
      </c>
      <c r="D1056" s="9">
        <f>'QUANT ACTIVE FUND'!B1056</f>
        <v>442.72899999999998</v>
      </c>
      <c r="E1056" s="10">
        <f t="shared" si="65"/>
        <v>2.2139168898316218E-3</v>
      </c>
      <c r="F1056" s="9">
        <f>'NIPPON INDIA '!B1056</f>
        <v>154.39400000000001</v>
      </c>
      <c r="G1056" s="10">
        <f t="shared" si="66"/>
        <v>-7.5076046857799146E-4</v>
      </c>
      <c r="H1056" s="9">
        <f>'NIFTY500 TRI'!B1056</f>
        <v>23266.65</v>
      </c>
      <c r="I1056" s="10">
        <f t="shared" si="67"/>
        <v>-1.7252431258435981E-3</v>
      </c>
    </row>
    <row r="1057" spans="1:9" ht="14.25" customHeight="1" x14ac:dyDescent="0.3">
      <c r="A1057" s="8">
        <f>'ICICI PRUDENTIAL MULTICAP FUND'!A1057</f>
        <v>44663</v>
      </c>
      <c r="B1057" s="9">
        <f>'ICICI PRUDENTIAL MULTICAP FUND'!B1057</f>
        <v>448.34</v>
      </c>
      <c r="C1057" s="10">
        <f t="shared" si="64"/>
        <v>-1.0745570486088138E-2</v>
      </c>
      <c r="D1057" s="9">
        <f>'QUANT ACTIVE FUND'!B1057</f>
        <v>441.75099999999998</v>
      </c>
      <c r="E1057" s="10">
        <f t="shared" si="65"/>
        <v>-1.5280669451590078E-2</v>
      </c>
      <c r="F1057" s="9">
        <f>'NIPPON INDIA '!B1057</f>
        <v>154.51</v>
      </c>
      <c r="G1057" s="10">
        <f t="shared" si="66"/>
        <v>-8.4771322779164486E-3</v>
      </c>
      <c r="H1057" s="9">
        <f>'NIFTY500 TRI'!B1057</f>
        <v>23306.86</v>
      </c>
      <c r="I1057" s="10">
        <f t="shared" si="67"/>
        <v>-1.0490384839910084E-2</v>
      </c>
    </row>
    <row r="1058" spans="1:9" ht="14.25" customHeight="1" x14ac:dyDescent="0.3">
      <c r="A1058" s="8">
        <f>'ICICI PRUDENTIAL MULTICAP FUND'!A1058</f>
        <v>44662</v>
      </c>
      <c r="B1058" s="9">
        <f>'ICICI PRUDENTIAL MULTICAP FUND'!B1058</f>
        <v>453.21</v>
      </c>
      <c r="C1058" s="10">
        <f t="shared" si="64"/>
        <v>-2.6407869545125445E-3</v>
      </c>
      <c r="D1058" s="9">
        <f>'QUANT ACTIVE FUND'!B1058</f>
        <v>448.60599999999999</v>
      </c>
      <c r="E1058" s="10">
        <f t="shared" si="65"/>
        <v>4.9102402702424375E-3</v>
      </c>
      <c r="F1058" s="9">
        <f>'NIPPON INDIA '!B1058</f>
        <v>155.83099999999999</v>
      </c>
      <c r="G1058" s="10">
        <f t="shared" si="66"/>
        <v>-2.4517648866299421E-3</v>
      </c>
      <c r="H1058" s="9">
        <f>'NIFTY500 TRI'!B1058</f>
        <v>23553.95</v>
      </c>
      <c r="I1058" s="10">
        <f t="shared" si="67"/>
        <v>-1.1026316849696459E-3</v>
      </c>
    </row>
    <row r="1059" spans="1:9" ht="14.25" customHeight="1" x14ac:dyDescent="0.3">
      <c r="A1059" s="8">
        <f>'ICICI PRUDENTIAL MULTICAP FUND'!A1059</f>
        <v>44659</v>
      </c>
      <c r="B1059" s="9">
        <f>'ICICI PRUDENTIAL MULTICAP FUND'!B1059</f>
        <v>454.41</v>
      </c>
      <c r="C1059" s="10">
        <f t="shared" si="64"/>
        <v>8.8136044756238954E-3</v>
      </c>
      <c r="D1059" s="9">
        <f>'QUANT ACTIVE FUND'!B1059</f>
        <v>446.41399999999999</v>
      </c>
      <c r="E1059" s="10">
        <f t="shared" si="65"/>
        <v>1.7627843467120766E-2</v>
      </c>
      <c r="F1059" s="9">
        <f>'NIPPON INDIA '!B1059</f>
        <v>156.214</v>
      </c>
      <c r="G1059" s="10">
        <f t="shared" si="66"/>
        <v>9.4278052405415216E-3</v>
      </c>
      <c r="H1059" s="9">
        <f>'NIFTY500 TRI'!B1059</f>
        <v>23579.95</v>
      </c>
      <c r="I1059" s="10">
        <f t="shared" si="67"/>
        <v>9.2890746152130936E-3</v>
      </c>
    </row>
    <row r="1060" spans="1:9" ht="14.25" customHeight="1" x14ac:dyDescent="0.3">
      <c r="A1060" s="8">
        <f>'ICICI PRUDENTIAL MULTICAP FUND'!A1060</f>
        <v>44658</v>
      </c>
      <c r="B1060" s="9">
        <f>'ICICI PRUDENTIAL MULTICAP FUND'!B1060</f>
        <v>450.44</v>
      </c>
      <c r="C1060" s="10">
        <f t="shared" si="64"/>
        <v>-3.6056362952639979E-3</v>
      </c>
      <c r="D1060" s="9">
        <f>'QUANT ACTIVE FUND'!B1060</f>
        <v>438.68099999999998</v>
      </c>
      <c r="E1060" s="10">
        <f t="shared" si="65"/>
        <v>-8.5632924266052929E-3</v>
      </c>
      <c r="F1060" s="9">
        <f>'NIPPON INDIA '!B1060</f>
        <v>154.755</v>
      </c>
      <c r="G1060" s="10">
        <f t="shared" si="66"/>
        <v>-5.9991393097778107E-3</v>
      </c>
      <c r="H1060" s="9">
        <f>'NIFTY500 TRI'!B1060</f>
        <v>23362.93</v>
      </c>
      <c r="I1060" s="10">
        <f t="shared" si="67"/>
        <v>-8.2635752368661608E-3</v>
      </c>
    </row>
    <row r="1061" spans="1:9" ht="14.25" customHeight="1" x14ac:dyDescent="0.3">
      <c r="A1061" s="8">
        <f>'ICICI PRUDENTIAL MULTICAP FUND'!A1061</f>
        <v>44657</v>
      </c>
      <c r="B1061" s="9">
        <f>'ICICI PRUDENTIAL MULTICAP FUND'!B1061</f>
        <v>452.07</v>
      </c>
      <c r="C1061" s="10">
        <f t="shared" si="64"/>
        <v>-2.6537517415246809E-4</v>
      </c>
      <c r="D1061" s="9">
        <f>'QUANT ACTIVE FUND'!B1061</f>
        <v>442.47</v>
      </c>
      <c r="E1061" s="10">
        <f t="shared" si="65"/>
        <v>5.2823501346148331E-3</v>
      </c>
      <c r="F1061" s="9">
        <f>'NIPPON INDIA '!B1061</f>
        <v>155.68899999999999</v>
      </c>
      <c r="G1061" s="10">
        <f t="shared" si="66"/>
        <v>1.9435345299155817E-3</v>
      </c>
      <c r="H1061" s="9">
        <f>'NIFTY500 TRI'!B1061</f>
        <v>23557.599999999999</v>
      </c>
      <c r="I1061" s="10">
        <f t="shared" si="67"/>
        <v>-4.0661577134817476E-3</v>
      </c>
    </row>
    <row r="1062" spans="1:9" ht="14.25" customHeight="1" x14ac:dyDescent="0.3">
      <c r="A1062" s="8">
        <f>'ICICI PRUDENTIAL MULTICAP FUND'!A1062</f>
        <v>44656</v>
      </c>
      <c r="B1062" s="9">
        <f>'ICICI PRUDENTIAL MULTICAP FUND'!B1062</f>
        <v>452.19</v>
      </c>
      <c r="C1062" s="10">
        <f t="shared" si="64"/>
        <v>3.5731723556305509E-3</v>
      </c>
      <c r="D1062" s="9">
        <f>'QUANT ACTIVE FUND'!B1062</f>
        <v>440.14499999999998</v>
      </c>
      <c r="E1062" s="10">
        <f t="shared" si="65"/>
        <v>1.2944291772070359E-3</v>
      </c>
      <c r="F1062" s="9">
        <f>'NIPPON INDIA '!B1062</f>
        <v>155.387</v>
      </c>
      <c r="G1062" s="10">
        <f t="shared" si="66"/>
        <v>-1.2869433165822795E-4</v>
      </c>
      <c r="H1062" s="9">
        <f>'NIFTY500 TRI'!B1062</f>
        <v>23653.78</v>
      </c>
      <c r="I1062" s="10">
        <f t="shared" si="67"/>
        <v>4.7245206853212284E-4</v>
      </c>
    </row>
    <row r="1063" spans="1:9" ht="14.25" customHeight="1" x14ac:dyDescent="0.3">
      <c r="A1063" s="8">
        <f>'ICICI PRUDENTIAL MULTICAP FUND'!A1063</f>
        <v>44655</v>
      </c>
      <c r="B1063" s="9">
        <f>'ICICI PRUDENTIAL MULTICAP FUND'!B1063</f>
        <v>450.58</v>
      </c>
      <c r="C1063" s="10">
        <f t="shared" si="64"/>
        <v>1.4454250720461002E-2</v>
      </c>
      <c r="D1063" s="9">
        <f>'QUANT ACTIVE FUND'!B1063</f>
        <v>439.57600000000002</v>
      </c>
      <c r="E1063" s="10">
        <f t="shared" si="65"/>
        <v>1.3635011518160439E-2</v>
      </c>
      <c r="F1063" s="9">
        <f>'NIPPON INDIA '!B1063</f>
        <v>155.40700000000001</v>
      </c>
      <c r="G1063" s="10">
        <f t="shared" si="66"/>
        <v>1.353933646816379E-2</v>
      </c>
      <c r="H1063" s="9">
        <f>'NIFTY500 TRI'!B1063</f>
        <v>23642.61</v>
      </c>
      <c r="I1063" s="10">
        <f t="shared" si="67"/>
        <v>1.9720177232300219E-2</v>
      </c>
    </row>
    <row r="1064" spans="1:9" ht="14.25" customHeight="1" x14ac:dyDescent="0.3">
      <c r="A1064" s="8">
        <f>'ICICI PRUDENTIAL MULTICAP FUND'!A1064</f>
        <v>44652</v>
      </c>
      <c r="B1064" s="9">
        <f>'ICICI PRUDENTIAL MULTICAP FUND'!B1064</f>
        <v>444.16</v>
      </c>
      <c r="C1064" s="10">
        <f t="shared" si="64"/>
        <v>8.6751146841078496E-3</v>
      </c>
      <c r="D1064" s="9">
        <f>'QUANT ACTIVE FUND'!B1064</f>
        <v>433.66300000000001</v>
      </c>
      <c r="E1064" s="10">
        <f t="shared" si="65"/>
        <v>1.6475480153949278E-2</v>
      </c>
      <c r="F1064" s="9">
        <f>'NIPPON INDIA '!B1064</f>
        <v>153.33099999999999</v>
      </c>
      <c r="G1064" s="10">
        <f t="shared" si="66"/>
        <v>1.3135724810529721E-2</v>
      </c>
      <c r="H1064" s="9">
        <f>'NIFTY500 TRI'!B1064</f>
        <v>23185.39</v>
      </c>
      <c r="I1064" s="10">
        <f t="shared" si="67"/>
        <v>1.2942819171012979E-2</v>
      </c>
    </row>
    <row r="1065" spans="1:9" ht="14.25" customHeight="1" x14ac:dyDescent="0.3">
      <c r="A1065" s="8">
        <f>'ICICI PRUDENTIAL MULTICAP FUND'!A1065</f>
        <v>44651</v>
      </c>
      <c r="B1065" s="9">
        <f>'ICICI PRUDENTIAL MULTICAP FUND'!B1065</f>
        <v>440.34</v>
      </c>
      <c r="C1065" s="10">
        <f t="shared" si="64"/>
        <v>4.6772684752103728E-3</v>
      </c>
      <c r="D1065" s="9">
        <f>'QUANT ACTIVE FUND'!B1065</f>
        <v>426.63400000000001</v>
      </c>
      <c r="E1065" s="10">
        <f t="shared" si="65"/>
        <v>6.5469885032523418E-3</v>
      </c>
      <c r="F1065" s="9">
        <f>'NIPPON INDIA '!B1065</f>
        <v>151.34299999999999</v>
      </c>
      <c r="G1065" s="10">
        <f t="shared" si="66"/>
        <v>2.7230805925847496E-3</v>
      </c>
      <c r="H1065" s="9">
        <f>'NIFTY500 TRI'!B1065</f>
        <v>22889.14</v>
      </c>
      <c r="I1065" s="10">
        <f t="shared" si="67"/>
        <v>-1.6031234260896289E-4</v>
      </c>
    </row>
    <row r="1066" spans="1:9" ht="14.25" customHeight="1" x14ac:dyDescent="0.3">
      <c r="A1066" s="8">
        <f>'ICICI PRUDENTIAL MULTICAP FUND'!A1066</f>
        <v>44650</v>
      </c>
      <c r="B1066" s="9">
        <f>'ICICI PRUDENTIAL MULTICAP FUND'!B1066</f>
        <v>438.29</v>
      </c>
      <c r="C1066" s="10">
        <f t="shared" si="64"/>
        <v>7.609545266449037E-3</v>
      </c>
      <c r="D1066" s="9">
        <f>'QUANT ACTIVE FUND'!B1066</f>
        <v>423.85899999999998</v>
      </c>
      <c r="E1066" s="10">
        <f t="shared" si="65"/>
        <v>6.4228287039894772E-3</v>
      </c>
      <c r="F1066" s="9">
        <f>'NIPPON INDIA '!B1066</f>
        <v>150.93199999999999</v>
      </c>
      <c r="G1066" s="10">
        <f t="shared" si="66"/>
        <v>9.5448312765458853E-3</v>
      </c>
      <c r="H1066" s="9">
        <f>'NIFTY500 TRI'!B1066</f>
        <v>22892.81</v>
      </c>
      <c r="I1066" s="10">
        <f t="shared" si="67"/>
        <v>9.1989381127079058E-3</v>
      </c>
    </row>
    <row r="1067" spans="1:9" ht="14.25" customHeight="1" x14ac:dyDescent="0.3">
      <c r="A1067" s="8">
        <f>'ICICI PRUDENTIAL MULTICAP FUND'!A1067</f>
        <v>44649</v>
      </c>
      <c r="B1067" s="9">
        <f>'ICICI PRUDENTIAL MULTICAP FUND'!B1067</f>
        <v>434.98</v>
      </c>
      <c r="C1067" s="10">
        <f t="shared" si="64"/>
        <v>9.6794410529003876E-3</v>
      </c>
      <c r="D1067" s="9">
        <f>'QUANT ACTIVE FUND'!B1067</f>
        <v>421.154</v>
      </c>
      <c r="E1067" s="10">
        <f t="shared" si="65"/>
        <v>9.8671826855522126E-3</v>
      </c>
      <c r="F1067" s="9">
        <f>'NIPPON INDIA '!B1067</f>
        <v>149.505</v>
      </c>
      <c r="G1067" s="10">
        <f t="shared" si="66"/>
        <v>9.3777849793403919E-3</v>
      </c>
      <c r="H1067" s="9">
        <f>'NIFTY500 TRI'!B1067</f>
        <v>22684.14</v>
      </c>
      <c r="I1067" s="10">
        <f t="shared" si="67"/>
        <v>5.8740660891189508E-3</v>
      </c>
    </row>
    <row r="1068" spans="1:9" ht="14.25" customHeight="1" x14ac:dyDescent="0.3">
      <c r="A1068" s="8">
        <f>'ICICI PRUDENTIAL MULTICAP FUND'!A1068</f>
        <v>44648</v>
      </c>
      <c r="B1068" s="9">
        <f>'ICICI PRUDENTIAL MULTICAP FUND'!B1068</f>
        <v>430.81</v>
      </c>
      <c r="C1068" s="10">
        <f t="shared" si="64"/>
        <v>3.0967681847815592E-3</v>
      </c>
      <c r="D1068" s="9">
        <f>'QUANT ACTIVE FUND'!B1068</f>
        <v>417.03899999999999</v>
      </c>
      <c r="E1068" s="10">
        <f t="shared" si="65"/>
        <v>3.3821222457282763E-4</v>
      </c>
      <c r="F1068" s="9">
        <f>'NIPPON INDIA '!B1068</f>
        <v>148.11600000000001</v>
      </c>
      <c r="G1068" s="10">
        <f t="shared" si="66"/>
        <v>2.66038463881725E-3</v>
      </c>
      <c r="H1068" s="9">
        <f>'NIFTY500 TRI'!B1068</f>
        <v>22551.67</v>
      </c>
      <c r="I1068" s="10">
        <f t="shared" si="67"/>
        <v>1.6789650113463066E-3</v>
      </c>
    </row>
    <row r="1069" spans="1:9" ht="14.25" customHeight="1" x14ac:dyDescent="0.3">
      <c r="A1069" s="8">
        <f>'ICICI PRUDENTIAL MULTICAP FUND'!A1069</f>
        <v>44645</v>
      </c>
      <c r="B1069" s="9">
        <f>'ICICI PRUDENTIAL MULTICAP FUND'!B1069</f>
        <v>429.48</v>
      </c>
      <c r="C1069" s="10">
        <f t="shared" si="64"/>
        <v>-3.2260310534499648E-3</v>
      </c>
      <c r="D1069" s="9">
        <f>'QUANT ACTIVE FUND'!B1069</f>
        <v>416.89800000000002</v>
      </c>
      <c r="E1069" s="10">
        <f t="shared" si="65"/>
        <v>-1.8466334912164561E-4</v>
      </c>
      <c r="F1069" s="9">
        <f>'NIPPON INDIA '!B1069</f>
        <v>147.72300000000001</v>
      </c>
      <c r="G1069" s="10">
        <f t="shared" si="66"/>
        <v>-6.0887743297257345E-4</v>
      </c>
      <c r="H1069" s="9">
        <f>'NIFTY500 TRI'!B1069</f>
        <v>22513.87</v>
      </c>
      <c r="I1069" s="10">
        <f t="shared" si="67"/>
        <v>-3.2350553018691205E-3</v>
      </c>
    </row>
    <row r="1070" spans="1:9" ht="14.25" customHeight="1" x14ac:dyDescent="0.3">
      <c r="A1070" s="8">
        <f>'ICICI PRUDENTIAL MULTICAP FUND'!A1070</f>
        <v>44644</v>
      </c>
      <c r="B1070" s="9">
        <f>'ICICI PRUDENTIAL MULTICAP FUND'!B1070</f>
        <v>430.87</v>
      </c>
      <c r="C1070" s="10">
        <f t="shared" si="64"/>
        <v>-8.5799090993415395E-4</v>
      </c>
      <c r="D1070" s="9">
        <f>'QUANT ACTIVE FUND'!B1070</f>
        <v>416.97500000000002</v>
      </c>
      <c r="E1070" s="10">
        <f t="shared" si="65"/>
        <v>1.3674486447064543E-2</v>
      </c>
      <c r="F1070" s="9">
        <f>'NIPPON INDIA '!B1070</f>
        <v>147.81299999999999</v>
      </c>
      <c r="G1070" s="10">
        <f t="shared" si="66"/>
        <v>1.8231849482186807E-3</v>
      </c>
      <c r="H1070" s="9">
        <f>'NIFTY500 TRI'!B1070</f>
        <v>22586.94</v>
      </c>
      <c r="I1070" s="10">
        <f t="shared" si="67"/>
        <v>3.13110748644687E-4</v>
      </c>
    </row>
    <row r="1071" spans="1:9" ht="14.25" customHeight="1" x14ac:dyDescent="0.3">
      <c r="A1071" s="8">
        <f>'ICICI PRUDENTIAL MULTICAP FUND'!A1071</f>
        <v>44643</v>
      </c>
      <c r="B1071" s="9">
        <f>'ICICI PRUDENTIAL MULTICAP FUND'!B1071</f>
        <v>431.24</v>
      </c>
      <c r="C1071" s="10">
        <f t="shared" si="64"/>
        <v>1.0910694802331344E-3</v>
      </c>
      <c r="D1071" s="9">
        <f>'QUANT ACTIVE FUND'!B1071</f>
        <v>411.35</v>
      </c>
      <c r="E1071" s="10">
        <f t="shared" si="65"/>
        <v>2.0877335301698876E-3</v>
      </c>
      <c r="F1071" s="9">
        <f>'NIPPON INDIA '!B1071</f>
        <v>147.54400000000001</v>
      </c>
      <c r="G1071" s="10">
        <f t="shared" si="66"/>
        <v>2.3165288750909164E-3</v>
      </c>
      <c r="H1071" s="9">
        <f>'NIFTY500 TRI'!B1071</f>
        <v>22579.87</v>
      </c>
      <c r="I1071" s="10">
        <f t="shared" si="67"/>
        <v>-1.960729713232255E-3</v>
      </c>
    </row>
    <row r="1072" spans="1:9" ht="14.25" customHeight="1" x14ac:dyDescent="0.3">
      <c r="A1072" s="8">
        <f>'ICICI PRUDENTIAL MULTICAP FUND'!A1072</f>
        <v>44642</v>
      </c>
      <c r="B1072" s="9">
        <f>'ICICI PRUDENTIAL MULTICAP FUND'!B1072</f>
        <v>430.77</v>
      </c>
      <c r="C1072" s="10">
        <f t="shared" si="64"/>
        <v>5.76698575764644E-3</v>
      </c>
      <c r="D1072" s="9">
        <f>'QUANT ACTIVE FUND'!B1072</f>
        <v>410.49299999999999</v>
      </c>
      <c r="E1072" s="10">
        <f t="shared" si="65"/>
        <v>5.9007314652585012E-3</v>
      </c>
      <c r="F1072" s="9">
        <f>'NIPPON INDIA '!B1072</f>
        <v>147.203</v>
      </c>
      <c r="G1072" s="10">
        <f t="shared" si="66"/>
        <v>6.5575339843002324E-3</v>
      </c>
      <c r="H1072" s="9">
        <f>'NIFTY500 TRI'!B1072</f>
        <v>22624.23</v>
      </c>
      <c r="I1072" s="10">
        <f t="shared" si="67"/>
        <v>8.3321151226887005E-3</v>
      </c>
    </row>
    <row r="1073" spans="1:9" ht="14.25" customHeight="1" x14ac:dyDescent="0.3">
      <c r="A1073" s="8">
        <f>'ICICI PRUDENTIAL MULTICAP FUND'!A1073</f>
        <v>44641</v>
      </c>
      <c r="B1073" s="9">
        <f>'ICICI PRUDENTIAL MULTICAP FUND'!B1073</f>
        <v>428.3</v>
      </c>
      <c r="C1073" s="10">
        <f t="shared" si="64"/>
        <v>-8.1056044465030105E-3</v>
      </c>
      <c r="D1073" s="9">
        <f>'QUANT ACTIVE FUND'!B1073</f>
        <v>408.08499999999998</v>
      </c>
      <c r="E1073" s="10">
        <f t="shared" si="65"/>
        <v>4.519395740050944E-3</v>
      </c>
      <c r="F1073" s="9">
        <f>'NIPPON INDIA '!B1073</f>
        <v>146.244</v>
      </c>
      <c r="G1073" s="10">
        <f t="shared" si="66"/>
        <v>-2.7548960776825893E-3</v>
      </c>
      <c r="H1073" s="9">
        <f>'NIFTY500 TRI'!B1073</f>
        <v>22437.279999999999</v>
      </c>
      <c r="I1073" s="10">
        <f t="shared" si="67"/>
        <v>-8.0264982759940678E-3</v>
      </c>
    </row>
    <row r="1074" spans="1:9" ht="14.25" customHeight="1" x14ac:dyDescent="0.3">
      <c r="A1074" s="8">
        <f>'ICICI PRUDENTIAL MULTICAP FUND'!A1074</f>
        <v>44637</v>
      </c>
      <c r="B1074" s="9">
        <f>'ICICI PRUDENTIAL MULTICAP FUND'!B1074</f>
        <v>431.8</v>
      </c>
      <c r="C1074" s="10">
        <f t="shared" si="64"/>
        <v>1.3044294294294299E-2</v>
      </c>
      <c r="D1074" s="9">
        <f>'QUANT ACTIVE FUND'!B1074</f>
        <v>406.24900000000002</v>
      </c>
      <c r="E1074" s="10">
        <f t="shared" si="65"/>
        <v>1.4471075329501057E-2</v>
      </c>
      <c r="F1074" s="9">
        <f>'NIPPON INDIA '!B1074</f>
        <v>146.648</v>
      </c>
      <c r="G1074" s="10">
        <f t="shared" si="66"/>
        <v>1.6046337610509123E-2</v>
      </c>
      <c r="H1074" s="9">
        <f>'NIFTY500 TRI'!B1074</f>
        <v>22618.83</v>
      </c>
      <c r="I1074" s="10">
        <f t="shared" si="67"/>
        <v>1.6570232816512719E-2</v>
      </c>
    </row>
    <row r="1075" spans="1:9" ht="14.25" customHeight="1" x14ac:dyDescent="0.3">
      <c r="A1075" s="8">
        <f>'ICICI PRUDENTIAL MULTICAP FUND'!A1075</f>
        <v>44636</v>
      </c>
      <c r="B1075" s="9">
        <f>'ICICI PRUDENTIAL MULTICAP FUND'!B1075</f>
        <v>426.24</v>
      </c>
      <c r="C1075" s="10">
        <f t="shared" si="64"/>
        <v>1.7886567164179128E-2</v>
      </c>
      <c r="D1075" s="9">
        <f>'QUANT ACTIVE FUND'!B1075</f>
        <v>400.45400000000001</v>
      </c>
      <c r="E1075" s="10">
        <f t="shared" si="65"/>
        <v>1.7641139279107137E-2</v>
      </c>
      <c r="F1075" s="9">
        <f>'NIPPON INDIA '!B1075</f>
        <v>144.33199999999999</v>
      </c>
      <c r="G1075" s="10">
        <f t="shared" si="66"/>
        <v>1.6236463746074542E-2</v>
      </c>
      <c r="H1075" s="9">
        <f>'NIFTY500 TRI'!B1075</f>
        <v>22250.14</v>
      </c>
      <c r="I1075" s="10">
        <f t="shared" si="67"/>
        <v>1.8719598851349398E-2</v>
      </c>
    </row>
    <row r="1076" spans="1:9" ht="14.25" customHeight="1" x14ac:dyDescent="0.3">
      <c r="A1076" s="8">
        <f>'ICICI PRUDENTIAL MULTICAP FUND'!A1076</f>
        <v>44635</v>
      </c>
      <c r="B1076" s="9">
        <f>'ICICI PRUDENTIAL MULTICAP FUND'!B1076</f>
        <v>418.75</v>
      </c>
      <c r="C1076" s="10">
        <f t="shared" si="64"/>
        <v>-6.4536028661589841E-3</v>
      </c>
      <c r="D1076" s="9">
        <f>'QUANT ACTIVE FUND'!B1076</f>
        <v>393.512</v>
      </c>
      <c r="E1076" s="10">
        <f t="shared" si="65"/>
        <v>-7.781178926772229E-3</v>
      </c>
      <c r="F1076" s="9">
        <f>'NIPPON INDIA '!B1076</f>
        <v>142.02600000000001</v>
      </c>
      <c r="G1076" s="10">
        <f t="shared" si="66"/>
        <v>-3.0744609164419655E-3</v>
      </c>
      <c r="H1076" s="9">
        <f>'NIFTY500 TRI'!B1076</f>
        <v>21841.279999999999</v>
      </c>
      <c r="I1076" s="10">
        <f t="shared" si="67"/>
        <v>-1.1044052598143818E-2</v>
      </c>
    </row>
    <row r="1077" spans="1:9" ht="14.25" customHeight="1" x14ac:dyDescent="0.3">
      <c r="A1077" s="8">
        <f>'ICICI PRUDENTIAL MULTICAP FUND'!A1077</f>
        <v>44634</v>
      </c>
      <c r="B1077" s="9">
        <f>'ICICI PRUDENTIAL MULTICAP FUND'!B1077</f>
        <v>421.47</v>
      </c>
      <c r="C1077" s="10">
        <f t="shared" si="64"/>
        <v>7.265253447410607E-3</v>
      </c>
      <c r="D1077" s="9">
        <f>'QUANT ACTIVE FUND'!B1077</f>
        <v>396.59800000000001</v>
      </c>
      <c r="E1077" s="10">
        <f t="shared" si="65"/>
        <v>2.1807522710905014E-3</v>
      </c>
      <c r="F1077" s="9">
        <f>'NIPPON INDIA '!B1077</f>
        <v>142.464</v>
      </c>
      <c r="G1077" s="10">
        <f t="shared" si="66"/>
        <v>1.133693483924559E-2</v>
      </c>
      <c r="H1077" s="9">
        <f>'NIFTY500 TRI'!B1077</f>
        <v>22085.19</v>
      </c>
      <c r="I1077" s="10">
        <f t="shared" si="67"/>
        <v>9.6553029419871299E-3</v>
      </c>
    </row>
    <row r="1078" spans="1:9" ht="14.25" customHeight="1" x14ac:dyDescent="0.3">
      <c r="A1078" s="8">
        <f>'ICICI PRUDENTIAL MULTICAP FUND'!A1078</f>
        <v>44631</v>
      </c>
      <c r="B1078" s="9">
        <f>'ICICI PRUDENTIAL MULTICAP FUND'!B1078</f>
        <v>418.43</v>
      </c>
      <c r="C1078" s="10">
        <f t="shared" si="64"/>
        <v>4.995796805572196E-3</v>
      </c>
      <c r="D1078" s="9">
        <f>'QUANT ACTIVE FUND'!B1078</f>
        <v>395.73500000000001</v>
      </c>
      <c r="E1078" s="10">
        <f t="shared" si="65"/>
        <v>4.0467854062009121E-3</v>
      </c>
      <c r="F1078" s="9">
        <f>'NIPPON INDIA '!B1078</f>
        <v>140.86699999999999</v>
      </c>
      <c r="G1078" s="10">
        <f t="shared" si="66"/>
        <v>5.1733241997402226E-3</v>
      </c>
      <c r="H1078" s="9">
        <f>'NIFTY500 TRI'!B1078</f>
        <v>21873.99</v>
      </c>
      <c r="I1078" s="10">
        <f t="shared" si="67"/>
        <v>3.4175111436093226E-3</v>
      </c>
    </row>
    <row r="1079" spans="1:9" ht="14.25" customHeight="1" x14ac:dyDescent="0.3">
      <c r="A1079" s="8">
        <f>'ICICI PRUDENTIAL MULTICAP FUND'!A1079</f>
        <v>44630</v>
      </c>
      <c r="B1079" s="9">
        <f>'ICICI PRUDENTIAL MULTICAP FUND'!B1079</f>
        <v>416.35</v>
      </c>
      <c r="C1079" s="10">
        <f t="shared" si="64"/>
        <v>1.2745980394541629E-2</v>
      </c>
      <c r="D1079" s="9">
        <f>'QUANT ACTIVE FUND'!B1079</f>
        <v>394.14</v>
      </c>
      <c r="E1079" s="10">
        <f t="shared" si="65"/>
        <v>9.5799180327869084E-3</v>
      </c>
      <c r="F1079" s="9">
        <f>'NIPPON INDIA '!B1079</f>
        <v>140.142</v>
      </c>
      <c r="G1079" s="10">
        <f t="shared" si="66"/>
        <v>7.0638622007919297E-3</v>
      </c>
      <c r="H1079" s="9">
        <f>'NIFTY500 TRI'!B1079</f>
        <v>21799.49</v>
      </c>
      <c r="I1079" s="10">
        <f t="shared" si="67"/>
        <v>1.4983461900913009E-2</v>
      </c>
    </row>
    <row r="1080" spans="1:9" ht="14.25" customHeight="1" x14ac:dyDescent="0.3">
      <c r="A1080" s="8">
        <f>'ICICI PRUDENTIAL MULTICAP FUND'!A1080</f>
        <v>44629</v>
      </c>
      <c r="B1080" s="9">
        <f>'ICICI PRUDENTIAL MULTICAP FUND'!B1080</f>
        <v>411.11</v>
      </c>
      <c r="C1080" s="10">
        <f t="shared" si="64"/>
        <v>1.3759771163662469E-2</v>
      </c>
      <c r="D1080" s="9">
        <f>'QUANT ACTIVE FUND'!B1080</f>
        <v>390.4</v>
      </c>
      <c r="E1080" s="10">
        <f t="shared" si="65"/>
        <v>2.3750272064781468E-2</v>
      </c>
      <c r="F1080" s="9">
        <f>'NIPPON INDIA '!B1080</f>
        <v>139.15899999999999</v>
      </c>
      <c r="G1080" s="10">
        <f t="shared" si="66"/>
        <v>2.0968298104929561E-2</v>
      </c>
      <c r="H1080" s="9">
        <f>'NIFTY500 TRI'!B1080</f>
        <v>21477.68</v>
      </c>
      <c r="I1080" s="10">
        <f t="shared" si="67"/>
        <v>2.0066805444933576E-2</v>
      </c>
    </row>
    <row r="1081" spans="1:9" ht="14.25" customHeight="1" x14ac:dyDescent="0.3">
      <c r="A1081" s="8">
        <f>'ICICI PRUDENTIAL MULTICAP FUND'!A1081</f>
        <v>44628</v>
      </c>
      <c r="B1081" s="9">
        <f>'ICICI PRUDENTIAL MULTICAP FUND'!B1081</f>
        <v>405.53</v>
      </c>
      <c r="C1081" s="10">
        <f t="shared" si="64"/>
        <v>1.1019421106429556E-2</v>
      </c>
      <c r="D1081" s="9">
        <f>'QUANT ACTIVE FUND'!B1081</f>
        <v>381.34300000000002</v>
      </c>
      <c r="E1081" s="10">
        <f t="shared" si="65"/>
        <v>1.0059727979446162E-2</v>
      </c>
      <c r="F1081" s="9">
        <f>'NIPPON INDIA '!B1081</f>
        <v>136.30099999999999</v>
      </c>
      <c r="G1081" s="10">
        <f t="shared" si="66"/>
        <v>1.7232372081915321E-2</v>
      </c>
      <c r="H1081" s="9">
        <f>'NIFTY500 TRI'!B1081</f>
        <v>21055.17</v>
      </c>
      <c r="I1081" s="10">
        <f t="shared" si="67"/>
        <v>1.050765901509048E-2</v>
      </c>
    </row>
    <row r="1082" spans="1:9" ht="14.25" customHeight="1" x14ac:dyDescent="0.3">
      <c r="A1082" s="8">
        <f>'ICICI PRUDENTIAL MULTICAP FUND'!A1082</f>
        <v>44627</v>
      </c>
      <c r="B1082" s="9">
        <f>'ICICI PRUDENTIAL MULTICAP FUND'!B1082</f>
        <v>401.11</v>
      </c>
      <c r="C1082" s="10">
        <f t="shared" si="64"/>
        <v>-2.2493541940829462E-2</v>
      </c>
      <c r="D1082" s="9">
        <f>'QUANT ACTIVE FUND'!B1082</f>
        <v>377.54500000000002</v>
      </c>
      <c r="E1082" s="10">
        <f t="shared" si="65"/>
        <v>-2.0045786309789437E-2</v>
      </c>
      <c r="F1082" s="9">
        <f>'NIPPON INDIA '!B1082</f>
        <v>133.99199999999999</v>
      </c>
      <c r="G1082" s="10">
        <f t="shared" si="66"/>
        <v>-1.8761808515312711E-2</v>
      </c>
      <c r="H1082" s="9">
        <f>'NIFTY500 TRI'!B1082</f>
        <v>20836.23</v>
      </c>
      <c r="I1082" s="10">
        <f t="shared" si="67"/>
        <v>-2.3675467984912046E-2</v>
      </c>
    </row>
    <row r="1083" spans="1:9" ht="14.25" customHeight="1" x14ac:dyDescent="0.3">
      <c r="A1083" s="8">
        <f>'ICICI PRUDENTIAL MULTICAP FUND'!A1083</f>
        <v>44624</v>
      </c>
      <c r="B1083" s="9">
        <f>'ICICI PRUDENTIAL MULTICAP FUND'!B1083</f>
        <v>410.34</v>
      </c>
      <c r="C1083" s="10">
        <f t="shared" si="64"/>
        <v>-1.6678648454349475E-2</v>
      </c>
      <c r="D1083" s="9">
        <f>'QUANT ACTIVE FUND'!B1083</f>
        <v>385.26799999999997</v>
      </c>
      <c r="E1083" s="10">
        <f t="shared" si="65"/>
        <v>-1.9719198611768417E-2</v>
      </c>
      <c r="F1083" s="9">
        <f>'NIPPON INDIA '!B1083</f>
        <v>136.554</v>
      </c>
      <c r="G1083" s="10">
        <f t="shared" si="66"/>
        <v>-1.7547646284345204E-2</v>
      </c>
      <c r="H1083" s="9">
        <f>'NIFTY500 TRI'!B1083</f>
        <v>21341.5</v>
      </c>
      <c r="I1083" s="10">
        <f t="shared" si="67"/>
        <v>-1.7176104229115478E-2</v>
      </c>
    </row>
    <row r="1084" spans="1:9" ht="14.25" customHeight="1" x14ac:dyDescent="0.3">
      <c r="A1084" s="8">
        <f>'ICICI PRUDENTIAL MULTICAP FUND'!A1084</f>
        <v>44623</v>
      </c>
      <c r="B1084" s="9">
        <f>'ICICI PRUDENTIAL MULTICAP FUND'!B1084</f>
        <v>417.3</v>
      </c>
      <c r="C1084" s="10">
        <f t="shared" si="64"/>
        <v>-6.4049144027238684E-3</v>
      </c>
      <c r="D1084" s="9">
        <f>'QUANT ACTIVE FUND'!B1084</f>
        <v>393.01799999999997</v>
      </c>
      <c r="E1084" s="10">
        <f t="shared" si="65"/>
        <v>5.4259817803666462E-3</v>
      </c>
      <c r="F1084" s="9">
        <f>'NIPPON INDIA '!B1084</f>
        <v>138.99299999999999</v>
      </c>
      <c r="G1084" s="10">
        <f t="shared" si="66"/>
        <v>-1.587484017412068E-3</v>
      </c>
      <c r="H1084" s="9">
        <f>'NIFTY500 TRI'!B1084</f>
        <v>21714.47</v>
      </c>
      <c r="I1084" s="10">
        <f t="shared" si="67"/>
        <v>-4.4942120343839011E-3</v>
      </c>
    </row>
    <row r="1085" spans="1:9" ht="14.25" customHeight="1" x14ac:dyDescent="0.3">
      <c r="A1085" s="8">
        <f>'ICICI PRUDENTIAL MULTICAP FUND'!A1085</f>
        <v>44622</v>
      </c>
      <c r="B1085" s="9">
        <f>'ICICI PRUDENTIAL MULTICAP FUND'!B1085</f>
        <v>419.99</v>
      </c>
      <c r="C1085" s="10">
        <f t="shared" si="64"/>
        <v>-9.2706170975655946E-3</v>
      </c>
      <c r="D1085" s="9">
        <f>'QUANT ACTIVE FUND'!B1085</f>
        <v>390.89699999999999</v>
      </c>
      <c r="E1085" s="10">
        <f t="shared" si="65"/>
        <v>-1.4433073963756322E-3</v>
      </c>
      <c r="F1085" s="9">
        <f>'NIPPON INDIA '!B1085</f>
        <v>139.214</v>
      </c>
      <c r="G1085" s="10">
        <f t="shared" si="66"/>
        <v>-9.6534847159086817E-3</v>
      </c>
      <c r="H1085" s="9">
        <f>'NIFTY500 TRI'!B1085</f>
        <v>21812.5</v>
      </c>
      <c r="I1085" s="10">
        <f t="shared" si="67"/>
        <v>-7.5596089841733433E-3</v>
      </c>
    </row>
    <row r="1086" spans="1:9" ht="14.25" customHeight="1" x14ac:dyDescent="0.3">
      <c r="A1086" s="8">
        <f>'ICICI PRUDENTIAL MULTICAP FUND'!A1086</f>
        <v>44620</v>
      </c>
      <c r="B1086" s="9">
        <f>'ICICI PRUDENTIAL MULTICAP FUND'!B1086</f>
        <v>423.92</v>
      </c>
      <c r="C1086" s="10">
        <f t="shared" si="64"/>
        <v>7.4623318598793752E-3</v>
      </c>
      <c r="D1086" s="9">
        <f>'QUANT ACTIVE FUND'!B1086</f>
        <v>391.46199999999999</v>
      </c>
      <c r="E1086" s="10">
        <f t="shared" si="65"/>
        <v>1.4158141125449096E-2</v>
      </c>
      <c r="F1086" s="9">
        <f>'NIPPON INDIA '!B1086</f>
        <v>140.571</v>
      </c>
      <c r="G1086" s="10">
        <f t="shared" si="66"/>
        <v>5.9683548380171552E-3</v>
      </c>
      <c r="H1086" s="9">
        <f>'NIFTY500 TRI'!B1086</f>
        <v>21978.65</v>
      </c>
      <c r="I1086" s="10">
        <f t="shared" si="67"/>
        <v>8.4961151242871086E-3</v>
      </c>
    </row>
    <row r="1087" spans="1:9" ht="14.25" customHeight="1" x14ac:dyDescent="0.3">
      <c r="A1087" s="8">
        <f>'ICICI PRUDENTIAL MULTICAP FUND'!A1087</f>
        <v>44617</v>
      </c>
      <c r="B1087" s="9">
        <f>'ICICI PRUDENTIAL MULTICAP FUND'!B1087</f>
        <v>420.78</v>
      </c>
      <c r="C1087" s="10">
        <f t="shared" si="64"/>
        <v>3.0767723286463045E-2</v>
      </c>
      <c r="D1087" s="9">
        <f>'QUANT ACTIVE FUND'!B1087</f>
        <v>385.99700000000001</v>
      </c>
      <c r="E1087" s="10">
        <f t="shared" si="65"/>
        <v>3.6912769706868506E-2</v>
      </c>
      <c r="F1087" s="9">
        <f>'NIPPON INDIA '!B1087</f>
        <v>139.73699999999999</v>
      </c>
      <c r="G1087" s="10">
        <f t="shared" si="66"/>
        <v>3.4950895436164024E-2</v>
      </c>
      <c r="H1087" s="9">
        <f>'NIFTY500 TRI'!B1087</f>
        <v>21793.49</v>
      </c>
      <c r="I1087" s="10">
        <f t="shared" si="67"/>
        <v>2.9953179843372136E-2</v>
      </c>
    </row>
    <row r="1088" spans="1:9" ht="14.25" customHeight="1" x14ac:dyDescent="0.3">
      <c r="A1088" s="8">
        <f>'ICICI PRUDENTIAL MULTICAP FUND'!A1088</f>
        <v>44616</v>
      </c>
      <c r="B1088" s="9">
        <f>'ICICI PRUDENTIAL MULTICAP FUND'!B1088</f>
        <v>408.22</v>
      </c>
      <c r="C1088" s="10">
        <f t="shared" si="64"/>
        <v>-4.440647018890885E-2</v>
      </c>
      <c r="D1088" s="9">
        <f>'QUANT ACTIVE FUND'!B1088</f>
        <v>372.25599999999997</v>
      </c>
      <c r="E1088" s="10">
        <f t="shared" si="65"/>
        <v>-5.4748779255339497E-2</v>
      </c>
      <c r="F1088" s="9">
        <f>'NIPPON INDIA '!B1088</f>
        <v>135.018</v>
      </c>
      <c r="G1088" s="10">
        <f t="shared" si="66"/>
        <v>-5.260498894853164E-2</v>
      </c>
      <c r="H1088" s="9">
        <f>'NIFTY500 TRI'!B1088</f>
        <v>21159.69</v>
      </c>
      <c r="I1088" s="10">
        <f t="shared" si="67"/>
        <v>-5.0395734078188259E-2</v>
      </c>
    </row>
    <row r="1089" spans="1:9" ht="14.25" customHeight="1" x14ac:dyDescent="0.3">
      <c r="A1089" s="8">
        <f>'ICICI PRUDENTIAL MULTICAP FUND'!A1089</f>
        <v>44615</v>
      </c>
      <c r="B1089" s="9">
        <f>'ICICI PRUDENTIAL MULTICAP FUND'!B1089</f>
        <v>427.19</v>
      </c>
      <c r="C1089" s="10">
        <f t="shared" si="64"/>
        <v>-3.5100856460892329E-4</v>
      </c>
      <c r="D1089" s="9">
        <f>'QUANT ACTIVE FUND'!B1089</f>
        <v>393.81700000000001</v>
      </c>
      <c r="E1089" s="10">
        <f t="shared" si="65"/>
        <v>4.8454013339525124E-3</v>
      </c>
      <c r="F1089" s="9">
        <f>'NIPPON INDIA '!B1089</f>
        <v>142.51499999999999</v>
      </c>
      <c r="G1089" s="10">
        <f t="shared" si="66"/>
        <v>2.5536045922674292E-3</v>
      </c>
      <c r="H1089" s="9">
        <f>'NIFTY500 TRI'!B1089</f>
        <v>22282.639999999999</v>
      </c>
      <c r="I1089" s="10">
        <f t="shared" si="67"/>
        <v>1.2433177847464298E-3</v>
      </c>
    </row>
    <row r="1090" spans="1:9" ht="14.25" customHeight="1" x14ac:dyDescent="0.3">
      <c r="A1090" s="8">
        <f>'ICICI PRUDENTIAL MULTICAP FUND'!A1090</f>
        <v>44614</v>
      </c>
      <c r="B1090" s="9">
        <f>'ICICI PRUDENTIAL MULTICAP FUND'!B1090</f>
        <v>427.34</v>
      </c>
      <c r="C1090" s="10">
        <f t="shared" ref="C1090:C1153" si="68">(B1090-B1091)/B1091</f>
        <v>-9.503059521602129E-3</v>
      </c>
      <c r="D1090" s="9">
        <f>'QUANT ACTIVE FUND'!B1090</f>
        <v>391.91800000000001</v>
      </c>
      <c r="E1090" s="10">
        <f t="shared" ref="E1090:E1153" si="69">(D1090-D1091)/D1091</f>
        <v>-1.633427537359505E-2</v>
      </c>
      <c r="F1090" s="9">
        <f>'NIPPON INDIA '!B1090</f>
        <v>142.15199999999999</v>
      </c>
      <c r="G1090" s="10">
        <f t="shared" ref="G1090:G1153" si="70">(F1090-F1091)/F1091</f>
        <v>-1.3963167204245173E-2</v>
      </c>
      <c r="H1090" s="9">
        <f>'NIFTY500 TRI'!B1090</f>
        <v>22254.97</v>
      </c>
      <c r="I1090" s="10">
        <f t="shared" ref="I1090:I1153" si="71">(H1090-H1091)/H1091</f>
        <v>-7.3497697342744155E-3</v>
      </c>
    </row>
    <row r="1091" spans="1:9" ht="14.25" customHeight="1" x14ac:dyDescent="0.3">
      <c r="A1091" s="8">
        <f>'ICICI PRUDENTIAL MULTICAP FUND'!A1091</f>
        <v>44613</v>
      </c>
      <c r="B1091" s="9">
        <f>'ICICI PRUDENTIAL MULTICAP FUND'!B1091</f>
        <v>431.44</v>
      </c>
      <c r="C1091" s="10">
        <f t="shared" si="68"/>
        <v>-6.6310554429913323E-3</v>
      </c>
      <c r="D1091" s="9">
        <f>'QUANT ACTIVE FUND'!B1091</f>
        <v>398.42599999999999</v>
      </c>
      <c r="E1091" s="10">
        <f t="shared" si="69"/>
        <v>-1.9485952788770123E-2</v>
      </c>
      <c r="F1091" s="9">
        <f>'NIPPON INDIA '!B1091</f>
        <v>144.16499999999999</v>
      </c>
      <c r="G1091" s="10">
        <f t="shared" si="70"/>
        <v>-4.9282504710827565E-3</v>
      </c>
      <c r="H1091" s="9">
        <f>'NIFTY500 TRI'!B1091</f>
        <v>22419.75</v>
      </c>
      <c r="I1091" s="10">
        <f t="shared" si="71"/>
        <v>-7.4649033994041618E-3</v>
      </c>
    </row>
    <row r="1092" spans="1:9" ht="14.25" customHeight="1" x14ac:dyDescent="0.3">
      <c r="A1092" s="8">
        <f>'ICICI PRUDENTIAL MULTICAP FUND'!A1092</f>
        <v>44610</v>
      </c>
      <c r="B1092" s="9">
        <f>'ICICI PRUDENTIAL MULTICAP FUND'!B1092</f>
        <v>434.32</v>
      </c>
      <c r="C1092" s="10">
        <f t="shared" si="68"/>
        <v>-4.5153452978524081E-3</v>
      </c>
      <c r="D1092" s="9">
        <f>'QUANT ACTIVE FUND'!B1092</f>
        <v>406.34399999999999</v>
      </c>
      <c r="E1092" s="10">
        <f t="shared" si="69"/>
        <v>-7.5009464724058138E-3</v>
      </c>
      <c r="F1092" s="9">
        <f>'NIPPON INDIA '!B1092</f>
        <v>144.87899999999999</v>
      </c>
      <c r="G1092" s="10">
        <f t="shared" si="70"/>
        <v>-3.7339604736560243E-3</v>
      </c>
      <c r="H1092" s="9">
        <f>'NIFTY500 TRI'!B1092</f>
        <v>22588.37</v>
      </c>
      <c r="I1092" s="10">
        <f t="shared" si="71"/>
        <v>-4.1490172150488213E-3</v>
      </c>
    </row>
    <row r="1093" spans="1:9" ht="14.25" customHeight="1" x14ac:dyDescent="0.3">
      <c r="A1093" s="8">
        <f>'ICICI PRUDENTIAL MULTICAP FUND'!A1093</f>
        <v>44609</v>
      </c>
      <c r="B1093" s="9">
        <f>'ICICI PRUDENTIAL MULTICAP FUND'!B1093</f>
        <v>436.29</v>
      </c>
      <c r="C1093" s="10">
        <f t="shared" si="68"/>
        <v>-4.9945265462506784E-3</v>
      </c>
      <c r="D1093" s="9">
        <f>'QUANT ACTIVE FUND'!B1093</f>
        <v>409.41500000000002</v>
      </c>
      <c r="E1093" s="10">
        <f t="shared" si="69"/>
        <v>-5.8423441252388924E-3</v>
      </c>
      <c r="F1093" s="9">
        <f>'NIPPON INDIA '!B1093</f>
        <v>145.422</v>
      </c>
      <c r="G1093" s="10">
        <f t="shared" si="70"/>
        <v>4.471748866583496E-4</v>
      </c>
      <c r="H1093" s="9">
        <f>'NIFTY500 TRI'!B1093</f>
        <v>22682.48</v>
      </c>
      <c r="I1093" s="10">
        <f t="shared" si="71"/>
        <v>-1.0666455275315729E-3</v>
      </c>
    </row>
    <row r="1094" spans="1:9" ht="14.25" customHeight="1" x14ac:dyDescent="0.3">
      <c r="A1094" s="8">
        <f>'ICICI PRUDENTIAL MULTICAP FUND'!A1094</f>
        <v>44608</v>
      </c>
      <c r="B1094" s="9">
        <f>'ICICI PRUDENTIAL MULTICAP FUND'!B1094</f>
        <v>438.48</v>
      </c>
      <c r="C1094" s="10">
        <f t="shared" si="68"/>
        <v>-2.5023886437052778E-3</v>
      </c>
      <c r="D1094" s="9">
        <f>'QUANT ACTIVE FUND'!B1094</f>
        <v>411.82100000000003</v>
      </c>
      <c r="E1094" s="10">
        <f t="shared" si="69"/>
        <v>-1.7380217095152072E-3</v>
      </c>
      <c r="F1094" s="9">
        <f>'NIPPON INDIA '!B1094</f>
        <v>145.357</v>
      </c>
      <c r="G1094" s="10">
        <f t="shared" si="70"/>
        <v>8.6069185854357165E-4</v>
      </c>
      <c r="H1094" s="9">
        <f>'NIFTY500 TRI'!B1094</f>
        <v>22706.7</v>
      </c>
      <c r="I1094" s="10">
        <f t="shared" si="71"/>
        <v>-8.8529763512884693E-4</v>
      </c>
    </row>
    <row r="1095" spans="1:9" ht="14.25" customHeight="1" x14ac:dyDescent="0.3">
      <c r="A1095" s="8">
        <f>'ICICI PRUDENTIAL MULTICAP FUND'!A1095</f>
        <v>44607</v>
      </c>
      <c r="B1095" s="9">
        <f>'ICICI PRUDENTIAL MULTICAP FUND'!B1095</f>
        <v>439.58</v>
      </c>
      <c r="C1095" s="10">
        <f t="shared" si="68"/>
        <v>2.3707498835584553E-2</v>
      </c>
      <c r="D1095" s="9">
        <f>'QUANT ACTIVE FUND'!B1095</f>
        <v>412.53800000000001</v>
      </c>
      <c r="E1095" s="10">
        <f t="shared" si="69"/>
        <v>2.6510137253535838E-2</v>
      </c>
      <c r="F1095" s="9">
        <f>'NIPPON INDIA '!B1095</f>
        <v>145.232</v>
      </c>
      <c r="G1095" s="10">
        <f t="shared" si="70"/>
        <v>2.6751880549742601E-2</v>
      </c>
      <c r="H1095" s="9">
        <f>'NIFTY500 TRI'!B1095</f>
        <v>22726.82</v>
      </c>
      <c r="I1095" s="10">
        <f t="shared" si="71"/>
        <v>2.8189825061120867E-2</v>
      </c>
    </row>
    <row r="1096" spans="1:9" ht="14.25" customHeight="1" x14ac:dyDescent="0.3">
      <c r="A1096" s="8">
        <f>'ICICI PRUDENTIAL MULTICAP FUND'!A1096</f>
        <v>44606</v>
      </c>
      <c r="B1096" s="9">
        <f>'ICICI PRUDENTIAL MULTICAP FUND'!B1096</f>
        <v>429.4</v>
      </c>
      <c r="C1096" s="10">
        <f t="shared" si="68"/>
        <v>-3.1945352481006418E-2</v>
      </c>
      <c r="D1096" s="9">
        <f>'QUANT ACTIVE FUND'!B1096</f>
        <v>401.88400000000001</v>
      </c>
      <c r="E1096" s="10">
        <f t="shared" si="69"/>
        <v>-4.202938624510151E-2</v>
      </c>
      <c r="F1096" s="9">
        <f>'NIPPON INDIA '!B1096</f>
        <v>141.44800000000001</v>
      </c>
      <c r="G1096" s="10">
        <f t="shared" si="70"/>
        <v>-3.6484019509005164E-2</v>
      </c>
      <c r="H1096" s="9">
        <f>'NIFTY500 TRI'!B1096</f>
        <v>22103.72</v>
      </c>
      <c r="I1096" s="10">
        <f t="shared" si="71"/>
        <v>-3.255707280905578E-2</v>
      </c>
    </row>
    <row r="1097" spans="1:9" ht="14.25" customHeight="1" x14ac:dyDescent="0.3">
      <c r="A1097" s="8">
        <f>'ICICI PRUDENTIAL MULTICAP FUND'!A1097</f>
        <v>44603</v>
      </c>
      <c r="B1097" s="9">
        <f>'ICICI PRUDENTIAL MULTICAP FUND'!B1097</f>
        <v>443.57</v>
      </c>
      <c r="C1097" s="10">
        <f t="shared" si="68"/>
        <v>-1.7650706471187553E-2</v>
      </c>
      <c r="D1097" s="9">
        <f>'QUANT ACTIVE FUND'!B1097</f>
        <v>419.51600000000002</v>
      </c>
      <c r="E1097" s="10">
        <f t="shared" si="69"/>
        <v>-1.5414800837393527E-2</v>
      </c>
      <c r="F1097" s="9">
        <f>'NIPPON INDIA '!B1097</f>
        <v>146.804</v>
      </c>
      <c r="G1097" s="10">
        <f t="shared" si="70"/>
        <v>-1.409642518955286E-2</v>
      </c>
      <c r="H1097" s="9">
        <f>'NIFTY500 TRI'!B1097</f>
        <v>22847.57</v>
      </c>
      <c r="I1097" s="10">
        <f t="shared" si="71"/>
        <v>-1.4612882816169301E-2</v>
      </c>
    </row>
    <row r="1098" spans="1:9" ht="14.25" customHeight="1" x14ac:dyDescent="0.3">
      <c r="A1098" s="8">
        <f>'ICICI PRUDENTIAL MULTICAP FUND'!A1098</f>
        <v>44602</v>
      </c>
      <c r="B1098" s="9">
        <f>'ICICI PRUDENTIAL MULTICAP FUND'!B1098</f>
        <v>451.54</v>
      </c>
      <c r="C1098" s="10">
        <f t="shared" si="68"/>
        <v>8.8250407739226648E-3</v>
      </c>
      <c r="D1098" s="9">
        <f>'QUANT ACTIVE FUND'!B1098</f>
        <v>426.084</v>
      </c>
      <c r="E1098" s="10">
        <f t="shared" si="69"/>
        <v>3.703075531433747E-3</v>
      </c>
      <c r="F1098" s="9">
        <f>'NIPPON INDIA '!B1098</f>
        <v>148.90299999999999</v>
      </c>
      <c r="G1098" s="10">
        <f t="shared" si="70"/>
        <v>2.2683521128655888E-3</v>
      </c>
      <c r="H1098" s="9">
        <f>'NIFTY500 TRI'!B1098</f>
        <v>23186.39</v>
      </c>
      <c r="I1098" s="10">
        <f t="shared" si="71"/>
        <v>6.4742998727277141E-3</v>
      </c>
    </row>
    <row r="1099" spans="1:9" ht="14.25" customHeight="1" x14ac:dyDescent="0.3">
      <c r="A1099" s="8">
        <f>'ICICI PRUDENTIAL MULTICAP FUND'!A1099</f>
        <v>44601</v>
      </c>
      <c r="B1099" s="9">
        <f>'ICICI PRUDENTIAL MULTICAP FUND'!B1099</f>
        <v>447.59</v>
      </c>
      <c r="C1099" s="10">
        <f t="shared" si="68"/>
        <v>8.8126577713666786E-3</v>
      </c>
      <c r="D1099" s="9">
        <f>'QUANT ACTIVE FUND'!B1099</f>
        <v>424.512</v>
      </c>
      <c r="E1099" s="10">
        <f t="shared" si="69"/>
        <v>1.1050986967456716E-2</v>
      </c>
      <c r="F1099" s="9">
        <f>'NIPPON INDIA '!B1099</f>
        <v>148.566</v>
      </c>
      <c r="G1099" s="10">
        <f t="shared" si="70"/>
        <v>8.2798311457385945E-3</v>
      </c>
      <c r="H1099" s="9">
        <f>'NIFTY500 TRI'!B1099</f>
        <v>23037.24</v>
      </c>
      <c r="I1099" s="10">
        <f t="shared" si="71"/>
        <v>1.0896523398212963E-2</v>
      </c>
    </row>
    <row r="1100" spans="1:9" ht="14.25" customHeight="1" x14ac:dyDescent="0.3">
      <c r="A1100" s="8">
        <f>'ICICI PRUDENTIAL MULTICAP FUND'!A1100</f>
        <v>44600</v>
      </c>
      <c r="B1100" s="9">
        <f>'ICICI PRUDENTIAL MULTICAP FUND'!B1100</f>
        <v>443.68</v>
      </c>
      <c r="C1100" s="10">
        <f t="shared" si="68"/>
        <v>-3.5261089275687662E-3</v>
      </c>
      <c r="D1100" s="9">
        <f>'QUANT ACTIVE FUND'!B1100</f>
        <v>419.87200000000001</v>
      </c>
      <c r="E1100" s="10">
        <f t="shared" si="69"/>
        <v>-9.0978389387505673E-3</v>
      </c>
      <c r="F1100" s="9">
        <f>'NIPPON INDIA '!B1100</f>
        <v>147.346</v>
      </c>
      <c r="G1100" s="10">
        <f t="shared" si="70"/>
        <v>-8.0649504523912612E-3</v>
      </c>
      <c r="H1100" s="9">
        <f>'NIFTY500 TRI'!B1100</f>
        <v>22788.92</v>
      </c>
      <c r="I1100" s="10">
        <f t="shared" si="71"/>
        <v>-9.0225563909782092E-4</v>
      </c>
    </row>
    <row r="1101" spans="1:9" ht="14.25" customHeight="1" x14ac:dyDescent="0.3">
      <c r="A1101" s="8">
        <f>'ICICI PRUDENTIAL MULTICAP FUND'!A1101</f>
        <v>44599</v>
      </c>
      <c r="B1101" s="9">
        <f>'ICICI PRUDENTIAL MULTICAP FUND'!B1101</f>
        <v>445.25</v>
      </c>
      <c r="C1101" s="10">
        <f t="shared" si="68"/>
        <v>-1.0643498355701761E-2</v>
      </c>
      <c r="D1101" s="9">
        <f>'QUANT ACTIVE FUND'!B1101</f>
        <v>423.72699999999998</v>
      </c>
      <c r="E1101" s="10">
        <f t="shared" si="69"/>
        <v>-9.4374468164689744E-3</v>
      </c>
      <c r="F1101" s="9">
        <f>'NIPPON INDIA '!B1101</f>
        <v>148.54400000000001</v>
      </c>
      <c r="G1101" s="10">
        <f t="shared" si="70"/>
        <v>-1.074867805911091E-2</v>
      </c>
      <c r="H1101" s="9">
        <f>'NIFTY500 TRI'!B1101</f>
        <v>22809.5</v>
      </c>
      <c r="I1101" s="10">
        <f t="shared" si="71"/>
        <v>-1.4228951101053973E-2</v>
      </c>
    </row>
    <row r="1102" spans="1:9" ht="14.25" customHeight="1" x14ac:dyDescent="0.3">
      <c r="A1102" s="8">
        <f>'ICICI PRUDENTIAL MULTICAP FUND'!A1102</f>
        <v>44596</v>
      </c>
      <c r="B1102" s="9">
        <f>'ICICI PRUDENTIAL MULTICAP FUND'!B1102</f>
        <v>450.04</v>
      </c>
      <c r="C1102" s="10">
        <f t="shared" si="68"/>
        <v>-4.1600283235970863E-3</v>
      </c>
      <c r="D1102" s="9">
        <f>'QUANT ACTIVE FUND'!B1102</f>
        <v>427.76400000000001</v>
      </c>
      <c r="E1102" s="10">
        <f t="shared" si="69"/>
        <v>4.4670734588019104E-4</v>
      </c>
      <c r="F1102" s="9">
        <f>'NIPPON INDIA '!B1102</f>
        <v>150.15799999999999</v>
      </c>
      <c r="G1102" s="10">
        <f t="shared" si="70"/>
        <v>-5.7934358716307038E-3</v>
      </c>
      <c r="H1102" s="9">
        <f>'NIFTY500 TRI'!B1102</f>
        <v>23138.74</v>
      </c>
      <c r="I1102" s="10">
        <f t="shared" si="71"/>
        <v>-3.2995424577024735E-3</v>
      </c>
    </row>
    <row r="1103" spans="1:9" ht="14.25" customHeight="1" x14ac:dyDescent="0.3">
      <c r="A1103" s="8">
        <f>'ICICI PRUDENTIAL MULTICAP FUND'!A1103</f>
        <v>44595</v>
      </c>
      <c r="B1103" s="9">
        <f>'ICICI PRUDENTIAL MULTICAP FUND'!B1103</f>
        <v>451.92</v>
      </c>
      <c r="C1103" s="10">
        <f t="shared" si="68"/>
        <v>-8.6430044311850071E-3</v>
      </c>
      <c r="D1103" s="9">
        <f>'QUANT ACTIVE FUND'!B1103</f>
        <v>427.57299999999998</v>
      </c>
      <c r="E1103" s="10">
        <f t="shared" si="69"/>
        <v>-2.0282792069872425E-3</v>
      </c>
      <c r="F1103" s="9">
        <f>'NIPPON INDIA '!B1103</f>
        <v>151.03299999999999</v>
      </c>
      <c r="G1103" s="10">
        <f t="shared" si="70"/>
        <v>-5.0985791169050236E-3</v>
      </c>
      <c r="H1103" s="9">
        <f>'NIFTY500 TRI'!B1103</f>
        <v>23215.34</v>
      </c>
      <c r="I1103" s="10">
        <f t="shared" si="71"/>
        <v>-1.0111932677511063E-2</v>
      </c>
    </row>
    <row r="1104" spans="1:9" ht="14.25" customHeight="1" x14ac:dyDescent="0.3">
      <c r="A1104" s="8">
        <f>'ICICI PRUDENTIAL MULTICAP FUND'!A1104</f>
        <v>44594</v>
      </c>
      <c r="B1104" s="9">
        <f>'ICICI PRUDENTIAL MULTICAP FUND'!B1104</f>
        <v>455.86</v>
      </c>
      <c r="C1104" s="10">
        <f t="shared" si="68"/>
        <v>8.7630006638637677E-3</v>
      </c>
      <c r="D1104" s="9">
        <f>'QUANT ACTIVE FUND'!B1104</f>
        <v>428.44200000000001</v>
      </c>
      <c r="E1104" s="10">
        <f t="shared" si="69"/>
        <v>1.3320403963955453E-2</v>
      </c>
      <c r="F1104" s="9">
        <f>'NIPPON INDIA '!B1104</f>
        <v>151.80699999999999</v>
      </c>
      <c r="G1104" s="10">
        <f t="shared" si="70"/>
        <v>1.252592893969803E-2</v>
      </c>
      <c r="H1104" s="9">
        <f>'NIFTY500 TRI'!B1104</f>
        <v>23452.49</v>
      </c>
      <c r="I1104" s="10">
        <f t="shared" si="71"/>
        <v>1.1736187923956703E-2</v>
      </c>
    </row>
    <row r="1105" spans="1:9" ht="14.25" customHeight="1" x14ac:dyDescent="0.3">
      <c r="A1105" s="8">
        <f>'ICICI PRUDENTIAL MULTICAP FUND'!A1105</f>
        <v>44593</v>
      </c>
      <c r="B1105" s="9">
        <f>'ICICI PRUDENTIAL MULTICAP FUND'!B1105</f>
        <v>451.9</v>
      </c>
      <c r="C1105" s="10">
        <f t="shared" si="68"/>
        <v>1.2388825413894241E-2</v>
      </c>
      <c r="D1105" s="9">
        <f>'QUANT ACTIVE FUND'!B1105</f>
        <v>422.81</v>
      </c>
      <c r="E1105" s="10">
        <f t="shared" si="69"/>
        <v>1.5876905925488113E-2</v>
      </c>
      <c r="F1105" s="9">
        <f>'NIPPON INDIA '!B1105</f>
        <v>149.929</v>
      </c>
      <c r="G1105" s="10">
        <f t="shared" si="70"/>
        <v>1.1953455095236269E-2</v>
      </c>
      <c r="H1105" s="9">
        <f>'NIFTY500 TRI'!B1105</f>
        <v>23180.44</v>
      </c>
      <c r="I1105" s="10">
        <f t="shared" si="71"/>
        <v>1.306116098626043E-2</v>
      </c>
    </row>
    <row r="1106" spans="1:9" ht="14.25" customHeight="1" x14ac:dyDescent="0.3">
      <c r="A1106" s="8">
        <f>'ICICI PRUDENTIAL MULTICAP FUND'!A1106</f>
        <v>44592</v>
      </c>
      <c r="B1106" s="9">
        <f>'ICICI PRUDENTIAL MULTICAP FUND'!B1106</f>
        <v>446.37</v>
      </c>
      <c r="C1106" s="10">
        <f t="shared" si="68"/>
        <v>1.586253982703693E-2</v>
      </c>
      <c r="D1106" s="9">
        <f>'QUANT ACTIVE FUND'!B1106</f>
        <v>416.202</v>
      </c>
      <c r="E1106" s="10">
        <f t="shared" si="69"/>
        <v>9.1017534331601056E-3</v>
      </c>
      <c r="F1106" s="9">
        <f>'NIPPON INDIA '!B1106</f>
        <v>148.15799999999999</v>
      </c>
      <c r="G1106" s="10">
        <f t="shared" si="70"/>
        <v>1.2049674166973929E-2</v>
      </c>
      <c r="H1106" s="9">
        <f>'NIFTY500 TRI'!B1106</f>
        <v>22881.58</v>
      </c>
      <c r="I1106" s="10">
        <f t="shared" si="71"/>
        <v>1.3465133758858994E-2</v>
      </c>
    </row>
    <row r="1107" spans="1:9" ht="14.25" customHeight="1" x14ac:dyDescent="0.3">
      <c r="A1107" s="8">
        <f>'ICICI PRUDENTIAL MULTICAP FUND'!A1107</f>
        <v>44589</v>
      </c>
      <c r="B1107" s="9">
        <f>'ICICI PRUDENTIAL MULTICAP FUND'!B1107</f>
        <v>439.4</v>
      </c>
      <c r="C1107" s="10">
        <f t="shared" si="68"/>
        <v>1.5043077904908788E-3</v>
      </c>
      <c r="D1107" s="9">
        <f>'QUANT ACTIVE FUND'!B1107</f>
        <v>412.44799999999998</v>
      </c>
      <c r="E1107" s="10">
        <f t="shared" si="69"/>
        <v>6.8154744468529038E-3</v>
      </c>
      <c r="F1107" s="9">
        <f>'NIPPON INDIA '!B1107</f>
        <v>146.39400000000001</v>
      </c>
      <c r="G1107" s="10">
        <f t="shared" si="70"/>
        <v>6.317236638597774E-3</v>
      </c>
      <c r="H1107" s="9">
        <f>'NIFTY500 TRI'!B1107</f>
        <v>22577.57</v>
      </c>
      <c r="I1107" s="10">
        <f t="shared" si="71"/>
        <v>2.9652407153537719E-3</v>
      </c>
    </row>
    <row r="1108" spans="1:9" ht="14.25" customHeight="1" x14ac:dyDescent="0.3">
      <c r="A1108" s="8">
        <f>'ICICI PRUDENTIAL MULTICAP FUND'!A1108</f>
        <v>44588</v>
      </c>
      <c r="B1108" s="9">
        <f>'ICICI PRUDENTIAL MULTICAP FUND'!B1108</f>
        <v>438.74</v>
      </c>
      <c r="C1108" s="10">
        <f t="shared" si="68"/>
        <v>-7.2632650752347087E-3</v>
      </c>
      <c r="D1108" s="9">
        <f>'QUANT ACTIVE FUND'!B1108</f>
        <v>409.65600000000001</v>
      </c>
      <c r="E1108" s="10">
        <f t="shared" si="69"/>
        <v>-3.7257896631224217E-3</v>
      </c>
      <c r="F1108" s="9">
        <f>'NIPPON INDIA '!B1108</f>
        <v>145.47499999999999</v>
      </c>
      <c r="G1108" s="10">
        <f t="shared" si="70"/>
        <v>-8.3098149890247323E-3</v>
      </c>
      <c r="H1108" s="9">
        <f>'NIFTY500 TRI'!B1108</f>
        <v>22510.82</v>
      </c>
      <c r="I1108" s="10">
        <f t="shared" si="71"/>
        <v>-1.0273261907944252E-2</v>
      </c>
    </row>
    <row r="1109" spans="1:9" ht="14.25" customHeight="1" x14ac:dyDescent="0.3">
      <c r="A1109" s="8">
        <f>'ICICI PRUDENTIAL MULTICAP FUND'!A1109</f>
        <v>44586</v>
      </c>
      <c r="B1109" s="9">
        <f>'ICICI PRUDENTIAL MULTICAP FUND'!B1109</f>
        <v>441.95</v>
      </c>
      <c r="C1109" s="10">
        <f t="shared" si="68"/>
        <v>8.3506354240342421E-3</v>
      </c>
      <c r="D1109" s="9">
        <f>'QUANT ACTIVE FUND'!B1109</f>
        <v>411.18799999999999</v>
      </c>
      <c r="E1109" s="10">
        <f t="shared" si="69"/>
        <v>1.7860104511935142E-2</v>
      </c>
      <c r="F1109" s="9">
        <f>'NIPPON INDIA '!B1109</f>
        <v>146.69399999999999</v>
      </c>
      <c r="G1109" s="10">
        <f t="shared" si="70"/>
        <v>1.6020113449830575E-2</v>
      </c>
      <c r="H1109" s="9">
        <f>'NIFTY500 TRI'!B1109</f>
        <v>22744.48</v>
      </c>
      <c r="I1109" s="10">
        <f t="shared" si="71"/>
        <v>8.169707941030644E-3</v>
      </c>
    </row>
    <row r="1110" spans="1:9" ht="14.25" customHeight="1" x14ac:dyDescent="0.3">
      <c r="A1110" s="8">
        <f>'ICICI PRUDENTIAL MULTICAP FUND'!A1110</f>
        <v>44585</v>
      </c>
      <c r="B1110" s="9">
        <f>'ICICI PRUDENTIAL MULTICAP FUND'!B1110</f>
        <v>438.29</v>
      </c>
      <c r="C1110" s="10">
        <f t="shared" si="68"/>
        <v>-2.5978932396995415E-2</v>
      </c>
      <c r="D1110" s="9">
        <f>'QUANT ACTIVE FUND'!B1110</f>
        <v>403.97300000000001</v>
      </c>
      <c r="E1110" s="10">
        <f t="shared" si="69"/>
        <v>-4.197338215485024E-2</v>
      </c>
      <c r="F1110" s="9">
        <f>'NIPPON INDIA '!B1110</f>
        <v>144.381</v>
      </c>
      <c r="G1110" s="10">
        <f t="shared" si="70"/>
        <v>-3.4253722358229384E-2</v>
      </c>
      <c r="H1110" s="9">
        <f>'NIFTY500 TRI'!B1110</f>
        <v>22560.17</v>
      </c>
      <c r="I1110" s="10">
        <f t="shared" si="71"/>
        <v>-3.0847679701008528E-2</v>
      </c>
    </row>
    <row r="1111" spans="1:9" ht="14.25" customHeight="1" x14ac:dyDescent="0.3">
      <c r="A1111" s="8">
        <f>'ICICI PRUDENTIAL MULTICAP FUND'!A1111</f>
        <v>44582</v>
      </c>
      <c r="B1111" s="9">
        <f>'ICICI PRUDENTIAL MULTICAP FUND'!B1111</f>
        <v>449.98</v>
      </c>
      <c r="C1111" s="10">
        <f t="shared" si="68"/>
        <v>-1.5856352382827024E-2</v>
      </c>
      <c r="D1111" s="9">
        <f>'QUANT ACTIVE FUND'!B1111</f>
        <v>421.67200000000003</v>
      </c>
      <c r="E1111" s="10">
        <f t="shared" si="69"/>
        <v>-1.307175774767875E-2</v>
      </c>
      <c r="F1111" s="9">
        <f>'NIPPON INDIA '!B1111</f>
        <v>149.50200000000001</v>
      </c>
      <c r="G1111" s="10">
        <f t="shared" si="70"/>
        <v>-8.725748915911909E-3</v>
      </c>
      <c r="H1111" s="9">
        <f>'NIFTY500 TRI'!B1111</f>
        <v>23278.25</v>
      </c>
      <c r="I1111" s="10">
        <f t="shared" si="71"/>
        <v>-1.1725602476645537E-2</v>
      </c>
    </row>
    <row r="1112" spans="1:9" ht="14.25" customHeight="1" x14ac:dyDescent="0.3">
      <c r="A1112" s="8">
        <f>'ICICI PRUDENTIAL MULTICAP FUND'!A1112</f>
        <v>44581</v>
      </c>
      <c r="B1112" s="9">
        <f>'ICICI PRUDENTIAL MULTICAP FUND'!B1112</f>
        <v>457.23</v>
      </c>
      <c r="C1112" s="10">
        <f t="shared" si="68"/>
        <v>-5.2432338351752856E-3</v>
      </c>
      <c r="D1112" s="9">
        <f>'QUANT ACTIVE FUND'!B1112</f>
        <v>427.25700000000001</v>
      </c>
      <c r="E1112" s="10">
        <f t="shared" si="69"/>
        <v>-1.8875638045623743E-3</v>
      </c>
      <c r="F1112" s="9">
        <f>'NIPPON INDIA '!B1112</f>
        <v>150.81800000000001</v>
      </c>
      <c r="G1112" s="10">
        <f t="shared" si="70"/>
        <v>-2.1634853948195318E-3</v>
      </c>
      <c r="H1112" s="9">
        <f>'NIFTY500 TRI'!B1112</f>
        <v>23554.44</v>
      </c>
      <c r="I1112" s="10">
        <f t="shared" si="71"/>
        <v>-7.1007368832381188E-3</v>
      </c>
    </row>
    <row r="1113" spans="1:9" ht="14.25" customHeight="1" x14ac:dyDescent="0.3">
      <c r="A1113" s="8">
        <f>'ICICI PRUDENTIAL MULTICAP FUND'!A1113</f>
        <v>44580</v>
      </c>
      <c r="B1113" s="9">
        <f>'ICICI PRUDENTIAL MULTICAP FUND'!B1113</f>
        <v>459.64</v>
      </c>
      <c r="C1113" s="10">
        <f t="shared" si="68"/>
        <v>-2.4091155724362749E-3</v>
      </c>
      <c r="D1113" s="9">
        <f>'QUANT ACTIVE FUND'!B1113</f>
        <v>428.065</v>
      </c>
      <c r="E1113" s="10">
        <f t="shared" si="69"/>
        <v>-2.7699217712590244E-3</v>
      </c>
      <c r="F1113" s="9">
        <f>'NIPPON INDIA '!B1113</f>
        <v>151.14500000000001</v>
      </c>
      <c r="G1113" s="10">
        <f t="shared" si="70"/>
        <v>-5.1930443482037418E-3</v>
      </c>
      <c r="H1113" s="9">
        <f>'NIFTY500 TRI'!B1113</f>
        <v>23722.89</v>
      </c>
      <c r="I1113" s="10">
        <f t="shared" si="71"/>
        <v>-6.4002311974099739E-3</v>
      </c>
    </row>
    <row r="1114" spans="1:9" ht="14.25" customHeight="1" x14ac:dyDescent="0.3">
      <c r="A1114" s="8">
        <f>'ICICI PRUDENTIAL MULTICAP FUND'!A1114</f>
        <v>44579</v>
      </c>
      <c r="B1114" s="9">
        <f>'ICICI PRUDENTIAL MULTICAP FUND'!B1114</f>
        <v>460.75</v>
      </c>
      <c r="C1114" s="10">
        <f t="shared" si="68"/>
        <v>-1.2579829411512589E-2</v>
      </c>
      <c r="D1114" s="9">
        <f>'QUANT ACTIVE FUND'!B1114</f>
        <v>429.25400000000002</v>
      </c>
      <c r="E1114" s="10">
        <f t="shared" si="69"/>
        <v>-1.6987578777663798E-2</v>
      </c>
      <c r="F1114" s="9">
        <f>'NIPPON INDIA '!B1114</f>
        <v>151.934</v>
      </c>
      <c r="G1114" s="10">
        <f t="shared" si="70"/>
        <v>-9.8342707063861796E-3</v>
      </c>
      <c r="H1114" s="9">
        <f>'NIFTY500 TRI'!B1114</f>
        <v>23875.7</v>
      </c>
      <c r="I1114" s="10">
        <f t="shared" si="71"/>
        <v>-1.3190415807668058E-2</v>
      </c>
    </row>
    <row r="1115" spans="1:9" ht="14.25" customHeight="1" x14ac:dyDescent="0.3">
      <c r="A1115" s="8">
        <f>'ICICI PRUDENTIAL MULTICAP FUND'!A1115</f>
        <v>44578</v>
      </c>
      <c r="B1115" s="9">
        <f>'ICICI PRUDENTIAL MULTICAP FUND'!B1115</f>
        <v>466.62</v>
      </c>
      <c r="C1115" s="10">
        <f t="shared" si="68"/>
        <v>1.3519603424966102E-3</v>
      </c>
      <c r="D1115" s="9">
        <f>'QUANT ACTIVE FUND'!B1115</f>
        <v>436.67200000000003</v>
      </c>
      <c r="E1115" s="10">
        <f t="shared" si="69"/>
        <v>1.3851050753553159E-3</v>
      </c>
      <c r="F1115" s="9">
        <f>'NIPPON INDIA '!B1115</f>
        <v>153.44300000000001</v>
      </c>
      <c r="G1115" s="10">
        <f t="shared" si="70"/>
        <v>4.1074455600480247E-4</v>
      </c>
      <c r="H1115" s="9">
        <f>'NIFTY500 TRI'!B1115</f>
        <v>24194.84</v>
      </c>
      <c r="I1115" s="10">
        <f t="shared" si="71"/>
        <v>3.2475663984687553E-3</v>
      </c>
    </row>
    <row r="1116" spans="1:9" ht="14.25" customHeight="1" x14ac:dyDescent="0.3">
      <c r="A1116" s="8">
        <f>'ICICI PRUDENTIAL MULTICAP FUND'!A1116</f>
        <v>44575</v>
      </c>
      <c r="B1116" s="9">
        <f>'ICICI PRUDENTIAL MULTICAP FUND'!B1116</f>
        <v>465.99</v>
      </c>
      <c r="C1116" s="10">
        <f t="shared" si="68"/>
        <v>1.4829142488716907E-3</v>
      </c>
      <c r="D1116" s="9">
        <f>'QUANT ACTIVE FUND'!B1116</f>
        <v>436.06799999999998</v>
      </c>
      <c r="E1116" s="10">
        <f t="shared" si="69"/>
        <v>5.5736064254434401E-3</v>
      </c>
      <c r="F1116" s="9">
        <f>'NIPPON INDIA '!B1116</f>
        <v>153.38</v>
      </c>
      <c r="G1116" s="10">
        <f t="shared" si="70"/>
        <v>4.2493010587241684E-3</v>
      </c>
      <c r="H1116" s="9">
        <f>'NIFTY500 TRI'!B1116</f>
        <v>24116.52</v>
      </c>
      <c r="I1116" s="10">
        <f t="shared" si="71"/>
        <v>5.9413663483000344E-4</v>
      </c>
    </row>
    <row r="1117" spans="1:9" ht="14.25" customHeight="1" x14ac:dyDescent="0.3">
      <c r="A1117" s="8">
        <f>'ICICI PRUDENTIAL MULTICAP FUND'!A1117</f>
        <v>44574</v>
      </c>
      <c r="B1117" s="9">
        <f>'ICICI PRUDENTIAL MULTICAP FUND'!B1117</f>
        <v>465.3</v>
      </c>
      <c r="C1117" s="10">
        <f t="shared" si="68"/>
        <v>1.3989023996557283E-3</v>
      </c>
      <c r="D1117" s="9">
        <f>'QUANT ACTIVE FUND'!B1117</f>
        <v>433.65100000000001</v>
      </c>
      <c r="E1117" s="10">
        <f t="shared" si="69"/>
        <v>5.8310931328093155E-3</v>
      </c>
      <c r="F1117" s="9">
        <f>'NIPPON INDIA '!B1117</f>
        <v>152.73099999999999</v>
      </c>
      <c r="G1117" s="10">
        <f t="shared" si="70"/>
        <v>2.513981148423224E-3</v>
      </c>
      <c r="H1117" s="9">
        <f>'NIFTY500 TRI'!B1117</f>
        <v>24102.2</v>
      </c>
      <c r="I1117" s="10">
        <f t="shared" si="71"/>
        <v>3.39332467135632E-3</v>
      </c>
    </row>
    <row r="1118" spans="1:9" ht="14.25" customHeight="1" x14ac:dyDescent="0.3">
      <c r="A1118" s="8">
        <f>'ICICI PRUDENTIAL MULTICAP FUND'!A1118</f>
        <v>44573</v>
      </c>
      <c r="B1118" s="9">
        <f>'ICICI PRUDENTIAL MULTICAP FUND'!B1118</f>
        <v>464.65</v>
      </c>
      <c r="C1118" s="10">
        <f t="shared" si="68"/>
        <v>6.040791581864555E-3</v>
      </c>
      <c r="D1118" s="9">
        <f>'QUANT ACTIVE FUND'!B1118</f>
        <v>431.137</v>
      </c>
      <c r="E1118" s="10">
        <f t="shared" si="69"/>
        <v>9.6956184703873467E-3</v>
      </c>
      <c r="F1118" s="9">
        <f>'NIPPON INDIA '!B1118</f>
        <v>152.34800000000001</v>
      </c>
      <c r="G1118" s="10">
        <f t="shared" si="70"/>
        <v>8.8202574561637315E-3</v>
      </c>
      <c r="H1118" s="9">
        <f>'NIFTY500 TRI'!B1118</f>
        <v>24020.69</v>
      </c>
      <c r="I1118" s="10">
        <f t="shared" si="71"/>
        <v>8.8441422572175469E-3</v>
      </c>
    </row>
    <row r="1119" spans="1:9" ht="14.25" customHeight="1" x14ac:dyDescent="0.3">
      <c r="A1119" s="8">
        <f>'ICICI PRUDENTIAL MULTICAP FUND'!A1119</f>
        <v>44572</v>
      </c>
      <c r="B1119" s="9">
        <f>'ICICI PRUDENTIAL MULTICAP FUND'!B1119</f>
        <v>461.86</v>
      </c>
      <c r="C1119" s="10">
        <f t="shared" si="68"/>
        <v>1.6916804025332471E-3</v>
      </c>
      <c r="D1119" s="9">
        <f>'QUANT ACTIVE FUND'!B1119</f>
        <v>426.99700000000001</v>
      </c>
      <c r="E1119" s="10">
        <f t="shared" si="69"/>
        <v>-3.0166546420757321E-3</v>
      </c>
      <c r="F1119" s="9">
        <f>'NIPPON INDIA '!B1119</f>
        <v>151.01599999999999</v>
      </c>
      <c r="G1119" s="10">
        <f t="shared" si="70"/>
        <v>5.5264804975163071E-3</v>
      </c>
      <c r="H1119" s="9">
        <f>'NIFTY500 TRI'!B1119</f>
        <v>23810.11</v>
      </c>
      <c r="I1119" s="10">
        <f t="shared" si="71"/>
        <v>2.2587549907498745E-3</v>
      </c>
    </row>
    <row r="1120" spans="1:9" ht="14.25" customHeight="1" x14ac:dyDescent="0.3">
      <c r="A1120" s="8">
        <f>'ICICI PRUDENTIAL MULTICAP FUND'!A1120</f>
        <v>44571</v>
      </c>
      <c r="B1120" s="9">
        <f>'ICICI PRUDENTIAL MULTICAP FUND'!B1120</f>
        <v>461.08</v>
      </c>
      <c r="C1120" s="10">
        <f t="shared" si="68"/>
        <v>9.5684351119966829E-3</v>
      </c>
      <c r="D1120" s="9">
        <f>'QUANT ACTIVE FUND'!B1120</f>
        <v>428.28899999999999</v>
      </c>
      <c r="E1120" s="10">
        <f t="shared" si="69"/>
        <v>1.4076203284526342E-2</v>
      </c>
      <c r="F1120" s="9">
        <f>'NIPPON INDIA '!B1120</f>
        <v>150.18600000000001</v>
      </c>
      <c r="G1120" s="10">
        <f t="shared" si="70"/>
        <v>1.0482547030169424E-2</v>
      </c>
      <c r="H1120" s="9">
        <f>'NIFTY500 TRI'!B1120</f>
        <v>23756.45</v>
      </c>
      <c r="I1120" s="10">
        <f t="shared" si="71"/>
        <v>9.5754007563597539E-3</v>
      </c>
    </row>
    <row r="1121" spans="1:9" ht="14.25" customHeight="1" x14ac:dyDescent="0.3">
      <c r="A1121" s="8">
        <f>'ICICI PRUDENTIAL MULTICAP FUND'!A1121</f>
        <v>44568</v>
      </c>
      <c r="B1121" s="9">
        <f>'ICICI PRUDENTIAL MULTICAP FUND'!B1121</f>
        <v>456.71</v>
      </c>
      <c r="C1121" s="10">
        <f t="shared" si="68"/>
        <v>5.8362330969474897E-3</v>
      </c>
      <c r="D1121" s="9">
        <f>'QUANT ACTIVE FUND'!B1121</f>
        <v>422.34399999999999</v>
      </c>
      <c r="E1121" s="10">
        <f t="shared" si="69"/>
        <v>3.6572759354094823E-3</v>
      </c>
      <c r="F1121" s="9">
        <f>'NIPPON INDIA '!B1121</f>
        <v>148.62799999999999</v>
      </c>
      <c r="G1121" s="10">
        <f t="shared" si="70"/>
        <v>2.4145140621836896E-3</v>
      </c>
      <c r="H1121" s="9">
        <f>'NIFTY500 TRI'!B1121</f>
        <v>23531.13</v>
      </c>
      <c r="I1121" s="10">
        <f t="shared" si="71"/>
        <v>3.8231325541743097E-3</v>
      </c>
    </row>
    <row r="1122" spans="1:9" ht="14.25" customHeight="1" x14ac:dyDescent="0.3">
      <c r="A1122" s="8">
        <f>'ICICI PRUDENTIAL MULTICAP FUND'!A1122</f>
        <v>44567</v>
      </c>
      <c r="B1122" s="9">
        <f>'ICICI PRUDENTIAL MULTICAP FUND'!B1122</f>
        <v>454.06</v>
      </c>
      <c r="C1122" s="10">
        <f t="shared" si="68"/>
        <v>-2.2194387676620982E-3</v>
      </c>
      <c r="D1122" s="9">
        <f>'QUANT ACTIVE FUND'!B1122</f>
        <v>420.80500000000001</v>
      </c>
      <c r="E1122" s="10">
        <f t="shared" si="69"/>
        <v>-2.143658304660314E-3</v>
      </c>
      <c r="F1122" s="9">
        <f>'NIPPON INDIA '!B1122</f>
        <v>148.27000000000001</v>
      </c>
      <c r="G1122" s="10">
        <f t="shared" si="70"/>
        <v>-3.3541934139504547E-3</v>
      </c>
      <c r="H1122" s="9">
        <f>'NIFTY500 TRI'!B1122</f>
        <v>23441.51</v>
      </c>
      <c r="I1122" s="10">
        <f t="shared" si="71"/>
        <v>-6.9033563995957005E-3</v>
      </c>
    </row>
    <row r="1123" spans="1:9" ht="14.25" customHeight="1" x14ac:dyDescent="0.3">
      <c r="A1123" s="8">
        <f>'ICICI PRUDENTIAL MULTICAP FUND'!A1123</f>
        <v>44566</v>
      </c>
      <c r="B1123" s="9">
        <f>'ICICI PRUDENTIAL MULTICAP FUND'!B1123</f>
        <v>455.07</v>
      </c>
      <c r="C1123" s="10">
        <f t="shared" si="68"/>
        <v>2.8206879834283979E-3</v>
      </c>
      <c r="D1123" s="9">
        <f>'QUANT ACTIVE FUND'!B1123</f>
        <v>421.709</v>
      </c>
      <c r="E1123" s="10">
        <f t="shared" si="69"/>
        <v>1.8482839230183096E-3</v>
      </c>
      <c r="F1123" s="9">
        <f>'NIPPON INDIA '!B1123</f>
        <v>148.76900000000001</v>
      </c>
      <c r="G1123" s="10">
        <f t="shared" si="70"/>
        <v>2.4392380413322469E-3</v>
      </c>
      <c r="H1123" s="9">
        <f>'NIFTY500 TRI'!B1123</f>
        <v>23604.46</v>
      </c>
      <c r="I1123" s="10">
        <f t="shared" si="71"/>
        <v>5.0708164274184371E-3</v>
      </c>
    </row>
    <row r="1124" spans="1:9" ht="14.25" customHeight="1" x14ac:dyDescent="0.3">
      <c r="A1124" s="8">
        <f>'ICICI PRUDENTIAL MULTICAP FUND'!A1124</f>
        <v>44565</v>
      </c>
      <c r="B1124" s="9">
        <f>'ICICI PRUDENTIAL MULTICAP FUND'!B1124</f>
        <v>453.79</v>
      </c>
      <c r="C1124" s="10">
        <f t="shared" si="68"/>
        <v>3.8047205078860073E-3</v>
      </c>
      <c r="D1124" s="9">
        <f>'QUANT ACTIVE FUND'!B1124</f>
        <v>420.93099999999998</v>
      </c>
      <c r="E1124" s="10">
        <f t="shared" si="69"/>
        <v>-1.0926962755683155E-4</v>
      </c>
      <c r="F1124" s="9">
        <f>'NIPPON INDIA '!B1124</f>
        <v>148.40700000000001</v>
      </c>
      <c r="G1124" s="10">
        <f t="shared" si="70"/>
        <v>6.6200459876145385E-3</v>
      </c>
      <c r="H1124" s="9">
        <f>'NIFTY500 TRI'!B1124</f>
        <v>23485.37</v>
      </c>
      <c r="I1124" s="10">
        <f t="shared" si="71"/>
        <v>7.506956128557233E-3</v>
      </c>
    </row>
    <row r="1125" spans="1:9" ht="14.25" customHeight="1" x14ac:dyDescent="0.3">
      <c r="A1125" s="8">
        <f>'ICICI PRUDENTIAL MULTICAP FUND'!A1125</f>
        <v>44564</v>
      </c>
      <c r="B1125" s="9">
        <f>'ICICI PRUDENTIAL MULTICAP FUND'!B1125</f>
        <v>452.07</v>
      </c>
      <c r="C1125" s="10">
        <f t="shared" si="68"/>
        <v>1.3882659011393196E-2</v>
      </c>
      <c r="D1125" s="9">
        <f>'QUANT ACTIVE FUND'!B1125</f>
        <v>420.97699999999998</v>
      </c>
      <c r="E1125" s="10">
        <f t="shared" si="69"/>
        <v>1.3911334510273226E-2</v>
      </c>
      <c r="F1125" s="9">
        <f>'NIPPON INDIA '!B1125</f>
        <v>147.43100000000001</v>
      </c>
      <c r="G1125" s="10">
        <f t="shared" si="70"/>
        <v>1.2123708509250812E-2</v>
      </c>
      <c r="H1125" s="9">
        <f>'NIFTY500 TRI'!B1125</f>
        <v>23310.38</v>
      </c>
      <c r="I1125" s="10">
        <f t="shared" si="71"/>
        <v>1.3896814736973965E-2</v>
      </c>
    </row>
    <row r="1126" spans="1:9" ht="14.25" customHeight="1" x14ac:dyDescent="0.3">
      <c r="A1126" s="8">
        <f>'ICICI PRUDENTIAL MULTICAP FUND'!A1126</f>
        <v>44561</v>
      </c>
      <c r="B1126" s="9">
        <f>'ICICI PRUDENTIAL MULTICAP FUND'!B1126</f>
        <v>445.88</v>
      </c>
      <c r="C1126" s="10">
        <f t="shared" si="68"/>
        <v>8.7326365322836375E-3</v>
      </c>
      <c r="D1126" s="9">
        <f>'QUANT ACTIVE FUND'!B1126</f>
        <v>415.20100000000002</v>
      </c>
      <c r="E1126" s="10">
        <f t="shared" si="69"/>
        <v>9.5508336311890089E-3</v>
      </c>
      <c r="F1126" s="9">
        <f>'NIPPON INDIA '!B1126</f>
        <v>145.66499999999999</v>
      </c>
      <c r="G1126" s="10">
        <f t="shared" si="70"/>
        <v>1.1295630319776593E-2</v>
      </c>
      <c r="H1126" s="9">
        <f>'NIFTY500 TRI'!B1126</f>
        <v>22990.880000000001</v>
      </c>
      <c r="I1126" s="10">
        <f t="shared" si="71"/>
        <v>1.0384722548163897E-2</v>
      </c>
    </row>
    <row r="1127" spans="1:9" ht="14.25" customHeight="1" x14ac:dyDescent="0.3">
      <c r="A1127" s="8">
        <f>'ICICI PRUDENTIAL MULTICAP FUND'!A1127</f>
        <v>44560</v>
      </c>
      <c r="B1127" s="9">
        <f>'ICICI PRUDENTIAL MULTICAP FUND'!B1127</f>
        <v>442.02</v>
      </c>
      <c r="C1127" s="10">
        <f t="shared" si="68"/>
        <v>9.5108695652164636E-4</v>
      </c>
      <c r="D1127" s="9">
        <f>'QUANT ACTIVE FUND'!B1127</f>
        <v>411.27300000000002</v>
      </c>
      <c r="E1127" s="10">
        <f t="shared" si="69"/>
        <v>-5.5372458367889867E-3</v>
      </c>
      <c r="F1127" s="9">
        <f>'NIPPON INDIA '!B1127</f>
        <v>144.03800000000001</v>
      </c>
      <c r="G1127" s="10">
        <f t="shared" si="70"/>
        <v>-1.1303666410079161E-3</v>
      </c>
      <c r="H1127" s="9">
        <f>'NIFTY500 TRI'!B1127</f>
        <v>22754.58</v>
      </c>
      <c r="I1127" s="10">
        <f t="shared" si="71"/>
        <v>-1.3723429233492191E-3</v>
      </c>
    </row>
    <row r="1128" spans="1:9" ht="14.25" customHeight="1" x14ac:dyDescent="0.3">
      <c r="A1128" s="8">
        <f>'ICICI PRUDENTIAL MULTICAP FUND'!A1128</f>
        <v>44559</v>
      </c>
      <c r="B1128" s="9">
        <f>'ICICI PRUDENTIAL MULTICAP FUND'!B1128</f>
        <v>441.6</v>
      </c>
      <c r="C1128" s="10">
        <f t="shared" si="68"/>
        <v>-1.9887904538058113E-3</v>
      </c>
      <c r="D1128" s="9">
        <f>'QUANT ACTIVE FUND'!B1128</f>
        <v>413.56299999999999</v>
      </c>
      <c r="E1128" s="10">
        <f t="shared" si="69"/>
        <v>-2.3159149190757479E-3</v>
      </c>
      <c r="F1128" s="9">
        <f>'NIPPON INDIA '!B1128</f>
        <v>144.20099999999999</v>
      </c>
      <c r="G1128" s="10">
        <f t="shared" si="70"/>
        <v>-6.3066559476622529E-4</v>
      </c>
      <c r="H1128" s="9">
        <f>'NIFTY500 TRI'!B1128</f>
        <v>22785.85</v>
      </c>
      <c r="I1128" s="10">
        <f t="shared" si="71"/>
        <v>-2.9878039684711263E-4</v>
      </c>
    </row>
    <row r="1129" spans="1:9" ht="14.25" customHeight="1" x14ac:dyDescent="0.3">
      <c r="A1129" s="8">
        <f>'ICICI PRUDENTIAL MULTICAP FUND'!A1129</f>
        <v>44558</v>
      </c>
      <c r="B1129" s="9">
        <f>'ICICI PRUDENTIAL MULTICAP FUND'!B1129</f>
        <v>442.48</v>
      </c>
      <c r="C1129" s="10">
        <f t="shared" si="68"/>
        <v>8.8463292293661545E-3</v>
      </c>
      <c r="D1129" s="9">
        <f>'QUANT ACTIVE FUND'!B1129</f>
        <v>414.52300000000002</v>
      </c>
      <c r="E1129" s="10">
        <f t="shared" si="69"/>
        <v>1.33748276502743E-2</v>
      </c>
      <c r="F1129" s="9">
        <f>'NIPPON INDIA '!B1129</f>
        <v>144.292</v>
      </c>
      <c r="G1129" s="10">
        <f t="shared" si="70"/>
        <v>9.2184593002924455E-3</v>
      </c>
      <c r="H1129" s="9">
        <f>'NIFTY500 TRI'!B1129</f>
        <v>22792.66</v>
      </c>
      <c r="I1129" s="10">
        <f t="shared" si="71"/>
        <v>9.5253702785061886E-3</v>
      </c>
    </row>
    <row r="1130" spans="1:9" ht="14.25" customHeight="1" x14ac:dyDescent="0.3">
      <c r="A1130" s="8">
        <f>'ICICI PRUDENTIAL MULTICAP FUND'!A1130</f>
        <v>44557</v>
      </c>
      <c r="B1130" s="9">
        <f>'ICICI PRUDENTIAL MULTICAP FUND'!B1130</f>
        <v>438.6</v>
      </c>
      <c r="C1130" s="10">
        <f t="shared" si="68"/>
        <v>2.1248886147097281E-3</v>
      </c>
      <c r="D1130" s="9">
        <f>'QUANT ACTIVE FUND'!B1130</f>
        <v>409.05200000000002</v>
      </c>
      <c r="E1130" s="10">
        <f t="shared" si="69"/>
        <v>1.2385386223339077E-3</v>
      </c>
      <c r="F1130" s="9">
        <f>'NIPPON INDIA '!B1130</f>
        <v>142.97399999999999</v>
      </c>
      <c r="G1130" s="10">
        <f t="shared" si="70"/>
        <v>1.1203383421793144E-3</v>
      </c>
      <c r="H1130" s="9">
        <f>'NIFTY500 TRI'!B1130</f>
        <v>22577.599999999999</v>
      </c>
      <c r="I1130" s="10">
        <f t="shared" si="71"/>
        <v>4.282219957626919E-3</v>
      </c>
    </row>
    <row r="1131" spans="1:9" ht="14.25" customHeight="1" x14ac:dyDescent="0.3">
      <c r="A1131" s="8">
        <f>'ICICI PRUDENTIAL MULTICAP FUND'!A1131</f>
        <v>44554</v>
      </c>
      <c r="B1131" s="9">
        <f>'ICICI PRUDENTIAL MULTICAP FUND'!B1131</f>
        <v>437.67</v>
      </c>
      <c r="C1131" s="10">
        <f t="shared" si="68"/>
        <v>-6.4921798742422921E-3</v>
      </c>
      <c r="D1131" s="9">
        <f>'QUANT ACTIVE FUND'!B1131</f>
        <v>408.54599999999999</v>
      </c>
      <c r="E1131" s="10">
        <f t="shared" si="69"/>
        <v>-5.8934028926827036E-3</v>
      </c>
      <c r="F1131" s="9">
        <f>'NIPPON INDIA '!B1131</f>
        <v>142.81399999999999</v>
      </c>
      <c r="G1131" s="10">
        <f t="shared" si="70"/>
        <v>-7.588286798326775E-3</v>
      </c>
      <c r="H1131" s="9">
        <f>'NIFTY500 TRI'!B1131</f>
        <v>22481.33</v>
      </c>
      <c r="I1131" s="10">
        <f t="shared" si="71"/>
        <v>-5.8741930391430029E-3</v>
      </c>
    </row>
    <row r="1132" spans="1:9" ht="14.25" customHeight="1" x14ac:dyDescent="0.3">
      <c r="A1132" s="8">
        <f>'ICICI PRUDENTIAL MULTICAP FUND'!A1132</f>
        <v>44553</v>
      </c>
      <c r="B1132" s="9">
        <f>'ICICI PRUDENTIAL MULTICAP FUND'!B1132</f>
        <v>440.53</v>
      </c>
      <c r="C1132" s="10">
        <f t="shared" si="68"/>
        <v>8.0086035283618972E-3</v>
      </c>
      <c r="D1132" s="9">
        <f>'QUANT ACTIVE FUND'!B1132</f>
        <v>410.96800000000002</v>
      </c>
      <c r="E1132" s="10">
        <f t="shared" si="69"/>
        <v>9.7419429340816453E-3</v>
      </c>
      <c r="F1132" s="9">
        <f>'NIPPON INDIA '!B1132</f>
        <v>143.90600000000001</v>
      </c>
      <c r="G1132" s="10">
        <f t="shared" si="70"/>
        <v>6.4834696004307793E-3</v>
      </c>
      <c r="H1132" s="9">
        <f>'NIFTY500 TRI'!B1132</f>
        <v>22614.17</v>
      </c>
      <c r="I1132" s="10">
        <f t="shared" si="71"/>
        <v>7.630019787968771E-3</v>
      </c>
    </row>
    <row r="1133" spans="1:9" ht="14.25" customHeight="1" x14ac:dyDescent="0.3">
      <c r="A1133" s="8">
        <f>'ICICI PRUDENTIAL MULTICAP FUND'!A1133</f>
        <v>44552</v>
      </c>
      <c r="B1133" s="9">
        <f>'ICICI PRUDENTIAL MULTICAP FUND'!B1133</f>
        <v>437.03</v>
      </c>
      <c r="C1133" s="10">
        <f t="shared" si="68"/>
        <v>1.4108365239586923E-2</v>
      </c>
      <c r="D1133" s="9">
        <f>'QUANT ACTIVE FUND'!B1133</f>
        <v>407.00299999999999</v>
      </c>
      <c r="E1133" s="10">
        <f t="shared" si="69"/>
        <v>1.5537357526398725E-2</v>
      </c>
      <c r="F1133" s="9">
        <f>'NIPPON INDIA '!B1133</f>
        <v>142.97900000000001</v>
      </c>
      <c r="G1133" s="10">
        <f t="shared" si="70"/>
        <v>1.2721078316794662E-2</v>
      </c>
      <c r="H1133" s="9">
        <f>'NIFTY500 TRI'!B1133</f>
        <v>22442.93</v>
      </c>
      <c r="I1133" s="10">
        <f t="shared" si="71"/>
        <v>1.2549645225283179E-2</v>
      </c>
    </row>
    <row r="1134" spans="1:9" ht="14.25" customHeight="1" x14ac:dyDescent="0.3">
      <c r="A1134" s="8">
        <f>'ICICI PRUDENTIAL MULTICAP FUND'!A1134</f>
        <v>44551</v>
      </c>
      <c r="B1134" s="9">
        <f>'ICICI PRUDENTIAL MULTICAP FUND'!B1134</f>
        <v>430.95</v>
      </c>
      <c r="C1134" s="10">
        <f t="shared" si="68"/>
        <v>1.06707317073171E-2</v>
      </c>
      <c r="D1134" s="9">
        <f>'QUANT ACTIVE FUND'!B1134</f>
        <v>400.77600000000001</v>
      </c>
      <c r="E1134" s="10">
        <f t="shared" si="69"/>
        <v>1.6220437700790333E-2</v>
      </c>
      <c r="F1134" s="9">
        <f>'NIPPON INDIA '!B1134</f>
        <v>141.18299999999999</v>
      </c>
      <c r="G1134" s="10">
        <f t="shared" si="70"/>
        <v>1.221689286559252E-2</v>
      </c>
      <c r="H1134" s="9">
        <f>'NIFTY500 TRI'!B1134</f>
        <v>22164.77</v>
      </c>
      <c r="I1134" s="10">
        <f t="shared" si="71"/>
        <v>1.1236636847080678E-2</v>
      </c>
    </row>
    <row r="1135" spans="1:9" ht="14.25" customHeight="1" x14ac:dyDescent="0.3">
      <c r="A1135" s="8">
        <f>'ICICI PRUDENTIAL MULTICAP FUND'!A1135</f>
        <v>44550</v>
      </c>
      <c r="B1135" s="9">
        <f>'ICICI PRUDENTIAL MULTICAP FUND'!B1135</f>
        <v>426.4</v>
      </c>
      <c r="C1135" s="10">
        <f t="shared" si="68"/>
        <v>-2.5460529323033419E-2</v>
      </c>
      <c r="D1135" s="9">
        <f>'QUANT ACTIVE FUND'!B1135</f>
        <v>394.37900000000002</v>
      </c>
      <c r="E1135" s="10">
        <f t="shared" si="69"/>
        <v>-3.0757396275196944E-2</v>
      </c>
      <c r="F1135" s="9">
        <f>'NIPPON INDIA '!B1135</f>
        <v>139.47900000000001</v>
      </c>
      <c r="G1135" s="10">
        <f t="shared" si="70"/>
        <v>-3.0345374155334812E-2</v>
      </c>
      <c r="H1135" s="9">
        <f>'NIFTY500 TRI'!B1135</f>
        <v>21918.48</v>
      </c>
      <c r="I1135" s="10">
        <f t="shared" si="71"/>
        <v>-2.5381414886819515E-2</v>
      </c>
    </row>
    <row r="1136" spans="1:9" ht="14.25" customHeight="1" x14ac:dyDescent="0.3">
      <c r="A1136" s="8">
        <f>'ICICI PRUDENTIAL MULTICAP FUND'!A1136</f>
        <v>44547</v>
      </c>
      <c r="B1136" s="9">
        <f>'ICICI PRUDENTIAL MULTICAP FUND'!B1136</f>
        <v>437.54</v>
      </c>
      <c r="C1136" s="10">
        <f t="shared" si="68"/>
        <v>-1.448296056039824E-2</v>
      </c>
      <c r="D1136" s="9">
        <f>'QUANT ACTIVE FUND'!B1136</f>
        <v>406.89400000000001</v>
      </c>
      <c r="E1136" s="10">
        <f t="shared" si="69"/>
        <v>-2.9936750657406981E-2</v>
      </c>
      <c r="F1136" s="9">
        <f>'NIPPON INDIA '!B1136</f>
        <v>143.84399999999999</v>
      </c>
      <c r="G1136" s="10">
        <f t="shared" si="70"/>
        <v>-1.9374718787069065E-2</v>
      </c>
      <c r="H1136" s="9">
        <f>'NIFTY500 TRI'!B1136</f>
        <v>22489.29</v>
      </c>
      <c r="I1136" s="10">
        <f t="shared" si="71"/>
        <v>-1.7474563408968462E-2</v>
      </c>
    </row>
    <row r="1137" spans="1:9" ht="14.25" customHeight="1" x14ac:dyDescent="0.3">
      <c r="A1137" s="8">
        <f>'ICICI PRUDENTIAL MULTICAP FUND'!A1137</f>
        <v>44546</v>
      </c>
      <c r="B1137" s="9">
        <f>'ICICI PRUDENTIAL MULTICAP FUND'!B1137</f>
        <v>443.97</v>
      </c>
      <c r="C1137" s="10">
        <f t="shared" si="68"/>
        <v>-3.7250633933980392E-3</v>
      </c>
      <c r="D1137" s="9">
        <f>'QUANT ACTIVE FUND'!B1137</f>
        <v>419.45100000000002</v>
      </c>
      <c r="E1137" s="10">
        <f t="shared" si="69"/>
        <v>-4.3013509375377261E-3</v>
      </c>
      <c r="F1137" s="9">
        <f>'NIPPON INDIA '!B1137</f>
        <v>146.68600000000001</v>
      </c>
      <c r="G1137" s="10">
        <f t="shared" si="70"/>
        <v>-6.340518350923351E-3</v>
      </c>
      <c r="H1137" s="9">
        <f>'NIFTY500 TRI'!B1137</f>
        <v>22889.27</v>
      </c>
      <c r="I1137" s="10">
        <f t="shared" si="71"/>
        <v>-1.1141271143539912E-3</v>
      </c>
    </row>
    <row r="1138" spans="1:9" ht="14.25" customHeight="1" x14ac:dyDescent="0.3">
      <c r="A1138" s="8">
        <f>'ICICI PRUDENTIAL MULTICAP FUND'!A1138</f>
        <v>44545</v>
      </c>
      <c r="B1138" s="9">
        <f>'ICICI PRUDENTIAL MULTICAP FUND'!B1138</f>
        <v>445.63</v>
      </c>
      <c r="C1138" s="10">
        <f t="shared" si="68"/>
        <v>-5.2013572640413966E-3</v>
      </c>
      <c r="D1138" s="9">
        <f>'QUANT ACTIVE FUND'!B1138</f>
        <v>421.26299999999998</v>
      </c>
      <c r="E1138" s="10">
        <f t="shared" si="69"/>
        <v>-8.9724920426182114E-3</v>
      </c>
      <c r="F1138" s="9">
        <f>'NIPPON INDIA '!B1138</f>
        <v>147.62200000000001</v>
      </c>
      <c r="G1138" s="10">
        <f t="shared" si="70"/>
        <v>-3.5975836117578689E-3</v>
      </c>
      <c r="H1138" s="9">
        <f>'NIFTY500 TRI'!B1138</f>
        <v>22914.799999999999</v>
      </c>
      <c r="I1138" s="10">
        <f t="shared" si="71"/>
        <v>-5.9927254429477115E-3</v>
      </c>
    </row>
    <row r="1139" spans="1:9" ht="14.25" customHeight="1" x14ac:dyDescent="0.3">
      <c r="A1139" s="8">
        <f>'ICICI PRUDENTIAL MULTICAP FUND'!A1139</f>
        <v>44544</v>
      </c>
      <c r="B1139" s="9">
        <f>'ICICI PRUDENTIAL MULTICAP FUND'!B1139</f>
        <v>447.96</v>
      </c>
      <c r="C1139" s="10">
        <f t="shared" si="68"/>
        <v>-2.5828286426790724E-3</v>
      </c>
      <c r="D1139" s="9">
        <f>'QUANT ACTIVE FUND'!B1139</f>
        <v>425.077</v>
      </c>
      <c r="E1139" s="10">
        <f t="shared" si="69"/>
        <v>-5.0557418950138329E-3</v>
      </c>
      <c r="F1139" s="9">
        <f>'NIPPON INDIA '!B1139</f>
        <v>148.155</v>
      </c>
      <c r="G1139" s="10">
        <f t="shared" si="70"/>
        <v>-4.1539795527413912E-3</v>
      </c>
      <c r="H1139" s="9">
        <f>'NIFTY500 TRI'!B1139</f>
        <v>23052.95</v>
      </c>
      <c r="I1139" s="10">
        <f t="shared" si="71"/>
        <v>-1.3939709241403574E-3</v>
      </c>
    </row>
    <row r="1140" spans="1:9" ht="14.25" customHeight="1" x14ac:dyDescent="0.3">
      <c r="A1140" s="8">
        <f>'ICICI PRUDENTIAL MULTICAP FUND'!A1140</f>
        <v>44543</v>
      </c>
      <c r="B1140" s="9">
        <f>'ICICI PRUDENTIAL MULTICAP FUND'!B1140</f>
        <v>449.12</v>
      </c>
      <c r="C1140" s="10">
        <f t="shared" si="68"/>
        <v>1.2037986535289591E-3</v>
      </c>
      <c r="D1140" s="9">
        <f>'QUANT ACTIVE FUND'!B1140</f>
        <v>427.23700000000002</v>
      </c>
      <c r="E1140" s="10">
        <f t="shared" si="69"/>
        <v>4.683434924843643E-4</v>
      </c>
      <c r="F1140" s="9">
        <f>'NIPPON INDIA '!B1140</f>
        <v>148.773</v>
      </c>
      <c r="G1140" s="10">
        <f t="shared" si="70"/>
        <v>1.8923578374592969E-3</v>
      </c>
      <c r="H1140" s="9">
        <f>'NIFTY500 TRI'!B1140</f>
        <v>23085.13</v>
      </c>
      <c r="I1140" s="10">
        <f t="shared" si="71"/>
        <v>-5.9860102522589819E-3</v>
      </c>
    </row>
    <row r="1141" spans="1:9" ht="14.25" customHeight="1" x14ac:dyDescent="0.3">
      <c r="A1141" s="8">
        <f>'ICICI PRUDENTIAL MULTICAP FUND'!A1141</f>
        <v>44540</v>
      </c>
      <c r="B1141" s="9">
        <f>'ICICI PRUDENTIAL MULTICAP FUND'!B1141</f>
        <v>448.58</v>
      </c>
      <c r="C1141" s="10">
        <f t="shared" si="68"/>
        <v>4.0513015645634275E-3</v>
      </c>
      <c r="D1141" s="9">
        <f>'QUANT ACTIVE FUND'!B1141</f>
        <v>427.03699999999998</v>
      </c>
      <c r="E1141" s="10">
        <f t="shared" si="69"/>
        <v>7.5191695175178836E-3</v>
      </c>
      <c r="F1141" s="9">
        <f>'NIPPON INDIA '!B1141</f>
        <v>148.49199999999999</v>
      </c>
      <c r="G1141" s="10">
        <f t="shared" si="70"/>
        <v>1.4364812279553671E-3</v>
      </c>
      <c r="H1141" s="9">
        <f>'NIFTY500 TRI'!B1141</f>
        <v>23224.15</v>
      </c>
      <c r="I1141" s="10">
        <f t="shared" si="71"/>
        <v>1.876565152400817E-3</v>
      </c>
    </row>
    <row r="1142" spans="1:9" ht="14.25" customHeight="1" x14ac:dyDescent="0.3">
      <c r="A1142" s="8">
        <f>'ICICI PRUDENTIAL MULTICAP FUND'!A1142</f>
        <v>44539</v>
      </c>
      <c r="B1142" s="9">
        <f>'ICICI PRUDENTIAL MULTICAP FUND'!B1142</f>
        <v>446.77</v>
      </c>
      <c r="C1142" s="10">
        <f t="shared" si="68"/>
        <v>1.1652661064425363E-3</v>
      </c>
      <c r="D1142" s="9">
        <f>'QUANT ACTIVE FUND'!B1142</f>
        <v>423.85</v>
      </c>
      <c r="E1142" s="10">
        <f t="shared" si="69"/>
        <v>9.8278634820418119E-3</v>
      </c>
      <c r="F1142" s="9">
        <f>'NIPPON INDIA '!B1142</f>
        <v>148.279</v>
      </c>
      <c r="G1142" s="10">
        <f t="shared" si="70"/>
        <v>3.0237025813085309E-3</v>
      </c>
      <c r="H1142" s="9">
        <f>'NIFTY500 TRI'!B1142</f>
        <v>23180.65</v>
      </c>
      <c r="I1142" s="10">
        <f t="shared" si="71"/>
        <v>3.5386951159167945E-3</v>
      </c>
    </row>
    <row r="1143" spans="1:9" ht="14.25" customHeight="1" x14ac:dyDescent="0.3">
      <c r="A1143" s="8">
        <f>'ICICI PRUDENTIAL MULTICAP FUND'!A1143</f>
        <v>44538</v>
      </c>
      <c r="B1143" s="9">
        <f>'ICICI PRUDENTIAL MULTICAP FUND'!B1143</f>
        <v>446.25</v>
      </c>
      <c r="C1143" s="10">
        <f t="shared" si="68"/>
        <v>3.2651455546813563E-2</v>
      </c>
      <c r="D1143" s="9">
        <f>'QUANT ACTIVE FUND'!B1143</f>
        <v>419.72500000000002</v>
      </c>
      <c r="E1143" s="10">
        <f t="shared" si="69"/>
        <v>2.962352415926452E-2</v>
      </c>
      <c r="F1143" s="9">
        <f>'NIPPON INDIA '!B1143</f>
        <v>147.83199999999999</v>
      </c>
      <c r="G1143" s="10">
        <f t="shared" si="70"/>
        <v>3.3457768829607271E-2</v>
      </c>
      <c r="H1143" s="9">
        <f>'NIFTY500 TRI'!B1143</f>
        <v>23098.91</v>
      </c>
      <c r="I1143" s="10">
        <f t="shared" si="71"/>
        <v>3.1118021267031479E-2</v>
      </c>
    </row>
    <row r="1144" spans="1:9" ht="14.25" customHeight="1" x14ac:dyDescent="0.3">
      <c r="A1144" s="8">
        <f>'ICICI PRUDENTIAL MULTICAP FUND'!A1144</f>
        <v>44536</v>
      </c>
      <c r="B1144" s="9">
        <f>'ICICI PRUDENTIAL MULTICAP FUND'!B1144</f>
        <v>432.14</v>
      </c>
      <c r="C1144" s="10">
        <f t="shared" si="68"/>
        <v>-1.602987385582226E-2</v>
      </c>
      <c r="D1144" s="9">
        <f>'QUANT ACTIVE FUND'!B1144</f>
        <v>407.649</v>
      </c>
      <c r="E1144" s="10">
        <f t="shared" si="69"/>
        <v>-1.8179322104928508E-2</v>
      </c>
      <c r="F1144" s="9">
        <f>'NIPPON INDIA '!B1144</f>
        <v>143.04599999999999</v>
      </c>
      <c r="G1144" s="10">
        <f t="shared" si="70"/>
        <v>-1.5864934779019287E-2</v>
      </c>
      <c r="H1144" s="9">
        <f>'NIFTY500 TRI'!B1144</f>
        <v>22401.81</v>
      </c>
      <c r="I1144" s="10">
        <f t="shared" si="71"/>
        <v>-1.6016982877443301E-2</v>
      </c>
    </row>
    <row r="1145" spans="1:9" ht="14.25" customHeight="1" x14ac:dyDescent="0.3">
      <c r="A1145" s="8">
        <f>'ICICI PRUDENTIAL MULTICAP FUND'!A1145</f>
        <v>44533</v>
      </c>
      <c r="B1145" s="9">
        <f>'ICICI PRUDENTIAL MULTICAP FUND'!B1145</f>
        <v>439.18</v>
      </c>
      <c r="C1145" s="10">
        <f t="shared" si="68"/>
        <v>-3.8785184513143406E-3</v>
      </c>
      <c r="D1145" s="9">
        <f>'QUANT ACTIVE FUND'!B1145</f>
        <v>415.197</v>
      </c>
      <c r="E1145" s="10">
        <f t="shared" si="69"/>
        <v>-4.7056285358136494E-3</v>
      </c>
      <c r="F1145" s="9">
        <f>'NIPPON INDIA '!B1145</f>
        <v>145.352</v>
      </c>
      <c r="G1145" s="10">
        <f t="shared" si="70"/>
        <v>-1.9911838617980532E-3</v>
      </c>
      <c r="H1145" s="9">
        <f>'NIFTY500 TRI'!B1145</f>
        <v>22766.46</v>
      </c>
      <c r="I1145" s="10">
        <f t="shared" si="71"/>
        <v>-7.8551565780018134E-3</v>
      </c>
    </row>
    <row r="1146" spans="1:9" ht="14.25" customHeight="1" x14ac:dyDescent="0.3">
      <c r="A1146" s="8">
        <f>'ICICI PRUDENTIAL MULTICAP FUND'!A1146</f>
        <v>44532</v>
      </c>
      <c r="B1146" s="9">
        <f>'ICICI PRUDENTIAL MULTICAP FUND'!B1146</f>
        <v>440.89</v>
      </c>
      <c r="C1146" s="10">
        <f t="shared" si="68"/>
        <v>6.8970242309360809E-3</v>
      </c>
      <c r="D1146" s="9">
        <f>'QUANT ACTIVE FUND'!B1146</f>
        <v>417.16</v>
      </c>
      <c r="E1146" s="10">
        <f t="shared" si="69"/>
        <v>5.1297372967320969E-3</v>
      </c>
      <c r="F1146" s="9">
        <f>'NIPPON INDIA '!B1146</f>
        <v>145.642</v>
      </c>
      <c r="G1146" s="10">
        <f t="shared" si="70"/>
        <v>7.6729881757107996E-3</v>
      </c>
      <c r="H1146" s="9">
        <f>'NIFTY500 TRI'!B1146</f>
        <v>22946.71</v>
      </c>
      <c r="I1146" s="10">
        <f t="shared" si="71"/>
        <v>1.2799740121138506E-2</v>
      </c>
    </row>
    <row r="1147" spans="1:9" ht="14.25" customHeight="1" x14ac:dyDescent="0.3">
      <c r="A1147" s="8">
        <f>'ICICI PRUDENTIAL MULTICAP FUND'!A1147</f>
        <v>44531</v>
      </c>
      <c r="B1147" s="9">
        <f>'ICICI PRUDENTIAL MULTICAP FUND'!B1147</f>
        <v>437.87</v>
      </c>
      <c r="C1147" s="10">
        <f t="shared" si="68"/>
        <v>3.5294387275686305E-3</v>
      </c>
      <c r="D1147" s="9">
        <f>'QUANT ACTIVE FUND'!B1147</f>
        <v>415.03100000000001</v>
      </c>
      <c r="E1147" s="10">
        <f t="shared" si="69"/>
        <v>1.6831593415343467E-2</v>
      </c>
      <c r="F1147" s="9">
        <f>'NIPPON INDIA '!B1147</f>
        <v>144.53299999999999</v>
      </c>
      <c r="G1147" s="10">
        <f t="shared" si="70"/>
        <v>1.0868728974184835E-2</v>
      </c>
      <c r="H1147" s="9">
        <f>'NIFTY500 TRI'!B1147</f>
        <v>22656.71</v>
      </c>
      <c r="I1147" s="10">
        <f t="shared" si="71"/>
        <v>9.3091776722288092E-3</v>
      </c>
    </row>
    <row r="1148" spans="1:9" ht="14.25" customHeight="1" x14ac:dyDescent="0.3">
      <c r="A1148" s="8">
        <f>'ICICI PRUDENTIAL MULTICAP FUND'!A1148</f>
        <v>44530</v>
      </c>
      <c r="B1148" s="9">
        <f>'ICICI PRUDENTIAL MULTICAP FUND'!B1148</f>
        <v>436.33</v>
      </c>
      <c r="C1148" s="10">
        <f t="shared" si="68"/>
        <v>4.7204568481164491E-3</v>
      </c>
      <c r="D1148" s="9">
        <f>'QUANT ACTIVE FUND'!B1148</f>
        <v>408.161</v>
      </c>
      <c r="E1148" s="10">
        <f t="shared" si="69"/>
        <v>-4.3979471368217633E-3</v>
      </c>
      <c r="F1148" s="9">
        <f>'NIPPON INDIA '!B1148</f>
        <v>142.97900000000001</v>
      </c>
      <c r="G1148" s="10">
        <f t="shared" si="70"/>
        <v>1.4779222234675329E-3</v>
      </c>
      <c r="H1148" s="9">
        <f>'NIFTY500 TRI'!B1148</f>
        <v>22447.74</v>
      </c>
      <c r="I1148" s="10">
        <f t="shared" si="71"/>
        <v>-5.5030921500781138E-4</v>
      </c>
    </row>
    <row r="1149" spans="1:9" ht="14.25" customHeight="1" x14ac:dyDescent="0.3">
      <c r="A1149" s="8">
        <f>'ICICI PRUDENTIAL MULTICAP FUND'!A1149</f>
        <v>44529</v>
      </c>
      <c r="B1149" s="9">
        <f>'ICICI PRUDENTIAL MULTICAP FUND'!B1149</f>
        <v>434.28</v>
      </c>
      <c r="C1149" s="10">
        <f t="shared" si="68"/>
        <v>-5.7692307692308572E-3</v>
      </c>
      <c r="D1149" s="9">
        <f>'QUANT ACTIVE FUND'!B1149</f>
        <v>409.964</v>
      </c>
      <c r="E1149" s="10">
        <f t="shared" si="69"/>
        <v>-1.2625058404743714E-2</v>
      </c>
      <c r="F1149" s="9">
        <f>'NIPPON INDIA '!B1149</f>
        <v>142.768</v>
      </c>
      <c r="G1149" s="10">
        <f t="shared" si="70"/>
        <v>-7.4527252502781059E-3</v>
      </c>
      <c r="H1149" s="9">
        <f>'NIFTY500 TRI'!B1149</f>
        <v>22460.1</v>
      </c>
      <c r="I1149" s="10">
        <f t="shared" si="71"/>
        <v>-3.4528474677343658E-3</v>
      </c>
    </row>
    <row r="1150" spans="1:9" ht="14.25" customHeight="1" x14ac:dyDescent="0.3">
      <c r="A1150" s="8">
        <f>'ICICI PRUDENTIAL MULTICAP FUND'!A1150</f>
        <v>44526</v>
      </c>
      <c r="B1150" s="9">
        <f>'ICICI PRUDENTIAL MULTICAP FUND'!B1150</f>
        <v>436.8</v>
      </c>
      <c r="C1150" s="10">
        <f t="shared" si="68"/>
        <v>-3.1464112286303463E-2</v>
      </c>
      <c r="D1150" s="9">
        <f>'QUANT ACTIVE FUND'!B1150</f>
        <v>415.20600000000002</v>
      </c>
      <c r="E1150" s="10">
        <f t="shared" si="69"/>
        <v>-2.829420354976404E-2</v>
      </c>
      <c r="F1150" s="9">
        <f>'NIPPON INDIA '!B1150</f>
        <v>143.84</v>
      </c>
      <c r="G1150" s="10">
        <f t="shared" si="70"/>
        <v>-3.3424274597820026E-2</v>
      </c>
      <c r="H1150" s="9">
        <f>'NIFTY500 TRI'!B1150</f>
        <v>22537.919999999998</v>
      </c>
      <c r="I1150" s="10">
        <f t="shared" si="71"/>
        <v>-2.9264727227933256E-2</v>
      </c>
    </row>
    <row r="1151" spans="1:9" ht="14.25" customHeight="1" x14ac:dyDescent="0.3">
      <c r="A1151" s="8">
        <f>'ICICI PRUDENTIAL MULTICAP FUND'!A1151</f>
        <v>44525</v>
      </c>
      <c r="B1151" s="9">
        <f>'ICICI PRUDENTIAL MULTICAP FUND'!B1151</f>
        <v>450.99</v>
      </c>
      <c r="C1151" s="10">
        <f t="shared" si="68"/>
        <v>2.2668177878524829E-3</v>
      </c>
      <c r="D1151" s="9">
        <f>'QUANT ACTIVE FUND'!B1151</f>
        <v>427.29599999999999</v>
      </c>
      <c r="E1151" s="10">
        <f t="shared" si="69"/>
        <v>1.5060956489514284E-2</v>
      </c>
      <c r="F1151" s="9">
        <f>'NIPPON INDIA '!B1151</f>
        <v>148.81399999999999</v>
      </c>
      <c r="G1151" s="10">
        <f t="shared" si="70"/>
        <v>5.9553987278024526E-3</v>
      </c>
      <c r="H1151" s="9">
        <f>'NIFTY500 TRI'!B1151</f>
        <v>23217.37</v>
      </c>
      <c r="I1151" s="10">
        <f t="shared" si="71"/>
        <v>6.9217448174736127E-3</v>
      </c>
    </row>
    <row r="1152" spans="1:9" ht="14.25" customHeight="1" x14ac:dyDescent="0.3">
      <c r="A1152" s="8">
        <f>'ICICI PRUDENTIAL MULTICAP FUND'!A1152</f>
        <v>44524</v>
      </c>
      <c r="B1152" s="9">
        <f>'ICICI PRUDENTIAL MULTICAP FUND'!B1152</f>
        <v>449.97</v>
      </c>
      <c r="C1152" s="10">
        <f t="shared" si="68"/>
        <v>-6.6666666666606036E-5</v>
      </c>
      <c r="D1152" s="9">
        <f>'QUANT ACTIVE FUND'!B1152</f>
        <v>420.95600000000002</v>
      </c>
      <c r="E1152" s="10">
        <f t="shared" si="69"/>
        <v>-1.4161920327929822E-3</v>
      </c>
      <c r="F1152" s="9">
        <f>'NIPPON INDIA '!B1152</f>
        <v>147.93299999999999</v>
      </c>
      <c r="G1152" s="10">
        <f t="shared" si="70"/>
        <v>-1.2692325868716562E-3</v>
      </c>
      <c r="H1152" s="9">
        <f>'NIFTY500 TRI'!B1152</f>
        <v>23057.77</v>
      </c>
      <c r="I1152" s="10">
        <f t="shared" si="71"/>
        <v>-3.9973546790518519E-3</v>
      </c>
    </row>
    <row r="1153" spans="1:9" ht="14.25" customHeight="1" x14ac:dyDescent="0.3">
      <c r="A1153" s="8">
        <f>'ICICI PRUDENTIAL MULTICAP FUND'!A1153</f>
        <v>44523</v>
      </c>
      <c r="B1153" s="9">
        <f>'ICICI PRUDENTIAL MULTICAP FUND'!B1153</f>
        <v>450</v>
      </c>
      <c r="C1153" s="10">
        <f t="shared" si="68"/>
        <v>8.9912329872866899E-3</v>
      </c>
      <c r="D1153" s="9">
        <f>'QUANT ACTIVE FUND'!B1153</f>
        <v>421.553</v>
      </c>
      <c r="E1153" s="10">
        <f t="shared" si="69"/>
        <v>2.1763368510861046E-2</v>
      </c>
      <c r="F1153" s="9">
        <f>'NIPPON INDIA '!B1153</f>
        <v>148.12100000000001</v>
      </c>
      <c r="G1153" s="10">
        <f t="shared" si="70"/>
        <v>1.1720911171066618E-2</v>
      </c>
      <c r="H1153" s="9">
        <f>'NIFTY500 TRI'!B1153</f>
        <v>23150.31</v>
      </c>
      <c r="I1153" s="10">
        <f t="shared" si="71"/>
        <v>8.7804117076223116E-3</v>
      </c>
    </row>
    <row r="1154" spans="1:9" ht="14.25" customHeight="1" x14ac:dyDescent="0.3">
      <c r="A1154" s="8">
        <f>'ICICI PRUDENTIAL MULTICAP FUND'!A1154</f>
        <v>44522</v>
      </c>
      <c r="B1154" s="9">
        <f>'ICICI PRUDENTIAL MULTICAP FUND'!B1154</f>
        <v>445.99</v>
      </c>
      <c r="C1154" s="10">
        <f t="shared" ref="C1154:C1205" si="72">(B1154-B1155)/B1155</f>
        <v>-2.4881387060804151E-2</v>
      </c>
      <c r="D1154" s="9">
        <f>'QUANT ACTIVE FUND'!B1154</f>
        <v>412.57400000000001</v>
      </c>
      <c r="E1154" s="10">
        <f t="shared" ref="E1154:E1205" si="73">(D1154-D1155)/D1155</f>
        <v>-2.0640018610436545E-2</v>
      </c>
      <c r="F1154" s="9">
        <f>'NIPPON INDIA '!B1154</f>
        <v>146.405</v>
      </c>
      <c r="G1154" s="10">
        <f t="shared" ref="G1154:G1205" si="74">(F1154-F1155)/F1155</f>
        <v>-2.5765752576907882E-2</v>
      </c>
      <c r="H1154" s="9">
        <f>'NIFTY500 TRI'!B1154</f>
        <v>22948.81</v>
      </c>
      <c r="I1154" s="10">
        <f t="shared" ref="I1154:I1205" si="75">(H1154-H1155)/H1155</f>
        <v>-2.1112227731387677E-2</v>
      </c>
    </row>
    <row r="1155" spans="1:9" ht="14.25" customHeight="1" x14ac:dyDescent="0.3">
      <c r="A1155" s="8">
        <f>'ICICI PRUDENTIAL MULTICAP FUND'!A1155</f>
        <v>44518</v>
      </c>
      <c r="B1155" s="9">
        <f>'ICICI PRUDENTIAL MULTICAP FUND'!B1155</f>
        <v>457.37</v>
      </c>
      <c r="C1155" s="10">
        <f t="shared" si="72"/>
        <v>-1.1732929991356972E-2</v>
      </c>
      <c r="D1155" s="9">
        <f>'QUANT ACTIVE FUND'!B1155</f>
        <v>421.26900000000001</v>
      </c>
      <c r="E1155" s="10">
        <f t="shared" si="73"/>
        <v>-9.6829247651555091E-3</v>
      </c>
      <c r="F1155" s="9">
        <f>'NIPPON INDIA '!B1155</f>
        <v>150.27699999999999</v>
      </c>
      <c r="G1155" s="10">
        <f t="shared" si="74"/>
        <v>-1.1589131735936179E-2</v>
      </c>
      <c r="H1155" s="9">
        <f>'NIFTY500 TRI'!B1155</f>
        <v>23443.759999999998</v>
      </c>
      <c r="I1155" s="10">
        <f t="shared" si="75"/>
        <v>-9.8609466306040401E-3</v>
      </c>
    </row>
    <row r="1156" spans="1:9" ht="14.25" customHeight="1" x14ac:dyDescent="0.3">
      <c r="A1156" s="8">
        <f>'ICICI PRUDENTIAL MULTICAP FUND'!A1156</f>
        <v>44517</v>
      </c>
      <c r="B1156" s="9">
        <f>'ICICI PRUDENTIAL MULTICAP FUND'!B1156</f>
        <v>462.8</v>
      </c>
      <c r="C1156" s="10">
        <f t="shared" si="72"/>
        <v>-2.3066807510724839E-3</v>
      </c>
      <c r="D1156" s="9">
        <f>'QUANT ACTIVE FUND'!B1156</f>
        <v>425.38799999999998</v>
      </c>
      <c r="E1156" s="10">
        <f t="shared" si="73"/>
        <v>-1.1247643043486388E-3</v>
      </c>
      <c r="F1156" s="9">
        <f>'NIPPON INDIA '!B1156</f>
        <v>152.03899999999999</v>
      </c>
      <c r="G1156" s="10">
        <f t="shared" si="74"/>
        <v>-5.8261949911725596E-3</v>
      </c>
      <c r="H1156" s="9">
        <f>'NIFTY500 TRI'!B1156</f>
        <v>23677.24</v>
      </c>
      <c r="I1156" s="10">
        <f t="shared" si="75"/>
        <v>-4.4719891017338401E-3</v>
      </c>
    </row>
    <row r="1157" spans="1:9" ht="14.25" customHeight="1" x14ac:dyDescent="0.3">
      <c r="A1157" s="8">
        <f>'ICICI PRUDENTIAL MULTICAP FUND'!A1157</f>
        <v>44516</v>
      </c>
      <c r="B1157" s="9">
        <f>'ICICI PRUDENTIAL MULTICAP FUND'!B1157</f>
        <v>463.87</v>
      </c>
      <c r="C1157" s="10">
        <f t="shared" si="72"/>
        <v>-4.271669600309125E-3</v>
      </c>
      <c r="D1157" s="9">
        <f>'QUANT ACTIVE FUND'!B1157</f>
        <v>425.86700000000002</v>
      </c>
      <c r="E1157" s="10">
        <f t="shared" si="73"/>
        <v>-1.6386678732012291E-3</v>
      </c>
      <c r="F1157" s="9">
        <f>'NIPPON INDIA '!B1157</f>
        <v>152.93</v>
      </c>
      <c r="G1157" s="10">
        <f t="shared" si="74"/>
        <v>-3.7522963271793505E-3</v>
      </c>
      <c r="H1157" s="9">
        <f>'NIFTY500 TRI'!B1157</f>
        <v>23783.599999999999</v>
      </c>
      <c r="I1157" s="10">
        <f t="shared" si="75"/>
        <v>-4.3095400170975922E-3</v>
      </c>
    </row>
    <row r="1158" spans="1:9" ht="14.25" customHeight="1" x14ac:dyDescent="0.3">
      <c r="A1158" s="8">
        <f>'ICICI PRUDENTIAL MULTICAP FUND'!A1158</f>
        <v>44515</v>
      </c>
      <c r="B1158" s="9">
        <f>'ICICI PRUDENTIAL MULTICAP FUND'!B1158</f>
        <v>465.86</v>
      </c>
      <c r="C1158" s="10">
        <f t="shared" si="72"/>
        <v>-4.4662891334543752E-3</v>
      </c>
      <c r="D1158" s="9">
        <f>'QUANT ACTIVE FUND'!B1158</f>
        <v>426.56599999999997</v>
      </c>
      <c r="E1158" s="10">
        <f t="shared" si="73"/>
        <v>-2.1567856875515231E-3</v>
      </c>
      <c r="F1158" s="9">
        <f>'NIPPON INDIA '!B1158</f>
        <v>153.506</v>
      </c>
      <c r="G1158" s="10">
        <f t="shared" si="74"/>
        <v>-3.0588984069049507E-3</v>
      </c>
      <c r="H1158" s="9">
        <f>'NIFTY500 TRI'!B1158</f>
        <v>23886.54</v>
      </c>
      <c r="I1158" s="10">
        <f t="shared" si="75"/>
        <v>8.7615537490524464E-4</v>
      </c>
    </row>
    <row r="1159" spans="1:9" ht="14.25" customHeight="1" x14ac:dyDescent="0.3">
      <c r="A1159" s="8">
        <f>'ICICI PRUDENTIAL MULTICAP FUND'!A1159</f>
        <v>44512</v>
      </c>
      <c r="B1159" s="9">
        <f>'ICICI PRUDENTIAL MULTICAP FUND'!B1159</f>
        <v>467.95</v>
      </c>
      <c r="C1159" s="10">
        <f t="shared" si="72"/>
        <v>7.644272179155925E-3</v>
      </c>
      <c r="D1159" s="9">
        <f>'QUANT ACTIVE FUND'!B1159</f>
        <v>427.488</v>
      </c>
      <c r="E1159" s="10">
        <f t="shared" si="73"/>
        <v>8.9260005758709619E-3</v>
      </c>
      <c r="F1159" s="9">
        <f>'NIPPON INDIA '!B1159</f>
        <v>153.977</v>
      </c>
      <c r="G1159" s="10">
        <f t="shared" si="74"/>
        <v>5.9582530297586393E-3</v>
      </c>
      <c r="H1159" s="9">
        <f>'NIFTY500 TRI'!B1159</f>
        <v>23865.63</v>
      </c>
      <c r="I1159" s="10">
        <f t="shared" si="75"/>
        <v>1.0897839112009203E-2</v>
      </c>
    </row>
    <row r="1160" spans="1:9" ht="14.25" customHeight="1" x14ac:dyDescent="0.3">
      <c r="A1160" s="8">
        <f>'ICICI PRUDENTIAL MULTICAP FUND'!A1160</f>
        <v>44511</v>
      </c>
      <c r="B1160" s="9">
        <f>'ICICI PRUDENTIAL MULTICAP FUND'!B1160</f>
        <v>464.4</v>
      </c>
      <c r="C1160" s="10">
        <f t="shared" si="72"/>
        <v>-8.6666951287196394E-3</v>
      </c>
      <c r="D1160" s="9">
        <f>'QUANT ACTIVE FUND'!B1160</f>
        <v>423.70600000000002</v>
      </c>
      <c r="E1160" s="10">
        <f t="shared" si="73"/>
        <v>-8.3645384759407308E-3</v>
      </c>
      <c r="F1160" s="9">
        <f>'NIPPON INDIA '!B1160</f>
        <v>153.065</v>
      </c>
      <c r="G1160" s="10">
        <f t="shared" si="74"/>
        <v>-5.2252240542279603E-3</v>
      </c>
      <c r="H1160" s="9">
        <f>'NIFTY500 TRI'!B1160</f>
        <v>23608.35</v>
      </c>
      <c r="I1160" s="10">
        <f t="shared" si="75"/>
        <v>-6.8849849528984869E-3</v>
      </c>
    </row>
    <row r="1161" spans="1:9" ht="14.25" customHeight="1" x14ac:dyDescent="0.3">
      <c r="A1161" s="8">
        <f>'ICICI PRUDENTIAL MULTICAP FUND'!A1161</f>
        <v>44510</v>
      </c>
      <c r="B1161" s="9">
        <f>'ICICI PRUDENTIAL MULTICAP FUND'!B1161</f>
        <v>468.46</v>
      </c>
      <c r="C1161" s="10">
        <f t="shared" si="72"/>
        <v>-1.5345922673601332E-3</v>
      </c>
      <c r="D1161" s="9">
        <f>'QUANT ACTIVE FUND'!B1161</f>
        <v>427.28</v>
      </c>
      <c r="E1161" s="10">
        <f t="shared" si="73"/>
        <v>-3.6005447456300011E-3</v>
      </c>
      <c r="F1161" s="9">
        <f>'NIPPON INDIA '!B1161</f>
        <v>153.869</v>
      </c>
      <c r="G1161" s="10">
        <f t="shared" si="74"/>
        <v>-3.8971716373947464E-3</v>
      </c>
      <c r="H1161" s="9">
        <f>'NIFTY500 TRI'!B1161</f>
        <v>23772.02</v>
      </c>
      <c r="I1161" s="10">
        <f t="shared" si="75"/>
        <v>-1.3296269020700515E-3</v>
      </c>
    </row>
    <row r="1162" spans="1:9" ht="14.25" customHeight="1" x14ac:dyDescent="0.3">
      <c r="A1162" s="8">
        <f>'ICICI PRUDENTIAL MULTICAP FUND'!A1162</f>
        <v>44509</v>
      </c>
      <c r="B1162" s="9">
        <f>'ICICI PRUDENTIAL MULTICAP FUND'!B1162</f>
        <v>469.18</v>
      </c>
      <c r="C1162" s="10">
        <f t="shared" si="72"/>
        <v>2.8856635957506421E-3</v>
      </c>
      <c r="D1162" s="9">
        <f>'QUANT ACTIVE FUND'!B1162</f>
        <v>428.82400000000001</v>
      </c>
      <c r="E1162" s="10">
        <f t="shared" si="73"/>
        <v>1.1143650759965854E-2</v>
      </c>
      <c r="F1162" s="9">
        <f>'NIPPON INDIA '!B1162</f>
        <v>154.471</v>
      </c>
      <c r="G1162" s="10">
        <f t="shared" si="74"/>
        <v>1.3782150146681417E-2</v>
      </c>
      <c r="H1162" s="9">
        <f>'NIFTY500 TRI'!B1162</f>
        <v>23803.67</v>
      </c>
      <c r="I1162" s="10">
        <f t="shared" si="75"/>
        <v>1.4809535489662181E-3</v>
      </c>
    </row>
    <row r="1163" spans="1:9" ht="14.25" customHeight="1" x14ac:dyDescent="0.3">
      <c r="A1163" s="8">
        <f>'ICICI PRUDENTIAL MULTICAP FUND'!A1163</f>
        <v>44508</v>
      </c>
      <c r="B1163" s="9">
        <f>'ICICI PRUDENTIAL MULTICAP FUND'!B1163</f>
        <v>467.83</v>
      </c>
      <c r="C1163" s="10">
        <f t="shared" si="72"/>
        <v>1.6513482389240088E-2</v>
      </c>
      <c r="D1163" s="9">
        <f>'QUANT ACTIVE FUND'!B1163</f>
        <v>424.09800000000001</v>
      </c>
      <c r="E1163" s="10">
        <f t="shared" si="73"/>
        <v>1.8408767818035108E-2</v>
      </c>
      <c r="F1163" s="9">
        <f>'NIPPON INDIA '!B1163</f>
        <v>152.37100000000001</v>
      </c>
      <c r="G1163" s="10">
        <f t="shared" si="74"/>
        <v>1.8400192490208495E-2</v>
      </c>
      <c r="H1163" s="9">
        <f>'NIFTY500 TRI'!B1163</f>
        <v>23768.47</v>
      </c>
      <c r="I1163" s="10">
        <f t="shared" si="75"/>
        <v>1.5559527283649885E-2</v>
      </c>
    </row>
    <row r="1164" spans="1:9" ht="14.25" customHeight="1" x14ac:dyDescent="0.3">
      <c r="A1164" s="8">
        <f>'ICICI PRUDENTIAL MULTICAP FUND'!A1164</f>
        <v>44503</v>
      </c>
      <c r="B1164" s="9">
        <f>'ICICI PRUDENTIAL MULTICAP FUND'!B1164</f>
        <v>460.23</v>
      </c>
      <c r="C1164" s="10">
        <f t="shared" si="72"/>
        <v>-1.5186687783394195E-3</v>
      </c>
      <c r="D1164" s="9">
        <f>'QUANT ACTIVE FUND'!B1164</f>
        <v>416.43200000000002</v>
      </c>
      <c r="E1164" s="10">
        <f t="shared" si="73"/>
        <v>-1.1513221015465166E-3</v>
      </c>
      <c r="F1164" s="9">
        <f>'NIPPON INDIA '!B1164</f>
        <v>149.61799999999999</v>
      </c>
      <c r="G1164" s="10">
        <f t="shared" si="74"/>
        <v>-5.1437923778348098E-4</v>
      </c>
      <c r="H1164" s="9">
        <f>'NIFTY500 TRI'!B1164</f>
        <v>23404.31</v>
      </c>
      <c r="I1164" s="10">
        <f t="shared" si="75"/>
        <v>-2.0713865114277219E-3</v>
      </c>
    </row>
    <row r="1165" spans="1:9" ht="14.25" customHeight="1" x14ac:dyDescent="0.3">
      <c r="A1165" s="8">
        <f>'ICICI PRUDENTIAL MULTICAP FUND'!A1165</f>
        <v>44502</v>
      </c>
      <c r="B1165" s="9">
        <f>'ICICI PRUDENTIAL MULTICAP FUND'!B1165</f>
        <v>460.93</v>
      </c>
      <c r="C1165" s="10">
        <f t="shared" si="72"/>
        <v>6.7051063643908471E-3</v>
      </c>
      <c r="D1165" s="9">
        <f>'QUANT ACTIVE FUND'!B1165</f>
        <v>416.91199999999998</v>
      </c>
      <c r="E1165" s="10">
        <f t="shared" si="73"/>
        <v>1.1168862037268253E-2</v>
      </c>
      <c r="F1165" s="9">
        <f>'NIPPON INDIA '!B1165</f>
        <v>149.69499999999999</v>
      </c>
      <c r="G1165" s="10">
        <f t="shared" si="74"/>
        <v>1.2266619782122064E-2</v>
      </c>
      <c r="H1165" s="9">
        <f>'NIFTY500 TRI'!B1165</f>
        <v>23452.89</v>
      </c>
      <c r="I1165" s="10">
        <f t="shared" si="75"/>
        <v>8.9322446777820937E-4</v>
      </c>
    </row>
    <row r="1166" spans="1:9" ht="14.25" customHeight="1" x14ac:dyDescent="0.3">
      <c r="A1166" s="8">
        <f>'ICICI PRUDENTIAL MULTICAP FUND'!A1166</f>
        <v>44501</v>
      </c>
      <c r="B1166" s="9">
        <f>'ICICI PRUDENTIAL MULTICAP FUND'!B1166</f>
        <v>457.86</v>
      </c>
      <c r="C1166" s="10">
        <f t="shared" si="72"/>
        <v>1.2203209974797805E-2</v>
      </c>
      <c r="D1166" s="9">
        <f>'QUANT ACTIVE FUND'!B1166</f>
        <v>412.30700000000002</v>
      </c>
      <c r="E1166" s="10">
        <f t="shared" si="73"/>
        <v>1.6673858634676793E-2</v>
      </c>
      <c r="F1166" s="9">
        <f>'NIPPON INDIA '!B1166</f>
        <v>147.881</v>
      </c>
      <c r="G1166" s="10">
        <f t="shared" si="74"/>
        <v>2.0671424430241739E-2</v>
      </c>
      <c r="H1166" s="9">
        <f>'NIFTY500 TRI'!B1166</f>
        <v>23431.96</v>
      </c>
      <c r="I1166" s="10">
        <f t="shared" si="75"/>
        <v>1.4327969777892354E-2</v>
      </c>
    </row>
    <row r="1167" spans="1:9" ht="14.25" customHeight="1" x14ac:dyDescent="0.3">
      <c r="A1167" s="8">
        <f>'ICICI PRUDENTIAL MULTICAP FUND'!A1167</f>
        <v>44498</v>
      </c>
      <c r="B1167" s="9">
        <f>'ICICI PRUDENTIAL MULTICAP FUND'!B1167</f>
        <v>452.34</v>
      </c>
      <c r="C1167" s="10">
        <f t="shared" si="72"/>
        <v>-2.5138925641705104E-3</v>
      </c>
      <c r="D1167" s="9">
        <f>'QUANT ACTIVE FUND'!B1167</f>
        <v>405.54500000000002</v>
      </c>
      <c r="E1167" s="10">
        <f t="shared" si="73"/>
        <v>-1.0025815860002715E-3</v>
      </c>
      <c r="F1167" s="9">
        <f>'NIPPON INDIA '!B1167</f>
        <v>144.886</v>
      </c>
      <c r="G1167" s="10">
        <f t="shared" si="74"/>
        <v>-7.4805792653688426E-3</v>
      </c>
      <c r="H1167" s="9">
        <f>'NIFTY500 TRI'!B1167</f>
        <v>23100.97</v>
      </c>
      <c r="I1167" s="10">
        <f t="shared" si="75"/>
        <v>-6.8251036555900067E-3</v>
      </c>
    </row>
    <row r="1168" spans="1:9" ht="14.25" customHeight="1" x14ac:dyDescent="0.3">
      <c r="A1168" s="8">
        <f>'ICICI PRUDENTIAL MULTICAP FUND'!A1168</f>
        <v>44497</v>
      </c>
      <c r="B1168" s="9">
        <f>'ICICI PRUDENTIAL MULTICAP FUND'!B1168</f>
        <v>453.48</v>
      </c>
      <c r="C1168" s="10">
        <f t="shared" si="72"/>
        <v>-1.4709397066811476E-2</v>
      </c>
      <c r="D1168" s="9">
        <f>'QUANT ACTIVE FUND'!B1168</f>
        <v>405.952</v>
      </c>
      <c r="E1168" s="10">
        <f t="shared" si="73"/>
        <v>-3.1593812918062257E-2</v>
      </c>
      <c r="F1168" s="9">
        <f>'NIPPON INDIA '!B1168</f>
        <v>145.97800000000001</v>
      </c>
      <c r="G1168" s="10">
        <f t="shared" si="74"/>
        <v>-1.6334011671001594E-2</v>
      </c>
      <c r="H1168" s="9">
        <f>'NIFTY500 TRI'!B1168</f>
        <v>23259.72</v>
      </c>
      <c r="I1168" s="10">
        <f t="shared" si="75"/>
        <v>-1.8936524513384935E-2</v>
      </c>
    </row>
    <row r="1169" spans="1:9" ht="14.25" customHeight="1" x14ac:dyDescent="0.3">
      <c r="A1169" s="8">
        <f>'ICICI PRUDENTIAL MULTICAP FUND'!A1169</f>
        <v>44496</v>
      </c>
      <c r="B1169" s="9">
        <f>'ICICI PRUDENTIAL MULTICAP FUND'!B1169</f>
        <v>460.25</v>
      </c>
      <c r="C1169" s="10">
        <f t="shared" si="72"/>
        <v>0</v>
      </c>
      <c r="D1169" s="9">
        <f>'QUANT ACTIVE FUND'!B1169</f>
        <v>419.19600000000003</v>
      </c>
      <c r="E1169" s="10">
        <f t="shared" si="73"/>
        <v>-4.8879234908830475E-4</v>
      </c>
      <c r="F1169" s="9">
        <f>'NIPPON INDIA '!B1169</f>
        <v>148.40199999999999</v>
      </c>
      <c r="G1169" s="10">
        <f t="shared" si="74"/>
        <v>-1.0030225309826317E-3</v>
      </c>
      <c r="H1169" s="9">
        <f>'NIFTY500 TRI'!B1169</f>
        <v>23708.68</v>
      </c>
      <c r="I1169" s="10">
        <f t="shared" si="75"/>
        <v>-9.7127348069438147E-4</v>
      </c>
    </row>
    <row r="1170" spans="1:9" ht="14.25" customHeight="1" x14ac:dyDescent="0.3">
      <c r="A1170" s="8">
        <f>'ICICI PRUDENTIAL MULTICAP FUND'!A1170</f>
        <v>44495</v>
      </c>
      <c r="B1170" s="9">
        <f>'ICICI PRUDENTIAL MULTICAP FUND'!B1170</f>
        <v>460.25</v>
      </c>
      <c r="C1170" s="10">
        <f t="shared" si="72"/>
        <v>1.0583404694464556E-2</v>
      </c>
      <c r="D1170" s="9">
        <f>'QUANT ACTIVE FUND'!B1170</f>
        <v>419.40100000000001</v>
      </c>
      <c r="E1170" s="10">
        <f t="shared" si="73"/>
        <v>2.0110280614788961E-2</v>
      </c>
      <c r="F1170" s="9">
        <f>'NIPPON INDIA '!B1170</f>
        <v>148.55099999999999</v>
      </c>
      <c r="G1170" s="10">
        <f t="shared" si="74"/>
        <v>1.0276115342763846E-2</v>
      </c>
      <c r="H1170" s="9">
        <f>'NIFTY500 TRI'!B1170</f>
        <v>23731.73</v>
      </c>
      <c r="I1170" s="10">
        <f t="shared" si="75"/>
        <v>1.1412831775055719E-2</v>
      </c>
    </row>
    <row r="1171" spans="1:9" ht="14.25" customHeight="1" x14ac:dyDescent="0.3">
      <c r="A1171" s="8">
        <f>'ICICI PRUDENTIAL MULTICAP FUND'!A1171</f>
        <v>44494</v>
      </c>
      <c r="B1171" s="9">
        <f>'ICICI PRUDENTIAL MULTICAP FUND'!B1171</f>
        <v>455.43</v>
      </c>
      <c r="C1171" s="10">
        <f t="shared" si="72"/>
        <v>7.9108708550335916E-4</v>
      </c>
      <c r="D1171" s="9">
        <f>'QUANT ACTIVE FUND'!B1171</f>
        <v>411.13299999999998</v>
      </c>
      <c r="E1171" s="10">
        <f t="shared" si="73"/>
        <v>-1.2698687145941273E-2</v>
      </c>
      <c r="F1171" s="9">
        <f>'NIPPON INDIA '!B1171</f>
        <v>147.04</v>
      </c>
      <c r="G1171" s="10">
        <f t="shared" si="74"/>
        <v>-6.6542813713900599E-3</v>
      </c>
      <c r="H1171" s="9">
        <f>'NIFTY500 TRI'!B1171</f>
        <v>23463.94</v>
      </c>
      <c r="I1171" s="10">
        <f t="shared" si="75"/>
        <v>-4.2378563729110153E-3</v>
      </c>
    </row>
    <row r="1172" spans="1:9" ht="14.25" customHeight="1" x14ac:dyDescent="0.3">
      <c r="A1172" s="8">
        <f>'ICICI PRUDENTIAL MULTICAP FUND'!A1172</f>
        <v>44491</v>
      </c>
      <c r="B1172" s="9">
        <f>'ICICI PRUDENTIAL MULTICAP FUND'!B1172</f>
        <v>455.07</v>
      </c>
      <c r="C1172" s="10">
        <f t="shared" si="72"/>
        <v>-2.6518804243008233E-3</v>
      </c>
      <c r="D1172" s="9">
        <f>'QUANT ACTIVE FUND'!B1172</f>
        <v>416.42099999999999</v>
      </c>
      <c r="E1172" s="10">
        <f t="shared" si="73"/>
        <v>-1.1655891316111763E-2</v>
      </c>
      <c r="F1172" s="9">
        <f>'NIPPON INDIA '!B1172</f>
        <v>148.02500000000001</v>
      </c>
      <c r="G1172" s="10">
        <f t="shared" si="74"/>
        <v>-4.1777108028469047E-3</v>
      </c>
      <c r="H1172" s="9">
        <f>'NIFTY500 TRI'!B1172</f>
        <v>23563.8</v>
      </c>
      <c r="I1172" s="10">
        <f t="shared" si="75"/>
        <v>-5.6788691885268838E-3</v>
      </c>
    </row>
    <row r="1173" spans="1:9" ht="14.25" customHeight="1" x14ac:dyDescent="0.3">
      <c r="A1173" s="8">
        <f>'ICICI PRUDENTIAL MULTICAP FUND'!A1173</f>
        <v>44490</v>
      </c>
      <c r="B1173" s="9">
        <f>'ICICI PRUDENTIAL MULTICAP FUND'!B1173</f>
        <v>456.28</v>
      </c>
      <c r="C1173" s="10">
        <f t="shared" si="72"/>
        <v>-4.1685763547873698E-3</v>
      </c>
      <c r="D1173" s="9">
        <f>'QUANT ACTIVE FUND'!B1173</f>
        <v>421.33199999999999</v>
      </c>
      <c r="E1173" s="10">
        <f t="shared" si="73"/>
        <v>-3.1891738430964633E-3</v>
      </c>
      <c r="F1173" s="9">
        <f>'NIPPON INDIA '!B1173</f>
        <v>148.64599999999999</v>
      </c>
      <c r="G1173" s="10">
        <f t="shared" si="74"/>
        <v>-6.1046142325103196E-3</v>
      </c>
      <c r="H1173" s="9">
        <f>'NIFTY500 TRI'!B1173</f>
        <v>23698.38</v>
      </c>
      <c r="I1173" s="10">
        <f t="shared" si="75"/>
        <v>-5.105793450881569E-3</v>
      </c>
    </row>
    <row r="1174" spans="1:9" ht="14.25" customHeight="1" x14ac:dyDescent="0.3">
      <c r="A1174" s="8">
        <f>'ICICI PRUDENTIAL MULTICAP FUND'!A1174</f>
        <v>44489</v>
      </c>
      <c r="B1174" s="9">
        <f>'ICICI PRUDENTIAL MULTICAP FUND'!B1174</f>
        <v>458.19</v>
      </c>
      <c r="C1174" s="10">
        <f t="shared" si="72"/>
        <v>-1.064518915183971E-2</v>
      </c>
      <c r="D1174" s="9">
        <f>'QUANT ACTIVE FUND'!B1174</f>
        <v>422.68</v>
      </c>
      <c r="E1174" s="10">
        <f t="shared" si="73"/>
        <v>-1.3952750541803416E-2</v>
      </c>
      <c r="F1174" s="9">
        <f>'NIPPON INDIA '!B1174</f>
        <v>149.559</v>
      </c>
      <c r="G1174" s="10">
        <f t="shared" si="74"/>
        <v>-4.5791263719077019E-3</v>
      </c>
      <c r="H1174" s="9">
        <f>'NIFTY500 TRI'!B1174</f>
        <v>23820</v>
      </c>
      <c r="I1174" s="10">
        <f t="shared" si="75"/>
        <v>-1.2003207049203627E-2</v>
      </c>
    </row>
    <row r="1175" spans="1:9" ht="14.25" customHeight="1" x14ac:dyDescent="0.3">
      <c r="A1175" s="8">
        <f>'ICICI PRUDENTIAL MULTICAP FUND'!A1175</f>
        <v>44488</v>
      </c>
      <c r="B1175" s="9">
        <f>'ICICI PRUDENTIAL MULTICAP FUND'!B1175</f>
        <v>463.12</v>
      </c>
      <c r="C1175" s="10">
        <f t="shared" si="72"/>
        <v>-8.5631101215961642E-3</v>
      </c>
      <c r="D1175" s="9">
        <f>'QUANT ACTIVE FUND'!B1175</f>
        <v>428.661</v>
      </c>
      <c r="E1175" s="10">
        <f t="shared" si="73"/>
        <v>-1.9782214986096905E-2</v>
      </c>
      <c r="F1175" s="9">
        <f>'NIPPON INDIA '!B1175</f>
        <v>150.24700000000001</v>
      </c>
      <c r="G1175" s="10">
        <f t="shared" si="74"/>
        <v>-1.2903141034485014E-2</v>
      </c>
      <c r="H1175" s="9">
        <f>'NIFTY500 TRI'!B1175</f>
        <v>24109.39</v>
      </c>
      <c r="I1175" s="10">
        <f t="shared" si="75"/>
        <v>-8.0775224926478931E-3</v>
      </c>
    </row>
    <row r="1176" spans="1:9" ht="14.25" customHeight="1" x14ac:dyDescent="0.3">
      <c r="A1176" s="8">
        <f>'ICICI PRUDENTIAL MULTICAP FUND'!A1176</f>
        <v>44487</v>
      </c>
      <c r="B1176" s="9">
        <f>'ICICI PRUDENTIAL MULTICAP FUND'!B1176</f>
        <v>467.12</v>
      </c>
      <c r="C1176" s="10">
        <f t="shared" si="72"/>
        <v>2.1453702909122116E-3</v>
      </c>
      <c r="D1176" s="9">
        <f>'QUANT ACTIVE FUND'!B1176</f>
        <v>437.31200000000001</v>
      </c>
      <c r="E1176" s="10">
        <f t="shared" si="73"/>
        <v>1.3203958175495205E-2</v>
      </c>
      <c r="F1176" s="9">
        <f>'NIPPON INDIA '!B1176</f>
        <v>152.21100000000001</v>
      </c>
      <c r="G1176" s="10">
        <f t="shared" si="74"/>
        <v>2.0078206259134387E-3</v>
      </c>
      <c r="H1176" s="9">
        <f>'NIFTY500 TRI'!B1176</f>
        <v>24305.72</v>
      </c>
      <c r="I1176" s="10">
        <f t="shared" si="75"/>
        <v>7.4128969070584869E-3</v>
      </c>
    </row>
    <row r="1177" spans="1:9" ht="14.25" customHeight="1" x14ac:dyDescent="0.3">
      <c r="A1177" s="8">
        <f>'ICICI PRUDENTIAL MULTICAP FUND'!A1177</f>
        <v>44483</v>
      </c>
      <c r="B1177" s="9">
        <f>'ICICI PRUDENTIAL MULTICAP FUND'!B1177</f>
        <v>466.12</v>
      </c>
      <c r="C1177" s="10">
        <f t="shared" si="72"/>
        <v>9.7920277296360079E-3</v>
      </c>
      <c r="D1177" s="9">
        <f>'QUANT ACTIVE FUND'!B1177</f>
        <v>431.613</v>
      </c>
      <c r="E1177" s="10">
        <f t="shared" si="73"/>
        <v>1.7000551369233535E-2</v>
      </c>
      <c r="F1177" s="9">
        <f>'NIPPON INDIA '!B1177</f>
        <v>151.90600000000001</v>
      </c>
      <c r="G1177" s="10">
        <f t="shared" si="74"/>
        <v>5.0083030651873646E-3</v>
      </c>
      <c r="H1177" s="9">
        <f>'NIFTY500 TRI'!B1177</f>
        <v>24126.87</v>
      </c>
      <c r="I1177" s="10">
        <f t="shared" si="75"/>
        <v>8.8816519872695412E-3</v>
      </c>
    </row>
    <row r="1178" spans="1:9" ht="14.25" customHeight="1" x14ac:dyDescent="0.3">
      <c r="A1178" s="8">
        <f>'ICICI PRUDENTIAL MULTICAP FUND'!A1178</f>
        <v>44482</v>
      </c>
      <c r="B1178" s="9">
        <f>'ICICI PRUDENTIAL MULTICAP FUND'!B1178</f>
        <v>461.6</v>
      </c>
      <c r="C1178" s="10">
        <f t="shared" si="72"/>
        <v>1.2547161533737009E-2</v>
      </c>
      <c r="D1178" s="9">
        <f>'QUANT ACTIVE FUND'!B1178</f>
        <v>424.39800000000002</v>
      </c>
      <c r="E1178" s="10">
        <f t="shared" si="73"/>
        <v>1.1044353705194906E-2</v>
      </c>
      <c r="F1178" s="9">
        <f>'NIPPON INDIA '!B1178</f>
        <v>151.149</v>
      </c>
      <c r="G1178" s="10">
        <f t="shared" si="74"/>
        <v>8.6552064703840931E-3</v>
      </c>
      <c r="H1178" s="9">
        <f>'NIFTY500 TRI'!B1178</f>
        <v>23914.47</v>
      </c>
      <c r="I1178" s="10">
        <f t="shared" si="75"/>
        <v>9.6543076442426219E-3</v>
      </c>
    </row>
    <row r="1179" spans="1:9" ht="14.25" customHeight="1" x14ac:dyDescent="0.3">
      <c r="A1179" s="8">
        <f>'ICICI PRUDENTIAL MULTICAP FUND'!A1179</f>
        <v>44481</v>
      </c>
      <c r="B1179" s="9">
        <f>'ICICI PRUDENTIAL MULTICAP FUND'!B1179</f>
        <v>455.88</v>
      </c>
      <c r="C1179" s="10">
        <f t="shared" si="72"/>
        <v>2.9480353764244618E-3</v>
      </c>
      <c r="D1179" s="9">
        <f>'QUANT ACTIVE FUND'!B1179</f>
        <v>419.762</v>
      </c>
      <c r="E1179" s="10">
        <f t="shared" si="73"/>
        <v>6.9253373313343343E-3</v>
      </c>
      <c r="F1179" s="9">
        <f>'NIPPON INDIA '!B1179</f>
        <v>149.852</v>
      </c>
      <c r="G1179" s="10">
        <f t="shared" si="74"/>
        <v>4.6714938770095779E-5</v>
      </c>
      <c r="H1179" s="9">
        <f>'NIFTY500 TRI'!B1179</f>
        <v>23685.8</v>
      </c>
      <c r="I1179" s="10">
        <f t="shared" si="75"/>
        <v>3.4952739659284931E-3</v>
      </c>
    </row>
    <row r="1180" spans="1:9" ht="14.25" customHeight="1" x14ac:dyDescent="0.3">
      <c r="A1180" s="8">
        <f>'ICICI PRUDENTIAL MULTICAP FUND'!A1180</f>
        <v>44480</v>
      </c>
      <c r="B1180" s="9">
        <f>'ICICI PRUDENTIAL MULTICAP FUND'!B1180</f>
        <v>454.54</v>
      </c>
      <c r="C1180" s="10">
        <f t="shared" si="72"/>
        <v>7.3131814555447462E-3</v>
      </c>
      <c r="D1180" s="9">
        <f>'QUANT ACTIVE FUND'!B1180</f>
        <v>416.875</v>
      </c>
      <c r="E1180" s="10">
        <f t="shared" si="73"/>
        <v>9.9156455465597287E-3</v>
      </c>
      <c r="F1180" s="9">
        <f>'NIPPON INDIA '!B1180</f>
        <v>149.845</v>
      </c>
      <c r="G1180" s="10">
        <f t="shared" si="74"/>
        <v>5.9006753218854681E-3</v>
      </c>
      <c r="H1180" s="9">
        <f>'NIFTY500 TRI'!B1180</f>
        <v>23603.3</v>
      </c>
      <c r="I1180" s="10">
        <f t="shared" si="75"/>
        <v>4.0876820345757811E-3</v>
      </c>
    </row>
    <row r="1181" spans="1:9" ht="14.25" customHeight="1" x14ac:dyDescent="0.3">
      <c r="A1181" s="8">
        <f>'ICICI PRUDENTIAL MULTICAP FUND'!A1181</f>
        <v>44477</v>
      </c>
      <c r="B1181" s="9">
        <f>'ICICI PRUDENTIAL MULTICAP FUND'!B1181</f>
        <v>451.24</v>
      </c>
      <c r="C1181" s="10">
        <f t="shared" si="72"/>
        <v>5.0336317876074456E-3</v>
      </c>
      <c r="D1181" s="9">
        <f>'QUANT ACTIVE FUND'!B1181</f>
        <v>412.78199999999998</v>
      </c>
      <c r="E1181" s="10">
        <f t="shared" si="73"/>
        <v>2.6135154697768917E-3</v>
      </c>
      <c r="F1181" s="9">
        <f>'NIPPON INDIA '!B1181</f>
        <v>148.96600000000001</v>
      </c>
      <c r="G1181" s="10">
        <f t="shared" si="74"/>
        <v>5.8338172340684415E-3</v>
      </c>
      <c r="H1181" s="9">
        <f>'NIFTY500 TRI'!B1181</f>
        <v>23507.21</v>
      </c>
      <c r="I1181" s="10">
        <f t="shared" si="75"/>
        <v>4.9058563767368701E-3</v>
      </c>
    </row>
    <row r="1182" spans="1:9" ht="14.25" customHeight="1" x14ac:dyDescent="0.3">
      <c r="A1182" s="8">
        <f>'ICICI PRUDENTIAL MULTICAP FUND'!A1182</f>
        <v>44476</v>
      </c>
      <c r="B1182" s="9">
        <f>'ICICI PRUDENTIAL MULTICAP FUND'!B1182</f>
        <v>448.98</v>
      </c>
      <c r="C1182" s="10">
        <f t="shared" si="72"/>
        <v>1.2881539468044389E-2</v>
      </c>
      <c r="D1182" s="9">
        <f>'QUANT ACTIVE FUND'!B1182</f>
        <v>411.70600000000002</v>
      </c>
      <c r="E1182" s="10">
        <f t="shared" si="73"/>
        <v>1.0889555111952489E-2</v>
      </c>
      <c r="F1182" s="9">
        <f>'NIPPON INDIA '!B1182</f>
        <v>148.102</v>
      </c>
      <c r="G1182" s="10">
        <f t="shared" si="74"/>
        <v>1.3973613764112231E-2</v>
      </c>
      <c r="H1182" s="9">
        <f>'NIFTY500 TRI'!B1182</f>
        <v>23392.45</v>
      </c>
      <c r="I1182" s="10">
        <f t="shared" si="75"/>
        <v>1.0283601260066173E-2</v>
      </c>
    </row>
    <row r="1183" spans="1:9" ht="14.25" customHeight="1" x14ac:dyDescent="0.3">
      <c r="A1183" s="8">
        <f>'ICICI PRUDENTIAL MULTICAP FUND'!A1183</f>
        <v>44475</v>
      </c>
      <c r="B1183" s="9">
        <f>'ICICI PRUDENTIAL MULTICAP FUND'!B1183</f>
        <v>443.27</v>
      </c>
      <c r="C1183" s="10">
        <f t="shared" si="72"/>
        <v>-1.0315032708924077E-2</v>
      </c>
      <c r="D1183" s="9">
        <f>'QUANT ACTIVE FUND'!B1183</f>
        <v>407.27100000000002</v>
      </c>
      <c r="E1183" s="10">
        <f t="shared" si="73"/>
        <v>-1.6096769050138453E-2</v>
      </c>
      <c r="F1183" s="9">
        <f>'NIPPON INDIA '!B1183</f>
        <v>146.06100000000001</v>
      </c>
      <c r="G1183" s="10">
        <f t="shared" si="74"/>
        <v>-1.5117698225929281E-2</v>
      </c>
      <c r="H1183" s="9">
        <f>'NIFTY500 TRI'!B1183</f>
        <v>23154.34</v>
      </c>
      <c r="I1183" s="10">
        <f t="shared" si="75"/>
        <v>-9.528136105963687E-3</v>
      </c>
    </row>
    <row r="1184" spans="1:9" ht="14.25" customHeight="1" x14ac:dyDescent="0.3">
      <c r="A1184" s="8">
        <f>'ICICI PRUDENTIAL MULTICAP FUND'!A1184</f>
        <v>44474</v>
      </c>
      <c r="B1184" s="9">
        <f>'ICICI PRUDENTIAL MULTICAP FUND'!B1184</f>
        <v>447.89</v>
      </c>
      <c r="C1184" s="10">
        <f t="shared" si="72"/>
        <v>3.3378136200717052E-3</v>
      </c>
      <c r="D1184" s="9">
        <f>'QUANT ACTIVE FUND'!B1184</f>
        <v>413.93400000000003</v>
      </c>
      <c r="E1184" s="10">
        <f t="shared" si="73"/>
        <v>3.6758822359839278E-3</v>
      </c>
      <c r="F1184" s="9">
        <f>'NIPPON INDIA '!B1184</f>
        <v>148.303</v>
      </c>
      <c r="G1184" s="10">
        <f t="shared" si="74"/>
        <v>9.536970225048064E-3</v>
      </c>
      <c r="H1184" s="9">
        <f>'NIFTY500 TRI'!B1184</f>
        <v>23377.08</v>
      </c>
      <c r="I1184" s="10">
        <f t="shared" si="75"/>
        <v>6.5208134289576093E-3</v>
      </c>
    </row>
    <row r="1185" spans="1:9" ht="14.25" customHeight="1" x14ac:dyDescent="0.3">
      <c r="A1185" s="8">
        <f>'ICICI PRUDENTIAL MULTICAP FUND'!A1185</f>
        <v>44473</v>
      </c>
      <c r="B1185" s="9">
        <f>'ICICI PRUDENTIAL MULTICAP FUND'!B1185</f>
        <v>446.4</v>
      </c>
      <c r="C1185" s="10">
        <f t="shared" si="72"/>
        <v>7.925218451534221E-3</v>
      </c>
      <c r="D1185" s="9">
        <f>'QUANT ACTIVE FUND'!B1185</f>
        <v>412.41800000000001</v>
      </c>
      <c r="E1185" s="10">
        <f t="shared" si="73"/>
        <v>1.9476490523781437E-2</v>
      </c>
      <c r="F1185" s="9">
        <f>'NIPPON INDIA '!B1185</f>
        <v>146.90199999999999</v>
      </c>
      <c r="G1185" s="10">
        <f t="shared" si="74"/>
        <v>1.2481821753244367E-2</v>
      </c>
      <c r="H1185" s="9">
        <f>'NIFTY500 TRI'!B1185</f>
        <v>23225.63</v>
      </c>
      <c r="I1185" s="10">
        <f t="shared" si="75"/>
        <v>1.1135026508650921E-2</v>
      </c>
    </row>
    <row r="1186" spans="1:9" ht="14.25" customHeight="1" x14ac:dyDescent="0.3">
      <c r="A1186" s="8">
        <f>'ICICI PRUDENTIAL MULTICAP FUND'!A1186</f>
        <v>44470</v>
      </c>
      <c r="B1186" s="9">
        <f>'ICICI PRUDENTIAL MULTICAP FUND'!B1186</f>
        <v>442.89</v>
      </c>
      <c r="C1186" s="10">
        <f t="shared" si="72"/>
        <v>1.6056809444117317E-3</v>
      </c>
      <c r="D1186" s="9">
        <f>'QUANT ACTIVE FUND'!B1186</f>
        <v>404.53899999999999</v>
      </c>
      <c r="E1186" s="10">
        <f t="shared" si="73"/>
        <v>1.1458240529008538E-3</v>
      </c>
      <c r="F1186" s="9">
        <f>'NIPPON INDIA '!B1186</f>
        <v>145.09100000000001</v>
      </c>
      <c r="G1186" s="10">
        <f t="shared" si="74"/>
        <v>-1.7887733830519977E-3</v>
      </c>
      <c r="H1186" s="9">
        <f>'NIFTY500 TRI'!B1186</f>
        <v>22969.86</v>
      </c>
      <c r="I1186" s="10">
        <f t="shared" si="75"/>
        <v>-2.5715312986884912E-3</v>
      </c>
    </row>
    <row r="1187" spans="1:9" ht="14.25" customHeight="1" x14ac:dyDescent="0.3">
      <c r="A1187" s="8">
        <f>'ICICI PRUDENTIAL MULTICAP FUND'!A1187</f>
        <v>44469</v>
      </c>
      <c r="B1187" s="9">
        <f>'ICICI PRUDENTIAL MULTICAP FUND'!B1187</f>
        <v>442.18</v>
      </c>
      <c r="C1187" s="10">
        <f t="shared" si="72"/>
        <v>5.8834178131786494E-4</v>
      </c>
      <c r="D1187" s="9">
        <f>'QUANT ACTIVE FUND'!B1187</f>
        <v>404.07600000000002</v>
      </c>
      <c r="E1187" s="10">
        <f t="shared" si="73"/>
        <v>-1.2482049330047517E-3</v>
      </c>
      <c r="F1187" s="9">
        <f>'NIPPON INDIA '!B1187</f>
        <v>145.351</v>
      </c>
      <c r="G1187" s="10">
        <f t="shared" si="74"/>
        <v>2.0129740312562583E-3</v>
      </c>
      <c r="H1187" s="9">
        <f>'NIFTY500 TRI'!B1187</f>
        <v>23029.08</v>
      </c>
      <c r="I1187" s="10">
        <f t="shared" si="75"/>
        <v>-2.2715151651688582E-3</v>
      </c>
    </row>
    <row r="1188" spans="1:9" ht="14.25" customHeight="1" x14ac:dyDescent="0.3">
      <c r="A1188" s="8">
        <f>'ICICI PRUDENTIAL MULTICAP FUND'!A1188</f>
        <v>44468</v>
      </c>
      <c r="B1188" s="9">
        <f>'ICICI PRUDENTIAL MULTICAP FUND'!B1188</f>
        <v>441.92</v>
      </c>
      <c r="C1188" s="10">
        <f t="shared" si="72"/>
        <v>9.0522313750385764E-5</v>
      </c>
      <c r="D1188" s="9">
        <f>'QUANT ACTIVE FUND'!B1188</f>
        <v>404.58100000000002</v>
      </c>
      <c r="E1188" s="10">
        <f t="shared" si="73"/>
        <v>2.8555210458346913E-3</v>
      </c>
      <c r="F1188" s="9">
        <f>'NIPPON INDIA '!B1188</f>
        <v>145.059</v>
      </c>
      <c r="G1188" s="10">
        <f t="shared" si="74"/>
        <v>4.5497984792455147E-3</v>
      </c>
      <c r="H1188" s="9">
        <f>'NIFTY500 TRI'!B1188</f>
        <v>23081.51</v>
      </c>
      <c r="I1188" s="10">
        <f t="shared" si="75"/>
        <v>-5.7329046644807153E-4</v>
      </c>
    </row>
    <row r="1189" spans="1:9" ht="14.25" customHeight="1" x14ac:dyDescent="0.3">
      <c r="A1189" s="8">
        <f>'ICICI PRUDENTIAL MULTICAP FUND'!A1189</f>
        <v>44467</v>
      </c>
      <c r="B1189" s="9">
        <f>'ICICI PRUDENTIAL MULTICAP FUND'!B1189</f>
        <v>441.88</v>
      </c>
      <c r="C1189" s="10">
        <f t="shared" si="72"/>
        <v>-9.7483360598794849E-3</v>
      </c>
      <c r="D1189" s="9">
        <f>'QUANT ACTIVE FUND'!B1189</f>
        <v>403.42899999999997</v>
      </c>
      <c r="E1189" s="10">
        <f t="shared" si="73"/>
        <v>-7.1932708587628506E-3</v>
      </c>
      <c r="F1189" s="9">
        <f>'NIPPON INDIA '!B1189</f>
        <v>144.40199999999999</v>
      </c>
      <c r="G1189" s="10">
        <f t="shared" si="74"/>
        <v>-1.4428458325370638E-2</v>
      </c>
      <c r="H1189" s="9">
        <f>'NIFTY500 TRI'!B1189</f>
        <v>23094.75</v>
      </c>
      <c r="I1189" s="10">
        <f t="shared" si="75"/>
        <v>-6.1131481098946191E-3</v>
      </c>
    </row>
    <row r="1190" spans="1:9" ht="14.25" customHeight="1" x14ac:dyDescent="0.3">
      <c r="A1190" s="8">
        <f>'ICICI PRUDENTIAL MULTICAP FUND'!A1190</f>
        <v>44466</v>
      </c>
      <c r="B1190" s="9">
        <f>'ICICI PRUDENTIAL MULTICAP FUND'!B1190</f>
        <v>446.23</v>
      </c>
      <c r="C1190" s="10">
        <f t="shared" si="72"/>
        <v>-4.7038795806822762E-4</v>
      </c>
      <c r="D1190" s="9">
        <f>'QUANT ACTIVE FUND'!B1190</f>
        <v>406.35199999999998</v>
      </c>
      <c r="E1190" s="10">
        <f t="shared" si="73"/>
        <v>-6.173097591508995E-4</v>
      </c>
      <c r="F1190" s="9">
        <f>'NIPPON INDIA '!B1190</f>
        <v>146.51599999999999</v>
      </c>
      <c r="G1190" s="10">
        <f t="shared" si="74"/>
        <v>4.5525601294462009E-3</v>
      </c>
      <c r="H1190" s="9">
        <f>'NIFTY500 TRI'!B1190</f>
        <v>23236.799999999999</v>
      </c>
      <c r="I1190" s="10">
        <f t="shared" si="75"/>
        <v>-1.9233028143475655E-4</v>
      </c>
    </row>
    <row r="1191" spans="1:9" ht="14.25" customHeight="1" x14ac:dyDescent="0.3">
      <c r="A1191" s="8">
        <f>'ICICI PRUDENTIAL MULTICAP FUND'!A1191</f>
        <v>44463</v>
      </c>
      <c r="B1191" s="9">
        <f>'ICICI PRUDENTIAL MULTICAP FUND'!B1191</f>
        <v>446.44</v>
      </c>
      <c r="C1191" s="10">
        <f t="shared" si="72"/>
        <v>-2.3910080221670872E-3</v>
      </c>
      <c r="D1191" s="9">
        <f>'QUANT ACTIVE FUND'!B1191</f>
        <v>406.60300000000001</v>
      </c>
      <c r="E1191" s="10">
        <f t="shared" si="73"/>
        <v>-7.46470862493621E-3</v>
      </c>
      <c r="F1191" s="9">
        <f>'NIPPON INDIA '!B1191</f>
        <v>145.852</v>
      </c>
      <c r="G1191" s="10">
        <f t="shared" si="74"/>
        <v>-5.3533555651029182E-3</v>
      </c>
      <c r="H1191" s="9">
        <f>'NIFTY500 TRI'!B1191</f>
        <v>23241.27</v>
      </c>
      <c r="I1191" s="10">
        <f t="shared" si="75"/>
        <v>-8.8428086514221187E-4</v>
      </c>
    </row>
    <row r="1192" spans="1:9" ht="14.25" customHeight="1" x14ac:dyDescent="0.3">
      <c r="A1192" s="8">
        <f>'ICICI PRUDENTIAL MULTICAP FUND'!A1192</f>
        <v>44462</v>
      </c>
      <c r="B1192" s="9">
        <f>'ICICI PRUDENTIAL MULTICAP FUND'!B1192</f>
        <v>447.51</v>
      </c>
      <c r="C1192" s="10">
        <f t="shared" si="72"/>
        <v>8.9962121212121427E-3</v>
      </c>
      <c r="D1192" s="9">
        <f>'QUANT ACTIVE FUND'!B1192</f>
        <v>409.661</v>
      </c>
      <c r="E1192" s="10">
        <f t="shared" si="73"/>
        <v>1.6243584305145213E-2</v>
      </c>
      <c r="F1192" s="9">
        <f>'NIPPON INDIA '!B1192</f>
        <v>146.637</v>
      </c>
      <c r="G1192" s="10">
        <f t="shared" si="74"/>
        <v>1.3820711016468668E-2</v>
      </c>
      <c r="H1192" s="9">
        <f>'NIFTY500 TRI'!B1192</f>
        <v>23261.84</v>
      </c>
      <c r="I1192" s="10">
        <f t="shared" si="75"/>
        <v>1.434225805424775E-2</v>
      </c>
    </row>
    <row r="1193" spans="1:9" ht="14.25" customHeight="1" x14ac:dyDescent="0.3">
      <c r="A1193" s="8">
        <f>'ICICI PRUDENTIAL MULTICAP FUND'!A1193</f>
        <v>44461</v>
      </c>
      <c r="B1193" s="9">
        <f>'ICICI PRUDENTIAL MULTICAP FUND'!B1193</f>
        <v>443.52</v>
      </c>
      <c r="C1193" s="10">
        <f t="shared" si="72"/>
        <v>6.4445856403739102E-3</v>
      </c>
      <c r="D1193" s="9">
        <f>'QUANT ACTIVE FUND'!B1193</f>
        <v>403.113</v>
      </c>
      <c r="E1193" s="10">
        <f t="shared" si="73"/>
        <v>1.3014721034141273E-2</v>
      </c>
      <c r="F1193" s="9">
        <f>'NIPPON INDIA '!B1193</f>
        <v>144.63800000000001</v>
      </c>
      <c r="G1193" s="10">
        <f t="shared" si="74"/>
        <v>1.6787346221441162E-2</v>
      </c>
      <c r="H1193" s="9">
        <f>'NIFTY500 TRI'!B1193</f>
        <v>22932.93</v>
      </c>
      <c r="I1193" s="10">
        <f t="shared" si="75"/>
        <v>2.9665297768215206E-3</v>
      </c>
    </row>
    <row r="1194" spans="1:9" ht="14.25" customHeight="1" x14ac:dyDescent="0.3">
      <c r="A1194" s="8">
        <f>'ICICI PRUDENTIAL MULTICAP FUND'!A1194</f>
        <v>44460</v>
      </c>
      <c r="B1194" s="9">
        <f>'ICICI PRUDENTIAL MULTICAP FUND'!B1194</f>
        <v>440.68</v>
      </c>
      <c r="C1194" s="10">
        <f t="shared" si="72"/>
        <v>4.4675419401895957E-3</v>
      </c>
      <c r="D1194" s="9">
        <f>'QUANT ACTIVE FUND'!B1194</f>
        <v>397.93400000000003</v>
      </c>
      <c r="E1194" s="10">
        <f t="shared" si="73"/>
        <v>1.1278386565556055E-2</v>
      </c>
      <c r="F1194" s="9">
        <f>'NIPPON INDIA '!B1194</f>
        <v>142.25</v>
      </c>
      <c r="G1194" s="10">
        <f t="shared" si="74"/>
        <v>8.2359945565888392E-3</v>
      </c>
      <c r="H1194" s="9">
        <f>'NIFTY500 TRI'!B1194</f>
        <v>22865.1</v>
      </c>
      <c r="I1194" s="10">
        <f t="shared" si="75"/>
        <v>8.07959142644505E-3</v>
      </c>
    </row>
    <row r="1195" spans="1:9" ht="14.25" customHeight="1" x14ac:dyDescent="0.3">
      <c r="A1195" s="8">
        <f>'ICICI PRUDENTIAL MULTICAP FUND'!A1195</f>
        <v>44459</v>
      </c>
      <c r="B1195" s="9">
        <f>'ICICI PRUDENTIAL MULTICAP FUND'!B1195</f>
        <v>438.72</v>
      </c>
      <c r="C1195" s="10">
        <f t="shared" si="72"/>
        <v>-1.5815330775960597E-2</v>
      </c>
      <c r="D1195" s="9">
        <f>'QUANT ACTIVE FUND'!B1195</f>
        <v>393.49599999999998</v>
      </c>
      <c r="E1195" s="10">
        <f t="shared" si="73"/>
        <v>-2.0886312174973266E-2</v>
      </c>
      <c r="F1195" s="9">
        <f>'NIPPON INDIA '!B1195</f>
        <v>141.08799999999999</v>
      </c>
      <c r="G1195" s="10">
        <f t="shared" si="74"/>
        <v>-1.4080766999993114E-2</v>
      </c>
      <c r="H1195" s="9">
        <f>'NIFTY500 TRI'!B1195</f>
        <v>22681.84</v>
      </c>
      <c r="I1195" s="10">
        <f t="shared" si="75"/>
        <v>-1.3307951709953397E-2</v>
      </c>
    </row>
    <row r="1196" spans="1:9" ht="14.25" customHeight="1" x14ac:dyDescent="0.3">
      <c r="A1196" s="8">
        <f>'ICICI PRUDENTIAL MULTICAP FUND'!A1196</f>
        <v>44456</v>
      </c>
      <c r="B1196" s="9">
        <f>'ICICI PRUDENTIAL MULTICAP FUND'!B1196</f>
        <v>445.77</v>
      </c>
      <c r="C1196" s="10">
        <f t="shared" si="72"/>
        <v>-4.0884718498660428E-3</v>
      </c>
      <c r="D1196" s="9">
        <f>'QUANT ACTIVE FUND'!B1196</f>
        <v>401.89</v>
      </c>
      <c r="E1196" s="10">
        <f t="shared" si="73"/>
        <v>-1.4729172489200824E-2</v>
      </c>
      <c r="F1196" s="9">
        <f>'NIPPON INDIA '!B1196</f>
        <v>143.10300000000001</v>
      </c>
      <c r="G1196" s="10">
        <f t="shared" si="74"/>
        <v>-8.6593281746828957E-3</v>
      </c>
      <c r="H1196" s="9">
        <f>'NIFTY500 TRI'!B1196</f>
        <v>22987.759999999998</v>
      </c>
      <c r="I1196" s="10">
        <f t="shared" si="75"/>
        <v>-5.1207301281742008E-3</v>
      </c>
    </row>
    <row r="1197" spans="1:9" ht="14.25" customHeight="1" x14ac:dyDescent="0.3">
      <c r="A1197" s="8">
        <f>'ICICI PRUDENTIAL MULTICAP FUND'!A1197</f>
        <v>44455</v>
      </c>
      <c r="B1197" s="9">
        <f>'ICICI PRUDENTIAL MULTICAP FUND'!B1197</f>
        <v>447.6</v>
      </c>
      <c r="C1197" s="10">
        <f t="shared" si="72"/>
        <v>4.736357718467336E-3</v>
      </c>
      <c r="D1197" s="9">
        <f>'QUANT ACTIVE FUND'!B1197</f>
        <v>407.89800000000002</v>
      </c>
      <c r="E1197" s="10">
        <f t="shared" si="73"/>
        <v>8.4553424413689147E-3</v>
      </c>
      <c r="F1197" s="9">
        <f>'NIPPON INDIA '!B1197</f>
        <v>144.35300000000001</v>
      </c>
      <c r="G1197" s="10">
        <f t="shared" si="74"/>
        <v>-4.0163145466753035E-4</v>
      </c>
      <c r="H1197" s="9">
        <f>'NIFTY500 TRI'!B1197</f>
        <v>23106.080000000002</v>
      </c>
      <c r="I1197" s="10">
        <f t="shared" si="75"/>
        <v>5.6965771788711744E-3</v>
      </c>
    </row>
    <row r="1198" spans="1:9" ht="14.25" customHeight="1" x14ac:dyDescent="0.3">
      <c r="A1198" s="8">
        <f>'ICICI PRUDENTIAL MULTICAP FUND'!A1198</f>
        <v>44454</v>
      </c>
      <c r="B1198" s="9">
        <f>'ICICI PRUDENTIAL MULTICAP FUND'!B1198</f>
        <v>445.49</v>
      </c>
      <c r="C1198" s="10">
        <f t="shared" si="72"/>
        <v>8.9231117653719803E-3</v>
      </c>
      <c r="D1198" s="9">
        <f>'QUANT ACTIVE FUND'!B1198</f>
        <v>404.47800000000001</v>
      </c>
      <c r="E1198" s="10">
        <f t="shared" si="73"/>
        <v>4.5249543034252626E-3</v>
      </c>
      <c r="F1198" s="9">
        <f>'NIPPON INDIA '!B1198</f>
        <v>144.411</v>
      </c>
      <c r="G1198" s="10">
        <f t="shared" si="74"/>
        <v>1.3111924906343391E-2</v>
      </c>
      <c r="H1198" s="9">
        <f>'NIFTY500 TRI'!B1198</f>
        <v>22975.200000000001</v>
      </c>
      <c r="I1198" s="10">
        <f t="shared" si="75"/>
        <v>7.8022294716091302E-3</v>
      </c>
    </row>
    <row r="1199" spans="1:9" ht="14.25" customHeight="1" x14ac:dyDescent="0.3">
      <c r="A1199" s="8">
        <f>'ICICI PRUDENTIAL MULTICAP FUND'!A1199</f>
        <v>44453</v>
      </c>
      <c r="B1199" s="9">
        <f>'ICICI PRUDENTIAL MULTICAP FUND'!B1199</f>
        <v>441.55</v>
      </c>
      <c r="C1199" s="10">
        <f t="shared" si="72"/>
        <v>5.9003098232185891E-3</v>
      </c>
      <c r="D1199" s="9">
        <f>'QUANT ACTIVE FUND'!B1199</f>
        <v>402.65600000000001</v>
      </c>
      <c r="E1199" s="10">
        <f t="shared" si="73"/>
        <v>6.8841694110821517E-3</v>
      </c>
      <c r="F1199" s="9">
        <f>'NIPPON INDIA '!B1199</f>
        <v>142.542</v>
      </c>
      <c r="G1199" s="10">
        <f t="shared" si="74"/>
        <v>3.5200856084819983E-3</v>
      </c>
      <c r="H1199" s="9">
        <f>'NIFTY500 TRI'!B1199</f>
        <v>22797.33</v>
      </c>
      <c r="I1199" s="10">
        <f t="shared" si="75"/>
        <v>3.5365600812431639E-3</v>
      </c>
    </row>
    <row r="1200" spans="1:9" ht="14.25" customHeight="1" x14ac:dyDescent="0.3">
      <c r="A1200" s="8">
        <f>'ICICI PRUDENTIAL MULTICAP FUND'!A1200</f>
        <v>44452</v>
      </c>
      <c r="B1200" s="9">
        <f>'ICICI PRUDENTIAL MULTICAP FUND'!B1200</f>
        <v>438.96</v>
      </c>
      <c r="C1200" s="10">
        <f t="shared" si="72"/>
        <v>9.1207588471355636E-4</v>
      </c>
      <c r="D1200" s="9">
        <f>'QUANT ACTIVE FUND'!B1200</f>
        <v>399.90300000000002</v>
      </c>
      <c r="E1200" s="10">
        <f t="shared" si="73"/>
        <v>6.9876714812353554E-3</v>
      </c>
      <c r="F1200" s="9">
        <f>'NIPPON INDIA '!B1200</f>
        <v>142.042</v>
      </c>
      <c r="G1200" s="10">
        <f t="shared" si="74"/>
        <v>5.0805241855593477E-3</v>
      </c>
      <c r="H1200" s="9">
        <f>'NIFTY500 TRI'!B1200</f>
        <v>22716.99</v>
      </c>
      <c r="I1200" s="10">
        <f t="shared" si="75"/>
        <v>1.1162691491059598E-3</v>
      </c>
    </row>
    <row r="1201" spans="1:9" ht="14.25" customHeight="1" x14ac:dyDescent="0.3">
      <c r="A1201" s="8">
        <f>'ICICI PRUDENTIAL MULTICAP FUND'!A1201</f>
        <v>44448</v>
      </c>
      <c r="B1201" s="9">
        <f>'ICICI PRUDENTIAL MULTICAP FUND'!B1201</f>
        <v>438.56</v>
      </c>
      <c r="C1201" s="10">
        <f t="shared" si="72"/>
        <v>-1.8238190771471843E-4</v>
      </c>
      <c r="D1201" s="9">
        <f>'QUANT ACTIVE FUND'!B1201</f>
        <v>397.12799999999999</v>
      </c>
      <c r="E1201" s="10">
        <f t="shared" si="73"/>
        <v>4.9882850880502631E-4</v>
      </c>
      <c r="F1201" s="9">
        <f>'NIPPON INDIA '!B1201</f>
        <v>141.32400000000001</v>
      </c>
      <c r="G1201" s="10">
        <f t="shared" si="74"/>
        <v>3.5291527903030962E-3</v>
      </c>
      <c r="H1201" s="9">
        <f>'NIFTY500 TRI'!B1201</f>
        <v>22691.66</v>
      </c>
      <c r="I1201" s="10">
        <f t="shared" si="75"/>
        <v>2.2184994499022176E-3</v>
      </c>
    </row>
    <row r="1202" spans="1:9" ht="14.25" customHeight="1" x14ac:dyDescent="0.3">
      <c r="A1202" s="8">
        <f>'ICICI PRUDENTIAL MULTICAP FUND'!A1202</f>
        <v>44447</v>
      </c>
      <c r="B1202" s="9">
        <f>'ICICI PRUDENTIAL MULTICAP FUND'!B1202</f>
        <v>438.64</v>
      </c>
      <c r="C1202" s="10">
        <f t="shared" si="72"/>
        <v>-3.8741140812656027E-4</v>
      </c>
      <c r="D1202" s="9">
        <f>'QUANT ACTIVE FUND'!B1202</f>
        <v>396.93</v>
      </c>
      <c r="E1202" s="10">
        <f t="shared" si="73"/>
        <v>4.4258200672603791E-3</v>
      </c>
      <c r="F1202" s="9">
        <f>'NIPPON INDIA '!B1202</f>
        <v>140.827</v>
      </c>
      <c r="G1202" s="10">
        <f t="shared" si="74"/>
        <v>2.8627381164321652E-3</v>
      </c>
      <c r="H1202" s="9">
        <f>'NIFTY500 TRI'!B1202</f>
        <v>22641.43</v>
      </c>
      <c r="I1202" s="10">
        <f t="shared" si="75"/>
        <v>1.6151351121792088E-3</v>
      </c>
    </row>
    <row r="1203" spans="1:9" ht="14.25" customHeight="1" x14ac:dyDescent="0.3">
      <c r="A1203" s="8">
        <f>'ICICI PRUDENTIAL MULTICAP FUND'!A1203</f>
        <v>44446</v>
      </c>
      <c r="B1203" s="9">
        <f>'ICICI PRUDENTIAL MULTICAP FUND'!B1203</f>
        <v>438.81</v>
      </c>
      <c r="C1203" s="10">
        <f t="shared" si="72"/>
        <v>1.0722270383721022E-3</v>
      </c>
      <c r="D1203" s="9">
        <f>'QUANT ACTIVE FUND'!B1203</f>
        <v>395.18099999999998</v>
      </c>
      <c r="E1203" s="10">
        <f t="shared" si="73"/>
        <v>-6.8608306882695334E-3</v>
      </c>
      <c r="F1203" s="9">
        <f>'NIPPON INDIA '!B1203</f>
        <v>140.42500000000001</v>
      </c>
      <c r="G1203" s="10">
        <f t="shared" si="74"/>
        <v>1.2120780007843994E-3</v>
      </c>
      <c r="H1203" s="9">
        <f>'NIFTY500 TRI'!B1203</f>
        <v>22604.92</v>
      </c>
      <c r="I1203" s="10">
        <f t="shared" si="75"/>
        <v>-1.4564078189266388E-3</v>
      </c>
    </row>
    <row r="1204" spans="1:9" ht="14.25" customHeight="1" x14ac:dyDescent="0.3">
      <c r="A1204" s="8">
        <f>'ICICI PRUDENTIAL MULTICAP FUND'!A1204</f>
        <v>44445</v>
      </c>
      <c r="B1204" s="9">
        <f>'ICICI PRUDENTIAL MULTICAP FUND'!B1204</f>
        <v>438.34</v>
      </c>
      <c r="C1204" s="10">
        <f t="shared" si="72"/>
        <v>6.082306226904398E-3</v>
      </c>
      <c r="D1204" s="9">
        <f>'QUANT ACTIVE FUND'!B1204</f>
        <v>397.911</v>
      </c>
      <c r="E1204" s="10">
        <f t="shared" si="73"/>
        <v>8.2170330505640047E-3</v>
      </c>
      <c r="F1204" s="9">
        <f>'NIPPON INDIA '!B1204</f>
        <v>140.255</v>
      </c>
      <c r="G1204" s="10">
        <f t="shared" si="74"/>
        <v>5.350263946353876E-4</v>
      </c>
      <c r="H1204" s="9">
        <f>'NIFTY500 TRI'!B1204</f>
        <v>22637.89</v>
      </c>
      <c r="I1204" s="10">
        <f t="shared" si="75"/>
        <v>3.1568708691807582E-3</v>
      </c>
    </row>
    <row r="1205" spans="1:9" ht="14.25" customHeight="1" x14ac:dyDescent="0.3">
      <c r="A1205" s="8">
        <f>'ICICI PRUDENTIAL MULTICAP FUND'!A1205</f>
        <v>44442</v>
      </c>
      <c r="B1205" s="9">
        <f>'ICICI PRUDENTIAL MULTICAP FUND'!B1205</f>
        <v>435.69</v>
      </c>
      <c r="C1205" s="10">
        <f t="shared" si="72"/>
        <v>3.5702768692127225E-3</v>
      </c>
      <c r="D1205" s="9">
        <f>'QUANT ACTIVE FUND'!B1205</f>
        <v>394.66800000000001</v>
      </c>
      <c r="E1205" s="10">
        <f t="shared" si="73"/>
        <v>1.3538916681219097E-2</v>
      </c>
      <c r="F1205" s="9">
        <f>'NIPPON INDIA '!B1205</f>
        <v>140.18</v>
      </c>
      <c r="G1205" s="10">
        <f t="shared" si="74"/>
        <v>7.6193214491086991E-3</v>
      </c>
      <c r="H1205" s="9">
        <f>'NIFTY500 TRI'!B1205</f>
        <v>22566.65</v>
      </c>
      <c r="I1205" s="10">
        <f t="shared" si="75"/>
        <v>5.106449314092351E-3</v>
      </c>
    </row>
    <row r="1206" spans="1:9" ht="14.25" customHeight="1" x14ac:dyDescent="0.3">
      <c r="A1206" s="8">
        <f>'ICICI PRUDENTIAL MULTICAP FUND'!A1206</f>
        <v>44441</v>
      </c>
      <c r="B1206" s="9">
        <f>'ICICI PRUDENTIAL MULTICAP FUND'!B1206</f>
        <v>434.14</v>
      </c>
      <c r="C1206" s="10" t="s">
        <v>31</v>
      </c>
      <c r="D1206" s="9">
        <f>'QUANT ACTIVE FUND'!B1206</f>
        <v>389.39600000000002</v>
      </c>
      <c r="E1206" s="10"/>
      <c r="F1206" s="9">
        <f>'NIPPON INDIA '!B1206</f>
        <v>139.12</v>
      </c>
      <c r="G1206" s="10"/>
      <c r="H1206" s="9">
        <f>'NIFTY500 TRI'!B1206</f>
        <v>22452</v>
      </c>
      <c r="I1206" s="10"/>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08"/>
  <sheetViews>
    <sheetView zoomScaleNormal="100" workbookViewId="0">
      <selection activeCell="A1265" sqref="A1265:XFD1265"/>
    </sheetView>
  </sheetViews>
  <sheetFormatPr defaultColWidth="8.5546875" defaultRowHeight="14.4" x14ac:dyDescent="0.3"/>
  <cols>
    <col min="1" max="1" width="14" style="17" customWidth="1"/>
    <col min="2" max="2" width="14" customWidth="1"/>
    <col min="3" max="3" width="12" customWidth="1"/>
    <col min="5" max="5" width="30" customWidth="1"/>
    <col min="6" max="6" width="14" customWidth="1"/>
  </cols>
  <sheetData>
    <row r="1" spans="1:6" ht="14.25" customHeight="1" x14ac:dyDescent="0.3">
      <c r="A1" s="18" t="s">
        <v>22</v>
      </c>
      <c r="B1" s="19" t="s">
        <v>45</v>
      </c>
      <c r="C1" s="19" t="s">
        <v>46</v>
      </c>
      <c r="E1" s="20" t="s">
        <v>47</v>
      </c>
      <c r="F1" s="21"/>
    </row>
    <row r="2" spans="1:6" ht="14.25" customHeight="1" x14ac:dyDescent="0.3">
      <c r="A2" s="22">
        <v>46265</v>
      </c>
      <c r="B2" s="23">
        <v>875.33</v>
      </c>
      <c r="C2" s="24">
        <f t="shared" ref="C2:C65" si="0">(B2-B3)/B3</f>
        <v>-3.2793978661140219E-3</v>
      </c>
      <c r="E2" s="6" t="s">
        <v>4</v>
      </c>
      <c r="F2" s="25">
        <f>Assumptions!$B$5</f>
        <v>252</v>
      </c>
    </row>
    <row r="3" spans="1:6" ht="14.25" customHeight="1" x14ac:dyDescent="0.3">
      <c r="A3" s="22">
        <v>46262</v>
      </c>
      <c r="B3" s="23">
        <v>878.21</v>
      </c>
      <c r="C3" s="24">
        <f t="shared" si="0"/>
        <v>-3.9837916590774569E-4</v>
      </c>
      <c r="E3" s="6" t="s">
        <v>48</v>
      </c>
      <c r="F3" s="26">
        <f>Assumptions!$B$4</f>
        <v>6.9500000000000006E-2</v>
      </c>
    </row>
    <row r="4" spans="1:6" ht="14.25" customHeight="1" x14ac:dyDescent="0.3">
      <c r="A4" s="22">
        <v>46261</v>
      </c>
      <c r="B4" s="23">
        <v>878.56</v>
      </c>
      <c r="C4" s="24">
        <f t="shared" si="0"/>
        <v>-2.5771147667541924E-3</v>
      </c>
      <c r="E4" s="6" t="s">
        <v>49</v>
      </c>
      <c r="F4" s="25">
        <f>COUNT('Raw Data'!C2:C1206)</f>
        <v>1204</v>
      </c>
    </row>
    <row r="5" spans="1:6" ht="14.25" customHeight="1" x14ac:dyDescent="0.3">
      <c r="A5" s="22">
        <v>46260</v>
      </c>
      <c r="B5" s="23">
        <v>880.83</v>
      </c>
      <c r="C5" s="24">
        <f t="shared" si="0"/>
        <v>4.7910749118784957E-3</v>
      </c>
      <c r="E5" s="6" t="s">
        <v>8</v>
      </c>
      <c r="F5" s="26">
        <f>('Raw Data'!B2/'Raw Data'!B1206)^(F2/F4)-1</f>
        <v>0.15808743916812906</v>
      </c>
    </row>
    <row r="6" spans="1:6" ht="14.25" customHeight="1" x14ac:dyDescent="0.3">
      <c r="A6" s="22">
        <v>46259</v>
      </c>
      <c r="B6" s="23">
        <v>876.63</v>
      </c>
      <c r="C6" s="24">
        <f t="shared" si="0"/>
        <v>2.6191184207516108E-3</v>
      </c>
      <c r="E6" s="6" t="s">
        <v>50</v>
      </c>
      <c r="F6" s="27">
        <f>STDEV('Raw Data'!C2:C1206)</f>
        <v>8.6536097629139018E-3</v>
      </c>
    </row>
    <row r="7" spans="1:6" ht="14.25" customHeight="1" x14ac:dyDescent="0.3">
      <c r="A7" s="22">
        <v>46258</v>
      </c>
      <c r="B7" s="23">
        <v>874.34</v>
      </c>
      <c r="C7" s="24">
        <f t="shared" si="0"/>
        <v>1.8562654688789124E-3</v>
      </c>
      <c r="E7" s="6" t="s">
        <v>12</v>
      </c>
      <c r="F7" s="28">
        <f>F6*SQRT(F2)</f>
        <v>0.13737179625402479</v>
      </c>
    </row>
    <row r="8" spans="1:6" ht="14.25" customHeight="1" x14ac:dyDescent="0.3">
      <c r="A8" s="22">
        <v>46255</v>
      </c>
      <c r="B8" s="23">
        <v>872.72</v>
      </c>
      <c r="C8" s="24">
        <f t="shared" si="0"/>
        <v>1.9632380799302377E-3</v>
      </c>
      <c r="E8" s="6" t="s">
        <v>51</v>
      </c>
      <c r="F8" s="27">
        <f>SLOPE('Raw Data'!C2:C1206, 'Raw Data'!I2:I1206)</f>
        <v>0.91411262417888894</v>
      </c>
    </row>
    <row r="9" spans="1:6" ht="14.25" customHeight="1" x14ac:dyDescent="0.3">
      <c r="A9" s="22">
        <v>46254</v>
      </c>
      <c r="B9" s="23">
        <v>871.01</v>
      </c>
      <c r="C9" s="24">
        <f t="shared" si="0"/>
        <v>5.239650536083146E-3</v>
      </c>
      <c r="E9" s="6" t="s">
        <v>16</v>
      </c>
      <c r="F9" s="29">
        <f>(F5-F3)/F7</f>
        <v>0.64487355908424748</v>
      </c>
    </row>
    <row r="10" spans="1:6" ht="14.25" customHeight="1" x14ac:dyDescent="0.3">
      <c r="A10" s="22">
        <v>46253</v>
      </c>
      <c r="B10" s="23">
        <v>866.47</v>
      </c>
      <c r="C10" s="24">
        <f t="shared" si="0"/>
        <v>-5.8629156244980538E-3</v>
      </c>
      <c r="E10" s="6" t="s">
        <v>18</v>
      </c>
      <c r="F10" s="28">
        <f>(F5-F3)/F8</f>
        <v>9.6910858492632271E-2</v>
      </c>
    </row>
    <row r="11" spans="1:6" ht="14.25" customHeight="1" x14ac:dyDescent="0.3">
      <c r="A11" s="22">
        <v>46252</v>
      </c>
      <c r="B11" s="23">
        <v>871.58</v>
      </c>
      <c r="C11" s="24">
        <f t="shared" si="0"/>
        <v>-1.5579535821477004E-3</v>
      </c>
      <c r="E11" s="6" t="s">
        <v>20</v>
      </c>
      <c r="F11" s="26">
        <f>F5-(F3+F8*('NIFTY500 TRI'!F5-F3))</f>
        <v>4.7311739926664959E-2</v>
      </c>
    </row>
    <row r="12" spans="1:6" ht="14.25" customHeight="1" x14ac:dyDescent="0.3">
      <c r="A12" s="22">
        <v>46251</v>
      </c>
      <c r="B12" s="23">
        <v>872.94</v>
      </c>
      <c r="C12" s="24">
        <f t="shared" si="0"/>
        <v>2.5956723480499203E-3</v>
      </c>
    </row>
    <row r="13" spans="1:6" ht="14.25" customHeight="1" x14ac:dyDescent="0.3">
      <c r="A13" s="22">
        <v>46248</v>
      </c>
      <c r="B13" s="23">
        <v>870.68</v>
      </c>
      <c r="C13" s="24">
        <f t="shared" si="0"/>
        <v>-4.1290647268069107E-3</v>
      </c>
    </row>
    <row r="14" spans="1:6" ht="14.25" customHeight="1" x14ac:dyDescent="0.3">
      <c r="A14" s="22">
        <v>46247</v>
      </c>
      <c r="B14" s="23">
        <v>874.29</v>
      </c>
      <c r="C14" s="24">
        <f t="shared" si="0"/>
        <v>-2.3165053861604053E-3</v>
      </c>
    </row>
    <row r="15" spans="1:6" ht="14.25" customHeight="1" x14ac:dyDescent="0.3">
      <c r="A15" s="22">
        <v>46246</v>
      </c>
      <c r="B15" s="23">
        <v>876.32</v>
      </c>
      <c r="C15" s="24">
        <f t="shared" si="0"/>
        <v>5.3662156762005744E-4</v>
      </c>
    </row>
    <row r="16" spans="1:6" ht="14.25" customHeight="1" x14ac:dyDescent="0.3">
      <c r="A16" s="22">
        <v>46245</v>
      </c>
      <c r="B16" s="23">
        <v>875.85</v>
      </c>
      <c r="C16" s="24">
        <f t="shared" si="0"/>
        <v>-3.2774572394250741E-3</v>
      </c>
    </row>
    <row r="17" spans="1:3" ht="14.25" customHeight="1" x14ac:dyDescent="0.3">
      <c r="A17" s="22">
        <v>46244</v>
      </c>
      <c r="B17" s="23">
        <v>878.73</v>
      </c>
      <c r="C17" s="24">
        <f t="shared" si="0"/>
        <v>2.7158098933074632E-3</v>
      </c>
    </row>
    <row r="18" spans="1:3" ht="14.25" customHeight="1" x14ac:dyDescent="0.3">
      <c r="A18" s="22">
        <v>46241</v>
      </c>
      <c r="B18" s="23">
        <v>876.35</v>
      </c>
      <c r="C18" s="24">
        <f t="shared" si="0"/>
        <v>1.3139853747714547E-3</v>
      </c>
    </row>
    <row r="19" spans="1:3" ht="14.25" customHeight="1" x14ac:dyDescent="0.3">
      <c r="A19" s="22">
        <v>46240</v>
      </c>
      <c r="B19" s="23">
        <v>875.2</v>
      </c>
      <c r="C19" s="24">
        <f t="shared" si="0"/>
        <v>-4.9107499743036441E-4</v>
      </c>
    </row>
    <row r="20" spans="1:3" ht="14.25" customHeight="1" x14ac:dyDescent="0.3">
      <c r="A20" s="22">
        <v>46239</v>
      </c>
      <c r="B20" s="23">
        <v>875.63</v>
      </c>
      <c r="C20" s="24">
        <f t="shared" si="0"/>
        <v>6.3093295331785792E-3</v>
      </c>
    </row>
    <row r="21" spans="1:3" ht="14.25" customHeight="1" x14ac:dyDescent="0.3">
      <c r="A21" s="22">
        <v>46238</v>
      </c>
      <c r="B21" s="23">
        <v>870.14</v>
      </c>
      <c r="C21" s="24">
        <f t="shared" si="0"/>
        <v>7.9360515268266237E-4</v>
      </c>
    </row>
    <row r="22" spans="1:3" ht="14.25" customHeight="1" x14ac:dyDescent="0.3">
      <c r="A22" s="22">
        <v>46237</v>
      </c>
      <c r="B22" s="23">
        <v>869.45</v>
      </c>
      <c r="C22" s="24">
        <f t="shared" si="0"/>
        <v>1.3238704564789257E-2</v>
      </c>
    </row>
    <row r="23" spans="1:3" ht="14.25" customHeight="1" x14ac:dyDescent="0.3">
      <c r="A23" s="22">
        <v>46234</v>
      </c>
      <c r="B23" s="23">
        <v>858.09</v>
      </c>
      <c r="C23" s="24">
        <f t="shared" si="0"/>
        <v>7.8339714829344775E-3</v>
      </c>
    </row>
    <row r="24" spans="1:3" ht="14.25" customHeight="1" x14ac:dyDescent="0.3">
      <c r="A24" s="22">
        <v>46233</v>
      </c>
      <c r="B24" s="23">
        <v>851.42</v>
      </c>
      <c r="C24" s="24">
        <f t="shared" si="0"/>
        <v>-2.6590448523469822E-3</v>
      </c>
    </row>
    <row r="25" spans="1:3" ht="14.25" customHeight="1" x14ac:dyDescent="0.3">
      <c r="A25" s="22">
        <v>46232</v>
      </c>
      <c r="B25" s="23">
        <v>853.69</v>
      </c>
      <c r="C25" s="24">
        <f t="shared" si="0"/>
        <v>1.2476724741155515E-2</v>
      </c>
    </row>
    <row r="26" spans="1:3" ht="14.25" customHeight="1" x14ac:dyDescent="0.3">
      <c r="A26" s="22">
        <v>46231</v>
      </c>
      <c r="B26" s="23">
        <v>843.17</v>
      </c>
      <c r="C26" s="24">
        <f t="shared" si="0"/>
        <v>-5.8129937507370166E-3</v>
      </c>
    </row>
    <row r="27" spans="1:3" ht="14.25" customHeight="1" x14ac:dyDescent="0.3">
      <c r="A27" s="22">
        <v>46230</v>
      </c>
      <c r="B27" s="23">
        <v>848.1</v>
      </c>
      <c r="C27" s="24">
        <f t="shared" si="0"/>
        <v>1.1859310871432728E-2</v>
      </c>
    </row>
    <row r="28" spans="1:3" ht="14.25" customHeight="1" x14ac:dyDescent="0.3">
      <c r="A28" s="22">
        <v>46227</v>
      </c>
      <c r="B28" s="23">
        <v>838.16</v>
      </c>
      <c r="C28" s="24">
        <f t="shared" si="0"/>
        <v>-1.5129313939220446E-3</v>
      </c>
    </row>
    <row r="29" spans="1:3" ht="14.25" customHeight="1" x14ac:dyDescent="0.3">
      <c r="A29" s="22">
        <v>46226</v>
      </c>
      <c r="B29" s="23">
        <v>839.43</v>
      </c>
      <c r="C29" s="24">
        <f t="shared" si="0"/>
        <v>-9.8842901121713542E-3</v>
      </c>
    </row>
    <row r="30" spans="1:3" ht="14.25" customHeight="1" x14ac:dyDescent="0.3">
      <c r="A30" s="22">
        <v>46225</v>
      </c>
      <c r="B30" s="23">
        <v>847.81</v>
      </c>
      <c r="C30" s="24">
        <f t="shared" si="0"/>
        <v>-1.1599981346763717E-2</v>
      </c>
    </row>
    <row r="31" spans="1:3" ht="14.25" customHeight="1" x14ac:dyDescent="0.3">
      <c r="A31" s="22">
        <v>46224</v>
      </c>
      <c r="B31" s="23">
        <v>857.76</v>
      </c>
      <c r="C31" s="24">
        <f t="shared" si="0"/>
        <v>7.0087697671961718E-3</v>
      </c>
    </row>
    <row r="32" spans="1:3" ht="14.25" customHeight="1" x14ac:dyDescent="0.3">
      <c r="A32" s="22">
        <v>46223</v>
      </c>
      <c r="B32" s="23">
        <v>851.79</v>
      </c>
      <c r="C32" s="24">
        <f t="shared" si="0"/>
        <v>4.63519920741626E-3</v>
      </c>
    </row>
    <row r="33" spans="1:3" ht="14.25" customHeight="1" x14ac:dyDescent="0.3">
      <c r="A33" s="22">
        <v>46220</v>
      </c>
      <c r="B33" s="23">
        <v>847.86</v>
      </c>
      <c r="C33" s="24">
        <f t="shared" si="0"/>
        <v>-4.7306577140240795E-3</v>
      </c>
    </row>
    <row r="34" spans="1:3" ht="14.25" customHeight="1" x14ac:dyDescent="0.3">
      <c r="A34" s="22">
        <v>46219</v>
      </c>
      <c r="B34" s="23">
        <v>851.89</v>
      </c>
      <c r="C34" s="24">
        <f t="shared" si="0"/>
        <v>7.0481269602605783E-4</v>
      </c>
    </row>
    <row r="35" spans="1:3" ht="14.25" customHeight="1" x14ac:dyDescent="0.3">
      <c r="A35" s="22">
        <v>46218</v>
      </c>
      <c r="B35" s="23">
        <v>851.29</v>
      </c>
      <c r="C35" s="24">
        <f t="shared" si="0"/>
        <v>6.6813301168345603E-3</v>
      </c>
    </row>
    <row r="36" spans="1:3" ht="14.25" customHeight="1" x14ac:dyDescent="0.3">
      <c r="A36" s="22">
        <v>46217</v>
      </c>
      <c r="B36" s="23">
        <v>845.64</v>
      </c>
      <c r="C36" s="24">
        <f t="shared" si="0"/>
        <v>-6.7186619056568636E-3</v>
      </c>
    </row>
    <row r="37" spans="1:3" ht="14.25" customHeight="1" x14ac:dyDescent="0.3">
      <c r="A37" s="22">
        <v>46216</v>
      </c>
      <c r="B37" s="23">
        <v>851.36</v>
      </c>
      <c r="C37" s="24">
        <f t="shared" si="0"/>
        <v>-1.0677367500908962E-3</v>
      </c>
    </row>
    <row r="38" spans="1:3" ht="14.25" customHeight="1" x14ac:dyDescent="0.3">
      <c r="A38" s="22">
        <v>46213</v>
      </c>
      <c r="B38" s="23">
        <v>852.27</v>
      </c>
      <c r="C38" s="24">
        <f t="shared" si="0"/>
        <v>1.0564883323847429E-2</v>
      </c>
    </row>
    <row r="39" spans="1:3" ht="14.25" customHeight="1" x14ac:dyDescent="0.3">
      <c r="A39" s="22">
        <v>46212</v>
      </c>
      <c r="B39" s="23">
        <v>843.36</v>
      </c>
      <c r="C39" s="24">
        <f t="shared" si="0"/>
        <v>1.0157148332694542E-2</v>
      </c>
    </row>
    <row r="40" spans="1:3" ht="14.25" customHeight="1" x14ac:dyDescent="0.3">
      <c r="A40" s="22">
        <v>46211</v>
      </c>
      <c r="B40" s="23">
        <v>834.88</v>
      </c>
      <c r="C40" s="24">
        <f t="shared" si="0"/>
        <v>-1.7314233924598965E-2</v>
      </c>
    </row>
    <row r="41" spans="1:3" ht="14.25" customHeight="1" x14ac:dyDescent="0.3">
      <c r="A41" s="22">
        <v>46210</v>
      </c>
      <c r="B41" s="23">
        <v>849.59</v>
      </c>
      <c r="C41" s="24">
        <f t="shared" si="0"/>
        <v>-9.0280288803611317E-3</v>
      </c>
    </row>
    <row r="42" spans="1:3" ht="14.25" customHeight="1" x14ac:dyDescent="0.3">
      <c r="A42" s="22">
        <v>46209</v>
      </c>
      <c r="B42" s="23">
        <v>857.33</v>
      </c>
      <c r="C42" s="24">
        <f t="shared" si="0"/>
        <v>4.2520791847253077E-3</v>
      </c>
    </row>
    <row r="43" spans="1:3" ht="14.25" customHeight="1" x14ac:dyDescent="0.3">
      <c r="A43" s="22">
        <v>46206</v>
      </c>
      <c r="B43" s="23">
        <v>853.7</v>
      </c>
      <c r="C43" s="24">
        <f t="shared" si="0"/>
        <v>-2.4421879199335332E-3</v>
      </c>
    </row>
    <row r="44" spans="1:3" ht="14.25" customHeight="1" x14ac:dyDescent="0.3">
      <c r="A44" s="22">
        <v>46205</v>
      </c>
      <c r="B44" s="23">
        <v>855.79</v>
      </c>
      <c r="C44" s="24">
        <f t="shared" si="0"/>
        <v>8.4252450980391892E-3</v>
      </c>
    </row>
    <row r="45" spans="1:3" ht="14.25" customHeight="1" x14ac:dyDescent="0.3">
      <c r="A45" s="22">
        <v>46204</v>
      </c>
      <c r="B45" s="23">
        <v>848.64</v>
      </c>
      <c r="C45" s="24">
        <f t="shared" si="0"/>
        <v>1.4514815732644391E-3</v>
      </c>
    </row>
    <row r="46" spans="1:3" ht="14.25" customHeight="1" x14ac:dyDescent="0.3">
      <c r="A46" s="22">
        <v>46203</v>
      </c>
      <c r="B46" s="23">
        <v>847.41</v>
      </c>
      <c r="C46" s="24">
        <f t="shared" si="0"/>
        <v>1.6311478316371707E-3</v>
      </c>
    </row>
    <row r="47" spans="1:3" ht="14.25" customHeight="1" x14ac:dyDescent="0.3">
      <c r="A47" s="22">
        <v>46202</v>
      </c>
      <c r="B47" s="23">
        <v>846.03</v>
      </c>
      <c r="C47" s="24">
        <f t="shared" si="0"/>
        <v>-4.2957348648902851E-3</v>
      </c>
    </row>
    <row r="48" spans="1:3" ht="14.25" customHeight="1" x14ac:dyDescent="0.3">
      <c r="A48" s="22">
        <v>46198</v>
      </c>
      <c r="B48" s="23">
        <v>849.68</v>
      </c>
      <c r="C48" s="24">
        <f t="shared" si="0"/>
        <v>-5.1051472998922933E-3</v>
      </c>
    </row>
    <row r="49" spans="1:3" ht="14.25" customHeight="1" x14ac:dyDescent="0.3">
      <c r="A49" s="22">
        <v>46197</v>
      </c>
      <c r="B49" s="23">
        <v>854.04</v>
      </c>
      <c r="C49" s="24">
        <f t="shared" si="0"/>
        <v>1.8417070395438388E-3</v>
      </c>
    </row>
    <row r="50" spans="1:3" ht="14.25" customHeight="1" x14ac:dyDescent="0.3">
      <c r="A50" s="22">
        <v>46196</v>
      </c>
      <c r="B50" s="23">
        <v>852.47</v>
      </c>
      <c r="C50" s="24">
        <f t="shared" si="0"/>
        <v>-1.3150735677158715E-2</v>
      </c>
    </row>
    <row r="51" spans="1:3" ht="14.25" customHeight="1" x14ac:dyDescent="0.3">
      <c r="A51" s="22">
        <v>46195</v>
      </c>
      <c r="B51" s="23">
        <v>863.83</v>
      </c>
      <c r="C51" s="24">
        <f t="shared" si="0"/>
        <v>8.4403455521830702E-3</v>
      </c>
    </row>
    <row r="52" spans="1:3" ht="14.25" customHeight="1" x14ac:dyDescent="0.3">
      <c r="A52" s="22">
        <v>46192</v>
      </c>
      <c r="B52" s="23">
        <v>856.6</v>
      </c>
      <c r="C52" s="24">
        <f t="shared" si="0"/>
        <v>1.6370439663236404E-3</v>
      </c>
    </row>
    <row r="53" spans="1:3" ht="14.25" customHeight="1" x14ac:dyDescent="0.3">
      <c r="A53" s="22">
        <v>46191</v>
      </c>
      <c r="B53" s="23">
        <v>855.2</v>
      </c>
      <c r="C53" s="24">
        <f t="shared" si="0"/>
        <v>2.8730577543242984E-3</v>
      </c>
    </row>
    <row r="54" spans="1:3" ht="14.25" customHeight="1" x14ac:dyDescent="0.3">
      <c r="A54" s="22">
        <v>46190</v>
      </c>
      <c r="B54" s="23">
        <v>852.75</v>
      </c>
      <c r="C54" s="24">
        <f t="shared" si="0"/>
        <v>4.4879496784224386E-3</v>
      </c>
    </row>
    <row r="55" spans="1:3" ht="14.25" customHeight="1" x14ac:dyDescent="0.3">
      <c r="A55" s="22">
        <v>46189</v>
      </c>
      <c r="B55" s="23">
        <v>848.94</v>
      </c>
      <c r="C55" s="24">
        <f t="shared" si="0"/>
        <v>5.7752371972421364E-4</v>
      </c>
    </row>
    <row r="56" spans="1:3" ht="14.25" customHeight="1" x14ac:dyDescent="0.3">
      <c r="A56" s="22">
        <v>46188</v>
      </c>
      <c r="B56" s="23">
        <v>848.45</v>
      </c>
      <c r="C56" s="24">
        <f t="shared" si="0"/>
        <v>2.5788277396266612E-2</v>
      </c>
    </row>
    <row r="57" spans="1:3" ht="14.25" customHeight="1" x14ac:dyDescent="0.3">
      <c r="A57" s="22">
        <v>46185</v>
      </c>
      <c r="B57" s="23">
        <v>827.12</v>
      </c>
      <c r="C57" s="24">
        <f t="shared" si="0"/>
        <v>2.5096979686938418E-2</v>
      </c>
    </row>
    <row r="58" spans="1:3" ht="14.25" customHeight="1" x14ac:dyDescent="0.3">
      <c r="A58" s="22">
        <v>46184</v>
      </c>
      <c r="B58" s="23">
        <v>806.87</v>
      </c>
      <c r="C58" s="24">
        <f t="shared" si="0"/>
        <v>-6.3422083199920903E-3</v>
      </c>
    </row>
    <row r="59" spans="1:3" ht="14.25" customHeight="1" x14ac:dyDescent="0.3">
      <c r="A59" s="22">
        <v>46183</v>
      </c>
      <c r="B59" s="23">
        <v>812.02</v>
      </c>
      <c r="C59" s="24">
        <f t="shared" si="0"/>
        <v>-1.0491939119944449E-2</v>
      </c>
    </row>
    <row r="60" spans="1:3" ht="14.25" customHeight="1" x14ac:dyDescent="0.3">
      <c r="A60" s="22">
        <v>46182</v>
      </c>
      <c r="B60" s="23">
        <v>820.63</v>
      </c>
      <c r="C60" s="24">
        <f t="shared" si="0"/>
        <v>1.1263231832801373E-2</v>
      </c>
    </row>
    <row r="61" spans="1:3" ht="14.25" customHeight="1" x14ac:dyDescent="0.3">
      <c r="A61" s="22">
        <v>46181</v>
      </c>
      <c r="B61" s="23">
        <v>811.49</v>
      </c>
      <c r="C61" s="24">
        <f t="shared" si="0"/>
        <v>-1.9833073643270357E-2</v>
      </c>
    </row>
    <row r="62" spans="1:3" ht="14.25" customHeight="1" x14ac:dyDescent="0.3">
      <c r="A62" s="22">
        <v>46178</v>
      </c>
      <c r="B62" s="23">
        <v>827.91</v>
      </c>
      <c r="C62" s="24">
        <f t="shared" si="0"/>
        <v>-4.1977387539090805E-3</v>
      </c>
    </row>
    <row r="63" spans="1:3" ht="14.25" customHeight="1" x14ac:dyDescent="0.3">
      <c r="A63" s="22">
        <v>46177</v>
      </c>
      <c r="B63" s="23">
        <v>831.4</v>
      </c>
      <c r="C63" s="24">
        <f t="shared" si="0"/>
        <v>2.4234678498655528E-3</v>
      </c>
    </row>
    <row r="64" spans="1:3" ht="14.25" customHeight="1" x14ac:dyDescent="0.3">
      <c r="A64" s="22">
        <v>46176</v>
      </c>
      <c r="B64" s="23">
        <v>829.39</v>
      </c>
      <c r="C64" s="24">
        <f t="shared" si="0"/>
        <v>-4.4591207096028314E-4</v>
      </c>
    </row>
    <row r="65" spans="1:3" ht="14.25" customHeight="1" x14ac:dyDescent="0.3">
      <c r="A65" s="22">
        <v>46175</v>
      </c>
      <c r="B65" s="23">
        <v>829.76</v>
      </c>
      <c r="C65" s="24">
        <f t="shared" si="0"/>
        <v>1.5329092686694851E-3</v>
      </c>
    </row>
    <row r="66" spans="1:3" ht="14.25" customHeight="1" x14ac:dyDescent="0.3">
      <c r="A66" s="22">
        <v>46174</v>
      </c>
      <c r="B66" s="23">
        <v>828.49</v>
      </c>
      <c r="C66" s="24">
        <f t="shared" ref="C66:C129" si="1">(B66-B67)/B67</f>
        <v>-1.2738625801377466E-2</v>
      </c>
    </row>
    <row r="67" spans="1:3" ht="14.25" customHeight="1" x14ac:dyDescent="0.3">
      <c r="A67" s="22">
        <v>46171</v>
      </c>
      <c r="B67" s="23">
        <v>839.18</v>
      </c>
      <c r="C67" s="24">
        <f t="shared" si="1"/>
        <v>-1.3124162099866032E-2</v>
      </c>
    </row>
    <row r="68" spans="1:3" ht="14.25" customHeight="1" x14ac:dyDescent="0.3">
      <c r="A68" s="22">
        <v>46169</v>
      </c>
      <c r="B68" s="23">
        <v>850.34</v>
      </c>
      <c r="C68" s="24">
        <f t="shared" si="1"/>
        <v>8.204690427070822E-3</v>
      </c>
    </row>
    <row r="69" spans="1:3" ht="14.25" customHeight="1" x14ac:dyDescent="0.3">
      <c r="A69" s="22">
        <v>46168</v>
      </c>
      <c r="B69" s="23">
        <v>843.42</v>
      </c>
      <c r="C69" s="24">
        <f t="shared" si="1"/>
        <v>2.817906188692711E-3</v>
      </c>
    </row>
    <row r="70" spans="1:3" ht="14.25" customHeight="1" x14ac:dyDescent="0.3">
      <c r="A70" s="22">
        <v>46167</v>
      </c>
      <c r="B70" s="23">
        <v>841.05</v>
      </c>
      <c r="C70" s="24">
        <f t="shared" si="1"/>
        <v>1.0500895099181807E-2</v>
      </c>
    </row>
    <row r="71" spans="1:3" ht="14.25" customHeight="1" x14ac:dyDescent="0.3">
      <c r="A71" s="22">
        <v>46164</v>
      </c>
      <c r="B71" s="23">
        <v>832.31</v>
      </c>
      <c r="C71" s="24">
        <f t="shared" si="1"/>
        <v>3.6057258927170893E-4</v>
      </c>
    </row>
    <row r="72" spans="1:3" ht="14.25" customHeight="1" x14ac:dyDescent="0.3">
      <c r="A72" s="22">
        <v>46163</v>
      </c>
      <c r="B72" s="23">
        <v>832.01</v>
      </c>
      <c r="C72" s="24">
        <f t="shared" si="1"/>
        <v>4.6731229019248005E-3</v>
      </c>
    </row>
    <row r="73" spans="1:3" ht="14.25" customHeight="1" x14ac:dyDescent="0.3">
      <c r="A73" s="22">
        <v>46162</v>
      </c>
      <c r="B73" s="23">
        <v>828.14</v>
      </c>
      <c r="C73" s="24">
        <f t="shared" si="1"/>
        <v>5.4269306882611086E-3</v>
      </c>
    </row>
    <row r="74" spans="1:3" ht="14.25" customHeight="1" x14ac:dyDescent="0.3">
      <c r="A74" s="22">
        <v>46161</v>
      </c>
      <c r="B74" s="23">
        <v>823.67</v>
      </c>
      <c r="C74" s="24">
        <f t="shared" si="1"/>
        <v>7.8432812079386825E-3</v>
      </c>
    </row>
    <row r="75" spans="1:3" ht="14.25" customHeight="1" x14ac:dyDescent="0.3">
      <c r="A75" s="22">
        <v>46160</v>
      </c>
      <c r="B75" s="23">
        <v>817.26</v>
      </c>
      <c r="C75" s="24">
        <f t="shared" si="1"/>
        <v>-6.8779468235064993E-3</v>
      </c>
    </row>
    <row r="76" spans="1:3" ht="14.25" customHeight="1" x14ac:dyDescent="0.3">
      <c r="A76" s="22">
        <v>46157</v>
      </c>
      <c r="B76" s="23">
        <v>822.92</v>
      </c>
      <c r="C76" s="24">
        <f t="shared" si="1"/>
        <v>-6.375271673508918E-3</v>
      </c>
    </row>
    <row r="77" spans="1:3" ht="14.25" customHeight="1" x14ac:dyDescent="0.3">
      <c r="A77" s="22">
        <v>46156</v>
      </c>
      <c r="B77" s="23">
        <v>828.2</v>
      </c>
      <c r="C77" s="24">
        <f t="shared" si="1"/>
        <v>9.5813930809176846E-3</v>
      </c>
    </row>
    <row r="78" spans="1:3" ht="14.25" customHeight="1" x14ac:dyDescent="0.3">
      <c r="A78" s="22">
        <v>46155</v>
      </c>
      <c r="B78" s="23">
        <v>820.34</v>
      </c>
      <c r="C78" s="24">
        <f t="shared" si="1"/>
        <v>7.5411446818963229E-3</v>
      </c>
    </row>
    <row r="79" spans="1:3" ht="14.25" customHeight="1" x14ac:dyDescent="0.3">
      <c r="A79" s="22">
        <v>46154</v>
      </c>
      <c r="B79" s="23">
        <v>814.2</v>
      </c>
      <c r="C79" s="24">
        <f t="shared" si="1"/>
        <v>-3.3590504451038519E-2</v>
      </c>
    </row>
    <row r="80" spans="1:3" ht="14.25" customHeight="1" x14ac:dyDescent="0.3">
      <c r="A80" s="22">
        <v>46150</v>
      </c>
      <c r="B80" s="23">
        <v>842.5</v>
      </c>
      <c r="C80" s="24">
        <f t="shared" si="1"/>
        <v>-5.1719251842055492E-3</v>
      </c>
    </row>
    <row r="81" spans="1:3" ht="14.25" customHeight="1" x14ac:dyDescent="0.3">
      <c r="A81" s="22">
        <v>46149</v>
      </c>
      <c r="B81" s="23">
        <v>846.88</v>
      </c>
      <c r="C81" s="24">
        <f t="shared" si="1"/>
        <v>1.0234999403554863E-2</v>
      </c>
    </row>
    <row r="82" spans="1:3" ht="14.25" customHeight="1" x14ac:dyDescent="0.3">
      <c r="A82" s="22">
        <v>46148</v>
      </c>
      <c r="B82" s="23">
        <v>838.3</v>
      </c>
      <c r="C82" s="24">
        <f t="shared" si="1"/>
        <v>1.5591873326629762E-2</v>
      </c>
    </row>
    <row r="83" spans="1:3" ht="14.25" customHeight="1" x14ac:dyDescent="0.3">
      <c r="A83" s="22">
        <v>46147</v>
      </c>
      <c r="B83" s="23">
        <v>825.43</v>
      </c>
      <c r="C83" s="24">
        <f t="shared" si="1"/>
        <v>2.0394537177541123E-3</v>
      </c>
    </row>
    <row r="84" spans="1:3" ht="14.25" customHeight="1" x14ac:dyDescent="0.3">
      <c r="A84" s="22">
        <v>46146</v>
      </c>
      <c r="B84" s="23">
        <v>823.75</v>
      </c>
      <c r="C84" s="24">
        <f t="shared" si="1"/>
        <v>9.448066271261258E-3</v>
      </c>
    </row>
    <row r="85" spans="1:3" ht="14.25" customHeight="1" x14ac:dyDescent="0.3">
      <c r="A85" s="22">
        <v>46142</v>
      </c>
      <c r="B85" s="23">
        <v>816.04</v>
      </c>
      <c r="C85" s="24">
        <f t="shared" si="1"/>
        <v>-7.9505944710545808E-3</v>
      </c>
    </row>
    <row r="86" spans="1:3" ht="14.25" customHeight="1" x14ac:dyDescent="0.3">
      <c r="A86" s="22">
        <v>46141</v>
      </c>
      <c r="B86" s="23">
        <v>822.58</v>
      </c>
      <c r="C86" s="24">
        <f t="shared" si="1"/>
        <v>2.1319883532521957E-3</v>
      </c>
    </row>
    <row r="87" spans="1:3" ht="14.25" customHeight="1" x14ac:dyDescent="0.3">
      <c r="A87" s="22">
        <v>46140</v>
      </c>
      <c r="B87" s="23">
        <v>820.83</v>
      </c>
      <c r="C87" s="24">
        <f t="shared" si="1"/>
        <v>-2.3215110484478304E-3</v>
      </c>
    </row>
    <row r="88" spans="1:3" ht="14.25" customHeight="1" x14ac:dyDescent="0.3">
      <c r="A88" s="22">
        <v>46139</v>
      </c>
      <c r="B88" s="23">
        <v>822.74</v>
      </c>
      <c r="C88" s="24">
        <f t="shared" si="1"/>
        <v>1.5039170933316953E-2</v>
      </c>
    </row>
    <row r="89" spans="1:3" ht="14.25" customHeight="1" x14ac:dyDescent="0.3">
      <c r="A89" s="22">
        <v>46136</v>
      </c>
      <c r="B89" s="23">
        <v>810.55</v>
      </c>
      <c r="C89" s="24">
        <f t="shared" si="1"/>
        <v>-1.0172430636967615E-2</v>
      </c>
    </row>
    <row r="90" spans="1:3" ht="14.25" customHeight="1" x14ac:dyDescent="0.3">
      <c r="A90" s="22">
        <v>46135</v>
      </c>
      <c r="B90" s="23">
        <v>818.88</v>
      </c>
      <c r="C90" s="24">
        <f t="shared" si="1"/>
        <v>-8.5358323344592816E-3</v>
      </c>
    </row>
    <row r="91" spans="1:3" ht="14.25" customHeight="1" x14ac:dyDescent="0.3">
      <c r="A91" s="22">
        <v>46134</v>
      </c>
      <c r="B91" s="23">
        <v>825.93</v>
      </c>
      <c r="C91" s="24">
        <f t="shared" si="1"/>
        <v>4.4022327346134723E-3</v>
      </c>
    </row>
    <row r="92" spans="1:3" ht="14.25" customHeight="1" x14ac:dyDescent="0.3">
      <c r="A92" s="22">
        <v>46133</v>
      </c>
      <c r="B92" s="23">
        <v>822.31</v>
      </c>
      <c r="C92" s="24">
        <f t="shared" si="1"/>
        <v>6.3146301168695686E-3</v>
      </c>
    </row>
    <row r="93" spans="1:3" ht="14.25" customHeight="1" x14ac:dyDescent="0.3">
      <c r="A93" s="22">
        <v>46132</v>
      </c>
      <c r="B93" s="23">
        <v>817.15</v>
      </c>
      <c r="C93" s="24">
        <f t="shared" si="1"/>
        <v>7.593107417976125E-4</v>
      </c>
    </row>
    <row r="94" spans="1:3" ht="14.25" customHeight="1" x14ac:dyDescent="0.3">
      <c r="A94" s="22">
        <v>46129</v>
      </c>
      <c r="B94" s="23">
        <v>816.53</v>
      </c>
      <c r="C94" s="24">
        <f t="shared" si="1"/>
        <v>1.1859323882224566E-2</v>
      </c>
    </row>
    <row r="95" spans="1:3" ht="14.25" customHeight="1" x14ac:dyDescent="0.3">
      <c r="A95" s="22">
        <v>46128</v>
      </c>
      <c r="B95" s="23">
        <v>806.96</v>
      </c>
      <c r="C95" s="24">
        <f t="shared" si="1"/>
        <v>5.9086036249408006E-3</v>
      </c>
    </row>
    <row r="96" spans="1:3" ht="14.25" customHeight="1" x14ac:dyDescent="0.3">
      <c r="A96" s="22">
        <v>46127</v>
      </c>
      <c r="B96" s="23">
        <v>802.22</v>
      </c>
      <c r="C96" s="24">
        <f t="shared" si="1"/>
        <v>2.2718001019887878E-2</v>
      </c>
    </row>
    <row r="97" spans="1:3" ht="14.25" customHeight="1" x14ac:dyDescent="0.3">
      <c r="A97" s="22">
        <v>46125</v>
      </c>
      <c r="B97" s="23">
        <v>784.4</v>
      </c>
      <c r="C97" s="24">
        <f t="shared" si="1"/>
        <v>-4.7579775423460006E-3</v>
      </c>
    </row>
    <row r="98" spans="1:3" ht="14.25" customHeight="1" x14ac:dyDescent="0.3">
      <c r="A98" s="22">
        <v>46122</v>
      </c>
      <c r="B98" s="23">
        <v>788.15</v>
      </c>
      <c r="C98" s="24">
        <f t="shared" si="1"/>
        <v>1.8071199751989266E-2</v>
      </c>
    </row>
    <row r="99" spans="1:3" ht="14.25" customHeight="1" x14ac:dyDescent="0.3">
      <c r="A99" s="22">
        <v>46121</v>
      </c>
      <c r="B99" s="23">
        <v>774.16</v>
      </c>
      <c r="C99" s="24">
        <f t="shared" si="1"/>
        <v>1.0344470880313884E-3</v>
      </c>
    </row>
    <row r="100" spans="1:3" ht="14.25" customHeight="1" x14ac:dyDescent="0.3">
      <c r="A100" s="22">
        <v>46120</v>
      </c>
      <c r="B100" s="23">
        <v>773.36</v>
      </c>
      <c r="C100" s="24">
        <f t="shared" si="1"/>
        <v>4.1604374587525403E-2</v>
      </c>
    </row>
    <row r="101" spans="1:3" ht="14.25" customHeight="1" x14ac:dyDescent="0.3">
      <c r="A101" s="22">
        <v>46119</v>
      </c>
      <c r="B101" s="23">
        <v>742.47</v>
      </c>
      <c r="C101" s="24">
        <f t="shared" si="1"/>
        <v>3.7040541819312574E-3</v>
      </c>
    </row>
    <row r="102" spans="1:3" ht="14.25" customHeight="1" x14ac:dyDescent="0.3">
      <c r="A102" s="22">
        <v>46118</v>
      </c>
      <c r="B102" s="23">
        <v>739.73</v>
      </c>
      <c r="C102" s="24">
        <f t="shared" si="1"/>
        <v>1.1568914354479244E-2</v>
      </c>
    </row>
    <row r="103" spans="1:3" ht="14.25" customHeight="1" x14ac:dyDescent="0.3">
      <c r="A103" s="22">
        <v>46114</v>
      </c>
      <c r="B103" s="23">
        <v>731.27</v>
      </c>
      <c r="C103" s="24">
        <f t="shared" si="1"/>
        <v>-1.3519788053423772E-3</v>
      </c>
    </row>
    <row r="104" spans="1:3" ht="14.25" customHeight="1" x14ac:dyDescent="0.3">
      <c r="A104" s="22">
        <v>46113</v>
      </c>
      <c r="B104" s="23">
        <v>732.26</v>
      </c>
      <c r="C104" s="24">
        <f t="shared" si="1"/>
        <v>2.4455077086656059E-2</v>
      </c>
    </row>
    <row r="105" spans="1:3" ht="14.25" customHeight="1" x14ac:dyDescent="0.3">
      <c r="A105" s="22">
        <v>46111</v>
      </c>
      <c r="B105" s="23">
        <v>714.78</v>
      </c>
      <c r="C105" s="24">
        <f t="shared" si="1"/>
        <v>-2.3471227935952872E-2</v>
      </c>
    </row>
    <row r="106" spans="1:3" ht="14.25" customHeight="1" x14ac:dyDescent="0.3">
      <c r="A106" s="22">
        <v>46108</v>
      </c>
      <c r="B106" s="23">
        <v>731.96</v>
      </c>
      <c r="C106" s="24">
        <f t="shared" si="1"/>
        <v>-1.8609889520540591E-2</v>
      </c>
    </row>
    <row r="107" spans="1:3" ht="14.25" customHeight="1" x14ac:dyDescent="0.3">
      <c r="A107" s="22">
        <v>46106</v>
      </c>
      <c r="B107" s="23">
        <v>745.84</v>
      </c>
      <c r="C107" s="24">
        <f t="shared" si="1"/>
        <v>2.3774227200351467E-2</v>
      </c>
    </row>
    <row r="108" spans="1:3" ht="14.25" customHeight="1" x14ac:dyDescent="0.3">
      <c r="A108" s="22">
        <v>46105</v>
      </c>
      <c r="B108" s="23">
        <v>728.52</v>
      </c>
      <c r="C108" s="24">
        <f t="shared" si="1"/>
        <v>1.9821938518394044E-2</v>
      </c>
    </row>
    <row r="109" spans="1:3" ht="14.25" customHeight="1" x14ac:dyDescent="0.3">
      <c r="A109" s="22">
        <v>46104</v>
      </c>
      <c r="B109" s="23">
        <v>714.36</v>
      </c>
      <c r="C109" s="24">
        <f t="shared" si="1"/>
        <v>-3.7004084603874221E-2</v>
      </c>
    </row>
    <row r="110" spans="1:3" ht="14.25" customHeight="1" x14ac:dyDescent="0.3">
      <c r="A110" s="22">
        <v>46101</v>
      </c>
      <c r="B110" s="23">
        <v>741.81</v>
      </c>
      <c r="C110" s="24">
        <f t="shared" si="1"/>
        <v>3.2322631251521282E-3</v>
      </c>
    </row>
    <row r="111" spans="1:3" ht="14.25" customHeight="1" x14ac:dyDescent="0.3">
      <c r="A111" s="22">
        <v>46100</v>
      </c>
      <c r="B111" s="23">
        <v>739.42</v>
      </c>
      <c r="C111" s="24">
        <f t="shared" si="1"/>
        <v>-3.0510430187887731E-2</v>
      </c>
    </row>
    <row r="112" spans="1:3" ht="14.25" customHeight="1" x14ac:dyDescent="0.3">
      <c r="A112" s="22">
        <v>46099</v>
      </c>
      <c r="B112" s="23">
        <v>762.69</v>
      </c>
      <c r="C112" s="24">
        <f t="shared" si="1"/>
        <v>1.4984762386383436E-2</v>
      </c>
    </row>
    <row r="113" spans="1:3" ht="14.25" customHeight="1" x14ac:dyDescent="0.3">
      <c r="A113" s="22">
        <v>46098</v>
      </c>
      <c r="B113" s="23">
        <v>751.43</v>
      </c>
      <c r="C113" s="24">
        <f t="shared" si="1"/>
        <v>1.3419107730484884E-2</v>
      </c>
    </row>
    <row r="114" spans="1:3" ht="14.25" customHeight="1" x14ac:dyDescent="0.3">
      <c r="A114" s="22">
        <v>46097</v>
      </c>
      <c r="B114" s="23">
        <v>741.48</v>
      </c>
      <c r="C114" s="24">
        <f t="shared" si="1"/>
        <v>-1.4140842794229925E-3</v>
      </c>
    </row>
    <row r="115" spans="1:3" ht="14.25" customHeight="1" x14ac:dyDescent="0.3">
      <c r="A115" s="22">
        <v>46094</v>
      </c>
      <c r="B115" s="23">
        <v>742.53</v>
      </c>
      <c r="C115" s="24">
        <f t="shared" si="1"/>
        <v>-2.9194885338493373E-2</v>
      </c>
    </row>
    <row r="116" spans="1:3" ht="14.25" customHeight="1" x14ac:dyDescent="0.3">
      <c r="A116" s="22">
        <v>46093</v>
      </c>
      <c r="B116" s="23">
        <v>764.86</v>
      </c>
      <c r="C116" s="24">
        <f t="shared" si="1"/>
        <v>-3.1669903165686378E-3</v>
      </c>
    </row>
    <row r="117" spans="1:3" ht="14.25" customHeight="1" x14ac:dyDescent="0.3">
      <c r="A117" s="22">
        <v>46092</v>
      </c>
      <c r="B117" s="23">
        <v>767.29</v>
      </c>
      <c r="C117" s="24">
        <f t="shared" si="1"/>
        <v>-9.9867101918635522E-3</v>
      </c>
    </row>
    <row r="118" spans="1:3" ht="14.25" customHeight="1" x14ac:dyDescent="0.3">
      <c r="A118" s="22">
        <v>46091</v>
      </c>
      <c r="B118" s="23">
        <v>775.03</v>
      </c>
      <c r="C118" s="24">
        <f t="shared" si="1"/>
        <v>1.7887865932940211E-2</v>
      </c>
    </row>
    <row r="119" spans="1:3" ht="14.25" customHeight="1" x14ac:dyDescent="0.3">
      <c r="A119" s="22">
        <v>46090</v>
      </c>
      <c r="B119" s="23">
        <v>761.41</v>
      </c>
      <c r="C119" s="24">
        <f t="shared" si="1"/>
        <v>-2.1814257634347845E-2</v>
      </c>
    </row>
    <row r="120" spans="1:3" ht="14.25" customHeight="1" x14ac:dyDescent="0.3">
      <c r="A120" s="22">
        <v>46087</v>
      </c>
      <c r="B120" s="23">
        <v>778.39</v>
      </c>
      <c r="C120" s="24">
        <f t="shared" si="1"/>
        <v>-5.5446961276558095E-3</v>
      </c>
    </row>
    <row r="121" spans="1:3" ht="14.25" customHeight="1" x14ac:dyDescent="0.3">
      <c r="A121" s="22">
        <v>46086</v>
      </c>
      <c r="B121" s="23">
        <v>782.73</v>
      </c>
      <c r="C121" s="24">
        <f t="shared" si="1"/>
        <v>1.4819136522753875E-2</v>
      </c>
    </row>
    <row r="122" spans="1:3" ht="14.25" customHeight="1" x14ac:dyDescent="0.3">
      <c r="A122" s="22">
        <v>46085</v>
      </c>
      <c r="B122" s="23">
        <v>771.3</v>
      </c>
      <c r="C122" s="24">
        <f t="shared" si="1"/>
        <v>-2.3064939012805458E-2</v>
      </c>
    </row>
    <row r="123" spans="1:3" ht="14.25" customHeight="1" x14ac:dyDescent="0.3">
      <c r="A123" s="22">
        <v>46083</v>
      </c>
      <c r="B123" s="23">
        <v>789.51</v>
      </c>
      <c r="C123" s="24">
        <f t="shared" si="1"/>
        <v>-1.5143765982660746E-2</v>
      </c>
    </row>
    <row r="124" spans="1:3" ht="14.25" customHeight="1" x14ac:dyDescent="0.3">
      <c r="A124" s="22">
        <v>46080</v>
      </c>
      <c r="B124" s="23">
        <v>801.65</v>
      </c>
      <c r="C124" s="24">
        <f t="shared" si="1"/>
        <v>-1.25760599118075E-2</v>
      </c>
    </row>
    <row r="125" spans="1:3" ht="14.25" customHeight="1" x14ac:dyDescent="0.3">
      <c r="A125" s="22">
        <v>46079</v>
      </c>
      <c r="B125" s="23">
        <v>811.86</v>
      </c>
      <c r="C125" s="24">
        <f t="shared" si="1"/>
        <v>3.3739942901635316E-3</v>
      </c>
    </row>
    <row r="126" spans="1:3" ht="14.25" customHeight="1" x14ac:dyDescent="0.3">
      <c r="A126" s="22">
        <v>46078</v>
      </c>
      <c r="B126" s="23">
        <v>809.13</v>
      </c>
      <c r="C126" s="24">
        <f t="shared" si="1"/>
        <v>9.2929847320627253E-3</v>
      </c>
    </row>
    <row r="127" spans="1:3" ht="14.25" customHeight="1" x14ac:dyDescent="0.3">
      <c r="A127" s="22">
        <v>46077</v>
      </c>
      <c r="B127" s="23">
        <v>801.68</v>
      </c>
      <c r="C127" s="24">
        <f t="shared" si="1"/>
        <v>-4.6806133217457266E-3</v>
      </c>
    </row>
    <row r="128" spans="1:3" ht="14.25" customHeight="1" x14ac:dyDescent="0.3">
      <c r="A128" s="22">
        <v>46076</v>
      </c>
      <c r="B128" s="23">
        <v>805.45</v>
      </c>
      <c r="C128" s="24">
        <f t="shared" si="1"/>
        <v>1.9868618758469851E-4</v>
      </c>
    </row>
    <row r="129" spans="1:3" ht="14.25" customHeight="1" x14ac:dyDescent="0.3">
      <c r="A129" s="22">
        <v>46073</v>
      </c>
      <c r="B129" s="23">
        <v>805.29</v>
      </c>
      <c r="C129" s="24">
        <f t="shared" si="1"/>
        <v>6.3609097725567578E-3</v>
      </c>
    </row>
    <row r="130" spans="1:3" ht="14.25" customHeight="1" x14ac:dyDescent="0.3">
      <c r="A130" s="22">
        <v>46072</v>
      </c>
      <c r="B130" s="23">
        <v>800.2</v>
      </c>
      <c r="C130" s="24">
        <f t="shared" ref="C130:C193" si="2">(B130-B131)/B131</f>
        <v>-1.3499352770757483E-2</v>
      </c>
    </row>
    <row r="131" spans="1:3" ht="14.25" customHeight="1" x14ac:dyDescent="0.3">
      <c r="A131" s="22">
        <v>46071</v>
      </c>
      <c r="B131" s="23">
        <v>811.15</v>
      </c>
      <c r="C131" s="24">
        <f t="shared" si="2"/>
        <v>6.2772147030727898E-3</v>
      </c>
    </row>
    <row r="132" spans="1:3" ht="14.25" customHeight="1" x14ac:dyDescent="0.3">
      <c r="A132" s="22">
        <v>46070</v>
      </c>
      <c r="B132" s="23">
        <v>806.09</v>
      </c>
      <c r="C132" s="24">
        <f t="shared" si="2"/>
        <v>1.5406597502640356E-3</v>
      </c>
    </row>
    <row r="133" spans="1:3" ht="14.25" customHeight="1" x14ac:dyDescent="0.3">
      <c r="A133" s="22">
        <v>46069</v>
      </c>
      <c r="B133" s="23">
        <v>804.85</v>
      </c>
      <c r="C133" s="24">
        <f t="shared" si="2"/>
        <v>-1.3507053819848729E-2</v>
      </c>
    </row>
    <row r="134" spans="1:3" ht="14.25" customHeight="1" x14ac:dyDescent="0.3">
      <c r="A134" s="22">
        <v>46065</v>
      </c>
      <c r="B134" s="23">
        <v>815.87</v>
      </c>
      <c r="C134" s="24">
        <f t="shared" si="2"/>
        <v>-2.7258281383694145E-3</v>
      </c>
    </row>
    <row r="135" spans="1:3" ht="14.25" customHeight="1" x14ac:dyDescent="0.3">
      <c r="A135" s="22">
        <v>46064</v>
      </c>
      <c r="B135" s="23">
        <v>818.1</v>
      </c>
      <c r="C135" s="24">
        <f t="shared" si="2"/>
        <v>6.3602338609063547E-4</v>
      </c>
    </row>
    <row r="136" spans="1:3" ht="14.25" customHeight="1" x14ac:dyDescent="0.3">
      <c r="A136" s="22">
        <v>46063</v>
      </c>
      <c r="B136" s="23">
        <v>817.58</v>
      </c>
      <c r="C136" s="24">
        <f t="shared" si="2"/>
        <v>5.6581957735737931E-3</v>
      </c>
    </row>
    <row r="137" spans="1:3" ht="14.25" customHeight="1" x14ac:dyDescent="0.3">
      <c r="A137" s="22">
        <v>46062</v>
      </c>
      <c r="B137" s="23">
        <v>812.98</v>
      </c>
      <c r="C137" s="24">
        <f t="shared" si="2"/>
        <v>1.6364750153146097E-2</v>
      </c>
    </row>
    <row r="138" spans="1:3" ht="14.25" customHeight="1" x14ac:dyDescent="0.3">
      <c r="A138" s="22">
        <v>46059</v>
      </c>
      <c r="B138" s="23">
        <v>799.89</v>
      </c>
      <c r="C138" s="24">
        <f t="shared" si="2"/>
        <v>7.5015940887370347E-5</v>
      </c>
    </row>
    <row r="139" spans="1:3" ht="14.25" customHeight="1" x14ac:dyDescent="0.3">
      <c r="A139" s="22">
        <v>46058</v>
      </c>
      <c r="B139" s="23">
        <v>799.83</v>
      </c>
      <c r="C139" s="24">
        <f t="shared" si="2"/>
        <v>-6.718493865183011E-3</v>
      </c>
    </row>
    <row r="140" spans="1:3" ht="14.25" customHeight="1" x14ac:dyDescent="0.3">
      <c r="A140" s="22">
        <v>46057</v>
      </c>
      <c r="B140" s="23">
        <v>805.24</v>
      </c>
      <c r="C140" s="24">
        <f t="shared" si="2"/>
        <v>6.8520556166850287E-3</v>
      </c>
    </row>
    <row r="141" spans="1:3" ht="14.25" customHeight="1" x14ac:dyDescent="0.3">
      <c r="A141" s="22">
        <v>46056</v>
      </c>
      <c r="B141" s="23">
        <v>799.76</v>
      </c>
      <c r="C141" s="24">
        <f t="shared" si="2"/>
        <v>3.397631483684125E-2</v>
      </c>
    </row>
    <row r="142" spans="1:3" ht="14.25" customHeight="1" x14ac:dyDescent="0.3">
      <c r="A142" s="22">
        <v>46055</v>
      </c>
      <c r="B142" s="23">
        <v>773.48</v>
      </c>
      <c r="C142" s="24">
        <f t="shared" si="2"/>
        <v>-1.1426088290176557E-2</v>
      </c>
    </row>
    <row r="143" spans="1:3" ht="14.25" customHeight="1" x14ac:dyDescent="0.3">
      <c r="A143" s="22">
        <v>46052</v>
      </c>
      <c r="B143" s="23">
        <v>782.42</v>
      </c>
      <c r="C143" s="24">
        <f t="shared" si="2"/>
        <v>-3.0580260441885922E-3</v>
      </c>
    </row>
    <row r="144" spans="1:3" ht="14.25" customHeight="1" x14ac:dyDescent="0.3">
      <c r="A144" s="22">
        <v>46051</v>
      </c>
      <c r="B144" s="23">
        <v>784.82</v>
      </c>
      <c r="C144" s="24">
        <f t="shared" si="2"/>
        <v>5.2644387800848116E-3</v>
      </c>
    </row>
    <row r="145" spans="1:3" ht="14.25" customHeight="1" x14ac:dyDescent="0.3">
      <c r="A145" s="22">
        <v>46050</v>
      </c>
      <c r="B145" s="23">
        <v>780.71</v>
      </c>
      <c r="C145" s="24">
        <f t="shared" si="2"/>
        <v>1.8405948343334221E-2</v>
      </c>
    </row>
    <row r="146" spans="1:3" ht="14.25" customHeight="1" x14ac:dyDescent="0.3">
      <c r="A146" s="22">
        <v>46049</v>
      </c>
      <c r="B146" s="23">
        <v>766.6</v>
      </c>
      <c r="C146" s="24">
        <f t="shared" si="2"/>
        <v>5.2847607432759906E-3</v>
      </c>
    </row>
    <row r="147" spans="1:3" ht="14.25" customHeight="1" x14ac:dyDescent="0.3">
      <c r="A147" s="22">
        <v>46045</v>
      </c>
      <c r="B147" s="23">
        <v>762.57</v>
      </c>
      <c r="C147" s="24">
        <f t="shared" si="2"/>
        <v>-1.3862845762909018E-2</v>
      </c>
    </row>
    <row r="148" spans="1:3" ht="14.25" customHeight="1" x14ac:dyDescent="0.3">
      <c r="A148" s="22">
        <v>46044</v>
      </c>
      <c r="B148" s="23">
        <v>773.29</v>
      </c>
      <c r="C148" s="24">
        <f t="shared" si="2"/>
        <v>6.2852978684641058E-3</v>
      </c>
    </row>
    <row r="149" spans="1:3" ht="14.25" customHeight="1" x14ac:dyDescent="0.3">
      <c r="A149" s="22">
        <v>46042</v>
      </c>
      <c r="B149" s="23">
        <v>768.46</v>
      </c>
      <c r="C149" s="24">
        <f t="shared" si="2"/>
        <v>-2.4475080610353635E-2</v>
      </c>
    </row>
    <row r="150" spans="1:3" ht="14.25" customHeight="1" x14ac:dyDescent="0.3">
      <c r="A150" s="22">
        <v>46041</v>
      </c>
      <c r="B150" s="23">
        <v>787.74</v>
      </c>
      <c r="C150" s="24">
        <f t="shared" si="2"/>
        <v>-5.7679443652105065E-3</v>
      </c>
    </row>
    <row r="151" spans="1:3" ht="14.25" customHeight="1" x14ac:dyDescent="0.3">
      <c r="A151" s="22">
        <v>46038</v>
      </c>
      <c r="B151" s="23">
        <v>792.31</v>
      </c>
      <c r="C151" s="24">
        <f t="shared" si="2"/>
        <v>-2.4299959709912161E-3</v>
      </c>
    </row>
    <row r="152" spans="1:3" ht="14.25" customHeight="1" x14ac:dyDescent="0.3">
      <c r="A152" s="22">
        <v>46036</v>
      </c>
      <c r="B152" s="23">
        <v>794.24</v>
      </c>
      <c r="C152" s="24">
        <f t="shared" si="2"/>
        <v>5.3798149343662581E-3</v>
      </c>
    </row>
    <row r="153" spans="1:3" ht="14.25" customHeight="1" x14ac:dyDescent="0.3">
      <c r="A153" s="22">
        <v>46035</v>
      </c>
      <c r="B153" s="23">
        <v>789.99</v>
      </c>
      <c r="C153" s="24">
        <f t="shared" si="2"/>
        <v>-8.8600865756950531E-5</v>
      </c>
    </row>
    <row r="154" spans="1:3" ht="14.25" customHeight="1" x14ac:dyDescent="0.3">
      <c r="A154" s="22">
        <v>46034</v>
      </c>
      <c r="B154" s="23">
        <v>790.06</v>
      </c>
      <c r="C154" s="24">
        <f t="shared" si="2"/>
        <v>-6.0717990234525538E-4</v>
      </c>
    </row>
    <row r="155" spans="1:3" ht="14.25" customHeight="1" x14ac:dyDescent="0.3">
      <c r="A155" s="22">
        <v>46031</v>
      </c>
      <c r="B155" s="23">
        <v>790.54</v>
      </c>
      <c r="C155" s="24">
        <f t="shared" si="2"/>
        <v>-1.1095683066261373E-2</v>
      </c>
    </row>
    <row r="156" spans="1:3" ht="14.25" customHeight="1" x14ac:dyDescent="0.3">
      <c r="A156" s="22">
        <v>46030</v>
      </c>
      <c r="B156" s="23">
        <v>799.41</v>
      </c>
      <c r="C156" s="24">
        <f t="shared" si="2"/>
        <v>-1.6860979929161791E-2</v>
      </c>
    </row>
    <row r="157" spans="1:3" ht="14.25" customHeight="1" x14ac:dyDescent="0.3">
      <c r="A157" s="22">
        <v>46029</v>
      </c>
      <c r="B157" s="23">
        <v>813.12</v>
      </c>
      <c r="C157" s="24">
        <f t="shared" si="2"/>
        <v>-6.3910328892382608E-4</v>
      </c>
    </row>
    <row r="158" spans="1:3" ht="14.25" customHeight="1" x14ac:dyDescent="0.3">
      <c r="A158" s="22">
        <v>46028</v>
      </c>
      <c r="B158" s="23">
        <v>813.64</v>
      </c>
      <c r="C158" s="24">
        <f t="shared" si="2"/>
        <v>-2.2441046267796987E-3</v>
      </c>
    </row>
    <row r="159" spans="1:3" ht="14.25" customHeight="1" x14ac:dyDescent="0.3">
      <c r="A159" s="22">
        <v>46027</v>
      </c>
      <c r="B159" s="23">
        <v>815.47</v>
      </c>
      <c r="C159" s="24">
        <f t="shared" si="2"/>
        <v>2.76677897739849E-3</v>
      </c>
    </row>
    <row r="160" spans="1:3" ht="14.25" customHeight="1" x14ac:dyDescent="0.3">
      <c r="A160" s="22">
        <v>46024</v>
      </c>
      <c r="B160" s="23">
        <v>813.22</v>
      </c>
      <c r="C160" s="24">
        <f t="shared" si="2"/>
        <v>5.6389582766552806E-3</v>
      </c>
    </row>
    <row r="161" spans="1:3" ht="14.25" customHeight="1" x14ac:dyDescent="0.3">
      <c r="A161" s="22">
        <v>46023</v>
      </c>
      <c r="B161" s="23">
        <v>808.66</v>
      </c>
      <c r="C161" s="24">
        <f t="shared" si="2"/>
        <v>3.3375932106653361E-3</v>
      </c>
    </row>
    <row r="162" spans="1:3" ht="14.25" customHeight="1" x14ac:dyDescent="0.3">
      <c r="A162" s="22">
        <v>46022</v>
      </c>
      <c r="B162" s="23">
        <v>805.97</v>
      </c>
      <c r="C162" s="24">
        <f t="shared" si="2"/>
        <v>1.1140523654794308E-2</v>
      </c>
    </row>
    <row r="163" spans="1:3" ht="14.25" customHeight="1" x14ac:dyDescent="0.3">
      <c r="A163" s="22">
        <v>46021</v>
      </c>
      <c r="B163" s="23">
        <v>797.09</v>
      </c>
      <c r="C163" s="24">
        <f t="shared" si="2"/>
        <v>-9.2751588684307311E-4</v>
      </c>
    </row>
    <row r="164" spans="1:3" ht="14.25" customHeight="1" x14ac:dyDescent="0.3">
      <c r="A164" s="22">
        <v>46020</v>
      </c>
      <c r="B164" s="23">
        <v>797.83</v>
      </c>
      <c r="C164" s="24">
        <f t="shared" si="2"/>
        <v>-3.3105136917849004E-3</v>
      </c>
    </row>
    <row r="165" spans="1:3" ht="14.25" customHeight="1" x14ac:dyDescent="0.3">
      <c r="A165" s="22">
        <v>46017</v>
      </c>
      <c r="B165" s="23">
        <v>800.48</v>
      </c>
      <c r="C165" s="24">
        <f t="shared" si="2"/>
        <v>-2.4922739507526668E-3</v>
      </c>
    </row>
    <row r="166" spans="1:3" ht="14.25" customHeight="1" x14ac:dyDescent="0.3">
      <c r="A166" s="22">
        <v>46015</v>
      </c>
      <c r="B166" s="23">
        <v>802.48</v>
      </c>
      <c r="C166" s="24">
        <f t="shared" si="2"/>
        <v>-1.0829650837119618E-3</v>
      </c>
    </row>
    <row r="167" spans="1:3" ht="14.25" customHeight="1" x14ac:dyDescent="0.3">
      <c r="A167" s="22">
        <v>46014</v>
      </c>
      <c r="B167" s="23">
        <v>803.35</v>
      </c>
      <c r="C167" s="24">
        <f t="shared" si="2"/>
        <v>1.6208465806372026E-3</v>
      </c>
    </row>
    <row r="168" spans="1:3" ht="14.25" customHeight="1" x14ac:dyDescent="0.3">
      <c r="A168" s="22">
        <v>46013</v>
      </c>
      <c r="B168" s="23">
        <v>802.05</v>
      </c>
      <c r="C168" s="24">
        <f t="shared" si="2"/>
        <v>8.9313793320333467E-3</v>
      </c>
    </row>
    <row r="169" spans="1:3" ht="14.25" customHeight="1" x14ac:dyDescent="0.3">
      <c r="A169" s="22">
        <v>46010</v>
      </c>
      <c r="B169" s="23">
        <v>794.95</v>
      </c>
      <c r="C169" s="24">
        <f t="shared" si="2"/>
        <v>1.102660629801098E-2</v>
      </c>
    </row>
    <row r="170" spans="1:3" ht="14.25" customHeight="1" x14ac:dyDescent="0.3">
      <c r="A170" s="22">
        <v>46009</v>
      </c>
      <c r="B170" s="23">
        <v>786.28</v>
      </c>
      <c r="C170" s="24">
        <f t="shared" si="2"/>
        <v>2.9260225176517803E-4</v>
      </c>
    </row>
    <row r="171" spans="1:3" ht="14.25" customHeight="1" x14ac:dyDescent="0.3">
      <c r="A171" s="22">
        <v>46008</v>
      </c>
      <c r="B171" s="23">
        <v>786.05</v>
      </c>
      <c r="C171" s="24">
        <f t="shared" si="2"/>
        <v>-4.6976296596434822E-3</v>
      </c>
    </row>
    <row r="172" spans="1:3" ht="14.25" customHeight="1" x14ac:dyDescent="0.3">
      <c r="A172" s="22">
        <v>46007</v>
      </c>
      <c r="B172" s="23">
        <v>789.76</v>
      </c>
      <c r="C172" s="24">
        <f t="shared" si="2"/>
        <v>-6.2161822071222532E-3</v>
      </c>
    </row>
    <row r="173" spans="1:3" ht="14.25" customHeight="1" x14ac:dyDescent="0.3">
      <c r="A173" s="22">
        <v>46006</v>
      </c>
      <c r="B173" s="23">
        <v>794.7</v>
      </c>
      <c r="C173" s="24">
        <f t="shared" si="2"/>
        <v>1.1211750922766155E-3</v>
      </c>
    </row>
    <row r="174" spans="1:3" ht="14.25" customHeight="1" x14ac:dyDescent="0.3">
      <c r="A174" s="22">
        <v>46003</v>
      </c>
      <c r="B174" s="23">
        <v>793.81</v>
      </c>
      <c r="C174" s="24">
        <f t="shared" si="2"/>
        <v>9.9106892954377284E-3</v>
      </c>
    </row>
    <row r="175" spans="1:3" ht="14.25" customHeight="1" x14ac:dyDescent="0.3">
      <c r="A175" s="22">
        <v>46002</v>
      </c>
      <c r="B175" s="23">
        <v>786.02</v>
      </c>
      <c r="C175" s="24">
        <f t="shared" si="2"/>
        <v>6.8659851920170288E-3</v>
      </c>
    </row>
    <row r="176" spans="1:3" ht="14.25" customHeight="1" x14ac:dyDescent="0.3">
      <c r="A176" s="22">
        <v>46001</v>
      </c>
      <c r="B176" s="23">
        <v>780.66</v>
      </c>
      <c r="C176" s="24">
        <f t="shared" si="2"/>
        <v>-4.9836216016417674E-3</v>
      </c>
    </row>
    <row r="177" spans="1:3" ht="14.25" customHeight="1" x14ac:dyDescent="0.3">
      <c r="A177" s="22">
        <v>46000</v>
      </c>
      <c r="B177" s="23">
        <v>784.57</v>
      </c>
      <c r="C177" s="24">
        <f t="shared" si="2"/>
        <v>3.6072913335465943E-3</v>
      </c>
    </row>
    <row r="178" spans="1:3" ht="14.25" customHeight="1" x14ac:dyDescent="0.3">
      <c r="A178" s="22">
        <v>45999</v>
      </c>
      <c r="B178" s="23">
        <v>781.75</v>
      </c>
      <c r="C178" s="24">
        <f t="shared" si="2"/>
        <v>-1.5378608494130731E-2</v>
      </c>
    </row>
    <row r="179" spans="1:3" ht="14.25" customHeight="1" x14ac:dyDescent="0.3">
      <c r="A179" s="22">
        <v>45996</v>
      </c>
      <c r="B179" s="23">
        <v>793.96</v>
      </c>
      <c r="C179" s="24">
        <f t="shared" si="2"/>
        <v>1.1336868756853367E-4</v>
      </c>
    </row>
    <row r="180" spans="1:3" ht="14.25" customHeight="1" x14ac:dyDescent="0.3">
      <c r="A180" s="22">
        <v>45995</v>
      </c>
      <c r="B180" s="23">
        <v>793.87</v>
      </c>
      <c r="C180" s="24">
        <f t="shared" si="2"/>
        <v>4.5368048291768678E-4</v>
      </c>
    </row>
    <row r="181" spans="1:3" ht="14.25" customHeight="1" x14ac:dyDescent="0.3">
      <c r="A181" s="22">
        <v>45994</v>
      </c>
      <c r="B181" s="23">
        <v>793.51</v>
      </c>
      <c r="C181" s="24">
        <f t="shared" si="2"/>
        <v>-7.3680260195146188E-3</v>
      </c>
    </row>
    <row r="182" spans="1:3" ht="14.25" customHeight="1" x14ac:dyDescent="0.3">
      <c r="A182" s="22">
        <v>45993</v>
      </c>
      <c r="B182" s="23">
        <v>799.4</v>
      </c>
      <c r="C182" s="24">
        <f t="shared" si="2"/>
        <v>-2.819150263203841E-3</v>
      </c>
    </row>
    <row r="183" spans="1:3" ht="14.25" customHeight="1" x14ac:dyDescent="0.3">
      <c r="A183" s="22">
        <v>45992</v>
      </c>
      <c r="B183" s="23">
        <v>801.66</v>
      </c>
      <c r="C183" s="24">
        <f t="shared" si="2"/>
        <v>-2.0043073935289675E-3</v>
      </c>
    </row>
    <row r="184" spans="1:3" ht="14.25" customHeight="1" x14ac:dyDescent="0.3">
      <c r="A184" s="22">
        <v>45989</v>
      </c>
      <c r="B184" s="23">
        <v>803.27</v>
      </c>
      <c r="C184" s="24">
        <f t="shared" si="2"/>
        <v>-7.5881972433698274E-4</v>
      </c>
    </row>
    <row r="185" spans="1:3" ht="14.25" customHeight="1" x14ac:dyDescent="0.3">
      <c r="A185" s="22">
        <v>45988</v>
      </c>
      <c r="B185" s="23">
        <v>803.88</v>
      </c>
      <c r="C185" s="24">
        <f t="shared" si="2"/>
        <v>-1.2548298525264208E-3</v>
      </c>
    </row>
    <row r="186" spans="1:3" ht="14.25" customHeight="1" x14ac:dyDescent="0.3">
      <c r="A186" s="22">
        <v>45987</v>
      </c>
      <c r="B186" s="23">
        <v>804.89</v>
      </c>
      <c r="C186" s="24">
        <f t="shared" si="2"/>
        <v>1.0660472124560534E-2</v>
      </c>
    </row>
    <row r="187" spans="1:3" ht="14.25" customHeight="1" x14ac:dyDescent="0.3">
      <c r="A187" s="22">
        <v>45986</v>
      </c>
      <c r="B187" s="23">
        <v>796.4</v>
      </c>
      <c r="C187" s="24">
        <f t="shared" si="2"/>
        <v>1.8492194281257814E-3</v>
      </c>
    </row>
    <row r="188" spans="1:3" ht="14.25" customHeight="1" x14ac:dyDescent="0.3">
      <c r="A188" s="22">
        <v>45985</v>
      </c>
      <c r="B188" s="23">
        <v>794.93</v>
      </c>
      <c r="C188" s="24">
        <f t="shared" si="2"/>
        <v>-6.9209339513037057E-3</v>
      </c>
    </row>
    <row r="189" spans="1:3" ht="14.25" customHeight="1" x14ac:dyDescent="0.3">
      <c r="A189" s="22">
        <v>45982</v>
      </c>
      <c r="B189" s="23">
        <v>800.47</v>
      </c>
      <c r="C189" s="24">
        <f t="shared" si="2"/>
        <v>-1.0727306432676203E-2</v>
      </c>
    </row>
    <row r="190" spans="1:3" ht="14.25" customHeight="1" x14ac:dyDescent="0.3">
      <c r="A190" s="22">
        <v>45981</v>
      </c>
      <c r="B190" s="23">
        <v>809.15</v>
      </c>
      <c r="C190" s="24">
        <f t="shared" si="2"/>
        <v>3.7077318568287416E-5</v>
      </c>
    </row>
    <row r="191" spans="1:3" ht="14.25" customHeight="1" x14ac:dyDescent="0.3">
      <c r="A191" s="22">
        <v>45980</v>
      </c>
      <c r="B191" s="23">
        <v>809.12</v>
      </c>
      <c r="C191" s="24">
        <f t="shared" si="2"/>
        <v>7.6685219542362959E-4</v>
      </c>
    </row>
    <row r="192" spans="1:3" ht="14.25" customHeight="1" x14ac:dyDescent="0.3">
      <c r="A192" s="22">
        <v>45979</v>
      </c>
      <c r="B192" s="23">
        <v>808.5</v>
      </c>
      <c r="C192" s="24">
        <f t="shared" si="2"/>
        <v>-5.5228231589564561E-3</v>
      </c>
    </row>
    <row r="193" spans="1:3" ht="14.25" customHeight="1" x14ac:dyDescent="0.3">
      <c r="A193" s="22">
        <v>45978</v>
      </c>
      <c r="B193" s="23">
        <v>812.99</v>
      </c>
      <c r="C193" s="24">
        <f t="shared" si="2"/>
        <v>5.2675182075599897E-3</v>
      </c>
    </row>
    <row r="194" spans="1:3" ht="14.25" customHeight="1" x14ac:dyDescent="0.3">
      <c r="A194" s="22">
        <v>45975</v>
      </c>
      <c r="B194" s="23">
        <v>808.73</v>
      </c>
      <c r="C194" s="24">
        <f t="shared" ref="C194:C257" si="3">(B194-B195)/B195</f>
        <v>-1.0252482830178458E-3</v>
      </c>
    </row>
    <row r="195" spans="1:3" ht="14.25" customHeight="1" x14ac:dyDescent="0.3">
      <c r="A195" s="22">
        <v>45974</v>
      </c>
      <c r="B195" s="23">
        <v>809.56</v>
      </c>
      <c r="C195" s="24">
        <f t="shared" si="3"/>
        <v>6.1765759533488813E-5</v>
      </c>
    </row>
    <row r="196" spans="1:3" ht="14.25" customHeight="1" x14ac:dyDescent="0.3">
      <c r="A196" s="22">
        <v>45973</v>
      </c>
      <c r="B196" s="23">
        <v>809.51</v>
      </c>
      <c r="C196" s="24">
        <f t="shared" si="3"/>
        <v>5.7524102971871528E-3</v>
      </c>
    </row>
    <row r="197" spans="1:3" ht="14.25" customHeight="1" x14ac:dyDescent="0.3">
      <c r="A197" s="22">
        <v>45972</v>
      </c>
      <c r="B197" s="23">
        <v>804.88</v>
      </c>
      <c r="C197" s="24">
        <f t="shared" si="3"/>
        <v>4.4176005191304112E-3</v>
      </c>
    </row>
    <row r="198" spans="1:3" ht="14.25" customHeight="1" x14ac:dyDescent="0.3">
      <c r="A198" s="22">
        <v>45971</v>
      </c>
      <c r="B198" s="23">
        <v>801.34</v>
      </c>
      <c r="C198" s="24">
        <f t="shared" si="3"/>
        <v>1.3620743517651131E-3</v>
      </c>
    </row>
    <row r="199" spans="1:3" ht="14.25" customHeight="1" x14ac:dyDescent="0.3">
      <c r="A199" s="22">
        <v>45968</v>
      </c>
      <c r="B199" s="23">
        <v>800.25</v>
      </c>
      <c r="C199" s="24">
        <f t="shared" si="3"/>
        <v>1.0132092464724624E-3</v>
      </c>
    </row>
    <row r="200" spans="1:3" ht="14.25" customHeight="1" x14ac:dyDescent="0.3">
      <c r="A200" s="22">
        <v>45967</v>
      </c>
      <c r="B200" s="23">
        <v>799.44</v>
      </c>
      <c r="C200" s="24">
        <f t="shared" si="3"/>
        <v>-9.6993570924225198E-3</v>
      </c>
    </row>
    <row r="201" spans="1:3" ht="14.25" customHeight="1" x14ac:dyDescent="0.3">
      <c r="A201" s="22">
        <v>45965</v>
      </c>
      <c r="B201" s="23">
        <v>807.27</v>
      </c>
      <c r="C201" s="24">
        <f t="shared" si="3"/>
        <v>-4.046635000925264E-3</v>
      </c>
    </row>
    <row r="202" spans="1:3" ht="14.25" customHeight="1" x14ac:dyDescent="0.3">
      <c r="A202" s="22">
        <v>45964</v>
      </c>
      <c r="B202" s="23">
        <v>810.55</v>
      </c>
      <c r="C202" s="24">
        <f t="shared" si="3"/>
        <v>7.4200203833054675E-3</v>
      </c>
    </row>
    <row r="203" spans="1:3" ht="14.25" customHeight="1" x14ac:dyDescent="0.3">
      <c r="A203" s="22">
        <v>45961</v>
      </c>
      <c r="B203" s="23">
        <v>804.58</v>
      </c>
      <c r="C203" s="24">
        <f t="shared" si="3"/>
        <v>-7.585756047019325E-3</v>
      </c>
    </row>
    <row r="204" spans="1:3" ht="14.25" customHeight="1" x14ac:dyDescent="0.3">
      <c r="A204" s="22">
        <v>45960</v>
      </c>
      <c r="B204" s="23">
        <v>810.73</v>
      </c>
      <c r="C204" s="24">
        <f t="shared" si="3"/>
        <v>-3.6010127080106555E-3</v>
      </c>
    </row>
    <row r="205" spans="1:3" ht="14.25" customHeight="1" x14ac:dyDescent="0.3">
      <c r="A205" s="22">
        <v>45959</v>
      </c>
      <c r="B205" s="23">
        <v>813.66</v>
      </c>
      <c r="C205" s="24">
        <f t="shared" si="3"/>
        <v>5.7974955808002037E-3</v>
      </c>
    </row>
    <row r="206" spans="1:3" ht="14.25" customHeight="1" x14ac:dyDescent="0.3">
      <c r="A206" s="22">
        <v>45958</v>
      </c>
      <c r="B206" s="23">
        <v>808.97</v>
      </c>
      <c r="C206" s="24">
        <f t="shared" si="3"/>
        <v>-1.7302962514365952E-4</v>
      </c>
    </row>
    <row r="207" spans="1:3" ht="14.25" customHeight="1" x14ac:dyDescent="0.3">
      <c r="A207" s="22">
        <v>45957</v>
      </c>
      <c r="B207" s="23">
        <v>809.11</v>
      </c>
      <c r="C207" s="24">
        <f t="shared" si="3"/>
        <v>7.684260343238547E-3</v>
      </c>
    </row>
    <row r="208" spans="1:3" ht="14.25" customHeight="1" x14ac:dyDescent="0.3">
      <c r="A208" s="22">
        <v>45954</v>
      </c>
      <c r="B208" s="23">
        <v>802.94</v>
      </c>
      <c r="C208" s="24">
        <f t="shared" si="3"/>
        <v>-1.802608187570621E-3</v>
      </c>
    </row>
    <row r="209" spans="1:3" ht="14.25" customHeight="1" x14ac:dyDescent="0.3">
      <c r="A209" s="22">
        <v>45953</v>
      </c>
      <c r="B209" s="23">
        <v>804.39</v>
      </c>
      <c r="C209" s="24">
        <f t="shared" si="3"/>
        <v>1.543920811803535E-3</v>
      </c>
    </row>
    <row r="210" spans="1:3" ht="14.25" customHeight="1" x14ac:dyDescent="0.3">
      <c r="A210" s="22">
        <v>45950</v>
      </c>
      <c r="B210" s="23">
        <v>803.15</v>
      </c>
      <c r="C210" s="24">
        <f t="shared" si="3"/>
        <v>1.7586748821313246E-3</v>
      </c>
    </row>
    <row r="211" spans="1:3" ht="14.25" customHeight="1" x14ac:dyDescent="0.3">
      <c r="A211" s="22">
        <v>45947</v>
      </c>
      <c r="B211" s="23">
        <v>801.74</v>
      </c>
      <c r="C211" s="24">
        <f t="shared" si="3"/>
        <v>-1.1461889218348481E-3</v>
      </c>
    </row>
    <row r="212" spans="1:3" ht="14.25" customHeight="1" x14ac:dyDescent="0.3">
      <c r="A212" s="22">
        <v>45946</v>
      </c>
      <c r="B212" s="23">
        <v>802.66</v>
      </c>
      <c r="C212" s="24">
        <f t="shared" si="3"/>
        <v>9.4066752181896154E-3</v>
      </c>
    </row>
    <row r="213" spans="1:3" ht="14.25" customHeight="1" x14ac:dyDescent="0.3">
      <c r="A213" s="22">
        <v>45945</v>
      </c>
      <c r="B213" s="23">
        <v>795.18</v>
      </c>
      <c r="C213" s="24">
        <f t="shared" si="3"/>
        <v>7.360299986064767E-3</v>
      </c>
    </row>
    <row r="214" spans="1:3" ht="14.25" customHeight="1" x14ac:dyDescent="0.3">
      <c r="A214" s="22">
        <v>45944</v>
      </c>
      <c r="B214" s="23">
        <v>789.37</v>
      </c>
      <c r="C214" s="24">
        <f t="shared" si="3"/>
        <v>-7.6309966810822307E-3</v>
      </c>
    </row>
    <row r="215" spans="1:3" ht="14.25" customHeight="1" x14ac:dyDescent="0.3">
      <c r="A215" s="22">
        <v>45940</v>
      </c>
      <c r="B215" s="23">
        <v>795.44</v>
      </c>
      <c r="C215" s="24">
        <f t="shared" si="3"/>
        <v>3.7604421674280316E-3</v>
      </c>
    </row>
    <row r="216" spans="1:3" ht="14.25" customHeight="1" x14ac:dyDescent="0.3">
      <c r="A216" s="22">
        <v>45939</v>
      </c>
      <c r="B216" s="23">
        <v>792.46</v>
      </c>
      <c r="C216" s="24">
        <f t="shared" si="3"/>
        <v>5.379208850320988E-3</v>
      </c>
    </row>
    <row r="217" spans="1:3" ht="14.25" customHeight="1" x14ac:dyDescent="0.3">
      <c r="A217" s="22">
        <v>45938</v>
      </c>
      <c r="B217" s="23">
        <v>788.22</v>
      </c>
      <c r="C217" s="24">
        <f t="shared" si="3"/>
        <v>-5.6013927787449107E-3</v>
      </c>
    </row>
    <row r="218" spans="1:3" ht="14.25" customHeight="1" x14ac:dyDescent="0.3">
      <c r="A218" s="22">
        <v>45937</v>
      </c>
      <c r="B218" s="23">
        <v>792.66</v>
      </c>
      <c r="C218" s="24">
        <f t="shared" si="3"/>
        <v>1.832636089028111E-3</v>
      </c>
    </row>
    <row r="219" spans="1:3" ht="14.25" customHeight="1" x14ac:dyDescent="0.3">
      <c r="A219" s="22">
        <v>45936</v>
      </c>
      <c r="B219" s="23">
        <v>791.21</v>
      </c>
      <c r="C219" s="24">
        <f t="shared" si="3"/>
        <v>4.9791055392550054E-3</v>
      </c>
    </row>
    <row r="220" spans="1:3" ht="14.25" customHeight="1" x14ac:dyDescent="0.3">
      <c r="A220" s="22">
        <v>45933</v>
      </c>
      <c r="B220" s="23">
        <v>787.29</v>
      </c>
      <c r="C220" s="24">
        <f t="shared" si="3"/>
        <v>5.6844310459352254E-3</v>
      </c>
    </row>
    <row r="221" spans="1:3" ht="14.25" customHeight="1" x14ac:dyDescent="0.3">
      <c r="A221" s="22">
        <v>45931</v>
      </c>
      <c r="B221" s="23">
        <v>782.84</v>
      </c>
      <c r="C221" s="24">
        <f t="shared" si="3"/>
        <v>7.7884627762974147E-3</v>
      </c>
    </row>
    <row r="222" spans="1:3" ht="14.25" customHeight="1" x14ac:dyDescent="0.3">
      <c r="A222" s="22">
        <v>45930</v>
      </c>
      <c r="B222" s="23">
        <v>776.79</v>
      </c>
      <c r="C222" s="24">
        <f t="shared" si="3"/>
        <v>2.0601830987724935E-4</v>
      </c>
    </row>
    <row r="223" spans="1:3" ht="14.25" customHeight="1" x14ac:dyDescent="0.3">
      <c r="A223" s="22">
        <v>45929</v>
      </c>
      <c r="B223" s="23">
        <v>776.63</v>
      </c>
      <c r="C223" s="24">
        <f t="shared" si="3"/>
        <v>6.9579559071752451E-4</v>
      </c>
    </row>
    <row r="224" spans="1:3" ht="14.25" customHeight="1" x14ac:dyDescent="0.3">
      <c r="A224" s="22">
        <v>45926</v>
      </c>
      <c r="B224" s="23">
        <v>776.09</v>
      </c>
      <c r="C224" s="24">
        <f t="shared" si="3"/>
        <v>-1.6649139034248552E-2</v>
      </c>
    </row>
    <row r="225" spans="1:3" ht="14.25" customHeight="1" x14ac:dyDescent="0.3">
      <c r="A225" s="22">
        <v>45925</v>
      </c>
      <c r="B225" s="23">
        <v>789.23</v>
      </c>
      <c r="C225" s="24">
        <f t="shared" si="3"/>
        <v>-3.4345602626428781E-3</v>
      </c>
    </row>
    <row r="226" spans="1:3" ht="14.25" customHeight="1" x14ac:dyDescent="0.3">
      <c r="A226" s="22">
        <v>45924</v>
      </c>
      <c r="B226" s="23">
        <v>791.95</v>
      </c>
      <c r="C226" s="24">
        <f t="shared" si="3"/>
        <v>-7.4073145664652548E-3</v>
      </c>
    </row>
    <row r="227" spans="1:3" ht="14.25" customHeight="1" x14ac:dyDescent="0.3">
      <c r="A227" s="22">
        <v>45923</v>
      </c>
      <c r="B227" s="23">
        <v>797.86</v>
      </c>
      <c r="C227" s="24">
        <f t="shared" si="3"/>
        <v>-4.2184613848534717E-3</v>
      </c>
    </row>
    <row r="228" spans="1:3" ht="14.25" customHeight="1" x14ac:dyDescent="0.3">
      <c r="A228" s="22">
        <v>45922</v>
      </c>
      <c r="B228" s="23">
        <v>801.24</v>
      </c>
      <c r="C228" s="24">
        <f t="shared" si="3"/>
        <v>-4.646078163432643E-3</v>
      </c>
    </row>
    <row r="229" spans="1:3" ht="14.25" customHeight="1" x14ac:dyDescent="0.3">
      <c r="A229" s="22">
        <v>45919</v>
      </c>
      <c r="B229" s="23">
        <v>804.98</v>
      </c>
      <c r="C229" s="24">
        <f t="shared" si="3"/>
        <v>-1.9589367189048893E-3</v>
      </c>
    </row>
    <row r="230" spans="1:3" ht="14.25" customHeight="1" x14ac:dyDescent="0.3">
      <c r="A230" s="22">
        <v>45918</v>
      </c>
      <c r="B230" s="23">
        <v>806.56</v>
      </c>
      <c r="C230" s="24">
        <f t="shared" si="3"/>
        <v>2.0748176769495945E-3</v>
      </c>
    </row>
    <row r="231" spans="1:3" ht="14.25" customHeight="1" x14ac:dyDescent="0.3">
      <c r="A231" s="22">
        <v>45917</v>
      </c>
      <c r="B231" s="23">
        <v>804.89</v>
      </c>
      <c r="C231" s="24">
        <f t="shared" si="3"/>
        <v>2.46602981654235E-3</v>
      </c>
    </row>
    <row r="232" spans="1:3" ht="14.25" customHeight="1" x14ac:dyDescent="0.3">
      <c r="A232" s="22">
        <v>45916</v>
      </c>
      <c r="B232" s="23">
        <v>802.91</v>
      </c>
      <c r="C232" s="24">
        <f t="shared" si="3"/>
        <v>6.0520248596630999E-3</v>
      </c>
    </row>
    <row r="233" spans="1:3" ht="14.25" customHeight="1" x14ac:dyDescent="0.3">
      <c r="A233" s="22">
        <v>45915</v>
      </c>
      <c r="B233" s="23">
        <v>798.08</v>
      </c>
      <c r="C233" s="24">
        <f t="shared" si="3"/>
        <v>3.558629361835952E-3</v>
      </c>
    </row>
    <row r="234" spans="1:3" ht="14.25" customHeight="1" x14ac:dyDescent="0.3">
      <c r="A234" s="22">
        <v>45912</v>
      </c>
      <c r="B234" s="23">
        <v>795.25</v>
      </c>
      <c r="C234" s="24">
        <f t="shared" si="3"/>
        <v>3.6473320207986095E-3</v>
      </c>
    </row>
    <row r="235" spans="1:3" ht="14.25" customHeight="1" x14ac:dyDescent="0.3">
      <c r="A235" s="22">
        <v>45911</v>
      </c>
      <c r="B235" s="23">
        <v>792.36</v>
      </c>
      <c r="C235" s="24">
        <f t="shared" si="3"/>
        <v>1.516760200212404E-3</v>
      </c>
    </row>
    <row r="236" spans="1:3" ht="14.25" customHeight="1" x14ac:dyDescent="0.3">
      <c r="A236" s="22">
        <v>45910</v>
      </c>
      <c r="B236" s="23">
        <v>791.16</v>
      </c>
      <c r="C236" s="24">
        <f t="shared" si="3"/>
        <v>4.9028324653880529E-3</v>
      </c>
    </row>
    <row r="237" spans="1:3" ht="14.25" customHeight="1" x14ac:dyDescent="0.3">
      <c r="A237" s="22">
        <v>45909</v>
      </c>
      <c r="B237" s="23">
        <v>787.3</v>
      </c>
      <c r="C237" s="24">
        <f t="shared" si="3"/>
        <v>3.1983078275716957E-3</v>
      </c>
    </row>
    <row r="238" spans="1:3" ht="14.25" customHeight="1" x14ac:dyDescent="0.3">
      <c r="A238" s="22">
        <v>45908</v>
      </c>
      <c r="B238" s="23">
        <v>784.79</v>
      </c>
      <c r="C238" s="24">
        <f t="shared" si="3"/>
        <v>1.531413111448502E-3</v>
      </c>
    </row>
    <row r="239" spans="1:3" ht="14.25" customHeight="1" x14ac:dyDescent="0.3">
      <c r="A239" s="22">
        <v>45905</v>
      </c>
      <c r="B239" s="23">
        <v>783.59</v>
      </c>
      <c r="C239" s="24">
        <f t="shared" si="3"/>
        <v>-1.8216096405186493E-3</v>
      </c>
    </row>
    <row r="240" spans="1:3" ht="14.25" customHeight="1" x14ac:dyDescent="0.3">
      <c r="A240" s="22">
        <v>45904</v>
      </c>
      <c r="B240" s="23">
        <v>785.02</v>
      </c>
      <c r="C240" s="24">
        <f t="shared" si="3"/>
        <v>-3.0099442461804246E-3</v>
      </c>
    </row>
    <row r="241" spans="1:3" ht="14.25" customHeight="1" x14ac:dyDescent="0.3">
      <c r="A241" s="22">
        <v>45903</v>
      </c>
      <c r="B241" s="23">
        <v>787.39</v>
      </c>
      <c r="C241" s="24">
        <f t="shared" si="3"/>
        <v>5.3755203146148229E-3</v>
      </c>
    </row>
    <row r="242" spans="1:3" ht="14.25" customHeight="1" x14ac:dyDescent="0.3">
      <c r="A242" s="22">
        <v>45902</v>
      </c>
      <c r="B242" s="23">
        <v>783.18</v>
      </c>
      <c r="C242" s="24">
        <f t="shared" si="3"/>
        <v>1.7010935601457148E-3</v>
      </c>
    </row>
    <row r="243" spans="1:3" ht="14.25" customHeight="1" x14ac:dyDescent="0.3">
      <c r="A243" s="22">
        <v>45901</v>
      </c>
      <c r="B243" s="23">
        <v>781.85</v>
      </c>
      <c r="C243" s="24">
        <f t="shared" si="3"/>
        <v>9.2554345019880118E-3</v>
      </c>
    </row>
    <row r="244" spans="1:3" ht="14.25" customHeight="1" x14ac:dyDescent="0.3">
      <c r="A244" s="22">
        <v>45898</v>
      </c>
      <c r="B244" s="23">
        <v>774.68</v>
      </c>
      <c r="C244" s="24">
        <f t="shared" si="3"/>
        <v>-3.6013788136030097E-3</v>
      </c>
    </row>
    <row r="245" spans="1:3" ht="14.25" customHeight="1" x14ac:dyDescent="0.3">
      <c r="A245" s="22">
        <v>45897</v>
      </c>
      <c r="B245" s="23">
        <v>777.48</v>
      </c>
      <c r="C245" s="24">
        <f t="shared" si="3"/>
        <v>-9.4786729857819149E-3</v>
      </c>
    </row>
    <row r="246" spans="1:3" ht="14.25" customHeight="1" x14ac:dyDescent="0.3">
      <c r="A246" s="22">
        <v>45895</v>
      </c>
      <c r="B246" s="23">
        <v>784.92</v>
      </c>
      <c r="C246" s="24">
        <f t="shared" si="3"/>
        <v>-1.4055846553868252E-2</v>
      </c>
    </row>
    <row r="247" spans="1:3" ht="14.25" customHeight="1" x14ac:dyDescent="0.3">
      <c r="A247" s="22">
        <v>45894</v>
      </c>
      <c r="B247" s="23">
        <v>796.11</v>
      </c>
      <c r="C247" s="24">
        <f t="shared" si="3"/>
        <v>1.988597032207772E-3</v>
      </c>
    </row>
    <row r="248" spans="1:3" ht="14.25" customHeight="1" x14ac:dyDescent="0.3">
      <c r="A248" s="22">
        <v>45891</v>
      </c>
      <c r="B248" s="23">
        <v>794.53</v>
      </c>
      <c r="C248" s="24">
        <f t="shared" si="3"/>
        <v>-4.7350026931893283E-3</v>
      </c>
    </row>
    <row r="249" spans="1:3" ht="14.25" customHeight="1" x14ac:dyDescent="0.3">
      <c r="A249" s="22">
        <v>45890</v>
      </c>
      <c r="B249" s="23">
        <v>798.31</v>
      </c>
      <c r="C249" s="24">
        <f t="shared" si="3"/>
        <v>3.1325965466255673E-4</v>
      </c>
    </row>
    <row r="250" spans="1:3" ht="14.25" customHeight="1" x14ac:dyDescent="0.3">
      <c r="A250" s="22">
        <v>45889</v>
      </c>
      <c r="B250" s="23">
        <v>798.06</v>
      </c>
      <c r="C250" s="24">
        <f t="shared" si="3"/>
        <v>2.7895054282266706E-3</v>
      </c>
    </row>
    <row r="251" spans="1:3" ht="14.25" customHeight="1" x14ac:dyDescent="0.3">
      <c r="A251" s="22">
        <v>45888</v>
      </c>
      <c r="B251" s="23">
        <v>795.84</v>
      </c>
      <c r="C251" s="24">
        <f t="shared" si="3"/>
        <v>6.5387582683041892E-3</v>
      </c>
    </row>
    <row r="252" spans="1:3" ht="14.25" customHeight="1" x14ac:dyDescent="0.3">
      <c r="A252" s="22">
        <v>45887</v>
      </c>
      <c r="B252" s="23">
        <v>790.67</v>
      </c>
      <c r="C252" s="24">
        <f t="shared" si="3"/>
        <v>1.0854279066199608E-2</v>
      </c>
    </row>
    <row r="253" spans="1:3" ht="14.25" customHeight="1" x14ac:dyDescent="0.3">
      <c r="A253" s="22">
        <v>45883</v>
      </c>
      <c r="B253" s="23">
        <v>782.18</v>
      </c>
      <c r="C253" s="24">
        <f t="shared" si="3"/>
        <v>2.1524663677129404E-3</v>
      </c>
    </row>
    <row r="254" spans="1:3" ht="14.25" customHeight="1" x14ac:dyDescent="0.3">
      <c r="A254" s="22">
        <v>45881</v>
      </c>
      <c r="B254" s="23">
        <v>780.5</v>
      </c>
      <c r="C254" s="24">
        <f t="shared" si="3"/>
        <v>7.6932940120531194E-4</v>
      </c>
    </row>
    <row r="255" spans="1:3" ht="14.25" customHeight="1" x14ac:dyDescent="0.3">
      <c r="A255" s="22">
        <v>45880</v>
      </c>
      <c r="B255" s="23">
        <v>779.9</v>
      </c>
      <c r="C255" s="24">
        <f t="shared" si="3"/>
        <v>4.7020933977455423E-3</v>
      </c>
    </row>
    <row r="256" spans="1:3" ht="14.25" customHeight="1" x14ac:dyDescent="0.3">
      <c r="A256" s="22">
        <v>45877</v>
      </c>
      <c r="B256" s="23">
        <v>776.25</v>
      </c>
      <c r="C256" s="24">
        <f t="shared" si="3"/>
        <v>-7.5052421623280369E-3</v>
      </c>
    </row>
    <row r="257" spans="1:3" ht="14.25" customHeight="1" x14ac:dyDescent="0.3">
      <c r="A257" s="22">
        <v>45876</v>
      </c>
      <c r="B257" s="23">
        <v>782.12</v>
      </c>
      <c r="C257" s="24">
        <f t="shared" si="3"/>
        <v>1.2033078163804175E-3</v>
      </c>
    </row>
    <row r="258" spans="1:3" ht="14.25" customHeight="1" x14ac:dyDescent="0.3">
      <c r="A258" s="22">
        <v>45875</v>
      </c>
      <c r="B258" s="23">
        <v>781.18</v>
      </c>
      <c r="C258" s="24">
        <f t="shared" ref="C258:C321" si="4">(B258-B259)/B259</f>
        <v>-5.9299602972616326E-3</v>
      </c>
    </row>
    <row r="259" spans="1:3" ht="14.25" customHeight="1" x14ac:dyDescent="0.3">
      <c r="A259" s="22">
        <v>45874</v>
      </c>
      <c r="B259" s="23">
        <v>785.84</v>
      </c>
      <c r="C259" s="24">
        <f t="shared" si="4"/>
        <v>1.4144992545206804E-3</v>
      </c>
    </row>
    <row r="260" spans="1:3" ht="14.25" customHeight="1" x14ac:dyDescent="0.3">
      <c r="A260" s="22">
        <v>45870</v>
      </c>
      <c r="B260" s="23">
        <v>784.73</v>
      </c>
      <c r="C260" s="24">
        <f t="shared" si="4"/>
        <v>-1.1338868380935582E-2</v>
      </c>
    </row>
    <row r="261" spans="1:3" ht="14.25" customHeight="1" x14ac:dyDescent="0.3">
      <c r="A261" s="22">
        <v>45869</v>
      </c>
      <c r="B261" s="23">
        <v>793.73</v>
      </c>
      <c r="C261" s="24">
        <f t="shared" si="4"/>
        <v>-6.5833114306812239E-3</v>
      </c>
    </row>
    <row r="262" spans="1:3" ht="14.25" customHeight="1" x14ac:dyDescent="0.3">
      <c r="A262" s="22">
        <v>45868</v>
      </c>
      <c r="B262" s="23">
        <v>798.99</v>
      </c>
      <c r="C262" s="24">
        <f t="shared" si="4"/>
        <v>3.6175905339714304E-3</v>
      </c>
    </row>
    <row r="263" spans="1:3" ht="14.25" customHeight="1" x14ac:dyDescent="0.3">
      <c r="A263" s="22">
        <v>45867</v>
      </c>
      <c r="B263" s="23">
        <v>796.11</v>
      </c>
      <c r="C263" s="24">
        <f t="shared" si="4"/>
        <v>6.8929754888321726E-3</v>
      </c>
    </row>
    <row r="264" spans="1:3" ht="14.25" customHeight="1" x14ac:dyDescent="0.3">
      <c r="A264" s="22">
        <v>45866</v>
      </c>
      <c r="B264" s="23">
        <v>790.66</v>
      </c>
      <c r="C264" s="24">
        <f t="shared" si="4"/>
        <v>-4.4698505433072716E-3</v>
      </c>
    </row>
    <row r="265" spans="1:3" ht="14.25" customHeight="1" x14ac:dyDescent="0.3">
      <c r="A265" s="22">
        <v>45863</v>
      </c>
      <c r="B265" s="23">
        <v>794.21</v>
      </c>
      <c r="C265" s="24">
        <f t="shared" si="4"/>
        <v>-8.3778654547269679E-3</v>
      </c>
    </row>
    <row r="266" spans="1:3" ht="14.25" customHeight="1" x14ac:dyDescent="0.3">
      <c r="A266" s="22">
        <v>45862</v>
      </c>
      <c r="B266" s="23">
        <v>800.92</v>
      </c>
      <c r="C266" s="24">
        <f t="shared" si="4"/>
        <v>-6.0684280413496813E-3</v>
      </c>
    </row>
    <row r="267" spans="1:3" ht="14.25" customHeight="1" x14ac:dyDescent="0.3">
      <c r="A267" s="22">
        <v>45861</v>
      </c>
      <c r="B267" s="23">
        <v>805.81</v>
      </c>
      <c r="C267" s="24">
        <f t="shared" si="4"/>
        <v>3.1620750183623983E-3</v>
      </c>
    </row>
    <row r="268" spans="1:3" ht="14.25" customHeight="1" x14ac:dyDescent="0.3">
      <c r="A268" s="22">
        <v>45860</v>
      </c>
      <c r="B268" s="23">
        <v>803.27</v>
      </c>
      <c r="C268" s="24">
        <f t="shared" si="4"/>
        <v>-2.1614638327474307E-3</v>
      </c>
    </row>
    <row r="269" spans="1:3" ht="14.25" customHeight="1" x14ac:dyDescent="0.3">
      <c r="A269" s="22">
        <v>45859</v>
      </c>
      <c r="B269" s="23">
        <v>805.01</v>
      </c>
      <c r="C269" s="24">
        <f t="shared" si="4"/>
        <v>1.6424243178339113E-3</v>
      </c>
    </row>
    <row r="270" spans="1:3" ht="14.25" customHeight="1" x14ac:dyDescent="0.3">
      <c r="A270" s="22">
        <v>45856</v>
      </c>
      <c r="B270" s="23">
        <v>803.69</v>
      </c>
      <c r="C270" s="24">
        <f t="shared" si="4"/>
        <v>-5.420322496813389E-3</v>
      </c>
    </row>
    <row r="271" spans="1:3" ht="14.25" customHeight="1" x14ac:dyDescent="0.3">
      <c r="A271" s="22">
        <v>45855</v>
      </c>
      <c r="B271" s="23">
        <v>808.07</v>
      </c>
      <c r="C271" s="24">
        <f t="shared" si="4"/>
        <v>8.6701264599879299E-4</v>
      </c>
    </row>
    <row r="272" spans="1:3" ht="14.25" customHeight="1" x14ac:dyDescent="0.3">
      <c r="A272" s="22">
        <v>45854</v>
      </c>
      <c r="B272" s="23">
        <v>807.37</v>
      </c>
      <c r="C272" s="24">
        <f t="shared" si="4"/>
        <v>1.066322798229425E-3</v>
      </c>
    </row>
    <row r="273" spans="1:3" ht="14.25" customHeight="1" x14ac:dyDescent="0.3">
      <c r="A273" s="22">
        <v>45853</v>
      </c>
      <c r="B273" s="23">
        <v>806.51</v>
      </c>
      <c r="C273" s="24">
        <f t="shared" si="4"/>
        <v>6.1754578571785587E-3</v>
      </c>
    </row>
    <row r="274" spans="1:3" ht="14.25" customHeight="1" x14ac:dyDescent="0.3">
      <c r="A274" s="22">
        <v>45852</v>
      </c>
      <c r="B274" s="23">
        <v>801.56</v>
      </c>
      <c r="C274" s="24">
        <f t="shared" si="4"/>
        <v>1.8372933045031354E-3</v>
      </c>
    </row>
    <row r="275" spans="1:3" ht="14.25" customHeight="1" x14ac:dyDescent="0.3">
      <c r="A275" s="22">
        <v>45849</v>
      </c>
      <c r="B275" s="23">
        <v>800.09</v>
      </c>
      <c r="C275" s="24">
        <f t="shared" si="4"/>
        <v>-3.5742751818272447E-3</v>
      </c>
    </row>
    <row r="276" spans="1:3" ht="14.25" customHeight="1" x14ac:dyDescent="0.3">
      <c r="A276" s="22">
        <v>45848</v>
      </c>
      <c r="B276" s="23">
        <v>802.96</v>
      </c>
      <c r="C276" s="24">
        <f t="shared" si="4"/>
        <v>-2.3234720375731577E-3</v>
      </c>
    </row>
    <row r="277" spans="1:3" ht="14.25" customHeight="1" x14ac:dyDescent="0.3">
      <c r="A277" s="22">
        <v>45847</v>
      </c>
      <c r="B277" s="23">
        <v>804.83</v>
      </c>
      <c r="C277" s="24">
        <f t="shared" si="4"/>
        <v>-1.987602330463337E-4</v>
      </c>
    </row>
    <row r="278" spans="1:3" ht="14.25" customHeight="1" x14ac:dyDescent="0.3">
      <c r="A278" s="22">
        <v>45846</v>
      </c>
      <c r="B278" s="23">
        <v>804.99</v>
      </c>
      <c r="C278" s="24">
        <f t="shared" si="4"/>
        <v>9.5744945412944442E-4</v>
      </c>
    </row>
    <row r="279" spans="1:3" ht="14.25" customHeight="1" x14ac:dyDescent="0.3">
      <c r="A279" s="22">
        <v>45845</v>
      </c>
      <c r="B279" s="23">
        <v>804.22</v>
      </c>
      <c r="C279" s="24">
        <f t="shared" si="4"/>
        <v>-8.4482544415449118E-4</v>
      </c>
    </row>
    <row r="280" spans="1:3" ht="14.25" customHeight="1" x14ac:dyDescent="0.3">
      <c r="A280" s="22">
        <v>45842</v>
      </c>
      <c r="B280" s="23">
        <v>804.9</v>
      </c>
      <c r="C280" s="24">
        <f t="shared" si="4"/>
        <v>2.3910931779122257E-3</v>
      </c>
    </row>
    <row r="281" spans="1:3" ht="14.25" customHeight="1" x14ac:dyDescent="0.3">
      <c r="A281" s="22">
        <v>45841</v>
      </c>
      <c r="B281" s="23">
        <v>802.98</v>
      </c>
      <c r="C281" s="24">
        <f t="shared" si="4"/>
        <v>1.9215412257935262E-3</v>
      </c>
    </row>
    <row r="282" spans="1:3" ht="14.25" customHeight="1" x14ac:dyDescent="0.3">
      <c r="A282" s="22">
        <v>45840</v>
      </c>
      <c r="B282" s="23">
        <v>801.44</v>
      </c>
      <c r="C282" s="24">
        <f t="shared" si="4"/>
        <v>-1.9960079840315389E-4</v>
      </c>
    </row>
    <row r="283" spans="1:3" ht="14.25" customHeight="1" x14ac:dyDescent="0.3">
      <c r="A283" s="22">
        <v>45839</v>
      </c>
      <c r="B283" s="23">
        <v>801.6</v>
      </c>
      <c r="C283" s="24">
        <f t="shared" si="4"/>
        <v>1.6220195390968527E-4</v>
      </c>
    </row>
    <row r="284" spans="1:3" ht="14.25" customHeight="1" x14ac:dyDescent="0.3">
      <c r="A284" s="22">
        <v>45838</v>
      </c>
      <c r="B284" s="23">
        <v>801.47</v>
      </c>
      <c r="C284" s="24">
        <f t="shared" si="4"/>
        <v>-7.8543822466026105E-4</v>
      </c>
    </row>
    <row r="285" spans="1:3" ht="14.25" customHeight="1" x14ac:dyDescent="0.3">
      <c r="A285" s="22">
        <v>45835</v>
      </c>
      <c r="B285" s="23">
        <v>802.1</v>
      </c>
      <c r="C285" s="24">
        <f t="shared" si="4"/>
        <v>3.5030651820343655E-3</v>
      </c>
    </row>
    <row r="286" spans="1:3" ht="14.25" customHeight="1" x14ac:dyDescent="0.3">
      <c r="A286" s="22">
        <v>45834</v>
      </c>
      <c r="B286" s="23">
        <v>799.3</v>
      </c>
      <c r="C286" s="24">
        <f t="shared" si="4"/>
        <v>4.9537316435324143E-3</v>
      </c>
    </row>
    <row r="287" spans="1:3" ht="14.25" customHeight="1" x14ac:dyDescent="0.3">
      <c r="A287" s="22">
        <v>45833</v>
      </c>
      <c r="B287" s="23">
        <v>795.36</v>
      </c>
      <c r="C287" s="24">
        <f t="shared" si="4"/>
        <v>9.673242440399122E-3</v>
      </c>
    </row>
    <row r="288" spans="1:3" ht="14.25" customHeight="1" x14ac:dyDescent="0.3">
      <c r="A288" s="22">
        <v>45832</v>
      </c>
      <c r="B288" s="23">
        <v>787.74</v>
      </c>
      <c r="C288" s="24">
        <f t="shared" si="4"/>
        <v>2.6219325934223338E-3</v>
      </c>
    </row>
    <row r="289" spans="1:3" ht="14.25" customHeight="1" x14ac:dyDescent="0.3">
      <c r="A289" s="22">
        <v>45831</v>
      </c>
      <c r="B289" s="23">
        <v>785.68</v>
      </c>
      <c r="C289" s="24">
        <f t="shared" si="4"/>
        <v>-6.232748642151305E-4</v>
      </c>
    </row>
    <row r="290" spans="1:3" ht="14.25" customHeight="1" x14ac:dyDescent="0.3">
      <c r="A290" s="22">
        <v>45828</v>
      </c>
      <c r="B290" s="23">
        <v>786.17</v>
      </c>
      <c r="C290" s="24">
        <f t="shared" si="4"/>
        <v>6.8775614754098425E-3</v>
      </c>
    </row>
    <row r="291" spans="1:3" ht="14.25" customHeight="1" x14ac:dyDescent="0.3">
      <c r="A291" s="22">
        <v>45827</v>
      </c>
      <c r="B291" s="23">
        <v>780.8</v>
      </c>
      <c r="C291" s="24">
        <f t="shared" si="4"/>
        <v>-8.4575724481244525E-3</v>
      </c>
    </row>
    <row r="292" spans="1:3" ht="14.25" customHeight="1" x14ac:dyDescent="0.3">
      <c r="A292" s="22">
        <v>45826</v>
      </c>
      <c r="B292" s="23">
        <v>787.46</v>
      </c>
      <c r="C292" s="24">
        <f t="shared" si="4"/>
        <v>-3.7574484774109203E-3</v>
      </c>
    </row>
    <row r="293" spans="1:3" ht="14.25" customHeight="1" x14ac:dyDescent="0.3">
      <c r="A293" s="22">
        <v>45825</v>
      </c>
      <c r="B293" s="23">
        <v>790.43</v>
      </c>
      <c r="C293" s="24">
        <f t="shared" si="4"/>
        <v>-4.4460678119805606E-3</v>
      </c>
    </row>
    <row r="294" spans="1:3" ht="14.25" customHeight="1" x14ac:dyDescent="0.3">
      <c r="A294" s="22">
        <v>45824</v>
      </c>
      <c r="B294" s="23">
        <v>793.96</v>
      </c>
      <c r="C294" s="24">
        <f t="shared" si="4"/>
        <v>6.6436758291916129E-3</v>
      </c>
    </row>
    <row r="295" spans="1:3" ht="14.25" customHeight="1" x14ac:dyDescent="0.3">
      <c r="A295" s="22">
        <v>45821</v>
      </c>
      <c r="B295" s="23">
        <v>788.72</v>
      </c>
      <c r="C295" s="24">
        <f t="shared" si="4"/>
        <v>-4.6315576925503336E-3</v>
      </c>
    </row>
    <row r="296" spans="1:3" ht="14.25" customHeight="1" x14ac:dyDescent="0.3">
      <c r="A296" s="22">
        <v>45820</v>
      </c>
      <c r="B296" s="23">
        <v>792.39</v>
      </c>
      <c r="C296" s="24">
        <f t="shared" si="4"/>
        <v>-1.0254808893330048E-2</v>
      </c>
    </row>
    <row r="297" spans="1:3" ht="14.25" customHeight="1" x14ac:dyDescent="0.3">
      <c r="A297" s="22">
        <v>45819</v>
      </c>
      <c r="B297" s="23">
        <v>800.6</v>
      </c>
      <c r="C297" s="24">
        <f t="shared" si="4"/>
        <v>1.9899625786911701E-3</v>
      </c>
    </row>
    <row r="298" spans="1:3" ht="14.25" customHeight="1" x14ac:dyDescent="0.3">
      <c r="A298" s="22">
        <v>45818</v>
      </c>
      <c r="B298" s="23">
        <v>799.01</v>
      </c>
      <c r="C298" s="24">
        <f t="shared" si="4"/>
        <v>6.7629341114877649E-4</v>
      </c>
    </row>
    <row r="299" spans="1:3" ht="14.25" customHeight="1" x14ac:dyDescent="0.3">
      <c r="A299" s="22">
        <v>45817</v>
      </c>
      <c r="B299" s="23">
        <v>798.47</v>
      </c>
      <c r="C299" s="24">
        <f t="shared" si="4"/>
        <v>7.7747346366953364E-3</v>
      </c>
    </row>
    <row r="300" spans="1:3" ht="14.25" customHeight="1" x14ac:dyDescent="0.3">
      <c r="A300" s="22">
        <v>45814</v>
      </c>
      <c r="B300" s="23">
        <v>792.31</v>
      </c>
      <c r="C300" s="24">
        <f t="shared" si="4"/>
        <v>7.0158492100814472E-3</v>
      </c>
    </row>
    <row r="301" spans="1:3" ht="14.25" customHeight="1" x14ac:dyDescent="0.3">
      <c r="A301" s="22">
        <v>45813</v>
      </c>
      <c r="B301" s="23">
        <v>786.79</v>
      </c>
      <c r="C301" s="24">
        <f t="shared" si="4"/>
        <v>2.8423574997451036E-3</v>
      </c>
    </row>
    <row r="302" spans="1:3" ht="14.25" customHeight="1" x14ac:dyDescent="0.3">
      <c r="A302" s="22">
        <v>45812</v>
      </c>
      <c r="B302" s="23">
        <v>784.56</v>
      </c>
      <c r="C302" s="24">
        <f t="shared" si="4"/>
        <v>2.6710289212364922E-3</v>
      </c>
    </row>
    <row r="303" spans="1:3" ht="14.25" customHeight="1" x14ac:dyDescent="0.3">
      <c r="A303" s="22">
        <v>45811</v>
      </c>
      <c r="B303" s="23">
        <v>782.47</v>
      </c>
      <c r="C303" s="24">
        <f t="shared" si="4"/>
        <v>-3.3118065904951437E-3</v>
      </c>
    </row>
    <row r="304" spans="1:3" ht="14.25" customHeight="1" x14ac:dyDescent="0.3">
      <c r="A304" s="22">
        <v>45810</v>
      </c>
      <c r="B304" s="23">
        <v>785.07</v>
      </c>
      <c r="C304" s="24">
        <f t="shared" si="4"/>
        <v>-8.9156074075879895E-5</v>
      </c>
    </row>
    <row r="305" spans="1:3" ht="14.25" customHeight="1" x14ac:dyDescent="0.3">
      <c r="A305" s="22">
        <v>45807</v>
      </c>
      <c r="B305" s="23">
        <v>785.14</v>
      </c>
      <c r="C305" s="24">
        <f t="shared" si="4"/>
        <v>-2.6928841805756733E-3</v>
      </c>
    </row>
    <row r="306" spans="1:3" ht="14.25" customHeight="1" x14ac:dyDescent="0.3">
      <c r="A306" s="22">
        <v>45806</v>
      </c>
      <c r="B306" s="23">
        <v>787.26</v>
      </c>
      <c r="C306" s="24">
        <f t="shared" si="4"/>
        <v>3.3263238386541947E-3</v>
      </c>
    </row>
    <row r="307" spans="1:3" ht="14.25" customHeight="1" x14ac:dyDescent="0.3">
      <c r="A307" s="22">
        <v>45805</v>
      </c>
      <c r="B307" s="23">
        <v>784.65</v>
      </c>
      <c r="C307" s="24">
        <f t="shared" si="4"/>
        <v>1.5444705401816638E-3</v>
      </c>
    </row>
    <row r="308" spans="1:3" ht="14.25" customHeight="1" x14ac:dyDescent="0.3">
      <c r="A308" s="22">
        <v>45804</v>
      </c>
      <c r="B308" s="23">
        <v>783.44</v>
      </c>
      <c r="C308" s="24">
        <f t="shared" si="4"/>
        <v>-1.6820429175798159E-3</v>
      </c>
    </row>
    <row r="309" spans="1:3" ht="14.25" customHeight="1" x14ac:dyDescent="0.3">
      <c r="A309" s="22">
        <v>45803</v>
      </c>
      <c r="B309" s="23">
        <v>784.76</v>
      </c>
      <c r="C309" s="24">
        <f t="shared" si="4"/>
        <v>2.7344049474840744E-3</v>
      </c>
    </row>
    <row r="310" spans="1:3" ht="14.25" customHeight="1" x14ac:dyDescent="0.3">
      <c r="A310" s="22">
        <v>45800</v>
      </c>
      <c r="B310" s="23">
        <v>782.62</v>
      </c>
      <c r="C310" s="24">
        <f t="shared" si="4"/>
        <v>6.8182987701332198E-3</v>
      </c>
    </row>
    <row r="311" spans="1:3" ht="14.25" customHeight="1" x14ac:dyDescent="0.3">
      <c r="A311" s="22">
        <v>45799</v>
      </c>
      <c r="B311" s="23">
        <v>777.32</v>
      </c>
      <c r="C311" s="24">
        <f t="shared" si="4"/>
        <v>-3.3336752487433444E-3</v>
      </c>
    </row>
    <row r="312" spans="1:3" ht="14.25" customHeight="1" x14ac:dyDescent="0.3">
      <c r="A312" s="22">
        <v>45798</v>
      </c>
      <c r="B312" s="23">
        <v>779.92</v>
      </c>
      <c r="C312" s="24">
        <f t="shared" si="4"/>
        <v>6.0238632699128785E-3</v>
      </c>
    </row>
    <row r="313" spans="1:3" ht="14.25" customHeight="1" x14ac:dyDescent="0.3">
      <c r="A313" s="22">
        <v>45797</v>
      </c>
      <c r="B313" s="23">
        <v>775.25</v>
      </c>
      <c r="C313" s="24">
        <f t="shared" si="4"/>
        <v>-8.8851956021478457E-3</v>
      </c>
    </row>
    <row r="314" spans="1:3" ht="14.25" customHeight="1" x14ac:dyDescent="0.3">
      <c r="A314" s="22">
        <v>45796</v>
      </c>
      <c r="B314" s="23">
        <v>782.2</v>
      </c>
      <c r="C314" s="24">
        <f t="shared" si="4"/>
        <v>2.0459311544177006E-4</v>
      </c>
    </row>
    <row r="315" spans="1:3" ht="14.25" customHeight="1" x14ac:dyDescent="0.3">
      <c r="A315" s="22">
        <v>45793</v>
      </c>
      <c r="B315" s="23">
        <v>782.04</v>
      </c>
      <c r="C315" s="24">
        <f t="shared" si="4"/>
        <v>4.4568889117226626E-3</v>
      </c>
    </row>
    <row r="316" spans="1:3" ht="14.25" customHeight="1" x14ac:dyDescent="0.3">
      <c r="A316" s="22">
        <v>45792</v>
      </c>
      <c r="B316" s="23">
        <v>778.57</v>
      </c>
      <c r="C316" s="24">
        <f t="shared" si="4"/>
        <v>1.0486833054290179E-2</v>
      </c>
    </row>
    <row r="317" spans="1:3" ht="14.25" customHeight="1" x14ac:dyDescent="0.3">
      <c r="A317" s="22">
        <v>45791</v>
      </c>
      <c r="B317" s="23">
        <v>770.49</v>
      </c>
      <c r="C317" s="24">
        <f t="shared" si="4"/>
        <v>7.9274753738080139E-3</v>
      </c>
    </row>
    <row r="318" spans="1:3" ht="14.25" customHeight="1" x14ac:dyDescent="0.3">
      <c r="A318" s="22">
        <v>45790</v>
      </c>
      <c r="B318" s="23">
        <v>764.43</v>
      </c>
      <c r="C318" s="24">
        <f t="shared" si="4"/>
        <v>-3.2077612173845487E-3</v>
      </c>
    </row>
    <row r="319" spans="1:3" ht="14.25" customHeight="1" x14ac:dyDescent="0.3">
      <c r="A319" s="22">
        <v>45789</v>
      </c>
      <c r="B319" s="23">
        <v>766.89</v>
      </c>
      <c r="C319" s="24">
        <f t="shared" si="4"/>
        <v>3.0530658317320006E-2</v>
      </c>
    </row>
    <row r="320" spans="1:3" ht="14.25" customHeight="1" x14ac:dyDescent="0.3">
      <c r="A320" s="22">
        <v>45786</v>
      </c>
      <c r="B320" s="23">
        <v>744.17</v>
      </c>
      <c r="C320" s="24">
        <f t="shared" si="4"/>
        <v>-5.2400112285955871E-3</v>
      </c>
    </row>
    <row r="321" spans="1:3" ht="14.25" customHeight="1" x14ac:dyDescent="0.3">
      <c r="A321" s="22">
        <v>45785</v>
      </c>
      <c r="B321" s="23">
        <v>748.09</v>
      </c>
      <c r="C321" s="24">
        <f t="shared" si="4"/>
        <v>-9.0079349309170279E-3</v>
      </c>
    </row>
    <row r="322" spans="1:3" ht="14.25" customHeight="1" x14ac:dyDescent="0.3">
      <c r="A322" s="22">
        <v>45784</v>
      </c>
      <c r="B322" s="23">
        <v>754.89</v>
      </c>
      <c r="C322" s="24">
        <f t="shared" ref="C322:C385" si="5">(B322-B323)/B323</f>
        <v>4.4307839693438194E-3</v>
      </c>
    </row>
    <row r="323" spans="1:3" ht="14.25" customHeight="1" x14ac:dyDescent="0.3">
      <c r="A323" s="22">
        <v>45783</v>
      </c>
      <c r="B323" s="23">
        <v>751.56</v>
      </c>
      <c r="C323" s="24">
        <f t="shared" si="5"/>
        <v>-1.1651455774440459E-2</v>
      </c>
    </row>
    <row r="324" spans="1:3" ht="14.25" customHeight="1" x14ac:dyDescent="0.3">
      <c r="A324" s="22">
        <v>45782</v>
      </c>
      <c r="B324" s="23">
        <v>760.42</v>
      </c>
      <c r="C324" s="24">
        <f t="shared" si="5"/>
        <v>4.3188271808756286E-3</v>
      </c>
    </row>
    <row r="325" spans="1:3" ht="14.25" customHeight="1" x14ac:dyDescent="0.3">
      <c r="A325" s="22">
        <v>45779</v>
      </c>
      <c r="B325" s="23">
        <v>757.15</v>
      </c>
      <c r="C325" s="24">
        <f t="shared" si="5"/>
        <v>-3.5647329090858683E-4</v>
      </c>
    </row>
    <row r="326" spans="1:3" ht="14.25" customHeight="1" x14ac:dyDescent="0.3">
      <c r="A326" s="22">
        <v>45777</v>
      </c>
      <c r="B326" s="23">
        <v>757.42</v>
      </c>
      <c r="C326" s="24">
        <f t="shared" si="5"/>
        <v>-2.659854629727293E-3</v>
      </c>
    </row>
    <row r="327" spans="1:3" ht="14.25" customHeight="1" x14ac:dyDescent="0.3">
      <c r="A327" s="22">
        <v>45776</v>
      </c>
      <c r="B327" s="23">
        <v>759.44</v>
      </c>
      <c r="C327" s="24">
        <f t="shared" si="5"/>
        <v>6.3244439759673518E-4</v>
      </c>
    </row>
    <row r="328" spans="1:3" ht="14.25" customHeight="1" x14ac:dyDescent="0.3">
      <c r="A328" s="22">
        <v>45775</v>
      </c>
      <c r="B328" s="23">
        <v>758.96</v>
      </c>
      <c r="C328" s="24">
        <f t="shared" si="5"/>
        <v>9.9805711548186186E-3</v>
      </c>
    </row>
    <row r="329" spans="1:3" ht="14.25" customHeight="1" x14ac:dyDescent="0.3">
      <c r="A329" s="22">
        <v>45772</v>
      </c>
      <c r="B329" s="23">
        <v>751.46</v>
      </c>
      <c r="C329" s="24">
        <f t="shared" si="5"/>
        <v>-1.3443612970985964E-2</v>
      </c>
    </row>
    <row r="330" spans="1:3" ht="14.25" customHeight="1" x14ac:dyDescent="0.3">
      <c r="A330" s="22">
        <v>45771</v>
      </c>
      <c r="B330" s="23">
        <v>761.7</v>
      </c>
      <c r="C330" s="24">
        <f t="shared" si="5"/>
        <v>-2.5535258298958054E-3</v>
      </c>
    </row>
    <row r="331" spans="1:3" ht="14.25" customHeight="1" x14ac:dyDescent="0.3">
      <c r="A331" s="22">
        <v>45770</v>
      </c>
      <c r="B331" s="23">
        <v>763.65</v>
      </c>
      <c r="C331" s="24">
        <f t="shared" si="5"/>
        <v>7.1747932630800712E-3</v>
      </c>
    </row>
    <row r="332" spans="1:3" ht="14.25" customHeight="1" x14ac:dyDescent="0.3">
      <c r="A332" s="22">
        <v>45769</v>
      </c>
      <c r="B332" s="23">
        <v>758.21</v>
      </c>
      <c r="C332" s="24">
        <f t="shared" si="5"/>
        <v>1.9160632168719878E-3</v>
      </c>
    </row>
    <row r="333" spans="1:3" ht="14.25" customHeight="1" x14ac:dyDescent="0.3">
      <c r="A333" s="22">
        <v>45768</v>
      </c>
      <c r="B333" s="23">
        <v>756.76</v>
      </c>
      <c r="C333" s="24">
        <f t="shared" si="5"/>
        <v>1.1211031976161506E-2</v>
      </c>
    </row>
    <row r="334" spans="1:3" ht="14.25" customHeight="1" x14ac:dyDescent="0.3">
      <c r="A334" s="22">
        <v>45764</v>
      </c>
      <c r="B334" s="23">
        <v>748.37</v>
      </c>
      <c r="C334" s="24">
        <f t="shared" si="5"/>
        <v>1.0546073241871097E-2</v>
      </c>
    </row>
    <row r="335" spans="1:3" ht="14.25" customHeight="1" x14ac:dyDescent="0.3">
      <c r="A335" s="22">
        <v>45763</v>
      </c>
      <c r="B335" s="23">
        <v>740.56</v>
      </c>
      <c r="C335" s="24">
        <f t="shared" si="5"/>
        <v>6.3734083465828758E-3</v>
      </c>
    </row>
    <row r="336" spans="1:3" ht="14.25" customHeight="1" x14ac:dyDescent="0.3">
      <c r="A336" s="22">
        <v>45762</v>
      </c>
      <c r="B336" s="23">
        <v>735.87</v>
      </c>
      <c r="C336" s="24">
        <f t="shared" si="5"/>
        <v>2.2581362385703567E-2</v>
      </c>
    </row>
    <row r="337" spans="1:3" ht="14.25" customHeight="1" x14ac:dyDescent="0.3">
      <c r="A337" s="22">
        <v>45758</v>
      </c>
      <c r="B337" s="23">
        <v>719.62</v>
      </c>
      <c r="C337" s="24">
        <f t="shared" si="5"/>
        <v>1.6814559430283128E-2</v>
      </c>
    </row>
    <row r="338" spans="1:3" ht="14.25" customHeight="1" x14ac:dyDescent="0.3">
      <c r="A338" s="22">
        <v>45756</v>
      </c>
      <c r="B338" s="23">
        <v>707.72</v>
      </c>
      <c r="C338" s="24">
        <f t="shared" si="5"/>
        <v>-5.0889869823150732E-3</v>
      </c>
    </row>
    <row r="339" spans="1:3" ht="14.25" customHeight="1" x14ac:dyDescent="0.3">
      <c r="A339" s="22">
        <v>45755</v>
      </c>
      <c r="B339" s="23">
        <v>711.34</v>
      </c>
      <c r="C339" s="24">
        <f t="shared" si="5"/>
        <v>1.6200000000000044E-2</v>
      </c>
    </row>
    <row r="340" spans="1:3" ht="14.25" customHeight="1" x14ac:dyDescent="0.3">
      <c r="A340" s="22">
        <v>45754</v>
      </c>
      <c r="B340" s="23">
        <v>700</v>
      </c>
      <c r="C340" s="24">
        <f t="shared" si="5"/>
        <v>-2.8573807574348839E-2</v>
      </c>
    </row>
    <row r="341" spans="1:3" ht="14.25" customHeight="1" x14ac:dyDescent="0.3">
      <c r="A341" s="22">
        <v>45751</v>
      </c>
      <c r="B341" s="23">
        <v>720.59</v>
      </c>
      <c r="C341" s="24">
        <f t="shared" si="5"/>
        <v>-2.0844373785550145E-2</v>
      </c>
    </row>
    <row r="342" spans="1:3" ht="14.25" customHeight="1" x14ac:dyDescent="0.3">
      <c r="A342" s="22">
        <v>45750</v>
      </c>
      <c r="B342" s="23">
        <v>735.93</v>
      </c>
      <c r="C342" s="24">
        <f t="shared" si="5"/>
        <v>1.2925521782904729E-3</v>
      </c>
    </row>
    <row r="343" spans="1:3" ht="14.25" customHeight="1" x14ac:dyDescent="0.3">
      <c r="A343" s="22">
        <v>45749</v>
      </c>
      <c r="B343" s="23">
        <v>734.98</v>
      </c>
      <c r="C343" s="24">
        <f t="shared" si="5"/>
        <v>7.6363087975213533E-3</v>
      </c>
    </row>
    <row r="344" spans="1:3" ht="14.25" customHeight="1" x14ac:dyDescent="0.3">
      <c r="A344" s="22">
        <v>45748</v>
      </c>
      <c r="B344" s="23">
        <v>729.41</v>
      </c>
      <c r="C344" s="24">
        <f t="shared" si="5"/>
        <v>-6.442912795924508E-3</v>
      </c>
    </row>
    <row r="345" spans="1:3" ht="14.25" customHeight="1" x14ac:dyDescent="0.3">
      <c r="A345" s="22">
        <v>45744</v>
      </c>
      <c r="B345" s="23">
        <v>734.14</v>
      </c>
      <c r="C345" s="24">
        <f t="shared" si="5"/>
        <v>-8.3021435862540131E-4</v>
      </c>
    </row>
    <row r="346" spans="1:3" ht="14.25" customHeight="1" x14ac:dyDescent="0.3">
      <c r="A346" s="22">
        <v>45743</v>
      </c>
      <c r="B346" s="23">
        <v>734.75</v>
      </c>
      <c r="C346" s="24">
        <f t="shared" si="5"/>
        <v>5.0337177014512288E-3</v>
      </c>
    </row>
    <row r="347" spans="1:3" ht="14.25" customHeight="1" x14ac:dyDescent="0.3">
      <c r="A347" s="22">
        <v>45742</v>
      </c>
      <c r="B347" s="23">
        <v>731.07</v>
      </c>
      <c r="C347" s="24">
        <f t="shared" si="5"/>
        <v>-8.5304328957360905E-3</v>
      </c>
    </row>
    <row r="348" spans="1:3" ht="14.25" customHeight="1" x14ac:dyDescent="0.3">
      <c r="A348" s="22">
        <v>45741</v>
      </c>
      <c r="B348" s="23">
        <v>737.36</v>
      </c>
      <c r="C348" s="24">
        <f t="shared" si="5"/>
        <v>-4.6705002564726063E-3</v>
      </c>
    </row>
    <row r="349" spans="1:3" ht="14.25" customHeight="1" x14ac:dyDescent="0.3">
      <c r="A349" s="22">
        <v>45740</v>
      </c>
      <c r="B349" s="23">
        <v>740.82</v>
      </c>
      <c r="C349" s="24">
        <f t="shared" si="5"/>
        <v>1.0282566004800455E-2</v>
      </c>
    </row>
    <row r="350" spans="1:3" ht="14.25" customHeight="1" x14ac:dyDescent="0.3">
      <c r="A350" s="22">
        <v>45737</v>
      </c>
      <c r="B350" s="23">
        <v>733.28</v>
      </c>
      <c r="C350" s="24">
        <f t="shared" si="5"/>
        <v>1.1951091606635158E-2</v>
      </c>
    </row>
    <row r="351" spans="1:3" ht="14.25" customHeight="1" x14ac:dyDescent="0.3">
      <c r="A351" s="22">
        <v>45736</v>
      </c>
      <c r="B351" s="23">
        <v>724.62</v>
      </c>
      <c r="C351" s="24">
        <f t="shared" si="5"/>
        <v>8.9671113091426315E-3</v>
      </c>
    </row>
    <row r="352" spans="1:3" ht="14.25" customHeight="1" x14ac:dyDescent="0.3">
      <c r="A352" s="22">
        <v>45735</v>
      </c>
      <c r="B352" s="23">
        <v>718.18</v>
      </c>
      <c r="C352" s="24">
        <f t="shared" si="5"/>
        <v>1.0155282997636876E-2</v>
      </c>
    </row>
    <row r="353" spans="1:3" ht="14.25" customHeight="1" x14ac:dyDescent="0.3">
      <c r="A353" s="22">
        <v>45734</v>
      </c>
      <c r="B353" s="23">
        <v>710.96</v>
      </c>
      <c r="C353" s="24">
        <f t="shared" si="5"/>
        <v>1.5454052046733582E-2</v>
      </c>
    </row>
    <row r="354" spans="1:3" ht="14.25" customHeight="1" x14ac:dyDescent="0.3">
      <c r="A354" s="22">
        <v>45733</v>
      </c>
      <c r="B354" s="23">
        <v>700.14</v>
      </c>
      <c r="C354" s="24">
        <f t="shared" si="5"/>
        <v>5.8037638270362927E-3</v>
      </c>
    </row>
    <row r="355" spans="1:3" ht="14.25" customHeight="1" x14ac:dyDescent="0.3">
      <c r="A355" s="22">
        <v>45729</v>
      </c>
      <c r="B355" s="23">
        <v>696.1</v>
      </c>
      <c r="C355" s="24">
        <f t="shared" si="5"/>
        <v>-4.7325603008249034E-3</v>
      </c>
    </row>
    <row r="356" spans="1:3" ht="14.25" customHeight="1" x14ac:dyDescent="0.3">
      <c r="A356" s="22">
        <v>45728</v>
      </c>
      <c r="B356" s="23">
        <v>699.41</v>
      </c>
      <c r="C356" s="24">
        <f t="shared" si="5"/>
        <v>-4.9085166320462755E-3</v>
      </c>
    </row>
    <row r="357" spans="1:3" ht="14.25" customHeight="1" x14ac:dyDescent="0.3">
      <c r="A357" s="22">
        <v>45727</v>
      </c>
      <c r="B357" s="23">
        <v>702.86</v>
      </c>
      <c r="C357" s="24">
        <f t="shared" si="5"/>
        <v>-7.6523408821369508E-3</v>
      </c>
    </row>
    <row r="358" spans="1:3" ht="14.25" customHeight="1" x14ac:dyDescent="0.3">
      <c r="A358" s="22">
        <v>45723</v>
      </c>
      <c r="B358" s="23">
        <v>708.28</v>
      </c>
      <c r="C358" s="24">
        <f t="shared" si="5"/>
        <v>2.1182551226466505E-4</v>
      </c>
    </row>
    <row r="359" spans="1:3" ht="14.25" customHeight="1" x14ac:dyDescent="0.3">
      <c r="A359" s="22">
        <v>45722</v>
      </c>
      <c r="B359" s="23">
        <v>708.13</v>
      </c>
      <c r="C359" s="24">
        <f t="shared" si="5"/>
        <v>1.125312388432702E-2</v>
      </c>
    </row>
    <row r="360" spans="1:3" ht="14.25" customHeight="1" x14ac:dyDescent="0.3">
      <c r="A360" s="22">
        <v>45721</v>
      </c>
      <c r="B360" s="23">
        <v>700.25</v>
      </c>
      <c r="C360" s="24">
        <f t="shared" si="5"/>
        <v>1.8456571062889136E-2</v>
      </c>
    </row>
    <row r="361" spans="1:3" ht="14.25" customHeight="1" x14ac:dyDescent="0.3">
      <c r="A361" s="22">
        <v>45720</v>
      </c>
      <c r="B361" s="23">
        <v>687.56</v>
      </c>
      <c r="C361" s="24">
        <f t="shared" si="5"/>
        <v>-8.7257496873359007E-5</v>
      </c>
    </row>
    <row r="362" spans="1:3" ht="14.25" customHeight="1" x14ac:dyDescent="0.3">
      <c r="A362" s="22">
        <v>45719</v>
      </c>
      <c r="B362" s="23">
        <v>687.62</v>
      </c>
      <c r="C362" s="24">
        <f t="shared" si="5"/>
        <v>1.4543127645018114E-5</v>
      </c>
    </row>
    <row r="363" spans="1:3" ht="14.25" customHeight="1" x14ac:dyDescent="0.3">
      <c r="A363" s="22">
        <v>45716</v>
      </c>
      <c r="B363" s="23">
        <v>687.61</v>
      </c>
      <c r="C363" s="24">
        <f t="shared" si="5"/>
        <v>-1.7980576978006327E-2</v>
      </c>
    </row>
    <row r="364" spans="1:3" ht="14.25" customHeight="1" x14ac:dyDescent="0.3">
      <c r="A364" s="22">
        <v>45715</v>
      </c>
      <c r="B364" s="23">
        <v>700.2</v>
      </c>
      <c r="C364" s="24">
        <f t="shared" si="5"/>
        <v>-7.1887362286782884E-3</v>
      </c>
    </row>
    <row r="365" spans="1:3" ht="14.25" customHeight="1" x14ac:dyDescent="0.3">
      <c r="A365" s="22">
        <v>45713</v>
      </c>
      <c r="B365" s="23">
        <v>705.27</v>
      </c>
      <c r="C365" s="24">
        <f t="shared" si="5"/>
        <v>-4.5027242187280223E-3</v>
      </c>
    </row>
    <row r="366" spans="1:3" ht="14.25" customHeight="1" x14ac:dyDescent="0.3">
      <c r="A366" s="22">
        <v>45712</v>
      </c>
      <c r="B366" s="23">
        <v>708.46</v>
      </c>
      <c r="C366" s="24">
        <f t="shared" si="5"/>
        <v>-1.0281914447766216E-2</v>
      </c>
    </row>
    <row r="367" spans="1:3" ht="14.25" customHeight="1" x14ac:dyDescent="0.3">
      <c r="A367" s="22">
        <v>45709</v>
      </c>
      <c r="B367" s="23">
        <v>715.82</v>
      </c>
      <c r="C367" s="24">
        <f t="shared" si="5"/>
        <v>-4.9072078960171999E-3</v>
      </c>
    </row>
    <row r="368" spans="1:3" ht="14.25" customHeight="1" x14ac:dyDescent="0.3">
      <c r="A368" s="22">
        <v>45708</v>
      </c>
      <c r="B368" s="23">
        <v>719.35</v>
      </c>
      <c r="C368" s="24">
        <f t="shared" si="5"/>
        <v>2.6762192827175795E-3</v>
      </c>
    </row>
    <row r="369" spans="1:3" ht="14.25" customHeight="1" x14ac:dyDescent="0.3">
      <c r="A369" s="22">
        <v>45707</v>
      </c>
      <c r="B369" s="23">
        <v>717.43</v>
      </c>
      <c r="C369" s="24">
        <f t="shared" si="5"/>
        <v>5.0572973578771954E-3</v>
      </c>
    </row>
    <row r="370" spans="1:3" ht="14.25" customHeight="1" x14ac:dyDescent="0.3">
      <c r="A370" s="22">
        <v>45706</v>
      </c>
      <c r="B370" s="23">
        <v>713.82</v>
      </c>
      <c r="C370" s="24">
        <f t="shared" si="5"/>
        <v>-3.183912861332178E-3</v>
      </c>
    </row>
    <row r="371" spans="1:3" ht="14.25" customHeight="1" x14ac:dyDescent="0.3">
      <c r="A371" s="22">
        <v>45705</v>
      </c>
      <c r="B371" s="23">
        <v>716.1</v>
      </c>
      <c r="C371" s="24">
        <f t="shared" si="5"/>
        <v>1.2023936021475499E-3</v>
      </c>
    </row>
    <row r="372" spans="1:3" ht="14.25" customHeight="1" x14ac:dyDescent="0.3">
      <c r="A372" s="22">
        <v>45702</v>
      </c>
      <c r="B372" s="23">
        <v>715.24</v>
      </c>
      <c r="C372" s="24">
        <f t="shared" si="5"/>
        <v>-1.2454091072266841E-2</v>
      </c>
    </row>
    <row r="373" spans="1:3" ht="14.25" customHeight="1" x14ac:dyDescent="0.3">
      <c r="A373" s="22">
        <v>45701</v>
      </c>
      <c r="B373" s="23">
        <v>724.26</v>
      </c>
      <c r="C373" s="24">
        <f t="shared" si="5"/>
        <v>-8.0017659069593411E-4</v>
      </c>
    </row>
    <row r="374" spans="1:3" ht="14.25" customHeight="1" x14ac:dyDescent="0.3">
      <c r="A374" s="22">
        <v>45700</v>
      </c>
      <c r="B374" s="23">
        <v>724.84</v>
      </c>
      <c r="C374" s="24">
        <f t="shared" si="5"/>
        <v>-1.8177812052439359E-3</v>
      </c>
    </row>
    <row r="375" spans="1:3" ht="14.25" customHeight="1" x14ac:dyDescent="0.3">
      <c r="A375" s="22">
        <v>45699</v>
      </c>
      <c r="B375" s="23">
        <v>726.16</v>
      </c>
      <c r="C375" s="24">
        <f t="shared" si="5"/>
        <v>-1.736153398557496E-2</v>
      </c>
    </row>
    <row r="376" spans="1:3" ht="14.25" customHeight="1" x14ac:dyDescent="0.3">
      <c r="A376" s="22">
        <v>45698</v>
      </c>
      <c r="B376" s="23">
        <v>738.99</v>
      </c>
      <c r="C376" s="24">
        <f t="shared" si="5"/>
        <v>-1.2652646768030391E-2</v>
      </c>
    </row>
    <row r="377" spans="1:3" ht="14.25" customHeight="1" x14ac:dyDescent="0.3">
      <c r="A377" s="22">
        <v>45695</v>
      </c>
      <c r="B377" s="23">
        <v>748.46</v>
      </c>
      <c r="C377" s="24">
        <f t="shared" si="5"/>
        <v>-1.9867991199413416E-3</v>
      </c>
    </row>
    <row r="378" spans="1:3" ht="14.25" customHeight="1" x14ac:dyDescent="0.3">
      <c r="A378" s="22">
        <v>45694</v>
      </c>
      <c r="B378" s="23">
        <v>749.95</v>
      </c>
      <c r="C378" s="24">
        <f t="shared" si="5"/>
        <v>-2.3413284378284056E-3</v>
      </c>
    </row>
    <row r="379" spans="1:3" ht="14.25" customHeight="1" x14ac:dyDescent="0.3">
      <c r="A379" s="22">
        <v>45693</v>
      </c>
      <c r="B379" s="23">
        <v>751.71</v>
      </c>
      <c r="C379" s="24">
        <f t="shared" si="5"/>
        <v>3.6583574776025861E-3</v>
      </c>
    </row>
    <row r="380" spans="1:3" ht="14.25" customHeight="1" x14ac:dyDescent="0.3">
      <c r="A380" s="22">
        <v>45692</v>
      </c>
      <c r="B380" s="23">
        <v>748.97</v>
      </c>
      <c r="C380" s="24">
        <f t="shared" si="5"/>
        <v>1.2901829787809634E-2</v>
      </c>
    </row>
    <row r="381" spans="1:3" ht="14.25" customHeight="1" x14ac:dyDescent="0.3">
      <c r="A381" s="22">
        <v>45691</v>
      </c>
      <c r="B381" s="23">
        <v>739.43</v>
      </c>
      <c r="C381" s="24">
        <f t="shared" si="5"/>
        <v>-7.742887815351711E-3</v>
      </c>
    </row>
    <row r="382" spans="1:3" ht="14.25" customHeight="1" x14ac:dyDescent="0.3">
      <c r="A382" s="22">
        <v>45688</v>
      </c>
      <c r="B382" s="23">
        <v>745.2</v>
      </c>
      <c r="C382" s="24">
        <f t="shared" si="5"/>
        <v>1.1263400732799659E-2</v>
      </c>
    </row>
    <row r="383" spans="1:3" ht="14.25" customHeight="1" x14ac:dyDescent="0.3">
      <c r="A383" s="22">
        <v>45687</v>
      </c>
      <c r="B383" s="23">
        <v>736.9</v>
      </c>
      <c r="C383" s="24">
        <f t="shared" si="5"/>
        <v>3.5954566502328692E-3</v>
      </c>
    </row>
    <row r="384" spans="1:3" ht="14.25" customHeight="1" x14ac:dyDescent="0.3">
      <c r="A384" s="22">
        <v>45686</v>
      </c>
      <c r="B384" s="23">
        <v>734.26</v>
      </c>
      <c r="C384" s="24">
        <f t="shared" si="5"/>
        <v>1.2493105350248132E-2</v>
      </c>
    </row>
    <row r="385" spans="1:3" ht="14.25" customHeight="1" x14ac:dyDescent="0.3">
      <c r="A385" s="22">
        <v>45685</v>
      </c>
      <c r="B385" s="23">
        <v>725.2</v>
      </c>
      <c r="C385" s="24">
        <f t="shared" si="5"/>
        <v>1.0352681344468217E-3</v>
      </c>
    </row>
    <row r="386" spans="1:3" ht="14.25" customHeight="1" x14ac:dyDescent="0.3">
      <c r="A386" s="22">
        <v>45684</v>
      </c>
      <c r="B386" s="23">
        <v>724.45</v>
      </c>
      <c r="C386" s="24">
        <f t="shared" ref="C386:C449" si="6">(B386-B387)/B387</f>
        <v>-1.2189967138902823E-2</v>
      </c>
    </row>
    <row r="387" spans="1:3" ht="14.25" customHeight="1" x14ac:dyDescent="0.3">
      <c r="A387" s="22">
        <v>45681</v>
      </c>
      <c r="B387" s="23">
        <v>733.39</v>
      </c>
      <c r="C387" s="24">
        <f t="shared" si="6"/>
        <v>-1.1310631184448201E-2</v>
      </c>
    </row>
    <row r="388" spans="1:3" ht="14.25" customHeight="1" x14ac:dyDescent="0.3">
      <c r="A388" s="22">
        <v>45680</v>
      </c>
      <c r="B388" s="23">
        <v>741.78</v>
      </c>
      <c r="C388" s="24">
        <f t="shared" si="6"/>
        <v>5.9534303421527098E-3</v>
      </c>
    </row>
    <row r="389" spans="1:3" ht="14.25" customHeight="1" x14ac:dyDescent="0.3">
      <c r="A389" s="22">
        <v>45679</v>
      </c>
      <c r="B389" s="23">
        <v>737.39</v>
      </c>
      <c r="C389" s="24">
        <f t="shared" si="6"/>
        <v>-2.7184203408168665E-3</v>
      </c>
    </row>
    <row r="390" spans="1:3" ht="14.25" customHeight="1" x14ac:dyDescent="0.3">
      <c r="A390" s="22">
        <v>45678</v>
      </c>
      <c r="B390" s="23">
        <v>739.4</v>
      </c>
      <c r="C390" s="24">
        <f t="shared" si="6"/>
        <v>-1.1444462270709742E-2</v>
      </c>
    </row>
    <row r="391" spans="1:3" ht="14.25" customHeight="1" x14ac:dyDescent="0.3">
      <c r="A391" s="22">
        <v>45677</v>
      </c>
      <c r="B391" s="23">
        <v>747.96</v>
      </c>
      <c r="C391" s="24">
        <f t="shared" si="6"/>
        <v>3.1383278345538368E-3</v>
      </c>
    </row>
    <row r="392" spans="1:3" ht="14.25" customHeight="1" x14ac:dyDescent="0.3">
      <c r="A392" s="22">
        <v>45674</v>
      </c>
      <c r="B392" s="23">
        <v>745.62</v>
      </c>
      <c r="C392" s="24">
        <f t="shared" si="6"/>
        <v>-1.5132239705389963E-3</v>
      </c>
    </row>
    <row r="393" spans="1:3" ht="14.25" customHeight="1" x14ac:dyDescent="0.3">
      <c r="A393" s="22">
        <v>45673</v>
      </c>
      <c r="B393" s="23">
        <v>746.75</v>
      </c>
      <c r="C393" s="24">
        <f t="shared" si="6"/>
        <v>9.2307276462320811E-3</v>
      </c>
    </row>
    <row r="394" spans="1:3" ht="14.25" customHeight="1" x14ac:dyDescent="0.3">
      <c r="A394" s="22">
        <v>45672</v>
      </c>
      <c r="B394" s="23">
        <v>739.92</v>
      </c>
      <c r="C394" s="24">
        <f t="shared" si="6"/>
        <v>1.5837563451776096E-3</v>
      </c>
    </row>
    <row r="395" spans="1:3" ht="14.25" customHeight="1" x14ac:dyDescent="0.3">
      <c r="A395" s="22">
        <v>45671</v>
      </c>
      <c r="B395" s="23">
        <v>738.75</v>
      </c>
      <c r="C395" s="24">
        <f t="shared" si="6"/>
        <v>1.1044506487107969E-2</v>
      </c>
    </row>
    <row r="396" spans="1:3" ht="14.25" customHeight="1" x14ac:dyDescent="0.3">
      <c r="A396" s="22">
        <v>45670</v>
      </c>
      <c r="B396" s="23">
        <v>730.68</v>
      </c>
      <c r="C396" s="24">
        <f t="shared" si="6"/>
        <v>-2.4667627743072268E-2</v>
      </c>
    </row>
    <row r="397" spans="1:3" ht="14.25" customHeight="1" x14ac:dyDescent="0.3">
      <c r="A397" s="22">
        <v>45667</v>
      </c>
      <c r="B397" s="23">
        <v>749.16</v>
      </c>
      <c r="C397" s="24">
        <f t="shared" si="6"/>
        <v>-1.2092360845542273E-2</v>
      </c>
    </row>
    <row r="398" spans="1:3" ht="14.25" customHeight="1" x14ac:dyDescent="0.3">
      <c r="A398" s="22">
        <v>45666</v>
      </c>
      <c r="B398" s="23">
        <v>758.33</v>
      </c>
      <c r="C398" s="24">
        <f t="shared" si="6"/>
        <v>-3.6001944630586003E-3</v>
      </c>
    </row>
    <row r="399" spans="1:3" ht="14.25" customHeight="1" x14ac:dyDescent="0.3">
      <c r="A399" s="22">
        <v>45665</v>
      </c>
      <c r="B399" s="23">
        <v>761.07</v>
      </c>
      <c r="C399" s="24">
        <f t="shared" si="6"/>
        <v>-4.2521456981369056E-3</v>
      </c>
    </row>
    <row r="400" spans="1:3" ht="14.25" customHeight="1" x14ac:dyDescent="0.3">
      <c r="A400" s="22">
        <v>45664</v>
      </c>
      <c r="B400" s="23">
        <v>764.32</v>
      </c>
      <c r="C400" s="24">
        <f t="shared" si="6"/>
        <v>7.553487391080845E-3</v>
      </c>
    </row>
    <row r="401" spans="1:3" ht="14.25" customHeight="1" x14ac:dyDescent="0.3">
      <c r="A401" s="22">
        <v>45663</v>
      </c>
      <c r="B401" s="23">
        <v>758.59</v>
      </c>
      <c r="C401" s="24">
        <f t="shared" si="6"/>
        <v>-1.843848662077532E-2</v>
      </c>
    </row>
    <row r="402" spans="1:3" ht="14.25" customHeight="1" x14ac:dyDescent="0.3">
      <c r="A402" s="22">
        <v>45660</v>
      </c>
      <c r="B402" s="23">
        <v>772.84</v>
      </c>
      <c r="C402" s="24">
        <f t="shared" si="6"/>
        <v>-2.014462809917285E-3</v>
      </c>
    </row>
    <row r="403" spans="1:3" ht="14.25" customHeight="1" x14ac:dyDescent="0.3">
      <c r="A403" s="22">
        <v>45659</v>
      </c>
      <c r="B403" s="23">
        <v>774.4</v>
      </c>
      <c r="C403" s="24">
        <f t="shared" si="6"/>
        <v>1.1256496643944743E-2</v>
      </c>
    </row>
    <row r="404" spans="1:3" ht="14.25" customHeight="1" x14ac:dyDescent="0.3">
      <c r="A404" s="22">
        <v>45658</v>
      </c>
      <c r="B404" s="23">
        <v>765.78</v>
      </c>
      <c r="C404" s="24">
        <f t="shared" si="6"/>
        <v>4.4597182507410708E-3</v>
      </c>
    </row>
    <row r="405" spans="1:3" ht="14.25" customHeight="1" x14ac:dyDescent="0.3">
      <c r="A405" s="22">
        <v>45657</v>
      </c>
      <c r="B405" s="23">
        <v>762.38</v>
      </c>
      <c r="C405" s="24">
        <f t="shared" si="6"/>
        <v>1.6422950087370094E-3</v>
      </c>
    </row>
    <row r="406" spans="1:3" ht="14.25" customHeight="1" x14ac:dyDescent="0.3">
      <c r="A406" s="22">
        <v>45656</v>
      </c>
      <c r="B406" s="23">
        <v>761.13</v>
      </c>
      <c r="C406" s="24">
        <f t="shared" si="6"/>
        <v>-5.6047660108175428E-3</v>
      </c>
    </row>
    <row r="407" spans="1:3" ht="14.25" customHeight="1" x14ac:dyDescent="0.3">
      <c r="A407" s="22">
        <v>45653</v>
      </c>
      <c r="B407" s="23">
        <v>765.42</v>
      </c>
      <c r="C407" s="24">
        <f t="shared" si="6"/>
        <v>8.6301584810916912E-4</v>
      </c>
    </row>
    <row r="408" spans="1:3" ht="14.25" customHeight="1" x14ac:dyDescent="0.3">
      <c r="A408" s="22">
        <v>45652</v>
      </c>
      <c r="B408" s="23">
        <v>764.76</v>
      </c>
      <c r="C408" s="24">
        <f t="shared" si="6"/>
        <v>-1.1885015737850095E-3</v>
      </c>
    </row>
    <row r="409" spans="1:3" ht="14.25" customHeight="1" x14ac:dyDescent="0.3">
      <c r="A409" s="22">
        <v>45650</v>
      </c>
      <c r="B409" s="23">
        <v>765.67</v>
      </c>
      <c r="C409" s="24">
        <f t="shared" si="6"/>
        <v>2.0153638778741363E-3</v>
      </c>
    </row>
    <row r="410" spans="1:3" ht="14.25" customHeight="1" x14ac:dyDescent="0.3">
      <c r="A410" s="22">
        <v>45649</v>
      </c>
      <c r="B410" s="23">
        <v>764.13</v>
      </c>
      <c r="C410" s="24">
        <f t="shared" si="6"/>
        <v>1.8355119111611935E-3</v>
      </c>
    </row>
    <row r="411" spans="1:3" ht="14.25" customHeight="1" x14ac:dyDescent="0.3">
      <c r="A411" s="22">
        <v>45646</v>
      </c>
      <c r="B411" s="23">
        <v>762.73</v>
      </c>
      <c r="C411" s="24">
        <f t="shared" si="6"/>
        <v>-1.7265148879697958E-2</v>
      </c>
    </row>
    <row r="412" spans="1:3" ht="14.25" customHeight="1" x14ac:dyDescent="0.3">
      <c r="A412" s="22">
        <v>45645</v>
      </c>
      <c r="B412" s="23">
        <v>776.13</v>
      </c>
      <c r="C412" s="24">
        <f t="shared" si="6"/>
        <v>-7.1127940743773857E-3</v>
      </c>
    </row>
    <row r="413" spans="1:3" ht="14.25" customHeight="1" x14ac:dyDescent="0.3">
      <c r="A413" s="22">
        <v>45644</v>
      </c>
      <c r="B413" s="23">
        <v>781.69</v>
      </c>
      <c r="C413" s="24">
        <f t="shared" si="6"/>
        <v>-6.658787948101986E-3</v>
      </c>
    </row>
    <row r="414" spans="1:3" ht="14.25" customHeight="1" x14ac:dyDescent="0.3">
      <c r="A414" s="22">
        <v>45643</v>
      </c>
      <c r="B414" s="23">
        <v>786.93</v>
      </c>
      <c r="C414" s="24">
        <f t="shared" si="6"/>
        <v>-1.0474561778537889E-2</v>
      </c>
    </row>
    <row r="415" spans="1:3" ht="14.25" customHeight="1" x14ac:dyDescent="0.3">
      <c r="A415" s="22">
        <v>45642</v>
      </c>
      <c r="B415" s="23">
        <v>795.26</v>
      </c>
      <c r="C415" s="24">
        <f t="shared" si="6"/>
        <v>1.6499779583096484E-3</v>
      </c>
    </row>
    <row r="416" spans="1:3" ht="14.25" customHeight="1" x14ac:dyDescent="0.3">
      <c r="A416" s="22">
        <v>45639</v>
      </c>
      <c r="B416" s="23">
        <v>793.95</v>
      </c>
      <c r="C416" s="24">
        <f t="shared" si="6"/>
        <v>2.3229096968855737E-3</v>
      </c>
    </row>
    <row r="417" spans="1:3" ht="14.25" customHeight="1" x14ac:dyDescent="0.3">
      <c r="A417" s="22">
        <v>45638</v>
      </c>
      <c r="B417" s="23">
        <v>792.11</v>
      </c>
      <c r="C417" s="24">
        <f t="shared" si="6"/>
        <v>-8.039773083040035E-3</v>
      </c>
    </row>
    <row r="418" spans="1:3" ht="14.25" customHeight="1" x14ac:dyDescent="0.3">
      <c r="A418" s="22">
        <v>45637</v>
      </c>
      <c r="B418" s="23">
        <v>798.53</v>
      </c>
      <c r="C418" s="24">
        <f t="shared" si="6"/>
        <v>1.5427066348927859E-3</v>
      </c>
    </row>
    <row r="419" spans="1:3" ht="14.25" customHeight="1" x14ac:dyDescent="0.3">
      <c r="A419" s="22">
        <v>45636</v>
      </c>
      <c r="B419" s="23">
        <v>797.3</v>
      </c>
      <c r="C419" s="24">
        <f t="shared" si="6"/>
        <v>4.1561712846347031E-3</v>
      </c>
    </row>
    <row r="420" spans="1:3" ht="14.25" customHeight="1" x14ac:dyDescent="0.3">
      <c r="A420" s="22">
        <v>45635</v>
      </c>
      <c r="B420" s="23">
        <v>794</v>
      </c>
      <c r="C420" s="24">
        <f t="shared" si="6"/>
        <v>-2.312022517088902E-3</v>
      </c>
    </row>
    <row r="421" spans="1:3" ht="14.25" customHeight="1" x14ac:dyDescent="0.3">
      <c r="A421" s="22">
        <v>45632</v>
      </c>
      <c r="B421" s="23">
        <v>795.84</v>
      </c>
      <c r="C421" s="24">
        <f t="shared" si="6"/>
        <v>-3.2659213666623655E-4</v>
      </c>
    </row>
    <row r="422" spans="1:3" ht="14.25" customHeight="1" x14ac:dyDescent="0.3">
      <c r="A422" s="22">
        <v>45631</v>
      </c>
      <c r="B422" s="23">
        <v>796.1</v>
      </c>
      <c r="C422" s="24">
        <f t="shared" si="6"/>
        <v>1.8877422602567328E-3</v>
      </c>
    </row>
    <row r="423" spans="1:3" ht="14.25" customHeight="1" x14ac:dyDescent="0.3">
      <c r="A423" s="22">
        <v>45630</v>
      </c>
      <c r="B423" s="23">
        <v>794.6</v>
      </c>
      <c r="C423" s="24">
        <f t="shared" si="6"/>
        <v>3.4348638682629028E-3</v>
      </c>
    </row>
    <row r="424" spans="1:3" ht="14.25" customHeight="1" x14ac:dyDescent="0.3">
      <c r="A424" s="22">
        <v>45629</v>
      </c>
      <c r="B424" s="23">
        <v>791.88</v>
      </c>
      <c r="C424" s="24">
        <f t="shared" si="6"/>
        <v>9.6646691317098573E-3</v>
      </c>
    </row>
    <row r="425" spans="1:3" ht="14.25" customHeight="1" x14ac:dyDescent="0.3">
      <c r="A425" s="22">
        <v>45628</v>
      </c>
      <c r="B425" s="23">
        <v>784.3</v>
      </c>
      <c r="C425" s="24">
        <f t="shared" si="6"/>
        <v>5.3968131882217727E-3</v>
      </c>
    </row>
    <row r="426" spans="1:3" ht="14.25" customHeight="1" x14ac:dyDescent="0.3">
      <c r="A426" s="22">
        <v>45625</v>
      </c>
      <c r="B426" s="23">
        <v>780.09</v>
      </c>
      <c r="C426" s="24">
        <f t="shared" si="6"/>
        <v>8.624033513485653E-3</v>
      </c>
    </row>
    <row r="427" spans="1:3" ht="14.25" customHeight="1" x14ac:dyDescent="0.3">
      <c r="A427" s="22">
        <v>45624</v>
      </c>
      <c r="B427" s="23">
        <v>773.42</v>
      </c>
      <c r="C427" s="24">
        <f t="shared" si="6"/>
        <v>-5.656835771772506E-3</v>
      </c>
    </row>
    <row r="428" spans="1:3" ht="14.25" customHeight="1" x14ac:dyDescent="0.3">
      <c r="A428" s="22">
        <v>45623</v>
      </c>
      <c r="B428" s="23">
        <v>777.82</v>
      </c>
      <c r="C428" s="24">
        <f t="shared" si="6"/>
        <v>4.818561149220398E-3</v>
      </c>
    </row>
    <row r="429" spans="1:3" ht="14.25" customHeight="1" x14ac:dyDescent="0.3">
      <c r="A429" s="22">
        <v>45622</v>
      </c>
      <c r="B429" s="23">
        <v>774.09</v>
      </c>
      <c r="C429" s="24">
        <f t="shared" si="6"/>
        <v>7.4982870292567764E-4</v>
      </c>
    </row>
    <row r="430" spans="1:3" ht="14.25" customHeight="1" x14ac:dyDescent="0.3">
      <c r="A430" s="22">
        <v>45621</v>
      </c>
      <c r="B430" s="23">
        <v>773.51</v>
      </c>
      <c r="C430" s="24">
        <f t="shared" si="6"/>
        <v>1.4173331585157919E-2</v>
      </c>
    </row>
    <row r="431" spans="1:3" ht="14.25" customHeight="1" x14ac:dyDescent="0.3">
      <c r="A431" s="22">
        <v>45618</v>
      </c>
      <c r="B431" s="23">
        <v>762.7</v>
      </c>
      <c r="C431" s="24">
        <f t="shared" si="6"/>
        <v>1.4026457488532963E-2</v>
      </c>
    </row>
    <row r="432" spans="1:3" ht="14.25" customHeight="1" x14ac:dyDescent="0.3">
      <c r="A432" s="22">
        <v>45617</v>
      </c>
      <c r="B432" s="23">
        <v>752.15</v>
      </c>
      <c r="C432" s="24">
        <f t="shared" si="6"/>
        <v>-4.1968966795531328E-3</v>
      </c>
    </row>
    <row r="433" spans="1:3" ht="14.25" customHeight="1" x14ac:dyDescent="0.3">
      <c r="A433" s="22">
        <v>45614</v>
      </c>
      <c r="B433" s="23">
        <v>755.32</v>
      </c>
      <c r="C433" s="24">
        <f t="shared" si="6"/>
        <v>-4.9140372834462877E-3</v>
      </c>
    </row>
    <row r="434" spans="1:3" ht="14.25" customHeight="1" x14ac:dyDescent="0.3">
      <c r="A434" s="22">
        <v>45610</v>
      </c>
      <c r="B434" s="23">
        <v>759.05</v>
      </c>
      <c r="C434" s="24">
        <f t="shared" si="6"/>
        <v>1.2927566055903866E-3</v>
      </c>
    </row>
    <row r="435" spans="1:3" ht="14.25" customHeight="1" x14ac:dyDescent="0.3">
      <c r="A435" s="22">
        <v>45609</v>
      </c>
      <c r="B435" s="23">
        <v>758.07</v>
      </c>
      <c r="C435" s="24">
        <f t="shared" si="6"/>
        <v>-1.7025414937759328E-2</v>
      </c>
    </row>
    <row r="436" spans="1:3" ht="14.25" customHeight="1" x14ac:dyDescent="0.3">
      <c r="A436" s="22">
        <v>45608</v>
      </c>
      <c r="B436" s="23">
        <v>771.2</v>
      </c>
      <c r="C436" s="24">
        <f t="shared" si="6"/>
        <v>-1.0305044723637401E-2</v>
      </c>
    </row>
    <row r="437" spans="1:3" ht="14.25" customHeight="1" x14ac:dyDescent="0.3">
      <c r="A437" s="22">
        <v>45607</v>
      </c>
      <c r="B437" s="23">
        <v>779.23</v>
      </c>
      <c r="C437" s="24">
        <f t="shared" si="6"/>
        <v>-4.7258375589132257E-3</v>
      </c>
    </row>
    <row r="438" spans="1:3" ht="14.25" customHeight="1" x14ac:dyDescent="0.3">
      <c r="A438" s="22">
        <v>45604</v>
      </c>
      <c r="B438" s="23">
        <v>782.93</v>
      </c>
      <c r="C438" s="24">
        <f t="shared" si="6"/>
        <v>-8.9493670886076574E-3</v>
      </c>
    </row>
    <row r="439" spans="1:3" ht="14.25" customHeight="1" x14ac:dyDescent="0.3">
      <c r="A439" s="22">
        <v>45603</v>
      </c>
      <c r="B439" s="23">
        <v>790</v>
      </c>
      <c r="C439" s="24">
        <f t="shared" si="6"/>
        <v>-5.7640514485640722E-3</v>
      </c>
    </row>
    <row r="440" spans="1:3" ht="14.25" customHeight="1" x14ac:dyDescent="0.3">
      <c r="A440" s="22">
        <v>45602</v>
      </c>
      <c r="B440" s="23">
        <v>794.58</v>
      </c>
      <c r="C440" s="24">
        <f t="shared" si="6"/>
        <v>1.1675430666785594E-2</v>
      </c>
    </row>
    <row r="441" spans="1:3" ht="14.25" customHeight="1" x14ac:dyDescent="0.3">
      <c r="A441" s="22">
        <v>45601</v>
      </c>
      <c r="B441" s="23">
        <v>785.41</v>
      </c>
      <c r="C441" s="24">
        <f t="shared" si="6"/>
        <v>6.3810976000410269E-3</v>
      </c>
    </row>
    <row r="442" spans="1:3" ht="14.25" customHeight="1" x14ac:dyDescent="0.3">
      <c r="A442" s="22">
        <v>45600</v>
      </c>
      <c r="B442" s="23">
        <v>780.43</v>
      </c>
      <c r="C442" s="24">
        <f t="shared" si="6"/>
        <v>-8.2221375015885476E-3</v>
      </c>
    </row>
    <row r="443" spans="1:3" ht="14.25" customHeight="1" x14ac:dyDescent="0.3">
      <c r="A443" s="22">
        <v>45597</v>
      </c>
      <c r="B443" s="23">
        <v>786.9</v>
      </c>
      <c r="C443" s="24">
        <f t="shared" si="6"/>
        <v>0</v>
      </c>
    </row>
    <row r="444" spans="1:3" ht="14.25" customHeight="1" x14ac:dyDescent="0.3">
      <c r="A444" s="22">
        <v>45596</v>
      </c>
      <c r="B444" s="23">
        <v>786.9</v>
      </c>
      <c r="C444" s="24">
        <f t="shared" si="6"/>
        <v>-6.984570448918257E-4</v>
      </c>
    </row>
    <row r="445" spans="1:3" ht="14.25" customHeight="1" x14ac:dyDescent="0.3">
      <c r="A445" s="22">
        <v>45595</v>
      </c>
      <c r="B445" s="23">
        <v>787.45</v>
      </c>
      <c r="C445" s="24">
        <f t="shared" si="6"/>
        <v>1.0296959218957327E-3</v>
      </c>
    </row>
    <row r="446" spans="1:3" ht="14.25" customHeight="1" x14ac:dyDescent="0.3">
      <c r="A446" s="22">
        <v>45594</v>
      </c>
      <c r="B446" s="23">
        <v>786.64</v>
      </c>
      <c r="C446" s="24">
        <f t="shared" si="6"/>
        <v>7.0152081519791317E-3</v>
      </c>
    </row>
    <row r="447" spans="1:3" ht="14.25" customHeight="1" x14ac:dyDescent="0.3">
      <c r="A447" s="22">
        <v>45593</v>
      </c>
      <c r="B447" s="23">
        <v>781.16</v>
      </c>
      <c r="C447" s="24">
        <f t="shared" si="6"/>
        <v>6.7273242776502221E-3</v>
      </c>
    </row>
    <row r="448" spans="1:3" ht="14.25" customHeight="1" x14ac:dyDescent="0.3">
      <c r="A448" s="22">
        <v>45590</v>
      </c>
      <c r="B448" s="23">
        <v>775.94</v>
      </c>
      <c r="C448" s="24">
        <f t="shared" si="6"/>
        <v>-1.0722254095748032E-2</v>
      </c>
    </row>
    <row r="449" spans="1:3" ht="14.25" customHeight="1" x14ac:dyDescent="0.3">
      <c r="A449" s="22">
        <v>45589</v>
      </c>
      <c r="B449" s="23">
        <v>784.35</v>
      </c>
      <c r="C449" s="24">
        <f t="shared" si="6"/>
        <v>-1.1970100217753199E-3</v>
      </c>
    </row>
    <row r="450" spans="1:3" ht="14.25" customHeight="1" x14ac:dyDescent="0.3">
      <c r="A450" s="22">
        <v>45588</v>
      </c>
      <c r="B450" s="23">
        <v>785.29</v>
      </c>
      <c r="C450" s="24">
        <f t="shared" ref="C450:C513" si="7">(B450-B451)/B451</f>
        <v>8.7942900841185426E-4</v>
      </c>
    </row>
    <row r="451" spans="1:3" ht="14.25" customHeight="1" x14ac:dyDescent="0.3">
      <c r="A451" s="22">
        <v>45587</v>
      </c>
      <c r="B451" s="23">
        <v>784.6</v>
      </c>
      <c r="C451" s="24">
        <f t="shared" si="7"/>
        <v>-1.6496189330124308E-2</v>
      </c>
    </row>
    <row r="452" spans="1:3" ht="14.25" customHeight="1" x14ac:dyDescent="0.3">
      <c r="A452" s="22">
        <v>45586</v>
      </c>
      <c r="B452" s="23">
        <v>797.76</v>
      </c>
      <c r="C452" s="24">
        <f t="shared" si="7"/>
        <v>-7.7365108584791006E-3</v>
      </c>
    </row>
    <row r="453" spans="1:3" ht="14.25" customHeight="1" x14ac:dyDescent="0.3">
      <c r="A453" s="22">
        <v>45583</v>
      </c>
      <c r="B453" s="23">
        <v>803.98</v>
      </c>
      <c r="C453" s="24">
        <f t="shared" si="7"/>
        <v>4.6861527310898118E-3</v>
      </c>
    </row>
    <row r="454" spans="1:3" ht="14.25" customHeight="1" x14ac:dyDescent="0.3">
      <c r="A454" s="22">
        <v>45582</v>
      </c>
      <c r="B454" s="23">
        <v>800.23</v>
      </c>
      <c r="C454" s="24">
        <f t="shared" si="7"/>
        <v>-1.027778464887321E-2</v>
      </c>
    </row>
    <row r="455" spans="1:3" ht="14.25" customHeight="1" x14ac:dyDescent="0.3">
      <c r="A455" s="22">
        <v>45581</v>
      </c>
      <c r="B455" s="23">
        <v>808.54</v>
      </c>
      <c r="C455" s="24">
        <f t="shared" si="7"/>
        <v>5.0734411542693403E-4</v>
      </c>
    </row>
    <row r="456" spans="1:3" ht="14.25" customHeight="1" x14ac:dyDescent="0.3">
      <c r="A456" s="22">
        <v>45580</v>
      </c>
      <c r="B456" s="23">
        <v>808.13</v>
      </c>
      <c r="C456" s="24">
        <f t="shared" si="7"/>
        <v>1.561589847187268E-3</v>
      </c>
    </row>
    <row r="457" spans="1:3" ht="14.25" customHeight="1" x14ac:dyDescent="0.3">
      <c r="A457" s="22">
        <v>45579</v>
      </c>
      <c r="B457" s="23">
        <v>806.87</v>
      </c>
      <c r="C457" s="24">
        <f t="shared" si="7"/>
        <v>3.1080224274898367E-3</v>
      </c>
    </row>
    <row r="458" spans="1:3" ht="14.25" customHeight="1" x14ac:dyDescent="0.3">
      <c r="A458" s="22">
        <v>45576</v>
      </c>
      <c r="B458" s="23">
        <v>804.37</v>
      </c>
      <c r="C458" s="24">
        <f t="shared" si="7"/>
        <v>-4.100907170374561E-4</v>
      </c>
    </row>
    <row r="459" spans="1:3" ht="14.25" customHeight="1" x14ac:dyDescent="0.3">
      <c r="A459" s="22">
        <v>45575</v>
      </c>
      <c r="B459" s="23">
        <v>804.7</v>
      </c>
      <c r="C459" s="24">
        <f t="shared" si="7"/>
        <v>-3.4783472881310431E-4</v>
      </c>
    </row>
    <row r="460" spans="1:3" ht="14.25" customHeight="1" x14ac:dyDescent="0.3">
      <c r="A460" s="22">
        <v>45574</v>
      </c>
      <c r="B460" s="23">
        <v>804.98</v>
      </c>
      <c r="C460" s="24">
        <f t="shared" si="7"/>
        <v>4.4421152454394187E-3</v>
      </c>
    </row>
    <row r="461" spans="1:3" ht="14.25" customHeight="1" x14ac:dyDescent="0.3">
      <c r="A461" s="22">
        <v>45573</v>
      </c>
      <c r="B461" s="23">
        <v>801.42</v>
      </c>
      <c r="C461" s="24">
        <f t="shared" si="7"/>
        <v>1.0082932116659525E-2</v>
      </c>
    </row>
    <row r="462" spans="1:3" ht="14.25" customHeight="1" x14ac:dyDescent="0.3">
      <c r="A462" s="22">
        <v>45572</v>
      </c>
      <c r="B462" s="23">
        <v>793.42</v>
      </c>
      <c r="C462" s="24">
        <f t="shared" si="7"/>
        <v>-1.6620601613722943E-2</v>
      </c>
    </row>
    <row r="463" spans="1:3" ht="14.25" customHeight="1" x14ac:dyDescent="0.3">
      <c r="A463" s="22">
        <v>45569</v>
      </c>
      <c r="B463" s="23">
        <v>806.83</v>
      </c>
      <c r="C463" s="24">
        <f t="shared" si="7"/>
        <v>-7.8820520387585073E-3</v>
      </c>
    </row>
    <row r="464" spans="1:3" ht="14.25" customHeight="1" x14ac:dyDescent="0.3">
      <c r="A464" s="22">
        <v>45568</v>
      </c>
      <c r="B464" s="23">
        <v>813.24</v>
      </c>
      <c r="C464" s="24">
        <f t="shared" si="7"/>
        <v>-1.7315755766883816E-2</v>
      </c>
    </row>
    <row r="465" spans="1:3" ht="14.25" customHeight="1" x14ac:dyDescent="0.3">
      <c r="A465" s="22">
        <v>45565</v>
      </c>
      <c r="B465" s="23">
        <v>827.57</v>
      </c>
      <c r="C465" s="24">
        <f t="shared" si="7"/>
        <v>-7.3765772681475524E-3</v>
      </c>
    </row>
    <row r="466" spans="1:3" ht="14.25" customHeight="1" x14ac:dyDescent="0.3">
      <c r="A466" s="22">
        <v>45562</v>
      </c>
      <c r="B466" s="23">
        <v>833.72</v>
      </c>
      <c r="C466" s="24">
        <f t="shared" si="7"/>
        <v>9.6047639629264305E-4</v>
      </c>
    </row>
    <row r="467" spans="1:3" ht="14.25" customHeight="1" x14ac:dyDescent="0.3">
      <c r="A467" s="22">
        <v>45561</v>
      </c>
      <c r="B467" s="23">
        <v>832.92</v>
      </c>
      <c r="C467" s="24">
        <f t="shared" si="7"/>
        <v>2.7931615699493574E-3</v>
      </c>
    </row>
    <row r="468" spans="1:3" ht="14.25" customHeight="1" x14ac:dyDescent="0.3">
      <c r="A468" s="22">
        <v>45560</v>
      </c>
      <c r="B468" s="23">
        <v>830.6</v>
      </c>
      <c r="C468" s="24">
        <f t="shared" si="7"/>
        <v>1.0002771852441531E-3</v>
      </c>
    </row>
    <row r="469" spans="1:3" ht="14.25" customHeight="1" x14ac:dyDescent="0.3">
      <c r="A469" s="22">
        <v>45559</v>
      </c>
      <c r="B469" s="23">
        <v>829.77</v>
      </c>
      <c r="C469" s="24">
        <f t="shared" si="7"/>
        <v>5.3054875622483312E-4</v>
      </c>
    </row>
    <row r="470" spans="1:3" ht="14.25" customHeight="1" x14ac:dyDescent="0.3">
      <c r="A470" s="22">
        <v>45558</v>
      </c>
      <c r="B470" s="23">
        <v>829.33</v>
      </c>
      <c r="C470" s="24">
        <f t="shared" si="7"/>
        <v>5.5166226145154686E-3</v>
      </c>
    </row>
    <row r="471" spans="1:3" ht="14.25" customHeight="1" x14ac:dyDescent="0.3">
      <c r="A471" s="22">
        <v>45555</v>
      </c>
      <c r="B471" s="23">
        <v>824.78</v>
      </c>
      <c r="C471" s="24">
        <f t="shared" si="7"/>
        <v>8.8188167374046531E-3</v>
      </c>
    </row>
    <row r="472" spans="1:3" ht="14.25" customHeight="1" x14ac:dyDescent="0.3">
      <c r="A472" s="22">
        <v>45554</v>
      </c>
      <c r="B472" s="23">
        <v>817.57</v>
      </c>
      <c r="C472" s="24">
        <f t="shared" si="7"/>
        <v>-1.1362248014660354E-3</v>
      </c>
    </row>
    <row r="473" spans="1:3" ht="14.25" customHeight="1" x14ac:dyDescent="0.3">
      <c r="A473" s="22">
        <v>45553</v>
      </c>
      <c r="B473" s="23">
        <v>818.5</v>
      </c>
      <c r="C473" s="24">
        <f t="shared" si="7"/>
        <v>-3.9670950155763132E-3</v>
      </c>
    </row>
    <row r="474" spans="1:3" ht="14.25" customHeight="1" x14ac:dyDescent="0.3">
      <c r="A474" s="22">
        <v>45552</v>
      </c>
      <c r="B474" s="23">
        <v>821.76</v>
      </c>
      <c r="C474" s="24">
        <f t="shared" si="7"/>
        <v>-1.118296299897845E-3</v>
      </c>
    </row>
    <row r="475" spans="1:3" ht="14.25" customHeight="1" x14ac:dyDescent="0.3">
      <c r="A475" s="22">
        <v>45551</v>
      </c>
      <c r="B475" s="23">
        <v>822.68</v>
      </c>
      <c r="C475" s="24">
        <f t="shared" si="7"/>
        <v>1.0342771619433568E-3</v>
      </c>
    </row>
    <row r="476" spans="1:3" ht="14.25" customHeight="1" x14ac:dyDescent="0.3">
      <c r="A476" s="22">
        <v>45548</v>
      </c>
      <c r="B476" s="23">
        <v>821.83</v>
      </c>
      <c r="C476" s="24">
        <f t="shared" si="7"/>
        <v>2.990065659401066E-3</v>
      </c>
    </row>
    <row r="477" spans="1:3" ht="14.25" customHeight="1" x14ac:dyDescent="0.3">
      <c r="A477" s="22">
        <v>45547</v>
      </c>
      <c r="B477" s="23">
        <v>819.38</v>
      </c>
      <c r="C477" s="24">
        <f t="shared" si="7"/>
        <v>1.1043520106610128E-2</v>
      </c>
    </row>
    <row r="478" spans="1:3" ht="14.25" customHeight="1" x14ac:dyDescent="0.3">
      <c r="A478" s="22">
        <v>45546</v>
      </c>
      <c r="B478" s="23">
        <v>810.43</v>
      </c>
      <c r="C478" s="24">
        <f t="shared" si="7"/>
        <v>-5.7049614761742291E-3</v>
      </c>
    </row>
    <row r="479" spans="1:3" ht="14.25" customHeight="1" x14ac:dyDescent="0.3">
      <c r="A479" s="22">
        <v>45545</v>
      </c>
      <c r="B479" s="23">
        <v>815.08</v>
      </c>
      <c r="C479" s="24">
        <f t="shared" si="7"/>
        <v>6.0480387074478403E-3</v>
      </c>
    </row>
    <row r="480" spans="1:3" ht="14.25" customHeight="1" x14ac:dyDescent="0.3">
      <c r="A480" s="22">
        <v>45544</v>
      </c>
      <c r="B480" s="23">
        <v>810.18</v>
      </c>
      <c r="C480" s="24">
        <f t="shared" si="7"/>
        <v>-6.9072699015721329E-4</v>
      </c>
    </row>
    <row r="481" spans="1:3" ht="14.25" customHeight="1" x14ac:dyDescent="0.3">
      <c r="A481" s="22">
        <v>45541</v>
      </c>
      <c r="B481" s="23">
        <v>810.74</v>
      </c>
      <c r="C481" s="24">
        <f t="shared" si="7"/>
        <v>-8.8753056234718714E-3</v>
      </c>
    </row>
    <row r="482" spans="1:3" ht="14.25" customHeight="1" x14ac:dyDescent="0.3">
      <c r="A482" s="22">
        <v>45540</v>
      </c>
      <c r="B482" s="23">
        <v>818</v>
      </c>
      <c r="C482" s="24">
        <f t="shared" si="7"/>
        <v>2.7950767420192868E-3</v>
      </c>
    </row>
    <row r="483" spans="1:3" ht="14.25" customHeight="1" x14ac:dyDescent="0.3">
      <c r="A483" s="22">
        <v>45539</v>
      </c>
      <c r="B483" s="23">
        <v>815.72</v>
      </c>
      <c r="C483" s="24">
        <f t="shared" si="7"/>
        <v>1.4713094654242832E-4</v>
      </c>
    </row>
    <row r="484" spans="1:3" ht="14.25" customHeight="1" x14ac:dyDescent="0.3">
      <c r="A484" s="22">
        <v>45538</v>
      </c>
      <c r="B484" s="23">
        <v>815.6</v>
      </c>
      <c r="C484" s="24">
        <f t="shared" si="7"/>
        <v>4.0130979639067272E-3</v>
      </c>
    </row>
    <row r="485" spans="1:3" ht="14.25" customHeight="1" x14ac:dyDescent="0.3">
      <c r="A485" s="22">
        <v>45537</v>
      </c>
      <c r="B485" s="23">
        <v>812.34</v>
      </c>
      <c r="C485" s="24">
        <f t="shared" si="7"/>
        <v>1.9735056861632863E-3</v>
      </c>
    </row>
    <row r="486" spans="1:3" ht="14.25" customHeight="1" x14ac:dyDescent="0.3">
      <c r="A486" s="22">
        <v>45534</v>
      </c>
      <c r="B486" s="23">
        <v>810.74</v>
      </c>
      <c r="C486" s="24">
        <f t="shared" si="7"/>
        <v>5.6687795378146675E-3</v>
      </c>
    </row>
    <row r="487" spans="1:3" ht="14.25" customHeight="1" x14ac:dyDescent="0.3">
      <c r="A487" s="22">
        <v>45533</v>
      </c>
      <c r="B487" s="23">
        <v>806.17</v>
      </c>
      <c r="C487" s="24">
        <f t="shared" si="7"/>
        <v>-4.2156947836980552E-4</v>
      </c>
    </row>
    <row r="488" spans="1:3" ht="14.25" customHeight="1" x14ac:dyDescent="0.3">
      <c r="A488" s="22">
        <v>45532</v>
      </c>
      <c r="B488" s="23">
        <v>806.51</v>
      </c>
      <c r="C488" s="24">
        <f t="shared" si="7"/>
        <v>9.9202658631302075E-5</v>
      </c>
    </row>
    <row r="489" spans="1:3" ht="14.25" customHeight="1" x14ac:dyDescent="0.3">
      <c r="A489" s="22">
        <v>45531</v>
      </c>
      <c r="B489" s="23">
        <v>806.43</v>
      </c>
      <c r="C489" s="24">
        <f t="shared" si="7"/>
        <v>3.1346792551404782E-3</v>
      </c>
    </row>
    <row r="490" spans="1:3" ht="14.25" customHeight="1" x14ac:dyDescent="0.3">
      <c r="A490" s="22">
        <v>45530</v>
      </c>
      <c r="B490" s="23">
        <v>803.91</v>
      </c>
      <c r="C490" s="24">
        <f t="shared" si="7"/>
        <v>7.759614902471971E-3</v>
      </c>
    </row>
    <row r="491" spans="1:3" ht="14.25" customHeight="1" x14ac:dyDescent="0.3">
      <c r="A491" s="22">
        <v>45527</v>
      </c>
      <c r="B491" s="23">
        <v>797.72</v>
      </c>
      <c r="C491" s="24">
        <f t="shared" si="7"/>
        <v>-6.2639372604043995E-4</v>
      </c>
    </row>
    <row r="492" spans="1:3" ht="14.25" customHeight="1" x14ac:dyDescent="0.3">
      <c r="A492" s="22">
        <v>45526</v>
      </c>
      <c r="B492" s="23">
        <v>798.22</v>
      </c>
      <c r="C492" s="24">
        <f t="shared" si="7"/>
        <v>3.999798752264117E-3</v>
      </c>
    </row>
    <row r="493" spans="1:3" ht="14.25" customHeight="1" x14ac:dyDescent="0.3">
      <c r="A493" s="22">
        <v>45525</v>
      </c>
      <c r="B493" s="23">
        <v>795.04</v>
      </c>
      <c r="C493" s="24">
        <f t="shared" si="7"/>
        <v>5.4506595171549647E-3</v>
      </c>
    </row>
    <row r="494" spans="1:3" ht="14.25" customHeight="1" x14ac:dyDescent="0.3">
      <c r="A494" s="22">
        <v>45524</v>
      </c>
      <c r="B494" s="23">
        <v>790.73</v>
      </c>
      <c r="C494" s="24">
        <f t="shared" si="7"/>
        <v>7.2223779074211819E-3</v>
      </c>
    </row>
    <row r="495" spans="1:3" ht="14.25" customHeight="1" x14ac:dyDescent="0.3">
      <c r="A495" s="22">
        <v>45523</v>
      </c>
      <c r="B495" s="23">
        <v>785.06</v>
      </c>
      <c r="C495" s="24">
        <f t="shared" si="7"/>
        <v>1.6075529471803916E-3</v>
      </c>
    </row>
    <row r="496" spans="1:3" ht="14.25" customHeight="1" x14ac:dyDescent="0.3">
      <c r="A496" s="22">
        <v>45520</v>
      </c>
      <c r="B496" s="23">
        <v>783.8</v>
      </c>
      <c r="C496" s="24">
        <f t="shared" si="7"/>
        <v>1.2870877700816605E-2</v>
      </c>
    </row>
    <row r="497" spans="1:3" ht="14.25" customHeight="1" x14ac:dyDescent="0.3">
      <c r="A497" s="22">
        <v>45518</v>
      </c>
      <c r="B497" s="23">
        <v>773.84</v>
      </c>
      <c r="C497" s="24">
        <f t="shared" si="7"/>
        <v>-2.2949382429539888E-3</v>
      </c>
    </row>
    <row r="498" spans="1:3" ht="14.25" customHeight="1" x14ac:dyDescent="0.3">
      <c r="A498" s="22">
        <v>45517</v>
      </c>
      <c r="B498" s="23">
        <v>775.62</v>
      </c>
      <c r="C498" s="24">
        <f t="shared" si="7"/>
        <v>-9.9816195241499654E-3</v>
      </c>
    </row>
    <row r="499" spans="1:3" ht="14.25" customHeight="1" x14ac:dyDescent="0.3">
      <c r="A499" s="22">
        <v>45516</v>
      </c>
      <c r="B499" s="23">
        <v>783.44</v>
      </c>
      <c r="C499" s="24">
        <f t="shared" si="7"/>
        <v>1.5852723088724226E-3</v>
      </c>
    </row>
    <row r="500" spans="1:3" ht="14.25" customHeight="1" x14ac:dyDescent="0.3">
      <c r="A500" s="22">
        <v>45513</v>
      </c>
      <c r="B500" s="23">
        <v>782.2</v>
      </c>
      <c r="C500" s="24">
        <f t="shared" si="7"/>
        <v>6.8867863808972423E-3</v>
      </c>
    </row>
    <row r="501" spans="1:3" ht="14.25" customHeight="1" x14ac:dyDescent="0.3">
      <c r="A501" s="22">
        <v>45512</v>
      </c>
      <c r="B501" s="23">
        <v>776.85</v>
      </c>
      <c r="C501" s="24">
        <f t="shared" si="7"/>
        <v>-3.2589589294191143E-3</v>
      </c>
    </row>
    <row r="502" spans="1:3" ht="14.25" customHeight="1" x14ac:dyDescent="0.3">
      <c r="A502" s="22">
        <v>45511</v>
      </c>
      <c r="B502" s="23">
        <v>779.39</v>
      </c>
      <c r="C502" s="24">
        <f t="shared" si="7"/>
        <v>1.5081856188379992E-2</v>
      </c>
    </row>
    <row r="503" spans="1:3" ht="14.25" customHeight="1" x14ac:dyDescent="0.3">
      <c r="A503" s="22">
        <v>45510</v>
      </c>
      <c r="B503" s="23">
        <v>767.81</v>
      </c>
      <c r="C503" s="24">
        <f t="shared" si="7"/>
        <v>-2.6498668571800703E-3</v>
      </c>
    </row>
    <row r="504" spans="1:3" ht="14.25" customHeight="1" x14ac:dyDescent="0.3">
      <c r="A504" s="22">
        <v>45509</v>
      </c>
      <c r="B504" s="23">
        <v>769.85</v>
      </c>
      <c r="C504" s="24">
        <f t="shared" si="7"/>
        <v>-2.438251656971956E-2</v>
      </c>
    </row>
    <row r="505" spans="1:3" ht="14.25" customHeight="1" x14ac:dyDescent="0.3">
      <c r="A505" s="22">
        <v>45506</v>
      </c>
      <c r="B505" s="23">
        <v>789.09</v>
      </c>
      <c r="C505" s="24">
        <f t="shared" si="7"/>
        <v>-8.7182643870205162E-3</v>
      </c>
    </row>
    <row r="506" spans="1:3" ht="14.25" customHeight="1" x14ac:dyDescent="0.3">
      <c r="A506" s="22">
        <v>45505</v>
      </c>
      <c r="B506" s="23">
        <v>796.03</v>
      </c>
      <c r="C506" s="24">
        <f t="shared" si="7"/>
        <v>-1.9058366246630079E-3</v>
      </c>
    </row>
    <row r="507" spans="1:3" ht="14.25" customHeight="1" x14ac:dyDescent="0.3">
      <c r="A507" s="22">
        <v>45504</v>
      </c>
      <c r="B507" s="23">
        <v>797.55</v>
      </c>
      <c r="C507" s="24">
        <f t="shared" si="7"/>
        <v>3.5988876165547567E-3</v>
      </c>
    </row>
    <row r="508" spans="1:3" ht="14.25" customHeight="1" x14ac:dyDescent="0.3">
      <c r="A508" s="22">
        <v>45503</v>
      </c>
      <c r="B508" s="23">
        <v>794.69</v>
      </c>
      <c r="C508" s="24">
        <f t="shared" si="7"/>
        <v>5.1478586425843641E-3</v>
      </c>
    </row>
    <row r="509" spans="1:3" ht="14.25" customHeight="1" x14ac:dyDescent="0.3">
      <c r="A509" s="22">
        <v>45502</v>
      </c>
      <c r="B509" s="23">
        <v>790.62</v>
      </c>
      <c r="C509" s="24">
        <f t="shared" si="7"/>
        <v>4.3189959604684547E-3</v>
      </c>
    </row>
    <row r="510" spans="1:3" ht="14.25" customHeight="1" x14ac:dyDescent="0.3">
      <c r="A510" s="22">
        <v>45499</v>
      </c>
      <c r="B510" s="23">
        <v>787.22</v>
      </c>
      <c r="C510" s="24">
        <f t="shared" si="7"/>
        <v>1.1720858501477964E-2</v>
      </c>
    </row>
    <row r="511" spans="1:3" ht="14.25" customHeight="1" x14ac:dyDescent="0.3">
      <c r="A511" s="22">
        <v>45498</v>
      </c>
      <c r="B511" s="23">
        <v>778.1</v>
      </c>
      <c r="C511" s="24">
        <f t="shared" si="7"/>
        <v>2.0863383474139766E-3</v>
      </c>
    </row>
    <row r="512" spans="1:3" ht="14.25" customHeight="1" x14ac:dyDescent="0.3">
      <c r="A512" s="22">
        <v>45497</v>
      </c>
      <c r="B512" s="23">
        <v>776.48</v>
      </c>
      <c r="C512" s="24">
        <f t="shared" si="7"/>
        <v>7.0815283650230041E-3</v>
      </c>
    </row>
    <row r="513" spans="1:3" ht="14.25" customHeight="1" x14ac:dyDescent="0.3">
      <c r="A513" s="22">
        <v>45496</v>
      </c>
      <c r="B513" s="23">
        <v>771.02</v>
      </c>
      <c r="C513" s="24">
        <f t="shared" si="7"/>
        <v>-7.3873430189614947E-4</v>
      </c>
    </row>
    <row r="514" spans="1:3" ht="14.25" customHeight="1" x14ac:dyDescent="0.3">
      <c r="A514" s="22">
        <v>45495</v>
      </c>
      <c r="B514" s="23">
        <v>771.59</v>
      </c>
      <c r="C514" s="24">
        <f t="shared" ref="C514:C577" si="8">(B514-B515)/B515</f>
        <v>6.0105869774961717E-3</v>
      </c>
    </row>
    <row r="515" spans="1:3" ht="14.25" customHeight="1" x14ac:dyDescent="0.3">
      <c r="A515" s="22">
        <v>45492</v>
      </c>
      <c r="B515" s="23">
        <v>766.98</v>
      </c>
      <c r="C515" s="24">
        <f t="shared" si="8"/>
        <v>-1.3911031113396678E-2</v>
      </c>
    </row>
    <row r="516" spans="1:3" ht="14.25" customHeight="1" x14ac:dyDescent="0.3">
      <c r="A516" s="22">
        <v>45491</v>
      </c>
      <c r="B516" s="23">
        <v>777.8</v>
      </c>
      <c r="C516" s="24">
        <f t="shared" si="8"/>
        <v>-1.8607635547000904E-3</v>
      </c>
    </row>
    <row r="517" spans="1:3" ht="14.25" customHeight="1" x14ac:dyDescent="0.3">
      <c r="A517" s="22">
        <v>45489</v>
      </c>
      <c r="B517" s="23">
        <v>779.25</v>
      </c>
      <c r="C517" s="24">
        <f t="shared" si="8"/>
        <v>1.1691548680524812E-3</v>
      </c>
    </row>
    <row r="518" spans="1:3" ht="14.25" customHeight="1" x14ac:dyDescent="0.3">
      <c r="A518" s="22">
        <v>45488</v>
      </c>
      <c r="B518" s="23">
        <v>778.34</v>
      </c>
      <c r="C518" s="24">
        <f t="shared" si="8"/>
        <v>3.7786461355928656E-3</v>
      </c>
    </row>
    <row r="519" spans="1:3" ht="14.25" customHeight="1" x14ac:dyDescent="0.3">
      <c r="A519" s="22">
        <v>45485</v>
      </c>
      <c r="B519" s="23">
        <v>775.41</v>
      </c>
      <c r="C519" s="24">
        <f t="shared" si="8"/>
        <v>4.4691434789366439E-3</v>
      </c>
    </row>
    <row r="520" spans="1:3" ht="14.25" customHeight="1" x14ac:dyDescent="0.3">
      <c r="A520" s="22">
        <v>45484</v>
      </c>
      <c r="B520" s="23">
        <v>771.96</v>
      </c>
      <c r="C520" s="24">
        <f t="shared" si="8"/>
        <v>1.699863751378783E-3</v>
      </c>
    </row>
    <row r="521" spans="1:3" ht="14.25" customHeight="1" x14ac:dyDescent="0.3">
      <c r="A521" s="22">
        <v>45483</v>
      </c>
      <c r="B521" s="23">
        <v>770.65</v>
      </c>
      <c r="C521" s="24">
        <f t="shared" si="8"/>
        <v>-5.5765938683413347E-4</v>
      </c>
    </row>
    <row r="522" spans="1:3" ht="14.25" customHeight="1" x14ac:dyDescent="0.3">
      <c r="A522" s="22">
        <v>45482</v>
      </c>
      <c r="B522" s="23">
        <v>771.08</v>
      </c>
      <c r="C522" s="24">
        <f t="shared" si="8"/>
        <v>5.9358407368270884E-3</v>
      </c>
    </row>
    <row r="523" spans="1:3" ht="14.25" customHeight="1" x14ac:dyDescent="0.3">
      <c r="A523" s="22">
        <v>45481</v>
      </c>
      <c r="B523" s="23">
        <v>766.53</v>
      </c>
      <c r="C523" s="24">
        <f t="shared" si="8"/>
        <v>-1.0165382961253896E-3</v>
      </c>
    </row>
    <row r="524" spans="1:3" ht="14.25" customHeight="1" x14ac:dyDescent="0.3">
      <c r="A524" s="22">
        <v>45478</v>
      </c>
      <c r="B524" s="23">
        <v>767.31</v>
      </c>
      <c r="C524" s="24">
        <f t="shared" si="8"/>
        <v>1.48395032337419E-2</v>
      </c>
    </row>
    <row r="525" spans="1:3" ht="14.25" customHeight="1" x14ac:dyDescent="0.3">
      <c r="A525" s="22">
        <v>45475</v>
      </c>
      <c r="B525" s="23">
        <v>756.09</v>
      </c>
      <c r="C525" s="24">
        <f t="shared" si="8"/>
        <v>-3.3053917550308063E-4</v>
      </c>
    </row>
    <row r="526" spans="1:3" ht="14.25" customHeight="1" x14ac:dyDescent="0.3">
      <c r="A526" s="22">
        <v>45474</v>
      </c>
      <c r="B526" s="23">
        <v>756.34</v>
      </c>
      <c r="C526" s="24">
        <f t="shared" si="8"/>
        <v>7.177575071575985E-3</v>
      </c>
    </row>
    <row r="527" spans="1:3" ht="14.25" customHeight="1" x14ac:dyDescent="0.3">
      <c r="A527" s="22">
        <v>45471</v>
      </c>
      <c r="B527" s="23">
        <v>750.95</v>
      </c>
      <c r="C527" s="24">
        <f t="shared" si="8"/>
        <v>1.7608686952230435E-3</v>
      </c>
    </row>
    <row r="528" spans="1:3" ht="14.25" customHeight="1" x14ac:dyDescent="0.3">
      <c r="A528" s="22">
        <v>45469</v>
      </c>
      <c r="B528" s="23">
        <v>749.63</v>
      </c>
      <c r="C528" s="24">
        <f t="shared" si="8"/>
        <v>4.3408941706078712E-3</v>
      </c>
    </row>
    <row r="529" spans="1:3" ht="14.25" customHeight="1" x14ac:dyDescent="0.3">
      <c r="A529" s="22">
        <v>45468</v>
      </c>
      <c r="B529" s="23">
        <v>746.39</v>
      </c>
      <c r="C529" s="24">
        <f t="shared" si="8"/>
        <v>2.5790159442287252E-3</v>
      </c>
    </row>
    <row r="530" spans="1:3" ht="14.25" customHeight="1" x14ac:dyDescent="0.3">
      <c r="A530" s="22">
        <v>45467</v>
      </c>
      <c r="B530" s="23">
        <v>744.47</v>
      </c>
      <c r="C530" s="24">
        <f t="shared" si="8"/>
        <v>2.0998505875544269E-3</v>
      </c>
    </row>
    <row r="531" spans="1:3" ht="14.25" customHeight="1" x14ac:dyDescent="0.3">
      <c r="A531" s="22">
        <v>45464</v>
      </c>
      <c r="B531" s="23">
        <v>742.91</v>
      </c>
      <c r="C531" s="24">
        <f t="shared" si="8"/>
        <v>-1.6126647941837168E-3</v>
      </c>
    </row>
    <row r="532" spans="1:3" ht="14.25" customHeight="1" x14ac:dyDescent="0.3">
      <c r="A532" s="22">
        <v>45463</v>
      </c>
      <c r="B532" s="23">
        <v>744.11</v>
      </c>
      <c r="C532" s="24">
        <f t="shared" si="8"/>
        <v>5.0243790434771236E-3</v>
      </c>
    </row>
    <row r="533" spans="1:3" ht="14.25" customHeight="1" x14ac:dyDescent="0.3">
      <c r="A533" s="22">
        <v>45462</v>
      </c>
      <c r="B533" s="23">
        <v>740.39</v>
      </c>
      <c r="C533" s="24">
        <f t="shared" si="8"/>
        <v>-4.1025503066825404E-3</v>
      </c>
    </row>
    <row r="534" spans="1:3" ht="14.25" customHeight="1" x14ac:dyDescent="0.3">
      <c r="A534" s="22">
        <v>45461</v>
      </c>
      <c r="B534" s="23">
        <v>743.44</v>
      </c>
      <c r="C534" s="24">
        <f t="shared" si="8"/>
        <v>3.3740923691526975E-3</v>
      </c>
    </row>
    <row r="535" spans="1:3" ht="14.25" customHeight="1" x14ac:dyDescent="0.3">
      <c r="A535" s="22">
        <v>45457</v>
      </c>
      <c r="B535" s="23">
        <v>740.94</v>
      </c>
      <c r="C535" s="24">
        <f t="shared" si="8"/>
        <v>3.9973441374544982E-3</v>
      </c>
    </row>
    <row r="536" spans="1:3" ht="14.25" customHeight="1" x14ac:dyDescent="0.3">
      <c r="A536" s="22">
        <v>45456</v>
      </c>
      <c r="B536" s="23">
        <v>737.99</v>
      </c>
      <c r="C536" s="24">
        <f t="shared" si="8"/>
        <v>2.6629349347173843E-3</v>
      </c>
    </row>
    <row r="537" spans="1:3" ht="14.25" customHeight="1" x14ac:dyDescent="0.3">
      <c r="A537" s="22">
        <v>45455</v>
      </c>
      <c r="B537" s="23">
        <v>736.03</v>
      </c>
      <c r="C537" s="24">
        <f t="shared" si="8"/>
        <v>9.0758284092622866E-3</v>
      </c>
    </row>
    <row r="538" spans="1:3" ht="14.25" customHeight="1" x14ac:dyDescent="0.3">
      <c r="A538" s="22">
        <v>45453</v>
      </c>
      <c r="B538" s="23">
        <v>729.41</v>
      </c>
      <c r="C538" s="24">
        <f t="shared" si="8"/>
        <v>4.8907502824235448E-3</v>
      </c>
    </row>
    <row r="539" spans="1:3" ht="14.25" customHeight="1" x14ac:dyDescent="0.3">
      <c r="A539" s="22">
        <v>45450</v>
      </c>
      <c r="B539" s="23">
        <v>725.86</v>
      </c>
      <c r="C539" s="24">
        <f t="shared" si="8"/>
        <v>1.5984547337774983E-2</v>
      </c>
    </row>
    <row r="540" spans="1:3" ht="14.25" customHeight="1" x14ac:dyDescent="0.3">
      <c r="A540" s="22">
        <v>45449</v>
      </c>
      <c r="B540" s="23">
        <v>714.44</v>
      </c>
      <c r="C540" s="24">
        <f t="shared" si="8"/>
        <v>1.397976127960945E-2</v>
      </c>
    </row>
    <row r="541" spans="1:3" ht="14.25" customHeight="1" x14ac:dyDescent="0.3">
      <c r="A541" s="22">
        <v>45448</v>
      </c>
      <c r="B541" s="23">
        <v>704.59</v>
      </c>
      <c r="C541" s="24">
        <f t="shared" si="8"/>
        <v>3.2638644624223209E-2</v>
      </c>
    </row>
    <row r="542" spans="1:3" ht="14.25" customHeight="1" x14ac:dyDescent="0.3">
      <c r="A542" s="22">
        <v>45447</v>
      </c>
      <c r="B542" s="23">
        <v>682.32</v>
      </c>
      <c r="C542" s="24">
        <f t="shared" si="8"/>
        <v>-2.7341411261582252E-2</v>
      </c>
    </row>
    <row r="543" spans="1:3" ht="14.25" customHeight="1" x14ac:dyDescent="0.3">
      <c r="A543" s="22">
        <v>45443</v>
      </c>
      <c r="B543" s="23">
        <v>701.5</v>
      </c>
      <c r="C543" s="24">
        <f t="shared" si="8"/>
        <v>-7.8341998433153559E-4</v>
      </c>
    </row>
    <row r="544" spans="1:3" ht="14.25" customHeight="1" x14ac:dyDescent="0.3">
      <c r="A544" s="22">
        <v>45442</v>
      </c>
      <c r="B544" s="23">
        <v>702.05</v>
      </c>
      <c r="C544" s="24">
        <f t="shared" si="8"/>
        <v>-1.0025946189858444E-2</v>
      </c>
    </row>
    <row r="545" spans="1:3" ht="14.25" customHeight="1" x14ac:dyDescent="0.3">
      <c r="A545" s="22">
        <v>45441</v>
      </c>
      <c r="B545" s="23">
        <v>709.16</v>
      </c>
      <c r="C545" s="24">
        <f t="shared" si="8"/>
        <v>-5.6088395311010156E-3</v>
      </c>
    </row>
    <row r="546" spans="1:3" ht="14.25" customHeight="1" x14ac:dyDescent="0.3">
      <c r="A546" s="22">
        <v>45440</v>
      </c>
      <c r="B546" s="23">
        <v>713.16</v>
      </c>
      <c r="C546" s="24">
        <f t="shared" si="8"/>
        <v>-3.5628955862012099E-3</v>
      </c>
    </row>
    <row r="547" spans="1:3" ht="14.25" customHeight="1" x14ac:dyDescent="0.3">
      <c r="A547" s="22">
        <v>45439</v>
      </c>
      <c r="B547" s="23">
        <v>715.71</v>
      </c>
      <c r="C547" s="24">
        <f t="shared" si="8"/>
        <v>-6.0044125450323962E-4</v>
      </c>
    </row>
    <row r="548" spans="1:3" ht="14.25" customHeight="1" x14ac:dyDescent="0.3">
      <c r="A548" s="22">
        <v>45436</v>
      </c>
      <c r="B548" s="23">
        <v>716.14</v>
      </c>
      <c r="C548" s="24">
        <f t="shared" si="8"/>
        <v>8.3789520723865252E-5</v>
      </c>
    </row>
    <row r="549" spans="1:3" ht="14.25" customHeight="1" x14ac:dyDescent="0.3">
      <c r="A549" s="22">
        <v>45435</v>
      </c>
      <c r="B549" s="23">
        <v>716.08</v>
      </c>
      <c r="C549" s="24">
        <f t="shared" si="8"/>
        <v>6.6776320413872601E-3</v>
      </c>
    </row>
    <row r="550" spans="1:3" ht="14.25" customHeight="1" x14ac:dyDescent="0.3">
      <c r="A550" s="22">
        <v>45434</v>
      </c>
      <c r="B550" s="23">
        <v>711.33</v>
      </c>
      <c r="C550" s="24">
        <f t="shared" si="8"/>
        <v>1.873239436619776E-3</v>
      </c>
    </row>
    <row r="551" spans="1:3" ht="14.25" customHeight="1" x14ac:dyDescent="0.3">
      <c r="A551" s="22">
        <v>45433</v>
      </c>
      <c r="B551" s="23">
        <v>710</v>
      </c>
      <c r="C551" s="24">
        <f t="shared" si="8"/>
        <v>1.3680662313301656E-3</v>
      </c>
    </row>
    <row r="552" spans="1:3" ht="14.25" customHeight="1" x14ac:dyDescent="0.3">
      <c r="A552" s="22">
        <v>45429</v>
      </c>
      <c r="B552" s="23">
        <v>709.03</v>
      </c>
      <c r="C552" s="24">
        <f t="shared" si="8"/>
        <v>6.8159550146968386E-3</v>
      </c>
    </row>
    <row r="553" spans="1:3" ht="14.25" customHeight="1" x14ac:dyDescent="0.3">
      <c r="A553" s="22">
        <v>45428</v>
      </c>
      <c r="B553" s="23">
        <v>704.23</v>
      </c>
      <c r="C553" s="24">
        <f t="shared" si="8"/>
        <v>1.4199922231663253E-2</v>
      </c>
    </row>
    <row r="554" spans="1:3" ht="14.25" customHeight="1" x14ac:dyDescent="0.3">
      <c r="A554" s="22">
        <v>45426</v>
      </c>
      <c r="B554" s="23">
        <v>694.37</v>
      </c>
      <c r="C554" s="24">
        <f t="shared" si="8"/>
        <v>6.4646113261150537E-3</v>
      </c>
    </row>
    <row r="555" spans="1:3" ht="14.25" customHeight="1" x14ac:dyDescent="0.3">
      <c r="A555" s="22">
        <v>45425</v>
      </c>
      <c r="B555" s="23">
        <v>689.91</v>
      </c>
      <c r="C555" s="24">
        <f t="shared" si="8"/>
        <v>9.8214285714284585E-3</v>
      </c>
    </row>
    <row r="556" spans="1:3" ht="14.25" customHeight="1" x14ac:dyDescent="0.3">
      <c r="A556" s="22">
        <v>45421</v>
      </c>
      <c r="B556" s="23">
        <v>683.2</v>
      </c>
      <c r="C556" s="24">
        <f t="shared" si="8"/>
        <v>-1.5022634872120123E-2</v>
      </c>
    </row>
    <row r="557" spans="1:3" ht="14.25" customHeight="1" x14ac:dyDescent="0.3">
      <c r="A557" s="22">
        <v>45420</v>
      </c>
      <c r="B557" s="23">
        <v>693.62</v>
      </c>
      <c r="C557" s="24">
        <f t="shared" si="8"/>
        <v>4.329380420775247E-3</v>
      </c>
    </row>
    <row r="558" spans="1:3" ht="14.25" customHeight="1" x14ac:dyDescent="0.3">
      <c r="A558" s="22">
        <v>45419</v>
      </c>
      <c r="B558" s="23">
        <v>690.63</v>
      </c>
      <c r="C558" s="24">
        <f t="shared" si="8"/>
        <v>-9.7358836855839584E-3</v>
      </c>
    </row>
    <row r="559" spans="1:3" ht="14.25" customHeight="1" x14ac:dyDescent="0.3">
      <c r="A559" s="22">
        <v>45415</v>
      </c>
      <c r="B559" s="23">
        <v>697.42</v>
      </c>
      <c r="C559" s="24">
        <f t="shared" si="8"/>
        <v>-5.4900394997647456E-3</v>
      </c>
    </row>
    <row r="560" spans="1:3" ht="14.25" customHeight="1" x14ac:dyDescent="0.3">
      <c r="A560" s="22">
        <v>45414</v>
      </c>
      <c r="B560" s="23">
        <v>701.27</v>
      </c>
      <c r="C560" s="24">
        <f t="shared" si="8"/>
        <v>2.8457842352133753E-3</v>
      </c>
    </row>
    <row r="561" spans="1:3" ht="14.25" customHeight="1" x14ac:dyDescent="0.3">
      <c r="A561" s="22">
        <v>45412</v>
      </c>
      <c r="B561" s="23">
        <v>699.28</v>
      </c>
      <c r="C561" s="24">
        <f t="shared" si="8"/>
        <v>3.8472581108239304E-3</v>
      </c>
    </row>
    <row r="562" spans="1:3" ht="14.25" customHeight="1" x14ac:dyDescent="0.3">
      <c r="A562" s="22">
        <v>45408</v>
      </c>
      <c r="B562" s="23">
        <v>696.6</v>
      </c>
      <c r="C562" s="24">
        <f t="shared" si="8"/>
        <v>-1.0047798814350602E-4</v>
      </c>
    </row>
    <row r="563" spans="1:3" ht="14.25" customHeight="1" x14ac:dyDescent="0.3">
      <c r="A563" s="22">
        <v>45407</v>
      </c>
      <c r="B563" s="23">
        <v>696.67</v>
      </c>
      <c r="C563" s="24">
        <f t="shared" si="8"/>
        <v>6.0216606498194351E-3</v>
      </c>
    </row>
    <row r="564" spans="1:3" ht="14.25" customHeight="1" x14ac:dyDescent="0.3">
      <c r="A564" s="22">
        <v>45406</v>
      </c>
      <c r="B564" s="23">
        <v>692.5</v>
      </c>
      <c r="C564" s="24">
        <f t="shared" si="8"/>
        <v>3.6377338802011491E-3</v>
      </c>
    </row>
    <row r="565" spans="1:3" ht="14.25" customHeight="1" x14ac:dyDescent="0.3">
      <c r="A565" s="22">
        <v>45405</v>
      </c>
      <c r="B565" s="23">
        <v>689.99</v>
      </c>
      <c r="C565" s="24">
        <f t="shared" si="8"/>
        <v>3.0819776992745788E-3</v>
      </c>
    </row>
    <row r="566" spans="1:3" ht="14.25" customHeight="1" x14ac:dyDescent="0.3">
      <c r="A566" s="22">
        <v>45404</v>
      </c>
      <c r="B566" s="23">
        <v>687.87</v>
      </c>
      <c r="C566" s="24">
        <f t="shared" si="8"/>
        <v>8.2078942354200293E-3</v>
      </c>
    </row>
    <row r="567" spans="1:3" ht="14.25" customHeight="1" x14ac:dyDescent="0.3">
      <c r="A567" s="22">
        <v>45401</v>
      </c>
      <c r="B567" s="23">
        <v>682.27</v>
      </c>
      <c r="C567" s="24">
        <f t="shared" si="8"/>
        <v>5.4260155448013572E-4</v>
      </c>
    </row>
    <row r="568" spans="1:3" ht="14.25" customHeight="1" x14ac:dyDescent="0.3">
      <c r="A568" s="22">
        <v>45400</v>
      </c>
      <c r="B568" s="23">
        <v>681.9</v>
      </c>
      <c r="C568" s="24">
        <f t="shared" si="8"/>
        <v>-2.8660837013424331E-3</v>
      </c>
    </row>
    <row r="569" spans="1:3" ht="14.25" customHeight="1" x14ac:dyDescent="0.3">
      <c r="A569" s="22">
        <v>45398</v>
      </c>
      <c r="B569" s="23">
        <v>683.86</v>
      </c>
      <c r="C569" s="24">
        <f t="shared" si="8"/>
        <v>-2.1012695169997679E-3</v>
      </c>
    </row>
    <row r="570" spans="1:3" ht="14.25" customHeight="1" x14ac:dyDescent="0.3">
      <c r="A570" s="22">
        <v>45397</v>
      </c>
      <c r="B570" s="23">
        <v>685.3</v>
      </c>
      <c r="C570" s="24">
        <f t="shared" si="8"/>
        <v>-1.0168414362885399E-2</v>
      </c>
    </row>
    <row r="571" spans="1:3" ht="14.25" customHeight="1" x14ac:dyDescent="0.3">
      <c r="A571" s="22">
        <v>45394</v>
      </c>
      <c r="B571" s="23">
        <v>692.34</v>
      </c>
      <c r="C571" s="24">
        <f t="shared" si="8"/>
        <v>-6.1154177433247071E-3</v>
      </c>
    </row>
    <row r="572" spans="1:3" ht="14.25" customHeight="1" x14ac:dyDescent="0.3">
      <c r="A572" s="22">
        <v>45392</v>
      </c>
      <c r="B572" s="23">
        <v>696.6</v>
      </c>
      <c r="C572" s="24">
        <f t="shared" si="8"/>
        <v>5.9351037560109367E-3</v>
      </c>
    </row>
    <row r="573" spans="1:3" ht="14.25" customHeight="1" x14ac:dyDescent="0.3">
      <c r="A573" s="22">
        <v>45391</v>
      </c>
      <c r="B573" s="23">
        <v>692.49</v>
      </c>
      <c r="C573" s="24">
        <f t="shared" si="8"/>
        <v>-1.0962856112513393E-3</v>
      </c>
    </row>
    <row r="574" spans="1:3" ht="14.25" customHeight="1" x14ac:dyDescent="0.3">
      <c r="A574" s="22">
        <v>45390</v>
      </c>
      <c r="B574" s="23">
        <v>693.25</v>
      </c>
      <c r="C574" s="24">
        <f t="shared" si="8"/>
        <v>4.1862216814415468E-3</v>
      </c>
    </row>
    <row r="575" spans="1:3" ht="14.25" customHeight="1" x14ac:dyDescent="0.3">
      <c r="A575" s="22">
        <v>45387</v>
      </c>
      <c r="B575" s="23">
        <v>690.36</v>
      </c>
      <c r="C575" s="24">
        <f t="shared" si="8"/>
        <v>1.7557861133280655E-3</v>
      </c>
    </row>
    <row r="576" spans="1:3" ht="14.25" customHeight="1" x14ac:dyDescent="0.3">
      <c r="A576" s="22">
        <v>45386</v>
      </c>
      <c r="B576" s="23">
        <v>689.15</v>
      </c>
      <c r="C576" s="24">
        <f t="shared" si="8"/>
        <v>2.3125254523242073E-3</v>
      </c>
    </row>
    <row r="577" spans="1:3" ht="14.25" customHeight="1" x14ac:dyDescent="0.3">
      <c r="A577" s="22">
        <v>45385</v>
      </c>
      <c r="B577" s="23">
        <v>687.56</v>
      </c>
      <c r="C577" s="24">
        <f t="shared" si="8"/>
        <v>3.4149616181663087E-3</v>
      </c>
    </row>
    <row r="578" spans="1:3" ht="14.25" customHeight="1" x14ac:dyDescent="0.3">
      <c r="A578" s="22">
        <v>45384</v>
      </c>
      <c r="B578" s="23">
        <v>685.22</v>
      </c>
      <c r="C578" s="24">
        <f t="shared" ref="C578:C641" si="9">(B578-B579)/B579</f>
        <v>2.0903171978128358E-2</v>
      </c>
    </row>
    <row r="579" spans="1:3" ht="14.25" customHeight="1" x14ac:dyDescent="0.3">
      <c r="A579" s="22">
        <v>45378</v>
      </c>
      <c r="B579" s="23">
        <v>671.19</v>
      </c>
      <c r="C579" s="24">
        <f t="shared" si="9"/>
        <v>5.1365760153349463E-3</v>
      </c>
    </row>
    <row r="580" spans="1:3" ht="14.25" customHeight="1" x14ac:dyDescent="0.3">
      <c r="A580" s="22">
        <v>45373</v>
      </c>
      <c r="B580" s="23">
        <v>667.76</v>
      </c>
      <c r="C580" s="24">
        <f t="shared" si="9"/>
        <v>7.2098705843313109E-3</v>
      </c>
    </row>
    <row r="581" spans="1:3" ht="14.25" customHeight="1" x14ac:dyDescent="0.3">
      <c r="A581" s="22">
        <v>45372</v>
      </c>
      <c r="B581" s="23">
        <v>662.98</v>
      </c>
      <c r="C581" s="24">
        <f t="shared" si="9"/>
        <v>1.3436463412769934E-2</v>
      </c>
    </row>
    <row r="582" spans="1:3" ht="14.25" customHeight="1" x14ac:dyDescent="0.3">
      <c r="A582" s="22">
        <v>45371</v>
      </c>
      <c r="B582" s="23">
        <v>654.19000000000005</v>
      </c>
      <c r="C582" s="24">
        <f t="shared" si="9"/>
        <v>1.009900081098162E-3</v>
      </c>
    </row>
    <row r="583" spans="1:3" ht="14.25" customHeight="1" x14ac:dyDescent="0.3">
      <c r="A583" s="22">
        <v>45370</v>
      </c>
      <c r="B583" s="23">
        <v>653.53</v>
      </c>
      <c r="C583" s="24">
        <f t="shared" si="9"/>
        <v>-8.0746755710708815E-3</v>
      </c>
    </row>
    <row r="584" spans="1:3" ht="14.25" customHeight="1" x14ac:dyDescent="0.3">
      <c r="A584" s="22">
        <v>45369</v>
      </c>
      <c r="B584" s="23">
        <v>658.85</v>
      </c>
      <c r="C584" s="24">
        <f t="shared" si="9"/>
        <v>2.8846445814237175E-4</v>
      </c>
    </row>
    <row r="585" spans="1:3" ht="14.25" customHeight="1" x14ac:dyDescent="0.3">
      <c r="A585" s="22">
        <v>45366</v>
      </c>
      <c r="B585" s="23">
        <v>658.66</v>
      </c>
      <c r="C585" s="24">
        <f t="shared" si="9"/>
        <v>-2.6800720742546249E-3</v>
      </c>
    </row>
    <row r="586" spans="1:3" ht="14.25" customHeight="1" x14ac:dyDescent="0.3">
      <c r="A586" s="22">
        <v>45365</v>
      </c>
      <c r="B586" s="23">
        <v>660.43</v>
      </c>
      <c r="C586" s="24">
        <f t="shared" si="9"/>
        <v>1.4298439611745831E-2</v>
      </c>
    </row>
    <row r="587" spans="1:3" ht="14.25" customHeight="1" x14ac:dyDescent="0.3">
      <c r="A587" s="22">
        <v>45364</v>
      </c>
      <c r="B587" s="23">
        <v>651.12</v>
      </c>
      <c r="C587" s="24">
        <f t="shared" si="9"/>
        <v>-2.6115049807053807E-2</v>
      </c>
    </row>
    <row r="588" spans="1:3" ht="14.25" customHeight="1" x14ac:dyDescent="0.3">
      <c r="A588" s="22">
        <v>45363</v>
      </c>
      <c r="B588" s="23">
        <v>668.58</v>
      </c>
      <c r="C588" s="24">
        <f t="shared" si="9"/>
        <v>-4.6152929966649433E-3</v>
      </c>
    </row>
    <row r="589" spans="1:3" ht="14.25" customHeight="1" x14ac:dyDescent="0.3">
      <c r="A589" s="22">
        <v>45362</v>
      </c>
      <c r="B589" s="23">
        <v>671.68</v>
      </c>
      <c r="C589" s="24">
        <f t="shared" si="9"/>
        <v>-7.4183537756762159E-3</v>
      </c>
    </row>
    <row r="590" spans="1:3" ht="14.25" customHeight="1" x14ac:dyDescent="0.3">
      <c r="A590" s="22">
        <v>45358</v>
      </c>
      <c r="B590" s="23">
        <v>676.7</v>
      </c>
      <c r="C590" s="24">
        <f t="shared" si="9"/>
        <v>2.221563981042654E-3</v>
      </c>
    </row>
    <row r="591" spans="1:3" ht="14.25" customHeight="1" x14ac:dyDescent="0.3">
      <c r="A591" s="22">
        <v>45357</v>
      </c>
      <c r="B591" s="23">
        <v>675.2</v>
      </c>
      <c r="C591" s="24">
        <f t="shared" si="9"/>
        <v>-2.4525012557987886E-3</v>
      </c>
    </row>
    <row r="592" spans="1:3" ht="14.25" customHeight="1" x14ac:dyDescent="0.3">
      <c r="A592" s="22">
        <v>45356</v>
      </c>
      <c r="B592" s="23">
        <v>676.86</v>
      </c>
      <c r="C592" s="24">
        <f t="shared" si="9"/>
        <v>-2.2156245845700545E-4</v>
      </c>
    </row>
    <row r="593" spans="1:3" ht="14.25" customHeight="1" x14ac:dyDescent="0.3">
      <c r="A593" s="22">
        <v>45355</v>
      </c>
      <c r="B593" s="23">
        <v>677.01</v>
      </c>
      <c r="C593" s="24">
        <f t="shared" si="9"/>
        <v>2.9777777777777641E-3</v>
      </c>
    </row>
    <row r="594" spans="1:3" ht="14.25" customHeight="1" x14ac:dyDescent="0.3">
      <c r="A594" s="22">
        <v>45352</v>
      </c>
      <c r="B594" s="23">
        <v>675</v>
      </c>
      <c r="C594" s="24">
        <f t="shared" si="9"/>
        <v>9.9649878804200977E-3</v>
      </c>
    </row>
    <row r="595" spans="1:3" ht="14.25" customHeight="1" x14ac:dyDescent="0.3">
      <c r="A595" s="22">
        <v>45351</v>
      </c>
      <c r="B595" s="23">
        <v>668.34</v>
      </c>
      <c r="C595" s="24">
        <f t="shared" si="9"/>
        <v>2.1592442645075043E-3</v>
      </c>
    </row>
    <row r="596" spans="1:3" ht="14.25" customHeight="1" x14ac:dyDescent="0.3">
      <c r="A596" s="22">
        <v>45350</v>
      </c>
      <c r="B596" s="23">
        <v>666.9</v>
      </c>
      <c r="C596" s="24">
        <f t="shared" si="9"/>
        <v>-1.357827476038348E-2</v>
      </c>
    </row>
    <row r="597" spans="1:3" ht="14.25" customHeight="1" x14ac:dyDescent="0.3">
      <c r="A597" s="22">
        <v>45349</v>
      </c>
      <c r="B597" s="23">
        <v>676.08</v>
      </c>
      <c r="C597" s="24">
        <f t="shared" si="9"/>
        <v>2.8182384526388962E-3</v>
      </c>
    </row>
    <row r="598" spans="1:3" ht="14.25" customHeight="1" x14ac:dyDescent="0.3">
      <c r="A598" s="22">
        <v>45348</v>
      </c>
      <c r="B598" s="23">
        <v>674.18</v>
      </c>
      <c r="C598" s="24">
        <f t="shared" si="9"/>
        <v>-4.0624584521294672E-3</v>
      </c>
    </row>
    <row r="599" spans="1:3" ht="14.25" customHeight="1" x14ac:dyDescent="0.3">
      <c r="A599" s="22">
        <v>45345</v>
      </c>
      <c r="B599" s="23">
        <v>676.93</v>
      </c>
      <c r="C599" s="24">
        <f t="shared" si="9"/>
        <v>5.9125242043956262E-4</v>
      </c>
    </row>
    <row r="600" spans="1:3" ht="14.25" customHeight="1" x14ac:dyDescent="0.3">
      <c r="A600" s="22">
        <v>45344</v>
      </c>
      <c r="B600" s="23">
        <v>676.53</v>
      </c>
      <c r="C600" s="24">
        <f t="shared" si="9"/>
        <v>7.715796529381023E-3</v>
      </c>
    </row>
    <row r="601" spans="1:3" ht="14.25" customHeight="1" x14ac:dyDescent="0.3">
      <c r="A601" s="22">
        <v>45343</v>
      </c>
      <c r="B601" s="23">
        <v>671.35</v>
      </c>
      <c r="C601" s="24">
        <f t="shared" si="9"/>
        <v>-7.78871449262508E-3</v>
      </c>
    </row>
    <row r="602" spans="1:3" ht="14.25" customHeight="1" x14ac:dyDescent="0.3">
      <c r="A602" s="22">
        <v>45342</v>
      </c>
      <c r="B602" s="23">
        <v>676.62</v>
      </c>
      <c r="C602" s="24">
        <f t="shared" si="9"/>
        <v>-1.2399256044637792E-3</v>
      </c>
    </row>
    <row r="603" spans="1:3" ht="14.25" customHeight="1" x14ac:dyDescent="0.3">
      <c r="A603" s="22">
        <v>45341</v>
      </c>
      <c r="B603" s="23">
        <v>677.46</v>
      </c>
      <c r="C603" s="24">
        <f t="shared" si="9"/>
        <v>7.5852222023916095E-3</v>
      </c>
    </row>
    <row r="604" spans="1:3" ht="14.25" customHeight="1" x14ac:dyDescent="0.3">
      <c r="A604" s="22">
        <v>45338</v>
      </c>
      <c r="B604" s="23">
        <v>672.36</v>
      </c>
      <c r="C604" s="24">
        <f t="shared" si="9"/>
        <v>8.2324890908273118E-3</v>
      </c>
    </row>
    <row r="605" spans="1:3" ht="14.25" customHeight="1" x14ac:dyDescent="0.3">
      <c r="A605" s="22">
        <v>45337</v>
      </c>
      <c r="B605" s="23">
        <v>666.87</v>
      </c>
      <c r="C605" s="24">
        <f t="shared" si="9"/>
        <v>9.5677844220725915E-3</v>
      </c>
    </row>
    <row r="606" spans="1:3" ht="14.25" customHeight="1" x14ac:dyDescent="0.3">
      <c r="A606" s="22">
        <v>45336</v>
      </c>
      <c r="B606" s="23">
        <v>660.55</v>
      </c>
      <c r="C606" s="24">
        <f t="shared" si="9"/>
        <v>7.8424192490196779E-3</v>
      </c>
    </row>
    <row r="607" spans="1:3" ht="14.25" customHeight="1" x14ac:dyDescent="0.3">
      <c r="A607" s="22">
        <v>45335</v>
      </c>
      <c r="B607" s="23">
        <v>655.41</v>
      </c>
      <c r="C607" s="24">
        <f t="shared" si="9"/>
        <v>3.9058910026651267E-3</v>
      </c>
    </row>
    <row r="608" spans="1:3" ht="14.25" customHeight="1" x14ac:dyDescent="0.3">
      <c r="A608" s="22">
        <v>45334</v>
      </c>
      <c r="B608" s="23">
        <v>652.86</v>
      </c>
      <c r="C608" s="24">
        <f t="shared" si="9"/>
        <v>-1.5264412199463036E-2</v>
      </c>
    </row>
    <row r="609" spans="1:3" ht="14.25" customHeight="1" x14ac:dyDescent="0.3">
      <c r="A609" s="22">
        <v>45331</v>
      </c>
      <c r="B609" s="23">
        <v>662.98</v>
      </c>
      <c r="C609" s="24">
        <f t="shared" si="9"/>
        <v>-5.4270811348631717E-4</v>
      </c>
    </row>
    <row r="610" spans="1:3" ht="14.25" customHeight="1" x14ac:dyDescent="0.3">
      <c r="A610" s="22">
        <v>45330</v>
      </c>
      <c r="B610" s="23">
        <v>663.34</v>
      </c>
      <c r="C610" s="24">
        <f t="shared" si="9"/>
        <v>-2.7361837753321554E-3</v>
      </c>
    </row>
    <row r="611" spans="1:3" ht="14.25" customHeight="1" x14ac:dyDescent="0.3">
      <c r="A611" s="22">
        <v>45329</v>
      </c>
      <c r="B611" s="23">
        <v>665.16</v>
      </c>
      <c r="C611" s="24">
        <f t="shared" si="9"/>
        <v>3.5303702362631151E-3</v>
      </c>
    </row>
    <row r="612" spans="1:3" ht="14.25" customHeight="1" x14ac:dyDescent="0.3">
      <c r="A612" s="22">
        <v>45328</v>
      </c>
      <c r="B612" s="23">
        <v>662.82</v>
      </c>
      <c r="C612" s="24">
        <f t="shared" si="9"/>
        <v>1.1290470232827945E-2</v>
      </c>
    </row>
    <row r="613" spans="1:3" ht="14.25" customHeight="1" x14ac:dyDescent="0.3">
      <c r="A613" s="22">
        <v>45327</v>
      </c>
      <c r="B613" s="23">
        <v>655.42</v>
      </c>
      <c r="C613" s="24">
        <f t="shared" si="9"/>
        <v>-1.8579434697856166E-3</v>
      </c>
    </row>
    <row r="614" spans="1:3" ht="14.25" customHeight="1" x14ac:dyDescent="0.3">
      <c r="A614" s="22">
        <v>45324</v>
      </c>
      <c r="B614" s="23">
        <v>656.64</v>
      </c>
      <c r="C614" s="24">
        <f t="shared" si="9"/>
        <v>8.8650575383716901E-3</v>
      </c>
    </row>
    <row r="615" spans="1:3" ht="14.25" customHeight="1" x14ac:dyDescent="0.3">
      <c r="A615" s="22">
        <v>45323</v>
      </c>
      <c r="B615" s="23">
        <v>650.87</v>
      </c>
      <c r="C615" s="24">
        <f t="shared" si="9"/>
        <v>-1.9321300967598345E-3</v>
      </c>
    </row>
    <row r="616" spans="1:3" ht="14.25" customHeight="1" x14ac:dyDescent="0.3">
      <c r="A616" s="22">
        <v>45322</v>
      </c>
      <c r="B616" s="23">
        <v>652.13</v>
      </c>
      <c r="C616" s="24">
        <f t="shared" si="9"/>
        <v>1.1571811934788399E-2</v>
      </c>
    </row>
    <row r="617" spans="1:3" ht="14.25" customHeight="1" x14ac:dyDescent="0.3">
      <c r="A617" s="22">
        <v>45321</v>
      </c>
      <c r="B617" s="23">
        <v>644.66999999999996</v>
      </c>
      <c r="C617" s="24">
        <f t="shared" si="9"/>
        <v>-4.5551403600877756E-3</v>
      </c>
    </row>
    <row r="618" spans="1:3" ht="14.25" customHeight="1" x14ac:dyDescent="0.3">
      <c r="A618" s="22">
        <v>45320</v>
      </c>
      <c r="B618" s="23">
        <v>647.62</v>
      </c>
      <c r="C618" s="24">
        <f t="shared" si="9"/>
        <v>1.3537411772070639E-2</v>
      </c>
    </row>
    <row r="619" spans="1:3" ht="14.25" customHeight="1" x14ac:dyDescent="0.3">
      <c r="A619" s="22">
        <v>45316</v>
      </c>
      <c r="B619" s="23">
        <v>638.97</v>
      </c>
      <c r="C619" s="24">
        <f t="shared" si="9"/>
        <v>-1.7653491641930878E-3</v>
      </c>
    </row>
    <row r="620" spans="1:3" ht="14.25" customHeight="1" x14ac:dyDescent="0.3">
      <c r="A620" s="22">
        <v>45315</v>
      </c>
      <c r="B620" s="23">
        <v>640.1</v>
      </c>
      <c r="C620" s="24">
        <f t="shared" si="9"/>
        <v>-6.549540600943672E-3</v>
      </c>
    </row>
    <row r="621" spans="1:3" ht="14.25" customHeight="1" x14ac:dyDescent="0.3">
      <c r="A621" s="22">
        <v>45310</v>
      </c>
      <c r="B621" s="23">
        <v>644.32000000000005</v>
      </c>
      <c r="C621" s="24">
        <f t="shared" si="9"/>
        <v>1.1062814819464384E-2</v>
      </c>
    </row>
    <row r="622" spans="1:3" ht="14.25" customHeight="1" x14ac:dyDescent="0.3">
      <c r="A622" s="22">
        <v>45309</v>
      </c>
      <c r="B622" s="23">
        <v>637.27</v>
      </c>
      <c r="C622" s="24">
        <f t="shared" si="9"/>
        <v>-1.2551973013264444E-4</v>
      </c>
    </row>
    <row r="623" spans="1:3" ht="14.25" customHeight="1" x14ac:dyDescent="0.3">
      <c r="A623" s="22">
        <v>45308</v>
      </c>
      <c r="B623" s="23">
        <v>637.35</v>
      </c>
      <c r="C623" s="24">
        <f t="shared" si="9"/>
        <v>-1.1845144885967203E-2</v>
      </c>
    </row>
    <row r="624" spans="1:3" ht="14.25" customHeight="1" x14ac:dyDescent="0.3">
      <c r="A624" s="22">
        <v>45307</v>
      </c>
      <c r="B624" s="23">
        <v>644.99</v>
      </c>
      <c r="C624" s="24">
        <f t="shared" si="9"/>
        <v>-4.276275163640827E-3</v>
      </c>
    </row>
    <row r="625" spans="1:3" ht="14.25" customHeight="1" x14ac:dyDescent="0.3">
      <c r="A625" s="22">
        <v>45306</v>
      </c>
      <c r="B625" s="23">
        <v>647.76</v>
      </c>
      <c r="C625" s="24">
        <f t="shared" si="9"/>
        <v>7.1208681861998835E-3</v>
      </c>
    </row>
    <row r="626" spans="1:3" ht="14.25" customHeight="1" x14ac:dyDescent="0.3">
      <c r="A626" s="22">
        <v>45303</v>
      </c>
      <c r="B626" s="23">
        <v>643.17999999999995</v>
      </c>
      <c r="C626" s="24">
        <f t="shared" si="9"/>
        <v>6.5257194723086637E-3</v>
      </c>
    </row>
    <row r="627" spans="1:3" ht="14.25" customHeight="1" x14ac:dyDescent="0.3">
      <c r="A627" s="22">
        <v>45302</v>
      </c>
      <c r="B627" s="23">
        <v>639.01</v>
      </c>
      <c r="C627" s="24">
        <f t="shared" si="9"/>
        <v>5.0645653439029045E-3</v>
      </c>
    </row>
    <row r="628" spans="1:3" ht="14.25" customHeight="1" x14ac:dyDescent="0.3">
      <c r="A628" s="22">
        <v>45301</v>
      </c>
      <c r="B628" s="23">
        <v>635.79</v>
      </c>
      <c r="C628" s="24">
        <f t="shared" si="9"/>
        <v>-9.4361877801461212E-5</v>
      </c>
    </row>
    <row r="629" spans="1:3" ht="14.25" customHeight="1" x14ac:dyDescent="0.3">
      <c r="A629" s="22">
        <v>45300</v>
      </c>
      <c r="B629" s="23">
        <v>635.85</v>
      </c>
      <c r="C629" s="24">
        <f t="shared" si="9"/>
        <v>2.2540273005265655E-3</v>
      </c>
    </row>
    <row r="630" spans="1:3" ht="14.25" customHeight="1" x14ac:dyDescent="0.3">
      <c r="A630" s="22">
        <v>45299</v>
      </c>
      <c r="B630" s="23">
        <v>634.41999999999996</v>
      </c>
      <c r="C630" s="24">
        <f t="shared" si="9"/>
        <v>-8.641300101570569E-3</v>
      </c>
    </row>
    <row r="631" spans="1:3" ht="14.25" customHeight="1" x14ac:dyDescent="0.3">
      <c r="A631" s="22">
        <v>45296</v>
      </c>
      <c r="B631" s="23">
        <v>639.95000000000005</v>
      </c>
      <c r="C631" s="24">
        <f t="shared" si="9"/>
        <v>2.1453850731310165E-3</v>
      </c>
    </row>
    <row r="632" spans="1:3" ht="14.25" customHeight="1" x14ac:dyDescent="0.3">
      <c r="A632" s="22">
        <v>45295</v>
      </c>
      <c r="B632" s="23">
        <v>638.58000000000004</v>
      </c>
      <c r="C632" s="24">
        <f t="shared" si="9"/>
        <v>6.7475957748700721E-3</v>
      </c>
    </row>
    <row r="633" spans="1:3" ht="14.25" customHeight="1" x14ac:dyDescent="0.3">
      <c r="A633" s="22">
        <v>45294</v>
      </c>
      <c r="B633" s="23">
        <v>634.29999999999995</v>
      </c>
      <c r="C633" s="24">
        <f t="shared" si="9"/>
        <v>-6.3021900110302653E-4</v>
      </c>
    </row>
    <row r="634" spans="1:3" ht="14.25" customHeight="1" x14ac:dyDescent="0.3">
      <c r="A634" s="22">
        <v>45293</v>
      </c>
      <c r="B634" s="23">
        <v>634.70000000000005</v>
      </c>
      <c r="C634" s="24">
        <f t="shared" si="9"/>
        <v>4.7013755876719916E-3</v>
      </c>
    </row>
    <row r="635" spans="1:3" ht="14.25" customHeight="1" x14ac:dyDescent="0.3">
      <c r="A635" s="22">
        <v>45289</v>
      </c>
      <c r="B635" s="23">
        <v>631.73</v>
      </c>
      <c r="C635" s="24">
        <f t="shared" si="9"/>
        <v>2.3800834615933866E-3</v>
      </c>
    </row>
    <row r="636" spans="1:3" ht="14.25" customHeight="1" x14ac:dyDescent="0.3">
      <c r="A636" s="22">
        <v>45288</v>
      </c>
      <c r="B636" s="23">
        <v>630.23</v>
      </c>
      <c r="C636" s="24">
        <f t="shared" si="9"/>
        <v>5.6166328924063466E-3</v>
      </c>
    </row>
    <row r="637" spans="1:3" ht="14.25" customHeight="1" x14ac:dyDescent="0.3">
      <c r="A637" s="22">
        <v>45287</v>
      </c>
      <c r="B637" s="23">
        <v>626.71</v>
      </c>
      <c r="C637" s="24">
        <f t="shared" si="9"/>
        <v>4.4556280351963949E-3</v>
      </c>
    </row>
    <row r="638" spans="1:3" ht="14.25" customHeight="1" x14ac:dyDescent="0.3">
      <c r="A638" s="22">
        <v>45286</v>
      </c>
      <c r="B638" s="23">
        <v>623.92999999999995</v>
      </c>
      <c r="C638" s="24">
        <f t="shared" si="9"/>
        <v>3.8129866786794594E-3</v>
      </c>
    </row>
    <row r="639" spans="1:3" ht="14.25" customHeight="1" x14ac:dyDescent="0.3">
      <c r="A639" s="22">
        <v>45282</v>
      </c>
      <c r="B639" s="23">
        <v>621.55999999999995</v>
      </c>
      <c r="C639" s="24">
        <f t="shared" si="9"/>
        <v>5.9884116142814416E-3</v>
      </c>
    </row>
    <row r="640" spans="1:3" ht="14.25" customHeight="1" x14ac:dyDescent="0.3">
      <c r="A640" s="22">
        <v>45281</v>
      </c>
      <c r="B640" s="23">
        <v>617.86</v>
      </c>
      <c r="C640" s="24">
        <f t="shared" si="9"/>
        <v>1.0301523971482878E-2</v>
      </c>
    </row>
    <row r="641" spans="1:3" ht="14.25" customHeight="1" x14ac:dyDescent="0.3">
      <c r="A641" s="22">
        <v>45280</v>
      </c>
      <c r="B641" s="23">
        <v>611.55999999999995</v>
      </c>
      <c r="C641" s="24">
        <f t="shared" si="9"/>
        <v>-2.040685567835978E-2</v>
      </c>
    </row>
    <row r="642" spans="1:3" ht="14.25" customHeight="1" x14ac:dyDescent="0.3">
      <c r="A642" s="22">
        <v>45279</v>
      </c>
      <c r="B642" s="23">
        <v>624.29999999999995</v>
      </c>
      <c r="C642" s="24">
        <f t="shared" ref="C642:C705" si="10">(B642-B643)/B643</f>
        <v>1.5882947490013142E-3</v>
      </c>
    </row>
    <row r="643" spans="1:3" ht="14.25" customHeight="1" x14ac:dyDescent="0.3">
      <c r="A643" s="22">
        <v>45278</v>
      </c>
      <c r="B643" s="23">
        <v>623.30999999999995</v>
      </c>
      <c r="C643" s="24">
        <f t="shared" si="10"/>
        <v>3.4128044559633779E-3</v>
      </c>
    </row>
    <row r="644" spans="1:3" ht="14.25" customHeight="1" x14ac:dyDescent="0.3">
      <c r="A644" s="22">
        <v>45275</v>
      </c>
      <c r="B644" s="23">
        <v>621.19000000000005</v>
      </c>
      <c r="C644" s="24">
        <f t="shared" si="10"/>
        <v>6.2527335460774843E-3</v>
      </c>
    </row>
    <row r="645" spans="1:3" ht="14.25" customHeight="1" x14ac:dyDescent="0.3">
      <c r="A645" s="22">
        <v>45274</v>
      </c>
      <c r="B645" s="23">
        <v>617.33000000000004</v>
      </c>
      <c r="C645" s="24">
        <f t="shared" si="10"/>
        <v>9.9798766421805574E-3</v>
      </c>
    </row>
    <row r="646" spans="1:3" ht="14.25" customHeight="1" x14ac:dyDescent="0.3">
      <c r="A646" s="22">
        <v>45273</v>
      </c>
      <c r="B646" s="23">
        <v>611.23</v>
      </c>
      <c r="C646" s="24">
        <f t="shared" si="10"/>
        <v>7.1180240892390143E-3</v>
      </c>
    </row>
    <row r="647" spans="1:3" ht="14.25" customHeight="1" x14ac:dyDescent="0.3">
      <c r="A647" s="22">
        <v>45272</v>
      </c>
      <c r="B647" s="23">
        <v>606.91</v>
      </c>
      <c r="C647" s="24">
        <f t="shared" si="10"/>
        <v>-3.9552287796233206E-3</v>
      </c>
    </row>
    <row r="648" spans="1:3" ht="14.25" customHeight="1" x14ac:dyDescent="0.3">
      <c r="A648" s="22">
        <v>45271</v>
      </c>
      <c r="B648" s="23">
        <v>609.32000000000005</v>
      </c>
      <c r="C648" s="24">
        <f t="shared" si="10"/>
        <v>3.7063271121946396E-3</v>
      </c>
    </row>
    <row r="649" spans="1:3" ht="14.25" customHeight="1" x14ac:dyDescent="0.3">
      <c r="A649" s="22">
        <v>45268</v>
      </c>
      <c r="B649" s="23">
        <v>607.07000000000005</v>
      </c>
      <c r="C649" s="24">
        <f t="shared" si="10"/>
        <v>-8.7228439762997482E-4</v>
      </c>
    </row>
    <row r="650" spans="1:3" ht="14.25" customHeight="1" x14ac:dyDescent="0.3">
      <c r="A650" s="22">
        <v>45267</v>
      </c>
      <c r="B650" s="23">
        <v>607.6</v>
      </c>
      <c r="C650" s="24">
        <f t="shared" si="10"/>
        <v>4.4967596878720201E-3</v>
      </c>
    </row>
    <row r="651" spans="1:3" ht="14.25" customHeight="1" x14ac:dyDescent="0.3">
      <c r="A651" s="22">
        <v>45266</v>
      </c>
      <c r="B651" s="23">
        <v>604.88</v>
      </c>
      <c r="C651" s="24">
        <f t="shared" si="10"/>
        <v>2.6521681474605866E-3</v>
      </c>
    </row>
    <row r="652" spans="1:3" ht="14.25" customHeight="1" x14ac:dyDescent="0.3">
      <c r="A652" s="22">
        <v>45265</v>
      </c>
      <c r="B652" s="23">
        <v>603.28</v>
      </c>
      <c r="C652" s="24">
        <f t="shared" si="10"/>
        <v>3.5432088497047254E-3</v>
      </c>
    </row>
    <row r="653" spans="1:3" ht="14.25" customHeight="1" x14ac:dyDescent="0.3">
      <c r="A653" s="22">
        <v>45264</v>
      </c>
      <c r="B653" s="23">
        <v>601.15</v>
      </c>
      <c r="C653" s="24">
        <f t="shared" si="10"/>
        <v>1.7708104081667071E-2</v>
      </c>
    </row>
    <row r="654" spans="1:3" ht="14.25" customHeight="1" x14ac:dyDescent="0.3">
      <c r="A654" s="22">
        <v>45261</v>
      </c>
      <c r="B654" s="23">
        <v>590.69000000000005</v>
      </c>
      <c r="C654" s="24">
        <f t="shared" si="10"/>
        <v>7.1784204064930367E-3</v>
      </c>
    </row>
    <row r="655" spans="1:3" ht="14.25" customHeight="1" x14ac:dyDescent="0.3">
      <c r="A655" s="22">
        <v>45260</v>
      </c>
      <c r="B655" s="23">
        <v>586.48</v>
      </c>
      <c r="C655" s="24">
        <f t="shared" si="10"/>
        <v>4.1777960413671234E-3</v>
      </c>
    </row>
    <row r="656" spans="1:3" ht="14.25" customHeight="1" x14ac:dyDescent="0.3">
      <c r="A656" s="22">
        <v>45259</v>
      </c>
      <c r="B656" s="23">
        <v>584.04</v>
      </c>
      <c r="C656" s="24">
        <f t="shared" si="10"/>
        <v>7.9039105373967609E-3</v>
      </c>
    </row>
    <row r="657" spans="1:3" ht="14.25" customHeight="1" x14ac:dyDescent="0.3">
      <c r="A657" s="22">
        <v>45258</v>
      </c>
      <c r="B657" s="23">
        <v>579.46</v>
      </c>
      <c r="C657" s="24">
        <f t="shared" si="10"/>
        <v>5.1867399864693898E-3</v>
      </c>
    </row>
    <row r="658" spans="1:3" ht="14.25" customHeight="1" x14ac:dyDescent="0.3">
      <c r="A658" s="22">
        <v>45254</v>
      </c>
      <c r="B658" s="23">
        <v>576.47</v>
      </c>
      <c r="C658" s="24">
        <f t="shared" si="10"/>
        <v>-5.2038161318252761E-5</v>
      </c>
    </row>
    <row r="659" spans="1:3" ht="14.25" customHeight="1" x14ac:dyDescent="0.3">
      <c r="A659" s="22">
        <v>45253</v>
      </c>
      <c r="B659" s="23">
        <v>576.5</v>
      </c>
      <c r="C659" s="24">
        <f t="shared" si="10"/>
        <v>2.8354236610016099E-3</v>
      </c>
    </row>
    <row r="660" spans="1:3" ht="14.25" customHeight="1" x14ac:dyDescent="0.3">
      <c r="A660" s="22">
        <v>45252</v>
      </c>
      <c r="B660" s="23">
        <v>574.87</v>
      </c>
      <c r="C660" s="24">
        <f t="shared" si="10"/>
        <v>1.0448047085865929E-3</v>
      </c>
    </row>
    <row r="661" spans="1:3" ht="14.25" customHeight="1" x14ac:dyDescent="0.3">
      <c r="A661" s="22">
        <v>45251</v>
      </c>
      <c r="B661" s="23">
        <v>574.27</v>
      </c>
      <c r="C661" s="24">
        <f t="shared" si="10"/>
        <v>3.5650000873773896E-3</v>
      </c>
    </row>
    <row r="662" spans="1:3" ht="14.25" customHeight="1" x14ac:dyDescent="0.3">
      <c r="A662" s="22">
        <v>45250</v>
      </c>
      <c r="B662" s="23">
        <v>572.23</v>
      </c>
      <c r="C662" s="24">
        <f t="shared" si="10"/>
        <v>5.2453971639897928E-4</v>
      </c>
    </row>
    <row r="663" spans="1:3" ht="14.25" customHeight="1" x14ac:dyDescent="0.3">
      <c r="A663" s="22">
        <v>45247</v>
      </c>
      <c r="B663" s="23">
        <v>571.92999999999995</v>
      </c>
      <c r="C663" s="24">
        <f t="shared" si="10"/>
        <v>9.1002957596118697E-4</v>
      </c>
    </row>
    <row r="664" spans="1:3" ht="14.25" customHeight="1" x14ac:dyDescent="0.3">
      <c r="A664" s="22">
        <v>45246</v>
      </c>
      <c r="B664" s="23">
        <v>571.41</v>
      </c>
      <c r="C664" s="24">
        <f t="shared" si="10"/>
        <v>4.8536006330783281E-3</v>
      </c>
    </row>
    <row r="665" spans="1:3" ht="14.25" customHeight="1" x14ac:dyDescent="0.3">
      <c r="A665" s="22">
        <v>45245</v>
      </c>
      <c r="B665" s="23">
        <v>568.65</v>
      </c>
      <c r="C665" s="24">
        <f t="shared" si="10"/>
        <v>9.31842385516507E-3</v>
      </c>
    </row>
    <row r="666" spans="1:3" ht="14.25" customHeight="1" x14ac:dyDescent="0.3">
      <c r="A666" s="22">
        <v>45243</v>
      </c>
      <c r="B666" s="23">
        <v>563.4</v>
      </c>
      <c r="C666" s="24">
        <f t="shared" si="10"/>
        <v>3.58039865334258E-3</v>
      </c>
    </row>
    <row r="667" spans="1:3" ht="14.25" customHeight="1" x14ac:dyDescent="0.3">
      <c r="A667" s="22">
        <v>45240</v>
      </c>
      <c r="B667" s="23">
        <v>561.39</v>
      </c>
      <c r="C667" s="24">
        <f t="shared" si="10"/>
        <v>5.1684191766167102E-4</v>
      </c>
    </row>
    <row r="668" spans="1:3" ht="14.25" customHeight="1" x14ac:dyDescent="0.3">
      <c r="A668" s="22">
        <v>45239</v>
      </c>
      <c r="B668" s="23">
        <v>561.1</v>
      </c>
      <c r="C668" s="24">
        <f t="shared" si="10"/>
        <v>-3.0560392310152928E-3</v>
      </c>
    </row>
    <row r="669" spans="1:3" ht="14.25" customHeight="1" x14ac:dyDescent="0.3">
      <c r="A669" s="22">
        <v>45238</v>
      </c>
      <c r="B669" s="23">
        <v>562.82000000000005</v>
      </c>
      <c r="C669" s="24">
        <f t="shared" si="10"/>
        <v>5.0177675398654651E-3</v>
      </c>
    </row>
    <row r="670" spans="1:3" ht="14.25" customHeight="1" x14ac:dyDescent="0.3">
      <c r="A670" s="22">
        <v>45237</v>
      </c>
      <c r="B670" s="23">
        <v>560.01</v>
      </c>
      <c r="C670" s="24">
        <f t="shared" si="10"/>
        <v>1.2157402606689251E-3</v>
      </c>
    </row>
    <row r="671" spans="1:3" ht="14.25" customHeight="1" x14ac:dyDescent="0.3">
      <c r="A671" s="22">
        <v>45236</v>
      </c>
      <c r="B671" s="23">
        <v>559.33000000000004</v>
      </c>
      <c r="C671" s="24">
        <f t="shared" si="10"/>
        <v>9.712067876162099E-3</v>
      </c>
    </row>
    <row r="672" spans="1:3" ht="14.25" customHeight="1" x14ac:dyDescent="0.3">
      <c r="A672" s="22">
        <v>45233</v>
      </c>
      <c r="B672" s="23">
        <v>553.95000000000005</v>
      </c>
      <c r="C672" s="24">
        <f t="shared" si="10"/>
        <v>8.8142630802572012E-3</v>
      </c>
    </row>
    <row r="673" spans="1:3" ht="14.25" customHeight="1" x14ac:dyDescent="0.3">
      <c r="A673" s="22">
        <v>45232</v>
      </c>
      <c r="B673" s="23">
        <v>549.11</v>
      </c>
      <c r="C673" s="24">
        <f t="shared" si="10"/>
        <v>9.393382352941201E-3</v>
      </c>
    </row>
    <row r="674" spans="1:3" ht="14.25" customHeight="1" x14ac:dyDescent="0.3">
      <c r="A674" s="22">
        <v>45231</v>
      </c>
      <c r="B674" s="23">
        <v>544</v>
      </c>
      <c r="C674" s="24">
        <f t="shared" si="10"/>
        <v>-3.1517994575973526E-3</v>
      </c>
    </row>
    <row r="675" spans="1:3" ht="14.25" customHeight="1" x14ac:dyDescent="0.3">
      <c r="A675" s="22">
        <v>45230</v>
      </c>
      <c r="B675" s="23">
        <v>545.72</v>
      </c>
      <c r="C675" s="24">
        <f t="shared" si="10"/>
        <v>-3.9788282533308088E-3</v>
      </c>
    </row>
    <row r="676" spans="1:3" ht="14.25" customHeight="1" x14ac:dyDescent="0.3">
      <c r="A676" s="22">
        <v>45229</v>
      </c>
      <c r="B676" s="23">
        <v>547.9</v>
      </c>
      <c r="C676" s="24">
        <f t="shared" si="10"/>
        <v>2.5617566331198119E-3</v>
      </c>
    </row>
    <row r="677" spans="1:3" ht="14.25" customHeight="1" x14ac:dyDescent="0.3">
      <c r="A677" s="22">
        <v>45226</v>
      </c>
      <c r="B677" s="23">
        <v>546.5</v>
      </c>
      <c r="C677" s="24">
        <f t="shared" si="10"/>
        <v>1.1587442618095644E-2</v>
      </c>
    </row>
    <row r="678" spans="1:3" ht="14.25" customHeight="1" x14ac:dyDescent="0.3">
      <c r="A678" s="22">
        <v>45225</v>
      </c>
      <c r="B678" s="23">
        <v>540.24</v>
      </c>
      <c r="C678" s="24">
        <f t="shared" si="10"/>
        <v>-8.9521573231581952E-3</v>
      </c>
    </row>
    <row r="679" spans="1:3" ht="14.25" customHeight="1" x14ac:dyDescent="0.3">
      <c r="A679" s="22">
        <v>45224</v>
      </c>
      <c r="B679" s="23">
        <v>545.12</v>
      </c>
      <c r="C679" s="24">
        <f t="shared" si="10"/>
        <v>-7.2301444207689579E-3</v>
      </c>
    </row>
    <row r="680" spans="1:3" ht="14.25" customHeight="1" x14ac:dyDescent="0.3">
      <c r="A680" s="22">
        <v>45222</v>
      </c>
      <c r="B680" s="23">
        <v>549.09</v>
      </c>
      <c r="C680" s="24">
        <f t="shared" si="10"/>
        <v>-1.9989648217887044E-2</v>
      </c>
    </row>
    <row r="681" spans="1:3" ht="14.25" customHeight="1" x14ac:dyDescent="0.3">
      <c r="A681" s="22">
        <v>45219</v>
      </c>
      <c r="B681" s="23">
        <v>560.29</v>
      </c>
      <c r="C681" s="24">
        <f t="shared" si="10"/>
        <v>-5.3611688058084932E-3</v>
      </c>
    </row>
    <row r="682" spans="1:3" ht="14.25" customHeight="1" x14ac:dyDescent="0.3">
      <c r="A682" s="22">
        <v>45218</v>
      </c>
      <c r="B682" s="23">
        <v>563.30999999999995</v>
      </c>
      <c r="C682" s="24">
        <f t="shared" si="10"/>
        <v>-3.0440861547174972E-3</v>
      </c>
    </row>
    <row r="683" spans="1:3" ht="14.25" customHeight="1" x14ac:dyDescent="0.3">
      <c r="A683" s="22">
        <v>45217</v>
      </c>
      <c r="B683" s="23">
        <v>565.03</v>
      </c>
      <c r="C683" s="24">
        <f t="shared" si="10"/>
        <v>-5.8589626293195172E-3</v>
      </c>
    </row>
    <row r="684" spans="1:3" ht="14.25" customHeight="1" x14ac:dyDescent="0.3">
      <c r="A684" s="22">
        <v>45216</v>
      </c>
      <c r="B684" s="23">
        <v>568.36</v>
      </c>
      <c r="C684" s="24">
        <f t="shared" si="10"/>
        <v>6.3743891210426068E-3</v>
      </c>
    </row>
    <row r="685" spans="1:3" ht="14.25" customHeight="1" x14ac:dyDescent="0.3">
      <c r="A685" s="22">
        <v>45215</v>
      </c>
      <c r="B685" s="23">
        <v>564.76</v>
      </c>
      <c r="C685" s="24">
        <f t="shared" si="10"/>
        <v>7.0876745339849964E-4</v>
      </c>
    </row>
    <row r="686" spans="1:3" ht="14.25" customHeight="1" x14ac:dyDescent="0.3">
      <c r="A686" s="22">
        <v>45212</v>
      </c>
      <c r="B686" s="23">
        <v>564.36</v>
      </c>
      <c r="C686" s="24">
        <f t="shared" si="10"/>
        <v>1.7719500310075139E-5</v>
      </c>
    </row>
    <row r="687" spans="1:3" ht="14.25" customHeight="1" x14ac:dyDescent="0.3">
      <c r="A687" s="22">
        <v>45211</v>
      </c>
      <c r="B687" s="23">
        <v>564.35</v>
      </c>
      <c r="C687" s="24">
        <f t="shared" si="10"/>
        <v>3.8064068586471001E-3</v>
      </c>
    </row>
    <row r="688" spans="1:3" ht="14.25" customHeight="1" x14ac:dyDescent="0.3">
      <c r="A688" s="22">
        <v>45210</v>
      </c>
      <c r="B688" s="23">
        <v>562.21</v>
      </c>
      <c r="C688" s="24">
        <f t="shared" si="10"/>
        <v>6.0303485791997789E-3</v>
      </c>
    </row>
    <row r="689" spans="1:3" ht="14.25" customHeight="1" x14ac:dyDescent="0.3">
      <c r="A689" s="22">
        <v>45209</v>
      </c>
      <c r="B689" s="23">
        <v>558.84</v>
      </c>
      <c r="C689" s="24">
        <f t="shared" si="10"/>
        <v>9.4653179190751606E-3</v>
      </c>
    </row>
    <row r="690" spans="1:3" ht="14.25" customHeight="1" x14ac:dyDescent="0.3">
      <c r="A690" s="22">
        <v>45208</v>
      </c>
      <c r="B690" s="23">
        <v>553.6</v>
      </c>
      <c r="C690" s="24">
        <f t="shared" si="10"/>
        <v>-8.1697004443169446E-3</v>
      </c>
    </row>
    <row r="691" spans="1:3" ht="14.25" customHeight="1" x14ac:dyDescent="0.3">
      <c r="A691" s="22">
        <v>45205</v>
      </c>
      <c r="B691" s="23">
        <v>558.16</v>
      </c>
      <c r="C691" s="24">
        <f t="shared" si="10"/>
        <v>5.0598721526963989E-3</v>
      </c>
    </row>
    <row r="692" spans="1:3" ht="14.25" customHeight="1" x14ac:dyDescent="0.3">
      <c r="A692" s="22">
        <v>45204</v>
      </c>
      <c r="B692" s="23">
        <v>555.35</v>
      </c>
      <c r="C692" s="24">
        <f t="shared" si="10"/>
        <v>4.7401081902556479E-3</v>
      </c>
    </row>
    <row r="693" spans="1:3" ht="14.25" customHeight="1" x14ac:dyDescent="0.3">
      <c r="A693" s="22">
        <v>45203</v>
      </c>
      <c r="B693" s="23">
        <v>552.73</v>
      </c>
      <c r="C693" s="24">
        <f t="shared" si="10"/>
        <v>-7.0956384278219658E-3</v>
      </c>
    </row>
    <row r="694" spans="1:3" ht="14.25" customHeight="1" x14ac:dyDescent="0.3">
      <c r="A694" s="22">
        <v>45202</v>
      </c>
      <c r="B694" s="23">
        <v>556.67999999999995</v>
      </c>
      <c r="C694" s="24">
        <f t="shared" si="10"/>
        <v>-3.3836403673668473E-3</v>
      </c>
    </row>
    <row r="695" spans="1:3" ht="14.25" customHeight="1" x14ac:dyDescent="0.3">
      <c r="A695" s="22">
        <v>45198</v>
      </c>
      <c r="B695" s="23">
        <v>558.57000000000005</v>
      </c>
      <c r="C695" s="24">
        <f t="shared" si="10"/>
        <v>2.2788444284946988E-3</v>
      </c>
    </row>
    <row r="696" spans="1:3" ht="14.25" customHeight="1" x14ac:dyDescent="0.3">
      <c r="A696" s="22">
        <v>45197</v>
      </c>
      <c r="B696" s="23">
        <v>557.29999999999995</v>
      </c>
      <c r="C696" s="24">
        <f t="shared" si="10"/>
        <v>0</v>
      </c>
    </row>
    <row r="697" spans="1:3" ht="14.25" customHeight="1" x14ac:dyDescent="0.3">
      <c r="A697" s="22">
        <v>45196</v>
      </c>
      <c r="B697" s="23">
        <v>557.29999999999995</v>
      </c>
      <c r="C697" s="24">
        <f t="shared" si="10"/>
        <v>3.1139190381048371E-3</v>
      </c>
    </row>
    <row r="698" spans="1:3" ht="14.25" customHeight="1" x14ac:dyDescent="0.3">
      <c r="A698" s="22">
        <v>45194</v>
      </c>
      <c r="B698" s="23">
        <v>555.57000000000005</v>
      </c>
      <c r="C698" s="24">
        <f t="shared" si="10"/>
        <v>-1.1865595167466123E-3</v>
      </c>
    </row>
    <row r="699" spans="1:3" ht="14.25" customHeight="1" x14ac:dyDescent="0.3">
      <c r="A699" s="22">
        <v>45191</v>
      </c>
      <c r="B699" s="23">
        <v>556.23</v>
      </c>
      <c r="C699" s="24">
        <f t="shared" si="10"/>
        <v>-3.3327957856259987E-3</v>
      </c>
    </row>
    <row r="700" spans="1:3" ht="14.25" customHeight="1" x14ac:dyDescent="0.3">
      <c r="A700" s="22">
        <v>45190</v>
      </c>
      <c r="B700" s="23">
        <v>558.09</v>
      </c>
      <c r="C700" s="24">
        <f t="shared" si="10"/>
        <v>-6.0553171027088234E-3</v>
      </c>
    </row>
    <row r="701" spans="1:3" ht="14.25" customHeight="1" x14ac:dyDescent="0.3">
      <c r="A701" s="22">
        <v>45189</v>
      </c>
      <c r="B701" s="23">
        <v>561.49</v>
      </c>
      <c r="C701" s="24">
        <f t="shared" si="10"/>
        <v>-6.1772098127367498E-3</v>
      </c>
    </row>
    <row r="702" spans="1:3" ht="14.25" customHeight="1" x14ac:dyDescent="0.3">
      <c r="A702" s="22">
        <v>45187</v>
      </c>
      <c r="B702" s="23">
        <v>564.98</v>
      </c>
      <c r="C702" s="24">
        <f t="shared" si="10"/>
        <v>-2.3485370203597455E-3</v>
      </c>
    </row>
    <row r="703" spans="1:3" ht="14.25" customHeight="1" x14ac:dyDescent="0.3">
      <c r="A703" s="22">
        <v>45184</v>
      </c>
      <c r="B703" s="23">
        <v>566.30999999999995</v>
      </c>
      <c r="C703" s="24">
        <f t="shared" si="10"/>
        <v>3.8821527334608609E-3</v>
      </c>
    </row>
    <row r="704" spans="1:3" ht="14.25" customHeight="1" x14ac:dyDescent="0.3">
      <c r="A704" s="22">
        <v>45183</v>
      </c>
      <c r="B704" s="23">
        <v>564.12</v>
      </c>
      <c r="C704" s="24">
        <f t="shared" si="10"/>
        <v>5.3106176711694379E-3</v>
      </c>
    </row>
    <row r="705" spans="1:3" ht="14.25" customHeight="1" x14ac:dyDescent="0.3">
      <c r="A705" s="22">
        <v>45182</v>
      </c>
      <c r="B705" s="23">
        <v>561.14</v>
      </c>
      <c r="C705" s="24">
        <f t="shared" si="10"/>
        <v>4.0797337436924682E-3</v>
      </c>
    </row>
    <row r="706" spans="1:3" ht="14.25" customHeight="1" x14ac:dyDescent="0.3">
      <c r="A706" s="22">
        <v>45181</v>
      </c>
      <c r="B706" s="23">
        <v>558.86</v>
      </c>
      <c r="C706" s="24">
        <f t="shared" ref="C706:C769" si="11">(B706-B707)/B707</f>
        <v>-1.857965720708071E-2</v>
      </c>
    </row>
    <row r="707" spans="1:3" ht="14.25" customHeight="1" x14ac:dyDescent="0.3">
      <c r="A707" s="22">
        <v>45180</v>
      </c>
      <c r="B707" s="23">
        <v>569.44000000000005</v>
      </c>
      <c r="C707" s="24">
        <f t="shared" si="11"/>
        <v>7.1097591171166491E-3</v>
      </c>
    </row>
    <row r="708" spans="1:3" ht="14.25" customHeight="1" x14ac:dyDescent="0.3">
      <c r="A708" s="22">
        <v>45177</v>
      </c>
      <c r="B708" s="23">
        <v>565.41999999999996</v>
      </c>
      <c r="C708" s="24">
        <f t="shared" si="11"/>
        <v>5.4949940426438533E-3</v>
      </c>
    </row>
    <row r="709" spans="1:3" ht="14.25" customHeight="1" x14ac:dyDescent="0.3">
      <c r="A709" s="22">
        <v>45176</v>
      </c>
      <c r="B709" s="23">
        <v>562.33000000000004</v>
      </c>
      <c r="C709" s="24">
        <f t="shared" si="11"/>
        <v>3.9455830893380638E-3</v>
      </c>
    </row>
    <row r="710" spans="1:3" ht="14.25" customHeight="1" x14ac:dyDescent="0.3">
      <c r="A710" s="22">
        <v>45175</v>
      </c>
      <c r="B710" s="23">
        <v>560.12</v>
      </c>
      <c r="C710" s="24">
        <f t="shared" si="11"/>
        <v>3.4755813536852891E-3</v>
      </c>
    </row>
    <row r="711" spans="1:3" ht="14.25" customHeight="1" x14ac:dyDescent="0.3">
      <c r="A711" s="22">
        <v>45174</v>
      </c>
      <c r="B711" s="23">
        <v>558.17999999999995</v>
      </c>
      <c r="C711" s="24">
        <f t="shared" si="11"/>
        <v>5.693488522936053E-3</v>
      </c>
    </row>
    <row r="712" spans="1:3" ht="14.25" customHeight="1" x14ac:dyDescent="0.3">
      <c r="A712" s="22">
        <v>45173</v>
      </c>
      <c r="B712" s="23">
        <v>555.02</v>
      </c>
      <c r="C712" s="24">
        <f t="shared" si="11"/>
        <v>8.2656638872235615E-3</v>
      </c>
    </row>
    <row r="713" spans="1:3" ht="14.25" customHeight="1" x14ac:dyDescent="0.3">
      <c r="A713" s="22">
        <v>45170</v>
      </c>
      <c r="B713" s="23">
        <v>550.47</v>
      </c>
      <c r="C713" s="24">
        <f t="shared" si="11"/>
        <v>9.129406588571776E-3</v>
      </c>
    </row>
    <row r="714" spans="1:3" ht="14.25" customHeight="1" x14ac:dyDescent="0.3">
      <c r="A714" s="22">
        <v>45169</v>
      </c>
      <c r="B714" s="23">
        <v>545.49</v>
      </c>
      <c r="C714" s="24">
        <f t="shared" si="11"/>
        <v>-1.4278653413146846E-3</v>
      </c>
    </row>
    <row r="715" spans="1:3" ht="14.25" customHeight="1" x14ac:dyDescent="0.3">
      <c r="A715" s="22">
        <v>45168</v>
      </c>
      <c r="B715" s="23">
        <v>546.27</v>
      </c>
      <c r="C715" s="24">
        <f t="shared" si="11"/>
        <v>3.6377666317588386E-3</v>
      </c>
    </row>
    <row r="716" spans="1:3" ht="14.25" customHeight="1" x14ac:dyDescent="0.3">
      <c r="A716" s="22">
        <v>45167</v>
      </c>
      <c r="B716" s="23">
        <v>544.29</v>
      </c>
      <c r="C716" s="24">
        <f t="shared" si="11"/>
        <v>5.0966705445681512E-3</v>
      </c>
    </row>
    <row r="717" spans="1:3" ht="14.25" customHeight="1" x14ac:dyDescent="0.3">
      <c r="A717" s="22">
        <v>45166</v>
      </c>
      <c r="B717" s="23">
        <v>541.53</v>
      </c>
      <c r="C717" s="24">
        <f t="shared" si="11"/>
        <v>2.7219197866904187E-3</v>
      </c>
    </row>
    <row r="718" spans="1:3" ht="14.25" customHeight="1" x14ac:dyDescent="0.3">
      <c r="A718" s="22">
        <v>45163</v>
      </c>
      <c r="B718" s="23">
        <v>540.05999999999995</v>
      </c>
      <c r="C718" s="24">
        <f t="shared" si="11"/>
        <v>-4.736192248862116E-3</v>
      </c>
    </row>
    <row r="719" spans="1:3" ht="14.25" customHeight="1" x14ac:dyDescent="0.3">
      <c r="A719" s="22">
        <v>45162</v>
      </c>
      <c r="B719" s="23">
        <v>542.63</v>
      </c>
      <c r="C719" s="24">
        <f t="shared" si="11"/>
        <v>-2.0267531414676205E-4</v>
      </c>
    </row>
    <row r="720" spans="1:3" ht="14.25" customHeight="1" x14ac:dyDescent="0.3">
      <c r="A720" s="22">
        <v>45161</v>
      </c>
      <c r="B720" s="23">
        <v>542.74</v>
      </c>
      <c r="C720" s="24">
        <f t="shared" si="11"/>
        <v>3.1977227777675427E-3</v>
      </c>
    </row>
    <row r="721" spans="1:3" ht="14.25" customHeight="1" x14ac:dyDescent="0.3">
      <c r="A721" s="22">
        <v>45160</v>
      </c>
      <c r="B721" s="23">
        <v>541.01</v>
      </c>
      <c r="C721" s="24">
        <f t="shared" si="11"/>
        <v>4.6424393233180442E-3</v>
      </c>
    </row>
    <row r="722" spans="1:3" ht="14.25" customHeight="1" x14ac:dyDescent="0.3">
      <c r="A722" s="22">
        <v>45159</v>
      </c>
      <c r="B722" s="23">
        <v>538.51</v>
      </c>
      <c r="C722" s="24">
        <f t="shared" si="11"/>
        <v>5.2267084803344242E-3</v>
      </c>
    </row>
    <row r="723" spans="1:3" ht="14.25" customHeight="1" x14ac:dyDescent="0.3">
      <c r="A723" s="22">
        <v>45156</v>
      </c>
      <c r="B723" s="23">
        <v>535.71</v>
      </c>
      <c r="C723" s="24">
        <f t="shared" si="11"/>
        <v>-2.996352266805653E-3</v>
      </c>
    </row>
    <row r="724" spans="1:3" ht="14.25" customHeight="1" x14ac:dyDescent="0.3">
      <c r="A724" s="22">
        <v>45155</v>
      </c>
      <c r="B724" s="23">
        <v>537.32000000000005</v>
      </c>
      <c r="C724" s="24">
        <f t="shared" si="11"/>
        <v>-5.7660472815866941E-4</v>
      </c>
    </row>
    <row r="725" spans="1:3" ht="14.25" customHeight="1" x14ac:dyDescent="0.3">
      <c r="A725" s="22">
        <v>45154</v>
      </c>
      <c r="B725" s="23">
        <v>537.63</v>
      </c>
      <c r="C725" s="24">
        <f t="shared" si="11"/>
        <v>1.6394969725197865E-3</v>
      </c>
    </row>
    <row r="726" spans="1:3" ht="14.25" customHeight="1" x14ac:dyDescent="0.3">
      <c r="A726" s="22">
        <v>45152</v>
      </c>
      <c r="B726" s="23">
        <v>536.75</v>
      </c>
      <c r="C726" s="24">
        <f t="shared" si="11"/>
        <v>-3.2682772836158864E-3</v>
      </c>
    </row>
    <row r="727" spans="1:3" ht="14.25" customHeight="1" x14ac:dyDescent="0.3">
      <c r="A727" s="22">
        <v>45149</v>
      </c>
      <c r="B727" s="23">
        <v>538.51</v>
      </c>
      <c r="C727" s="24">
        <f t="shared" si="11"/>
        <v>-5.7603899340878542E-3</v>
      </c>
    </row>
    <row r="728" spans="1:3" ht="14.25" customHeight="1" x14ac:dyDescent="0.3">
      <c r="A728" s="22">
        <v>45148</v>
      </c>
      <c r="B728" s="23">
        <v>541.63</v>
      </c>
      <c r="C728" s="24">
        <f t="shared" si="11"/>
        <v>-5.0150635608788635E-3</v>
      </c>
    </row>
    <row r="729" spans="1:3" ht="14.25" customHeight="1" x14ac:dyDescent="0.3">
      <c r="A729" s="22">
        <v>45147</v>
      </c>
      <c r="B729" s="23">
        <v>544.36</v>
      </c>
      <c r="C729" s="24">
        <f t="shared" si="11"/>
        <v>3.6135693215339905E-3</v>
      </c>
    </row>
    <row r="730" spans="1:3" ht="14.25" customHeight="1" x14ac:dyDescent="0.3">
      <c r="A730" s="22">
        <v>45146</v>
      </c>
      <c r="B730" s="23">
        <v>542.4</v>
      </c>
      <c r="C730" s="24">
        <f t="shared" si="11"/>
        <v>1.3291980505095763E-3</v>
      </c>
    </row>
    <row r="731" spans="1:3" ht="14.25" customHeight="1" x14ac:dyDescent="0.3">
      <c r="A731" s="22">
        <v>45145</v>
      </c>
      <c r="B731" s="23">
        <v>541.67999999999995</v>
      </c>
      <c r="C731" s="24">
        <f t="shared" si="11"/>
        <v>3.1482647505461903E-3</v>
      </c>
    </row>
    <row r="732" spans="1:3" ht="14.25" customHeight="1" x14ac:dyDescent="0.3">
      <c r="A732" s="22">
        <v>45142</v>
      </c>
      <c r="B732" s="23">
        <v>539.98</v>
      </c>
      <c r="C732" s="24">
        <f t="shared" si="11"/>
        <v>6.6553569098265321E-3</v>
      </c>
    </row>
    <row r="733" spans="1:3" ht="14.25" customHeight="1" x14ac:dyDescent="0.3">
      <c r="A733" s="22">
        <v>45141</v>
      </c>
      <c r="B733" s="23">
        <v>536.41</v>
      </c>
      <c r="C733" s="24">
        <f t="shared" si="11"/>
        <v>-2.584603941985843E-3</v>
      </c>
    </row>
    <row r="734" spans="1:3" ht="14.25" customHeight="1" x14ac:dyDescent="0.3">
      <c r="A734" s="22">
        <v>45140</v>
      </c>
      <c r="B734" s="23">
        <v>537.79999999999995</v>
      </c>
      <c r="C734" s="24">
        <f t="shared" si="11"/>
        <v>-1.1215296929582686E-2</v>
      </c>
    </row>
    <row r="735" spans="1:3" ht="14.25" customHeight="1" x14ac:dyDescent="0.3">
      <c r="A735" s="22">
        <v>45139</v>
      </c>
      <c r="B735" s="23">
        <v>543.9</v>
      </c>
      <c r="C735" s="24">
        <f t="shared" si="11"/>
        <v>1.7681511769254846E-3</v>
      </c>
    </row>
    <row r="736" spans="1:3" ht="14.25" customHeight="1" x14ac:dyDescent="0.3">
      <c r="A736" s="22">
        <v>45138</v>
      </c>
      <c r="B736" s="23">
        <v>542.94000000000005</v>
      </c>
      <c r="C736" s="24">
        <f t="shared" si="11"/>
        <v>9.313479448999136E-3</v>
      </c>
    </row>
    <row r="737" spans="1:3" ht="14.25" customHeight="1" x14ac:dyDescent="0.3">
      <c r="A737" s="22">
        <v>45135</v>
      </c>
      <c r="B737" s="23">
        <v>537.92999999999995</v>
      </c>
      <c r="C737" s="24">
        <f t="shared" si="11"/>
        <v>2.3291346798837297E-3</v>
      </c>
    </row>
    <row r="738" spans="1:3" ht="14.25" customHeight="1" x14ac:dyDescent="0.3">
      <c r="A738" s="22">
        <v>45134</v>
      </c>
      <c r="B738" s="23">
        <v>536.67999999999995</v>
      </c>
      <c r="C738" s="24">
        <f t="shared" si="11"/>
        <v>-2.7941806530948517E-4</v>
      </c>
    </row>
    <row r="739" spans="1:3" ht="14.25" customHeight="1" x14ac:dyDescent="0.3">
      <c r="A739" s="22">
        <v>45133</v>
      </c>
      <c r="B739" s="23">
        <v>536.83000000000004</v>
      </c>
      <c r="C739" s="24">
        <f t="shared" si="11"/>
        <v>7.0912672357191387E-3</v>
      </c>
    </row>
    <row r="740" spans="1:3" ht="14.25" customHeight="1" x14ac:dyDescent="0.3">
      <c r="A740" s="22">
        <v>45132</v>
      </c>
      <c r="B740" s="23">
        <v>533.04999999999995</v>
      </c>
      <c r="C740" s="24">
        <f t="shared" si="11"/>
        <v>3.2560415568770314E-3</v>
      </c>
    </row>
    <row r="741" spans="1:3" ht="14.25" customHeight="1" x14ac:dyDescent="0.3">
      <c r="A741" s="22">
        <v>45131</v>
      </c>
      <c r="B741" s="23">
        <v>531.32000000000005</v>
      </c>
      <c r="C741" s="24">
        <f t="shared" si="11"/>
        <v>-4.3269683002521782E-4</v>
      </c>
    </row>
    <row r="742" spans="1:3" ht="14.25" customHeight="1" x14ac:dyDescent="0.3">
      <c r="A742" s="22">
        <v>45128</v>
      </c>
      <c r="B742" s="23">
        <v>531.54999999999995</v>
      </c>
      <c r="C742" s="24">
        <f t="shared" si="11"/>
        <v>-3.8044904231794414E-3</v>
      </c>
    </row>
    <row r="743" spans="1:3" ht="14.25" customHeight="1" x14ac:dyDescent="0.3">
      <c r="A743" s="22">
        <v>45127</v>
      </c>
      <c r="B743" s="23">
        <v>533.58000000000004</v>
      </c>
      <c r="C743" s="24">
        <f t="shared" si="11"/>
        <v>3.2150713520221791E-3</v>
      </c>
    </row>
    <row r="744" spans="1:3" ht="14.25" customHeight="1" x14ac:dyDescent="0.3">
      <c r="A744" s="22">
        <v>45126</v>
      </c>
      <c r="B744" s="23">
        <v>531.87</v>
      </c>
      <c r="C744" s="24">
        <f t="shared" si="11"/>
        <v>3.9829356689822064E-3</v>
      </c>
    </row>
    <row r="745" spans="1:3" ht="14.25" customHeight="1" x14ac:dyDescent="0.3">
      <c r="A745" s="22">
        <v>45125</v>
      </c>
      <c r="B745" s="23">
        <v>529.76</v>
      </c>
      <c r="C745" s="24">
        <f t="shared" si="11"/>
        <v>-8.1103000811042012E-4</v>
      </c>
    </row>
    <row r="746" spans="1:3" ht="14.25" customHeight="1" x14ac:dyDescent="0.3">
      <c r="A746" s="22">
        <v>45124</v>
      </c>
      <c r="B746" s="23">
        <v>530.19000000000005</v>
      </c>
      <c r="C746" s="24">
        <f t="shared" si="11"/>
        <v>4.4140491797068178E-3</v>
      </c>
    </row>
    <row r="747" spans="1:3" ht="14.25" customHeight="1" x14ac:dyDescent="0.3">
      <c r="A747" s="22">
        <v>45121</v>
      </c>
      <c r="B747" s="23">
        <v>527.86</v>
      </c>
      <c r="C747" s="24">
        <f t="shared" si="11"/>
        <v>7.4048627810221678E-3</v>
      </c>
    </row>
    <row r="748" spans="1:3" ht="14.25" customHeight="1" x14ac:dyDescent="0.3">
      <c r="A748" s="22">
        <v>45120</v>
      </c>
      <c r="B748" s="23">
        <v>523.98</v>
      </c>
      <c r="C748" s="24">
        <f t="shared" si="11"/>
        <v>-1.1437721605856545E-3</v>
      </c>
    </row>
    <row r="749" spans="1:3" ht="14.25" customHeight="1" x14ac:dyDescent="0.3">
      <c r="A749" s="22">
        <v>45119</v>
      </c>
      <c r="B749" s="23">
        <v>524.58000000000004</v>
      </c>
      <c r="C749" s="24">
        <f t="shared" si="11"/>
        <v>-5.3347559349154578E-4</v>
      </c>
    </row>
    <row r="750" spans="1:3" ht="14.25" customHeight="1" x14ac:dyDescent="0.3">
      <c r="A750" s="22">
        <v>45118</v>
      </c>
      <c r="B750" s="23">
        <v>524.86</v>
      </c>
      <c r="C750" s="24">
        <f t="shared" si="11"/>
        <v>6.9449773616760118E-3</v>
      </c>
    </row>
    <row r="751" spans="1:3" ht="14.25" customHeight="1" x14ac:dyDescent="0.3">
      <c r="A751" s="22">
        <v>45117</v>
      </c>
      <c r="B751" s="23">
        <v>521.24</v>
      </c>
      <c r="C751" s="24">
        <f t="shared" si="11"/>
        <v>-1.7810291667463662E-3</v>
      </c>
    </row>
    <row r="752" spans="1:3" ht="14.25" customHeight="1" x14ac:dyDescent="0.3">
      <c r="A752" s="22">
        <v>45114</v>
      </c>
      <c r="B752" s="23">
        <v>522.16999999999996</v>
      </c>
      <c r="C752" s="24">
        <f t="shared" si="11"/>
        <v>-3.682503339057553E-3</v>
      </c>
    </row>
    <row r="753" spans="1:3" ht="14.25" customHeight="1" x14ac:dyDescent="0.3">
      <c r="A753" s="22">
        <v>45113</v>
      </c>
      <c r="B753" s="23">
        <v>524.1</v>
      </c>
      <c r="C753" s="24">
        <f t="shared" si="11"/>
        <v>6.1045841971897104E-3</v>
      </c>
    </row>
    <row r="754" spans="1:3" ht="14.25" customHeight="1" x14ac:dyDescent="0.3">
      <c r="A754" s="22">
        <v>45112</v>
      </c>
      <c r="B754" s="23">
        <v>520.91999999999996</v>
      </c>
      <c r="C754" s="24">
        <f t="shared" si="11"/>
        <v>4.2412091301664324E-3</v>
      </c>
    </row>
    <row r="755" spans="1:3" ht="14.25" customHeight="1" x14ac:dyDescent="0.3">
      <c r="A755" s="22">
        <v>45111</v>
      </c>
      <c r="B755" s="23">
        <v>518.72</v>
      </c>
      <c r="C755" s="24">
        <f t="shared" si="11"/>
        <v>-5.3949903660881063E-4</v>
      </c>
    </row>
    <row r="756" spans="1:3" ht="14.25" customHeight="1" x14ac:dyDescent="0.3">
      <c r="A756" s="22">
        <v>45110</v>
      </c>
      <c r="B756" s="23">
        <v>519</v>
      </c>
      <c r="C756" s="24">
        <f t="shared" si="11"/>
        <v>1.7177819381984257E-3</v>
      </c>
    </row>
    <row r="757" spans="1:3" ht="14.25" customHeight="1" x14ac:dyDescent="0.3">
      <c r="A757" s="22">
        <v>45107</v>
      </c>
      <c r="B757" s="23">
        <v>518.11</v>
      </c>
      <c r="C757" s="24">
        <f t="shared" si="11"/>
        <v>8.5062482968038394E-3</v>
      </c>
    </row>
    <row r="758" spans="1:3" ht="14.25" customHeight="1" x14ac:dyDescent="0.3">
      <c r="A758" s="22">
        <v>45105</v>
      </c>
      <c r="B758" s="23">
        <v>513.74</v>
      </c>
      <c r="C758" s="24">
        <f t="shared" si="11"/>
        <v>6.7214046363974975E-3</v>
      </c>
    </row>
    <row r="759" spans="1:3" ht="14.25" customHeight="1" x14ac:dyDescent="0.3">
      <c r="A759" s="22">
        <v>45104</v>
      </c>
      <c r="B759" s="23">
        <v>510.31</v>
      </c>
      <c r="C759" s="24">
        <f t="shared" si="11"/>
        <v>6.171378997594533E-3</v>
      </c>
    </row>
    <row r="760" spans="1:3" ht="14.25" customHeight="1" x14ac:dyDescent="0.3">
      <c r="A760" s="22">
        <v>45103</v>
      </c>
      <c r="B760" s="23">
        <v>507.18</v>
      </c>
      <c r="C760" s="24">
        <f t="shared" si="11"/>
        <v>3.8397593223022677E-3</v>
      </c>
    </row>
    <row r="761" spans="1:3" ht="14.25" customHeight="1" x14ac:dyDescent="0.3">
      <c r="A761" s="22">
        <v>45100</v>
      </c>
      <c r="B761" s="23">
        <v>505.24</v>
      </c>
      <c r="C761" s="24">
        <f t="shared" si="11"/>
        <v>-7.6599756452055967E-3</v>
      </c>
    </row>
    <row r="762" spans="1:3" ht="14.25" customHeight="1" x14ac:dyDescent="0.3">
      <c r="A762" s="22">
        <v>45099</v>
      </c>
      <c r="B762" s="23">
        <v>509.14</v>
      </c>
      <c r="C762" s="24">
        <f t="shared" si="11"/>
        <v>-5.6442005351248683E-3</v>
      </c>
    </row>
    <row r="763" spans="1:3" ht="14.25" customHeight="1" x14ac:dyDescent="0.3">
      <c r="A763" s="22">
        <v>45098</v>
      </c>
      <c r="B763" s="23">
        <v>512.03</v>
      </c>
      <c r="C763" s="24">
        <f t="shared" si="11"/>
        <v>3.2918585284607621E-3</v>
      </c>
    </row>
    <row r="764" spans="1:3" ht="14.25" customHeight="1" x14ac:dyDescent="0.3">
      <c r="A764" s="22">
        <v>45097</v>
      </c>
      <c r="B764" s="23">
        <v>510.35</v>
      </c>
      <c r="C764" s="24">
        <f t="shared" si="11"/>
        <v>3.0858131215850664E-3</v>
      </c>
    </row>
    <row r="765" spans="1:3" ht="14.25" customHeight="1" x14ac:dyDescent="0.3">
      <c r="A765" s="22">
        <v>45096</v>
      </c>
      <c r="B765" s="23">
        <v>508.78</v>
      </c>
      <c r="C765" s="24">
        <f t="shared" si="11"/>
        <v>-1.8441497292632318E-3</v>
      </c>
    </row>
    <row r="766" spans="1:3" ht="14.25" customHeight="1" x14ac:dyDescent="0.3">
      <c r="A766" s="22">
        <v>45093</v>
      </c>
      <c r="B766" s="23">
        <v>509.72</v>
      </c>
      <c r="C766" s="24">
        <f t="shared" si="11"/>
        <v>8.6674318280762514E-3</v>
      </c>
    </row>
    <row r="767" spans="1:3" ht="14.25" customHeight="1" x14ac:dyDescent="0.3">
      <c r="A767" s="22">
        <v>45092</v>
      </c>
      <c r="B767" s="23">
        <v>505.34</v>
      </c>
      <c r="C767" s="24">
        <f t="shared" si="11"/>
        <v>-1.1069381300652349E-3</v>
      </c>
    </row>
    <row r="768" spans="1:3" ht="14.25" customHeight="1" x14ac:dyDescent="0.3">
      <c r="A768" s="22">
        <v>45091</v>
      </c>
      <c r="B768" s="23">
        <v>505.9</v>
      </c>
      <c r="C768" s="24">
        <f t="shared" si="11"/>
        <v>3.2522904850672001E-3</v>
      </c>
    </row>
    <row r="769" spans="1:3" ht="14.25" customHeight="1" x14ac:dyDescent="0.3">
      <c r="A769" s="22">
        <v>45090</v>
      </c>
      <c r="B769" s="23">
        <v>504.26</v>
      </c>
      <c r="C769" s="24">
        <f t="shared" si="11"/>
        <v>5.964849282821651E-3</v>
      </c>
    </row>
    <row r="770" spans="1:3" ht="14.25" customHeight="1" x14ac:dyDescent="0.3">
      <c r="A770" s="22">
        <v>45089</v>
      </c>
      <c r="B770" s="23">
        <v>501.27</v>
      </c>
      <c r="C770" s="24">
        <f t="shared" ref="C770:C833" si="12">(B770-B771)/B771</f>
        <v>6.364183898815416E-3</v>
      </c>
    </row>
    <row r="771" spans="1:3" ht="14.25" customHeight="1" x14ac:dyDescent="0.3">
      <c r="A771" s="22">
        <v>45086</v>
      </c>
      <c r="B771" s="23">
        <v>498.1</v>
      </c>
      <c r="C771" s="24">
        <f t="shared" si="12"/>
        <v>-1.6635600184394285E-3</v>
      </c>
    </row>
    <row r="772" spans="1:3" ht="14.25" customHeight="1" x14ac:dyDescent="0.3">
      <c r="A772" s="22">
        <v>45085</v>
      </c>
      <c r="B772" s="23">
        <v>498.93</v>
      </c>
      <c r="C772" s="24">
        <f t="shared" si="12"/>
        <v>-4.7872658727783641E-3</v>
      </c>
    </row>
    <row r="773" spans="1:3" ht="14.25" customHeight="1" x14ac:dyDescent="0.3">
      <c r="A773" s="22">
        <v>45084</v>
      </c>
      <c r="B773" s="23">
        <v>501.33</v>
      </c>
      <c r="C773" s="24">
        <f t="shared" si="12"/>
        <v>9.2199295420231191E-3</v>
      </c>
    </row>
    <row r="774" spans="1:3" ht="14.25" customHeight="1" x14ac:dyDescent="0.3">
      <c r="A774" s="22">
        <v>45083</v>
      </c>
      <c r="B774" s="23">
        <v>496.75</v>
      </c>
      <c r="C774" s="24">
        <f t="shared" si="12"/>
        <v>2.4013237549438972E-3</v>
      </c>
    </row>
    <row r="775" spans="1:3" ht="14.25" customHeight="1" x14ac:dyDescent="0.3">
      <c r="A775" s="22">
        <v>45082</v>
      </c>
      <c r="B775" s="23">
        <v>495.56</v>
      </c>
      <c r="C775" s="24">
        <f t="shared" si="12"/>
        <v>3.3610042518728996E-3</v>
      </c>
    </row>
    <row r="776" spans="1:3" ht="14.25" customHeight="1" x14ac:dyDescent="0.3">
      <c r="A776" s="22">
        <v>45079</v>
      </c>
      <c r="B776" s="23">
        <v>493.9</v>
      </c>
      <c r="C776" s="24">
        <f t="shared" si="12"/>
        <v>6.3572272708749432E-3</v>
      </c>
    </row>
    <row r="777" spans="1:3" ht="14.25" customHeight="1" x14ac:dyDescent="0.3">
      <c r="A777" s="22">
        <v>45078</v>
      </c>
      <c r="B777" s="23">
        <v>490.78</v>
      </c>
      <c r="C777" s="24">
        <f t="shared" si="12"/>
        <v>1.7758363781101582E-3</v>
      </c>
    </row>
    <row r="778" spans="1:3" ht="14.25" customHeight="1" x14ac:dyDescent="0.3">
      <c r="A778" s="22">
        <v>45077</v>
      </c>
      <c r="B778" s="23">
        <v>489.91</v>
      </c>
      <c r="C778" s="24">
        <f t="shared" si="12"/>
        <v>8.5803591493190036E-4</v>
      </c>
    </row>
    <row r="779" spans="1:3" ht="14.25" customHeight="1" x14ac:dyDescent="0.3">
      <c r="A779" s="22">
        <v>45076</v>
      </c>
      <c r="B779" s="23">
        <v>489.49</v>
      </c>
      <c r="C779" s="24">
        <f t="shared" si="12"/>
        <v>1.739521938441435E-3</v>
      </c>
    </row>
    <row r="780" spans="1:3" ht="14.25" customHeight="1" x14ac:dyDescent="0.3">
      <c r="A780" s="22">
        <v>45075</v>
      </c>
      <c r="B780" s="23">
        <v>488.64</v>
      </c>
      <c r="C780" s="24">
        <f t="shared" si="12"/>
        <v>1.0448036383750045E-3</v>
      </c>
    </row>
    <row r="781" spans="1:3" ht="14.25" customHeight="1" x14ac:dyDescent="0.3">
      <c r="A781" s="22">
        <v>45072</v>
      </c>
      <c r="B781" s="23">
        <v>488.13</v>
      </c>
      <c r="C781" s="24">
        <f t="shared" si="12"/>
        <v>8.2622436122529071E-3</v>
      </c>
    </row>
    <row r="782" spans="1:3" ht="14.25" customHeight="1" x14ac:dyDescent="0.3">
      <c r="A782" s="22">
        <v>45071</v>
      </c>
      <c r="B782" s="23">
        <v>484.13</v>
      </c>
      <c r="C782" s="24">
        <f t="shared" si="12"/>
        <v>2.4640742121174427E-3</v>
      </c>
    </row>
    <row r="783" spans="1:3" ht="14.25" customHeight="1" x14ac:dyDescent="0.3">
      <c r="A783" s="22">
        <v>45070</v>
      </c>
      <c r="B783" s="23">
        <v>482.94</v>
      </c>
      <c r="C783" s="24">
        <f t="shared" si="12"/>
        <v>-2.6434265416546807E-3</v>
      </c>
    </row>
    <row r="784" spans="1:3" ht="14.25" customHeight="1" x14ac:dyDescent="0.3">
      <c r="A784" s="22">
        <v>45069</v>
      </c>
      <c r="B784" s="23">
        <v>484.22</v>
      </c>
      <c r="C784" s="24">
        <f t="shared" si="12"/>
        <v>2.0072426280393738E-3</v>
      </c>
    </row>
    <row r="785" spans="1:3" ht="14.25" customHeight="1" x14ac:dyDescent="0.3">
      <c r="A785" s="22">
        <v>45068</v>
      </c>
      <c r="B785" s="23">
        <v>483.25</v>
      </c>
      <c r="C785" s="24">
        <f t="shared" si="12"/>
        <v>3.2385974381863901E-3</v>
      </c>
    </row>
    <row r="786" spans="1:3" ht="14.25" customHeight="1" x14ac:dyDescent="0.3">
      <c r="A786" s="22">
        <v>45065</v>
      </c>
      <c r="B786" s="23">
        <v>481.69</v>
      </c>
      <c r="C786" s="24">
        <f t="shared" si="12"/>
        <v>3.9460020768431511E-4</v>
      </c>
    </row>
    <row r="787" spans="1:3" ht="14.25" customHeight="1" x14ac:dyDescent="0.3">
      <c r="A787" s="22">
        <v>45064</v>
      </c>
      <c r="B787" s="23">
        <v>481.5</v>
      </c>
      <c r="C787" s="24">
        <f t="shared" si="12"/>
        <v>-1.7001161054901169E-3</v>
      </c>
    </row>
    <row r="788" spans="1:3" ht="14.25" customHeight="1" x14ac:dyDescent="0.3">
      <c r="A788" s="22">
        <v>45063</v>
      </c>
      <c r="B788" s="23">
        <v>482.32</v>
      </c>
      <c r="C788" s="24">
        <f t="shared" si="12"/>
        <v>-2.8530080628488639E-3</v>
      </c>
    </row>
    <row r="789" spans="1:3" ht="14.25" customHeight="1" x14ac:dyDescent="0.3">
      <c r="A789" s="22">
        <v>45062</v>
      </c>
      <c r="B789" s="23">
        <v>483.7</v>
      </c>
      <c r="C789" s="24">
        <f t="shared" si="12"/>
        <v>-3.1001343391554015E-4</v>
      </c>
    </row>
    <row r="790" spans="1:3" ht="14.25" customHeight="1" x14ac:dyDescent="0.3">
      <c r="A790" s="22">
        <v>45061</v>
      </c>
      <c r="B790" s="23">
        <v>483.85</v>
      </c>
      <c r="C790" s="24">
        <f t="shared" si="12"/>
        <v>6.8042781638853857E-3</v>
      </c>
    </row>
    <row r="791" spans="1:3" ht="14.25" customHeight="1" x14ac:dyDescent="0.3">
      <c r="A791" s="22">
        <v>45058</v>
      </c>
      <c r="B791" s="23">
        <v>480.58</v>
      </c>
      <c r="C791" s="24">
        <f t="shared" si="12"/>
        <v>-2.4286455630514081E-3</v>
      </c>
    </row>
    <row r="792" spans="1:3" ht="14.25" customHeight="1" x14ac:dyDescent="0.3">
      <c r="A792" s="22">
        <v>45057</v>
      </c>
      <c r="B792" s="23">
        <v>481.75</v>
      </c>
      <c r="C792" s="24">
        <f t="shared" si="12"/>
        <v>5.1325919589392211E-3</v>
      </c>
    </row>
    <row r="793" spans="1:3" ht="14.25" customHeight="1" x14ac:dyDescent="0.3">
      <c r="A793" s="22">
        <v>45056</v>
      </c>
      <c r="B793" s="23">
        <v>479.29</v>
      </c>
      <c r="C793" s="24">
        <f t="shared" si="12"/>
        <v>6.573420698924721E-3</v>
      </c>
    </row>
    <row r="794" spans="1:3" ht="14.25" customHeight="1" x14ac:dyDescent="0.3">
      <c r="A794" s="22">
        <v>45055</v>
      </c>
      <c r="B794" s="23">
        <v>476.16</v>
      </c>
      <c r="C794" s="24">
        <f t="shared" si="12"/>
        <v>3.5715036030172046E-4</v>
      </c>
    </row>
    <row r="795" spans="1:3" ht="14.25" customHeight="1" x14ac:dyDescent="0.3">
      <c r="A795" s="22">
        <v>45054</v>
      </c>
      <c r="B795" s="23">
        <v>475.99</v>
      </c>
      <c r="C795" s="24">
        <f t="shared" si="12"/>
        <v>1.0294180073863443E-2</v>
      </c>
    </row>
    <row r="796" spans="1:3" ht="14.25" customHeight="1" x14ac:dyDescent="0.3">
      <c r="A796" s="22">
        <v>45051</v>
      </c>
      <c r="B796" s="23">
        <v>471.14</v>
      </c>
      <c r="C796" s="24">
        <f t="shared" si="12"/>
        <v>-5.3622698868434817E-3</v>
      </c>
    </row>
    <row r="797" spans="1:3" ht="14.25" customHeight="1" x14ac:dyDescent="0.3">
      <c r="A797" s="22">
        <v>45050</v>
      </c>
      <c r="B797" s="23">
        <v>473.68</v>
      </c>
      <c r="C797" s="24">
        <f t="shared" si="12"/>
        <v>7.4225313171271384E-3</v>
      </c>
    </row>
    <row r="798" spans="1:3" ht="14.25" customHeight="1" x14ac:dyDescent="0.3">
      <c r="A798" s="22">
        <v>45049</v>
      </c>
      <c r="B798" s="23">
        <v>470.19</v>
      </c>
      <c r="C798" s="24">
        <f t="shared" si="12"/>
        <v>1.7017293824846117E-4</v>
      </c>
    </row>
    <row r="799" spans="1:3" ht="14.25" customHeight="1" x14ac:dyDescent="0.3">
      <c r="A799" s="22">
        <v>45048</v>
      </c>
      <c r="B799" s="23">
        <v>470.11</v>
      </c>
      <c r="C799" s="24">
        <f t="shared" si="12"/>
        <v>4.6158777647185064E-3</v>
      </c>
    </row>
    <row r="800" spans="1:3" ht="14.25" customHeight="1" x14ac:dyDescent="0.3">
      <c r="A800" s="22">
        <v>45044</v>
      </c>
      <c r="B800" s="23">
        <v>467.95</v>
      </c>
      <c r="C800" s="24">
        <f t="shared" si="12"/>
        <v>8.0132692846217827E-3</v>
      </c>
    </row>
    <row r="801" spans="1:3" ht="14.25" customHeight="1" x14ac:dyDescent="0.3">
      <c r="A801" s="22">
        <v>45043</v>
      </c>
      <c r="B801" s="23">
        <v>464.23</v>
      </c>
      <c r="C801" s="24">
        <f t="shared" si="12"/>
        <v>5.436195096595319E-3</v>
      </c>
    </row>
    <row r="802" spans="1:3" ht="14.25" customHeight="1" x14ac:dyDescent="0.3">
      <c r="A802" s="22">
        <v>45042</v>
      </c>
      <c r="B802" s="23">
        <v>461.72</v>
      </c>
      <c r="C802" s="24">
        <f t="shared" si="12"/>
        <v>1.9312978755724308E-3</v>
      </c>
    </row>
    <row r="803" spans="1:3" ht="14.25" customHeight="1" x14ac:dyDescent="0.3">
      <c r="A803" s="22">
        <v>45041</v>
      </c>
      <c r="B803" s="23">
        <v>460.83</v>
      </c>
      <c r="C803" s="24">
        <f t="shared" si="12"/>
        <v>2.7198746681752904E-3</v>
      </c>
    </row>
    <row r="804" spans="1:3" ht="14.25" customHeight="1" x14ac:dyDescent="0.3">
      <c r="A804" s="22">
        <v>45040</v>
      </c>
      <c r="B804" s="23">
        <v>459.58</v>
      </c>
      <c r="C804" s="24">
        <f t="shared" si="12"/>
        <v>2.8366937243606777E-3</v>
      </c>
    </row>
    <row r="805" spans="1:3" ht="14.25" customHeight="1" x14ac:dyDescent="0.3">
      <c r="A805" s="22">
        <v>45037</v>
      </c>
      <c r="B805" s="23">
        <v>458.28</v>
      </c>
      <c r="C805" s="24">
        <f t="shared" si="12"/>
        <v>-1.3292946021922763E-3</v>
      </c>
    </row>
    <row r="806" spans="1:3" ht="14.25" customHeight="1" x14ac:dyDescent="0.3">
      <c r="A806" s="22">
        <v>45036</v>
      </c>
      <c r="B806" s="23">
        <v>458.89</v>
      </c>
      <c r="C806" s="24">
        <f t="shared" si="12"/>
        <v>1.7245142981880889E-3</v>
      </c>
    </row>
    <row r="807" spans="1:3" ht="14.25" customHeight="1" x14ac:dyDescent="0.3">
      <c r="A807" s="22">
        <v>45035</v>
      </c>
      <c r="B807" s="23">
        <v>458.1</v>
      </c>
      <c r="C807" s="24">
        <f t="shared" si="12"/>
        <v>-4.4117966661595042E-3</v>
      </c>
    </row>
    <row r="808" spans="1:3" ht="14.25" customHeight="1" x14ac:dyDescent="0.3">
      <c r="A808" s="22">
        <v>45034</v>
      </c>
      <c r="B808" s="23">
        <v>460.13</v>
      </c>
      <c r="C808" s="24">
        <f t="shared" si="12"/>
        <v>5.8713521506541515E-4</v>
      </c>
    </row>
    <row r="809" spans="1:3" ht="14.25" customHeight="1" x14ac:dyDescent="0.3">
      <c r="A809" s="22">
        <v>45033</v>
      </c>
      <c r="B809" s="23">
        <v>459.86</v>
      </c>
      <c r="C809" s="24">
        <f t="shared" si="12"/>
        <v>-2.6892214270223575E-3</v>
      </c>
    </row>
    <row r="810" spans="1:3" ht="14.25" customHeight="1" x14ac:dyDescent="0.3">
      <c r="A810" s="22">
        <v>45029</v>
      </c>
      <c r="B810" s="23">
        <v>461.1</v>
      </c>
      <c r="C810" s="24">
        <f t="shared" si="12"/>
        <v>2.1687739920726429E-5</v>
      </c>
    </row>
    <row r="811" spans="1:3" ht="14.25" customHeight="1" x14ac:dyDescent="0.3">
      <c r="A811" s="22">
        <v>45028</v>
      </c>
      <c r="B811" s="23">
        <v>461.09</v>
      </c>
      <c r="C811" s="24">
        <f t="shared" si="12"/>
        <v>1.9774870702767792E-3</v>
      </c>
    </row>
    <row r="812" spans="1:3" ht="14.25" customHeight="1" x14ac:dyDescent="0.3">
      <c r="A812" s="22">
        <v>45027</v>
      </c>
      <c r="B812" s="23">
        <v>460.18</v>
      </c>
      <c r="C812" s="24">
        <f t="shared" si="12"/>
        <v>2.3742621272518066E-3</v>
      </c>
    </row>
    <row r="813" spans="1:3" ht="14.25" customHeight="1" x14ac:dyDescent="0.3">
      <c r="A813" s="22">
        <v>45026</v>
      </c>
      <c r="B813" s="23">
        <v>459.09</v>
      </c>
      <c r="C813" s="24">
        <f t="shared" si="12"/>
        <v>1.7019048242455383E-3</v>
      </c>
    </row>
    <row r="814" spans="1:3" ht="14.25" customHeight="1" x14ac:dyDescent="0.3">
      <c r="A814" s="22">
        <v>45022</v>
      </c>
      <c r="B814" s="23">
        <v>458.31</v>
      </c>
      <c r="C814" s="24">
        <f t="shared" si="12"/>
        <v>2.8884658307621459E-3</v>
      </c>
    </row>
    <row r="815" spans="1:3" ht="14.25" customHeight="1" x14ac:dyDescent="0.3">
      <c r="A815" s="22">
        <v>45021</v>
      </c>
      <c r="B815" s="23">
        <v>456.99</v>
      </c>
      <c r="C815" s="24">
        <f t="shared" si="12"/>
        <v>2.1930305489155462E-3</v>
      </c>
    </row>
    <row r="816" spans="1:3" ht="14.25" customHeight="1" x14ac:dyDescent="0.3">
      <c r="A816" s="22">
        <v>45019</v>
      </c>
      <c r="B816" s="23">
        <v>455.99</v>
      </c>
      <c r="C816" s="24">
        <f t="shared" si="12"/>
        <v>3.7200088047545624E-3</v>
      </c>
    </row>
    <row r="817" spans="1:3" ht="14.25" customHeight="1" x14ac:dyDescent="0.3">
      <c r="A817" s="22">
        <v>45016</v>
      </c>
      <c r="B817" s="23">
        <v>454.3</v>
      </c>
      <c r="C817" s="24">
        <f t="shared" si="12"/>
        <v>1.1916694509410899E-2</v>
      </c>
    </row>
    <row r="818" spans="1:3" ht="14.25" customHeight="1" x14ac:dyDescent="0.3">
      <c r="A818" s="22">
        <v>45014</v>
      </c>
      <c r="B818" s="23">
        <v>448.95</v>
      </c>
      <c r="C818" s="24">
        <f t="shared" si="12"/>
        <v>1.3133843341683013E-2</v>
      </c>
    </row>
    <row r="819" spans="1:3" ht="14.25" customHeight="1" x14ac:dyDescent="0.3">
      <c r="A819" s="22">
        <v>45013</v>
      </c>
      <c r="B819" s="23">
        <v>443.13</v>
      </c>
      <c r="C819" s="24">
        <f t="shared" si="12"/>
        <v>-2.6558033805226234E-3</v>
      </c>
    </row>
    <row r="820" spans="1:3" ht="14.25" customHeight="1" x14ac:dyDescent="0.3">
      <c r="A820" s="22">
        <v>45012</v>
      </c>
      <c r="B820" s="23">
        <v>444.31</v>
      </c>
      <c r="C820" s="24">
        <f t="shared" si="12"/>
        <v>-2.5368175287356219E-3</v>
      </c>
    </row>
    <row r="821" spans="1:3" ht="14.25" customHeight="1" x14ac:dyDescent="0.3">
      <c r="A821" s="22">
        <v>45009</v>
      </c>
      <c r="B821" s="23">
        <v>445.44</v>
      </c>
      <c r="C821" s="24">
        <f t="shared" si="12"/>
        <v>-7.0441373160945713E-3</v>
      </c>
    </row>
    <row r="822" spans="1:3" ht="14.25" customHeight="1" x14ac:dyDescent="0.3">
      <c r="A822" s="22">
        <v>45008</v>
      </c>
      <c r="B822" s="23">
        <v>448.6</v>
      </c>
      <c r="C822" s="24">
        <f t="shared" si="12"/>
        <v>-3.1332637052509239E-3</v>
      </c>
    </row>
    <row r="823" spans="1:3" ht="14.25" customHeight="1" x14ac:dyDescent="0.3">
      <c r="A823" s="22">
        <v>45007</v>
      </c>
      <c r="B823" s="23">
        <v>450.01</v>
      </c>
      <c r="C823" s="24">
        <f t="shared" si="12"/>
        <v>3.1431119037003299E-3</v>
      </c>
    </row>
    <row r="824" spans="1:3" ht="14.25" customHeight="1" x14ac:dyDescent="0.3">
      <c r="A824" s="22">
        <v>45006</v>
      </c>
      <c r="B824" s="23">
        <v>448.6</v>
      </c>
      <c r="C824" s="24">
        <f t="shared" si="12"/>
        <v>6.1679937198609392E-3</v>
      </c>
    </row>
    <row r="825" spans="1:3" ht="14.25" customHeight="1" x14ac:dyDescent="0.3">
      <c r="A825" s="22">
        <v>45005</v>
      </c>
      <c r="B825" s="23">
        <v>445.85</v>
      </c>
      <c r="C825" s="24">
        <f t="shared" si="12"/>
        <v>-7.3472113993097062E-3</v>
      </c>
    </row>
    <row r="826" spans="1:3" ht="14.25" customHeight="1" x14ac:dyDescent="0.3">
      <c r="A826" s="22">
        <v>45002</v>
      </c>
      <c r="B826" s="23">
        <v>449.15</v>
      </c>
      <c r="C826" s="24">
        <f t="shared" si="12"/>
        <v>3.7544416385454889E-3</v>
      </c>
    </row>
    <row r="827" spans="1:3" ht="14.25" customHeight="1" x14ac:dyDescent="0.3">
      <c r="A827" s="22">
        <v>45001</v>
      </c>
      <c r="B827" s="23">
        <v>447.47</v>
      </c>
      <c r="C827" s="24">
        <f t="shared" si="12"/>
        <v>-2.0295285249118341E-3</v>
      </c>
    </row>
    <row r="828" spans="1:3" ht="14.25" customHeight="1" x14ac:dyDescent="0.3">
      <c r="A828" s="22">
        <v>45000</v>
      </c>
      <c r="B828" s="23">
        <v>448.38</v>
      </c>
      <c r="C828" s="24">
        <f t="shared" si="12"/>
        <v>-1.9809913860261898E-3</v>
      </c>
    </row>
    <row r="829" spans="1:3" ht="14.25" customHeight="1" x14ac:dyDescent="0.3">
      <c r="A829" s="22">
        <v>44999</v>
      </c>
      <c r="B829" s="23">
        <v>449.27</v>
      </c>
      <c r="C829" s="24">
        <f t="shared" si="12"/>
        <v>-3.570794889992933E-3</v>
      </c>
    </row>
    <row r="830" spans="1:3" ht="14.25" customHeight="1" x14ac:dyDescent="0.3">
      <c r="A830" s="22">
        <v>44998</v>
      </c>
      <c r="B830" s="23">
        <v>450.88</v>
      </c>
      <c r="C830" s="24">
        <f t="shared" si="12"/>
        <v>-1.5631822548249116E-2</v>
      </c>
    </row>
    <row r="831" spans="1:3" ht="14.25" customHeight="1" x14ac:dyDescent="0.3">
      <c r="A831" s="22">
        <v>44995</v>
      </c>
      <c r="B831" s="23">
        <v>458.04</v>
      </c>
      <c r="C831" s="24">
        <f t="shared" si="12"/>
        <v>-7.8627591136525982E-3</v>
      </c>
    </row>
    <row r="832" spans="1:3" ht="14.25" customHeight="1" x14ac:dyDescent="0.3">
      <c r="A832" s="22">
        <v>44994</v>
      </c>
      <c r="B832" s="23">
        <v>461.67</v>
      </c>
      <c r="C832" s="24">
        <f t="shared" si="12"/>
        <v>-5.9427685550028867E-3</v>
      </c>
    </row>
    <row r="833" spans="1:3" ht="14.25" customHeight="1" x14ac:dyDescent="0.3">
      <c r="A833" s="22">
        <v>44993</v>
      </c>
      <c r="B833" s="23">
        <v>464.43</v>
      </c>
      <c r="C833" s="24">
        <f t="shared" si="12"/>
        <v>3.4569928483460942E-3</v>
      </c>
    </row>
    <row r="834" spans="1:3" ht="14.25" customHeight="1" x14ac:dyDescent="0.3">
      <c r="A834" s="22">
        <v>44991</v>
      </c>
      <c r="B834" s="23">
        <v>462.83</v>
      </c>
      <c r="C834" s="24">
        <f t="shared" ref="C834:C897" si="13">(B834-B835)/B835</f>
        <v>4.9724236765535321E-3</v>
      </c>
    </row>
    <row r="835" spans="1:3" ht="14.25" customHeight="1" x14ac:dyDescent="0.3">
      <c r="A835" s="22">
        <v>44988</v>
      </c>
      <c r="B835" s="23">
        <v>460.54</v>
      </c>
      <c r="C835" s="24">
        <f t="shared" si="13"/>
        <v>7.7902752855704893E-3</v>
      </c>
    </row>
    <row r="836" spans="1:3" ht="14.25" customHeight="1" x14ac:dyDescent="0.3">
      <c r="A836" s="22">
        <v>44987</v>
      </c>
      <c r="B836" s="23">
        <v>456.98</v>
      </c>
      <c r="C836" s="24">
        <f t="shared" si="13"/>
        <v>-3.7280080228476301E-3</v>
      </c>
    </row>
    <row r="837" spans="1:3" ht="14.25" customHeight="1" x14ac:dyDescent="0.3">
      <c r="A837" s="22">
        <v>44986</v>
      </c>
      <c r="B837" s="23">
        <v>458.69</v>
      </c>
      <c r="C837" s="24">
        <f t="shared" si="13"/>
        <v>8.2206835916034931E-3</v>
      </c>
    </row>
    <row r="838" spans="1:3" ht="14.25" customHeight="1" x14ac:dyDescent="0.3">
      <c r="A838" s="22">
        <v>44985</v>
      </c>
      <c r="B838" s="23">
        <v>454.95</v>
      </c>
      <c r="C838" s="24">
        <f t="shared" si="13"/>
        <v>-2.1975607076150474E-4</v>
      </c>
    </row>
    <row r="839" spans="1:3" ht="14.25" customHeight="1" x14ac:dyDescent="0.3">
      <c r="A839" s="22">
        <v>44984</v>
      </c>
      <c r="B839" s="23">
        <v>455.05</v>
      </c>
      <c r="C839" s="24">
        <f t="shared" si="13"/>
        <v>-5.659470326020398E-3</v>
      </c>
    </row>
    <row r="840" spans="1:3" ht="14.25" customHeight="1" x14ac:dyDescent="0.3">
      <c r="A840" s="22">
        <v>44981</v>
      </c>
      <c r="B840" s="23">
        <v>457.64</v>
      </c>
      <c r="C840" s="24">
        <f t="shared" si="13"/>
        <v>-3.1584220958853137E-3</v>
      </c>
    </row>
    <row r="841" spans="1:3" ht="14.25" customHeight="1" x14ac:dyDescent="0.3">
      <c r="A841" s="22">
        <v>44980</v>
      </c>
      <c r="B841" s="23">
        <v>459.09</v>
      </c>
      <c r="C841" s="24">
        <f t="shared" si="13"/>
        <v>-7.1829698315275983E-4</v>
      </c>
    </row>
    <row r="842" spans="1:3" ht="14.25" customHeight="1" x14ac:dyDescent="0.3">
      <c r="A842" s="22">
        <v>44979</v>
      </c>
      <c r="B842" s="23">
        <v>459.42</v>
      </c>
      <c r="C842" s="24">
        <f t="shared" si="13"/>
        <v>-8.6742620403935395E-3</v>
      </c>
    </row>
    <row r="843" spans="1:3" ht="14.25" customHeight="1" x14ac:dyDescent="0.3">
      <c r="A843" s="22">
        <v>44978</v>
      </c>
      <c r="B843" s="23">
        <v>463.44</v>
      </c>
      <c r="C843" s="24">
        <f t="shared" si="13"/>
        <v>-1.3360341335172275E-3</v>
      </c>
    </row>
    <row r="844" spans="1:3" ht="14.25" customHeight="1" x14ac:dyDescent="0.3">
      <c r="A844" s="22">
        <v>44977</v>
      </c>
      <c r="B844" s="23">
        <v>464.06</v>
      </c>
      <c r="C844" s="24">
        <f t="shared" si="13"/>
        <v>-1.8497806074163591E-3</v>
      </c>
    </row>
    <row r="845" spans="1:3" ht="14.25" customHeight="1" x14ac:dyDescent="0.3">
      <c r="A845" s="22">
        <v>44974</v>
      </c>
      <c r="B845" s="23">
        <v>464.92</v>
      </c>
      <c r="C845" s="24">
        <f t="shared" si="13"/>
        <v>-3.6005143591941852E-3</v>
      </c>
    </row>
    <row r="846" spans="1:3" ht="14.25" customHeight="1" x14ac:dyDescent="0.3">
      <c r="A846" s="22">
        <v>44973</v>
      </c>
      <c r="B846" s="23">
        <v>466.6</v>
      </c>
      <c r="C846" s="24">
        <f t="shared" si="13"/>
        <v>3.5487686848048911E-3</v>
      </c>
    </row>
    <row r="847" spans="1:3" ht="14.25" customHeight="1" x14ac:dyDescent="0.3">
      <c r="A847" s="22">
        <v>44972</v>
      </c>
      <c r="B847" s="23">
        <v>464.95</v>
      </c>
      <c r="C847" s="24">
        <f t="shared" si="13"/>
        <v>3.7997366091668447E-3</v>
      </c>
    </row>
    <row r="848" spans="1:3" ht="14.25" customHeight="1" x14ac:dyDescent="0.3">
      <c r="A848" s="22">
        <v>44971</v>
      </c>
      <c r="B848" s="23">
        <v>463.19</v>
      </c>
      <c r="C848" s="24">
        <f t="shared" si="13"/>
        <v>2.5323579065841652E-3</v>
      </c>
    </row>
    <row r="849" spans="1:3" ht="14.25" customHeight="1" x14ac:dyDescent="0.3">
      <c r="A849" s="22">
        <v>44970</v>
      </c>
      <c r="B849" s="23">
        <v>462.02</v>
      </c>
      <c r="C849" s="24">
        <f t="shared" si="13"/>
        <v>-8.3705357142857869E-3</v>
      </c>
    </row>
    <row r="850" spans="1:3" ht="14.25" customHeight="1" x14ac:dyDescent="0.3">
      <c r="A850" s="22">
        <v>44967</v>
      </c>
      <c r="B850" s="23">
        <v>465.92</v>
      </c>
      <c r="C850" s="24">
        <f t="shared" si="13"/>
        <v>2.6900811328469665E-3</v>
      </c>
    </row>
    <row r="851" spans="1:3" ht="14.25" customHeight="1" x14ac:dyDescent="0.3">
      <c r="A851" s="22">
        <v>44966</v>
      </c>
      <c r="B851" s="23">
        <v>464.67</v>
      </c>
      <c r="C851" s="24">
        <f t="shared" si="13"/>
        <v>2.0702594293848233E-3</v>
      </c>
    </row>
    <row r="852" spans="1:3" ht="14.25" customHeight="1" x14ac:dyDescent="0.3">
      <c r="A852" s="22">
        <v>44965</v>
      </c>
      <c r="B852" s="23">
        <v>463.71</v>
      </c>
      <c r="C852" s="24">
        <f t="shared" si="13"/>
        <v>5.922165820642894E-3</v>
      </c>
    </row>
    <row r="853" spans="1:3" ht="14.25" customHeight="1" x14ac:dyDescent="0.3">
      <c r="A853" s="22">
        <v>44964</v>
      </c>
      <c r="B853" s="23">
        <v>460.98</v>
      </c>
      <c r="C853" s="24">
        <f t="shared" si="13"/>
        <v>-1.7324266966952976E-3</v>
      </c>
    </row>
    <row r="854" spans="1:3" ht="14.25" customHeight="1" x14ac:dyDescent="0.3">
      <c r="A854" s="22">
        <v>44963</v>
      </c>
      <c r="B854" s="23">
        <v>461.78</v>
      </c>
      <c r="C854" s="24">
        <f t="shared" si="13"/>
        <v>4.4372906425370071E-3</v>
      </c>
    </row>
    <row r="855" spans="1:3" ht="14.25" customHeight="1" x14ac:dyDescent="0.3">
      <c r="A855" s="22">
        <v>44960</v>
      </c>
      <c r="B855" s="23">
        <v>459.74</v>
      </c>
      <c r="C855" s="24">
        <f t="shared" si="13"/>
        <v>4.4351226759302385E-3</v>
      </c>
    </row>
    <row r="856" spans="1:3" ht="14.25" customHeight="1" x14ac:dyDescent="0.3">
      <c r="A856" s="22">
        <v>44959</v>
      </c>
      <c r="B856" s="23">
        <v>457.71</v>
      </c>
      <c r="C856" s="24">
        <f t="shared" si="13"/>
        <v>1.8385974128307286E-3</v>
      </c>
    </row>
    <row r="857" spans="1:3" ht="14.25" customHeight="1" x14ac:dyDescent="0.3">
      <c r="A857" s="22">
        <v>44958</v>
      </c>
      <c r="B857" s="23">
        <v>456.87</v>
      </c>
      <c r="C857" s="24">
        <f t="shared" si="13"/>
        <v>-4.0112489372369801E-3</v>
      </c>
    </row>
    <row r="858" spans="1:3" ht="14.25" customHeight="1" x14ac:dyDescent="0.3">
      <c r="A858" s="22">
        <v>44957</v>
      </c>
      <c r="B858" s="23">
        <v>458.71</v>
      </c>
      <c r="C858" s="24">
        <f t="shared" si="13"/>
        <v>9.1741100893209821E-3</v>
      </c>
    </row>
    <row r="859" spans="1:3" ht="14.25" customHeight="1" x14ac:dyDescent="0.3">
      <c r="A859" s="22">
        <v>44956</v>
      </c>
      <c r="B859" s="23">
        <v>454.54</v>
      </c>
      <c r="C859" s="24">
        <f t="shared" si="13"/>
        <v>7.2653618370366335E-4</v>
      </c>
    </row>
    <row r="860" spans="1:3" ht="14.25" customHeight="1" x14ac:dyDescent="0.3">
      <c r="A860" s="22">
        <v>44953</v>
      </c>
      <c r="B860" s="23">
        <v>454.21</v>
      </c>
      <c r="C860" s="24">
        <f t="shared" si="13"/>
        <v>-1.1856589653222045E-2</v>
      </c>
    </row>
    <row r="861" spans="1:3" ht="14.25" customHeight="1" x14ac:dyDescent="0.3">
      <c r="A861" s="22">
        <v>44951</v>
      </c>
      <c r="B861" s="23">
        <v>459.66</v>
      </c>
      <c r="C861" s="24">
        <f t="shared" si="13"/>
        <v>-9.2039747375681283E-3</v>
      </c>
    </row>
    <row r="862" spans="1:3" ht="14.25" customHeight="1" x14ac:dyDescent="0.3">
      <c r="A862" s="22">
        <v>44950</v>
      </c>
      <c r="B862" s="23">
        <v>463.93</v>
      </c>
      <c r="C862" s="24">
        <f t="shared" si="13"/>
        <v>-1.7643894566971344E-3</v>
      </c>
    </row>
    <row r="863" spans="1:3" ht="14.25" customHeight="1" x14ac:dyDescent="0.3">
      <c r="A863" s="22">
        <v>44949</v>
      </c>
      <c r="B863" s="23">
        <v>464.75</v>
      </c>
      <c r="C863" s="24">
        <f t="shared" si="13"/>
        <v>1.9834853286764889E-3</v>
      </c>
    </row>
    <row r="864" spans="1:3" ht="14.25" customHeight="1" x14ac:dyDescent="0.3">
      <c r="A864" s="22">
        <v>44946</v>
      </c>
      <c r="B864" s="23">
        <v>463.83</v>
      </c>
      <c r="C864" s="24">
        <f t="shared" si="13"/>
        <v>-4.5712078289981877E-3</v>
      </c>
    </row>
    <row r="865" spans="1:3" ht="14.25" customHeight="1" x14ac:dyDescent="0.3">
      <c r="A865" s="22">
        <v>44945</v>
      </c>
      <c r="B865" s="23">
        <v>465.96</v>
      </c>
      <c r="C865" s="24">
        <f t="shared" si="13"/>
        <v>-2.1415110501970193E-3</v>
      </c>
    </row>
    <row r="866" spans="1:3" ht="14.25" customHeight="1" x14ac:dyDescent="0.3">
      <c r="A866" s="22">
        <v>44944</v>
      </c>
      <c r="B866" s="23">
        <v>466.96</v>
      </c>
      <c r="C866" s="24">
        <f t="shared" si="13"/>
        <v>3.1579625770692611E-3</v>
      </c>
    </row>
    <row r="867" spans="1:3" ht="14.25" customHeight="1" x14ac:dyDescent="0.3">
      <c r="A867" s="22">
        <v>44943</v>
      </c>
      <c r="B867" s="23">
        <v>465.49</v>
      </c>
      <c r="C867" s="24">
        <f t="shared" si="13"/>
        <v>4.2983945496354666E-4</v>
      </c>
    </row>
    <row r="868" spans="1:3" ht="14.25" customHeight="1" x14ac:dyDescent="0.3">
      <c r="A868" s="22">
        <v>44942</v>
      </c>
      <c r="B868" s="23">
        <v>465.29</v>
      </c>
      <c r="C868" s="24">
        <f t="shared" si="13"/>
        <v>-3.298845404108484E-3</v>
      </c>
    </row>
    <row r="869" spans="1:3" ht="14.25" customHeight="1" x14ac:dyDescent="0.3">
      <c r="A869" s="22">
        <v>44939</v>
      </c>
      <c r="B869" s="23">
        <v>466.83</v>
      </c>
      <c r="C869" s="24">
        <f t="shared" si="13"/>
        <v>2.0391517128874144E-3</v>
      </c>
    </row>
    <row r="870" spans="1:3" ht="14.25" customHeight="1" x14ac:dyDescent="0.3">
      <c r="A870" s="22">
        <v>44938</v>
      </c>
      <c r="B870" s="23">
        <v>465.88</v>
      </c>
      <c r="C870" s="24">
        <f t="shared" si="13"/>
        <v>9.6684786111765164E-4</v>
      </c>
    </row>
    <row r="871" spans="1:3" ht="14.25" customHeight="1" x14ac:dyDescent="0.3">
      <c r="A871" s="22">
        <v>44937</v>
      </c>
      <c r="B871" s="23">
        <v>465.43</v>
      </c>
      <c r="C871" s="24">
        <f t="shared" si="13"/>
        <v>2.1531770126822125E-3</v>
      </c>
    </row>
    <row r="872" spans="1:3" ht="14.25" customHeight="1" x14ac:dyDescent="0.3">
      <c r="A872" s="22">
        <v>44936</v>
      </c>
      <c r="B872" s="23">
        <v>464.43</v>
      </c>
      <c r="C872" s="24">
        <f t="shared" si="13"/>
        <v>-4.7146561515547403E-3</v>
      </c>
    </row>
    <row r="873" spans="1:3" ht="14.25" customHeight="1" x14ac:dyDescent="0.3">
      <c r="A873" s="22">
        <v>44935</v>
      </c>
      <c r="B873" s="23">
        <v>466.63</v>
      </c>
      <c r="C873" s="24">
        <f t="shared" si="13"/>
        <v>7.0571477900552093E-3</v>
      </c>
    </row>
    <row r="874" spans="1:3" ht="14.25" customHeight="1" x14ac:dyDescent="0.3">
      <c r="A874" s="22">
        <v>44932</v>
      </c>
      <c r="B874" s="23">
        <v>463.36</v>
      </c>
      <c r="C874" s="24">
        <f t="shared" si="13"/>
        <v>-6.6245042341086403E-3</v>
      </c>
    </row>
    <row r="875" spans="1:3" ht="14.25" customHeight="1" x14ac:dyDescent="0.3">
      <c r="A875" s="22">
        <v>44931</v>
      </c>
      <c r="B875" s="23">
        <v>466.45</v>
      </c>
      <c r="C875" s="24">
        <f t="shared" si="13"/>
        <v>8.5827700890457517E-4</v>
      </c>
    </row>
    <row r="876" spans="1:3" ht="14.25" customHeight="1" x14ac:dyDescent="0.3">
      <c r="A876" s="22">
        <v>44930</v>
      </c>
      <c r="B876" s="23">
        <v>466.05</v>
      </c>
      <c r="C876" s="24">
        <f t="shared" si="13"/>
        <v>-7.7497924162745349E-3</v>
      </c>
    </row>
    <row r="877" spans="1:3" ht="14.25" customHeight="1" x14ac:dyDescent="0.3">
      <c r="A877" s="22">
        <v>44929</v>
      </c>
      <c r="B877" s="23">
        <v>469.69</v>
      </c>
      <c r="C877" s="24">
        <f t="shared" si="13"/>
        <v>9.5899752791745937E-4</v>
      </c>
    </row>
    <row r="878" spans="1:3" ht="14.25" customHeight="1" x14ac:dyDescent="0.3">
      <c r="A878" s="22">
        <v>44928</v>
      </c>
      <c r="B878" s="23">
        <v>469.24</v>
      </c>
      <c r="C878" s="24">
        <f t="shared" si="13"/>
        <v>5.5932966161627278E-3</v>
      </c>
    </row>
    <row r="879" spans="1:3" ht="14.25" customHeight="1" x14ac:dyDescent="0.3">
      <c r="A879" s="22">
        <v>44925</v>
      </c>
      <c r="B879" s="23">
        <v>466.63</v>
      </c>
      <c r="C879" s="24">
        <f t="shared" si="13"/>
        <v>-3.21350529157156E-4</v>
      </c>
    </row>
    <row r="880" spans="1:3" ht="14.25" customHeight="1" x14ac:dyDescent="0.3">
      <c r="A880" s="22">
        <v>44924</v>
      </c>
      <c r="B880" s="23">
        <v>466.78</v>
      </c>
      <c r="C880" s="24">
        <f t="shared" si="13"/>
        <v>2.9651912333476483E-3</v>
      </c>
    </row>
    <row r="881" spans="1:3" ht="14.25" customHeight="1" x14ac:dyDescent="0.3">
      <c r="A881" s="22">
        <v>44923</v>
      </c>
      <c r="B881" s="23">
        <v>465.4</v>
      </c>
      <c r="C881" s="24">
        <f t="shared" si="13"/>
        <v>5.8048287575512608E-4</v>
      </c>
    </row>
    <row r="882" spans="1:3" ht="14.25" customHeight="1" x14ac:dyDescent="0.3">
      <c r="A882" s="22">
        <v>44922</v>
      </c>
      <c r="B882" s="23">
        <v>465.13</v>
      </c>
      <c r="C882" s="24">
        <f t="shared" si="13"/>
        <v>7.7128062915700814E-3</v>
      </c>
    </row>
    <row r="883" spans="1:3" ht="14.25" customHeight="1" x14ac:dyDescent="0.3">
      <c r="A883" s="22">
        <v>44921</v>
      </c>
      <c r="B883" s="23">
        <v>461.57</v>
      </c>
      <c r="C883" s="24">
        <f t="shared" si="13"/>
        <v>1.7817371937639163E-2</v>
      </c>
    </row>
    <row r="884" spans="1:3" ht="14.25" customHeight="1" x14ac:dyDescent="0.3">
      <c r="A884" s="22">
        <v>44918</v>
      </c>
      <c r="B884" s="23">
        <v>453.49</v>
      </c>
      <c r="C884" s="24">
        <f t="shared" si="13"/>
        <v>-2.4207083530576236E-2</v>
      </c>
    </row>
    <row r="885" spans="1:3" ht="14.25" customHeight="1" x14ac:dyDescent="0.3">
      <c r="A885" s="22">
        <v>44917</v>
      </c>
      <c r="B885" s="23">
        <v>464.74</v>
      </c>
      <c r="C885" s="24">
        <f t="shared" si="13"/>
        <v>-6.5200196669445935E-3</v>
      </c>
    </row>
    <row r="886" spans="1:3" ht="14.25" customHeight="1" x14ac:dyDescent="0.3">
      <c r="A886" s="22">
        <v>44916</v>
      </c>
      <c r="B886" s="23">
        <v>467.79</v>
      </c>
      <c r="C886" s="24">
        <f t="shared" si="13"/>
        <v>-1.3579908483225434E-2</v>
      </c>
    </row>
    <row r="887" spans="1:3" ht="14.25" customHeight="1" x14ac:dyDescent="0.3">
      <c r="A887" s="22">
        <v>44915</v>
      </c>
      <c r="B887" s="23">
        <v>474.23</v>
      </c>
      <c r="C887" s="24">
        <f t="shared" si="13"/>
        <v>-3.0273088485714837E-3</v>
      </c>
    </row>
    <row r="888" spans="1:3" ht="14.25" customHeight="1" x14ac:dyDescent="0.3">
      <c r="A888" s="22">
        <v>44914</v>
      </c>
      <c r="B888" s="23">
        <v>475.67</v>
      </c>
      <c r="C888" s="24">
        <f t="shared" si="13"/>
        <v>3.4173610378652134E-3</v>
      </c>
    </row>
    <row r="889" spans="1:3" ht="14.25" customHeight="1" x14ac:dyDescent="0.3">
      <c r="A889" s="22">
        <v>44911</v>
      </c>
      <c r="B889" s="23">
        <v>474.05</v>
      </c>
      <c r="C889" s="24">
        <f t="shared" si="13"/>
        <v>-8.9477975456274395E-3</v>
      </c>
    </row>
    <row r="890" spans="1:3" ht="14.25" customHeight="1" x14ac:dyDescent="0.3">
      <c r="A890" s="22">
        <v>44910</v>
      </c>
      <c r="B890" s="23">
        <v>478.33</v>
      </c>
      <c r="C890" s="24">
        <f t="shared" si="13"/>
        <v>-7.8199543663141219E-3</v>
      </c>
    </row>
    <row r="891" spans="1:3" ht="14.25" customHeight="1" x14ac:dyDescent="0.3">
      <c r="A891" s="22">
        <v>44909</v>
      </c>
      <c r="B891" s="23">
        <v>482.1</v>
      </c>
      <c r="C891" s="24">
        <f t="shared" si="13"/>
        <v>3.3716283716283811E-3</v>
      </c>
    </row>
    <row r="892" spans="1:3" ht="14.25" customHeight="1" x14ac:dyDescent="0.3">
      <c r="A892" s="22">
        <v>44908</v>
      </c>
      <c r="B892" s="23">
        <v>480.48</v>
      </c>
      <c r="C892" s="24">
        <f t="shared" si="13"/>
        <v>5.4406964091404178E-3</v>
      </c>
    </row>
    <row r="893" spans="1:3" ht="14.25" customHeight="1" x14ac:dyDescent="0.3">
      <c r="A893" s="22">
        <v>44907</v>
      </c>
      <c r="B893" s="23">
        <v>477.88</v>
      </c>
      <c r="C893" s="24">
        <f t="shared" si="13"/>
        <v>9.4254655132687223E-4</v>
      </c>
    </row>
    <row r="894" spans="1:3" ht="14.25" customHeight="1" x14ac:dyDescent="0.3">
      <c r="A894" s="22">
        <v>44904</v>
      </c>
      <c r="B894" s="23">
        <v>477.43</v>
      </c>
      <c r="C894" s="24">
        <f t="shared" si="13"/>
        <v>-5.5613413872110306E-3</v>
      </c>
    </row>
    <row r="895" spans="1:3" ht="14.25" customHeight="1" x14ac:dyDescent="0.3">
      <c r="A895" s="22">
        <v>44903</v>
      </c>
      <c r="B895" s="23">
        <v>480.1</v>
      </c>
      <c r="C895" s="24">
        <f t="shared" si="13"/>
        <v>3.5115588813176848E-3</v>
      </c>
    </row>
    <row r="896" spans="1:3" ht="14.25" customHeight="1" x14ac:dyDescent="0.3">
      <c r="A896" s="22">
        <v>44902</v>
      </c>
      <c r="B896" s="23">
        <v>478.42</v>
      </c>
      <c r="C896" s="24">
        <f t="shared" si="13"/>
        <v>-5.7152357794542467E-3</v>
      </c>
    </row>
    <row r="897" spans="1:3" ht="14.25" customHeight="1" x14ac:dyDescent="0.3">
      <c r="A897" s="22">
        <v>44901</v>
      </c>
      <c r="B897" s="23">
        <v>481.17</v>
      </c>
      <c r="C897" s="24">
        <f t="shared" si="13"/>
        <v>-5.3127713234381964E-3</v>
      </c>
    </row>
    <row r="898" spans="1:3" ht="14.25" customHeight="1" x14ac:dyDescent="0.3">
      <c r="A898" s="22">
        <v>44900</v>
      </c>
      <c r="B898" s="23">
        <v>483.74</v>
      </c>
      <c r="C898" s="24">
        <f t="shared" ref="C898:C961" si="14">(B898-B899)/B899</f>
        <v>2.1753092046655439E-3</v>
      </c>
    </row>
    <row r="899" spans="1:3" ht="14.25" customHeight="1" x14ac:dyDescent="0.3">
      <c r="A899" s="22">
        <v>44897</v>
      </c>
      <c r="B899" s="23">
        <v>482.69</v>
      </c>
      <c r="C899" s="24">
        <f t="shared" si="14"/>
        <v>1.2861202729894093E-3</v>
      </c>
    </row>
    <row r="900" spans="1:3" ht="14.25" customHeight="1" x14ac:dyDescent="0.3">
      <c r="A900" s="22">
        <v>44896</v>
      </c>
      <c r="B900" s="23">
        <v>482.07</v>
      </c>
      <c r="C900" s="24">
        <f t="shared" si="14"/>
        <v>5.3178178178178419E-3</v>
      </c>
    </row>
    <row r="901" spans="1:3" ht="14.25" customHeight="1" x14ac:dyDescent="0.3">
      <c r="A901" s="22">
        <v>44895</v>
      </c>
      <c r="B901" s="23">
        <v>479.52</v>
      </c>
      <c r="C901" s="24">
        <f t="shared" si="14"/>
        <v>7.0987524677615732E-3</v>
      </c>
    </row>
    <row r="902" spans="1:3" ht="14.25" customHeight="1" x14ac:dyDescent="0.3">
      <c r="A902" s="22">
        <v>44894</v>
      </c>
      <c r="B902" s="23">
        <v>476.14</v>
      </c>
      <c r="C902" s="24">
        <f t="shared" si="14"/>
        <v>3.7818304059166071E-4</v>
      </c>
    </row>
    <row r="903" spans="1:3" ht="14.25" customHeight="1" x14ac:dyDescent="0.3">
      <c r="A903" s="22">
        <v>44893</v>
      </c>
      <c r="B903" s="23">
        <v>475.96</v>
      </c>
      <c r="C903" s="24">
        <f t="shared" si="14"/>
        <v>5.6201140925416608E-3</v>
      </c>
    </row>
    <row r="904" spans="1:3" ht="14.25" customHeight="1" x14ac:dyDescent="0.3">
      <c r="A904" s="22">
        <v>44890</v>
      </c>
      <c r="B904" s="23">
        <v>473.3</v>
      </c>
      <c r="C904" s="24">
        <f t="shared" si="14"/>
        <v>3.1793132683340399E-3</v>
      </c>
    </row>
    <row r="905" spans="1:3" ht="14.25" customHeight="1" x14ac:dyDescent="0.3">
      <c r="A905" s="22">
        <v>44889</v>
      </c>
      <c r="B905" s="23">
        <v>471.8</v>
      </c>
      <c r="C905" s="24">
        <f t="shared" si="14"/>
        <v>8.0550392068885306E-3</v>
      </c>
    </row>
    <row r="906" spans="1:3" ht="14.25" customHeight="1" x14ac:dyDescent="0.3">
      <c r="A906" s="22">
        <v>44888</v>
      </c>
      <c r="B906" s="23">
        <v>468.03</v>
      </c>
      <c r="C906" s="24">
        <f t="shared" si="14"/>
        <v>3.7531097194818566E-3</v>
      </c>
    </row>
    <row r="907" spans="1:3" ht="14.25" customHeight="1" x14ac:dyDescent="0.3">
      <c r="A907" s="22">
        <v>44887</v>
      </c>
      <c r="B907" s="23">
        <v>466.28</v>
      </c>
      <c r="C907" s="24">
        <f t="shared" si="14"/>
        <v>-3.4835759013486615E-3</v>
      </c>
    </row>
    <row r="908" spans="1:3" ht="14.25" customHeight="1" x14ac:dyDescent="0.3">
      <c r="A908" s="22">
        <v>44883</v>
      </c>
      <c r="B908" s="23">
        <v>467.91</v>
      </c>
      <c r="C908" s="24">
        <f t="shared" si="14"/>
        <v>-5.9695785180149605E-3</v>
      </c>
    </row>
    <row r="909" spans="1:3" ht="14.25" customHeight="1" x14ac:dyDescent="0.3">
      <c r="A909" s="22">
        <v>44882</v>
      </c>
      <c r="B909" s="23">
        <v>470.72</v>
      </c>
      <c r="C909" s="24">
        <f t="shared" si="14"/>
        <v>-2.0141200415544525E-3</v>
      </c>
    </row>
    <row r="910" spans="1:3" ht="14.25" customHeight="1" x14ac:dyDescent="0.3">
      <c r="A910" s="22">
        <v>44881</v>
      </c>
      <c r="B910" s="23">
        <v>471.67</v>
      </c>
      <c r="C910" s="24">
        <f t="shared" si="14"/>
        <v>-1.4838682325008092E-4</v>
      </c>
    </row>
    <row r="911" spans="1:3" ht="14.25" customHeight="1" x14ac:dyDescent="0.3">
      <c r="A911" s="22">
        <v>44880</v>
      </c>
      <c r="B911" s="23">
        <v>471.74</v>
      </c>
      <c r="C911" s="24">
        <f t="shared" si="14"/>
        <v>3.2325294542979491E-3</v>
      </c>
    </row>
    <row r="912" spans="1:3" ht="14.25" customHeight="1" x14ac:dyDescent="0.3">
      <c r="A912" s="22">
        <v>44879</v>
      </c>
      <c r="B912" s="23">
        <v>470.22</v>
      </c>
      <c r="C912" s="24">
        <f t="shared" si="14"/>
        <v>-5.5262710423395445E-4</v>
      </c>
    </row>
    <row r="913" spans="1:3" ht="14.25" customHeight="1" x14ac:dyDescent="0.3">
      <c r="A913" s="22">
        <v>44876</v>
      </c>
      <c r="B913" s="23">
        <v>470.48</v>
      </c>
      <c r="C913" s="24">
        <f t="shared" si="14"/>
        <v>5.9869996578857578E-3</v>
      </c>
    </row>
    <row r="914" spans="1:3" ht="14.25" customHeight="1" x14ac:dyDescent="0.3">
      <c r="A914" s="22">
        <v>44875</v>
      </c>
      <c r="B914" s="23">
        <v>467.68</v>
      </c>
      <c r="C914" s="24">
        <f t="shared" si="14"/>
        <v>-5.2959567815896568E-3</v>
      </c>
    </row>
    <row r="915" spans="1:3" ht="14.25" customHeight="1" x14ac:dyDescent="0.3">
      <c r="A915" s="22">
        <v>44874</v>
      </c>
      <c r="B915" s="23">
        <v>470.17</v>
      </c>
      <c r="C915" s="24">
        <f t="shared" si="14"/>
        <v>-2.5246096401900834E-3</v>
      </c>
    </row>
    <row r="916" spans="1:3" ht="14.25" customHeight="1" x14ac:dyDescent="0.3">
      <c r="A916" s="22">
        <v>44872</v>
      </c>
      <c r="B916" s="23">
        <v>471.36</v>
      </c>
      <c r="C916" s="24">
        <f t="shared" si="14"/>
        <v>6.2764185986934748E-3</v>
      </c>
    </row>
    <row r="917" spans="1:3" ht="14.25" customHeight="1" x14ac:dyDescent="0.3">
      <c r="A917" s="22">
        <v>44869</v>
      </c>
      <c r="B917" s="23">
        <v>468.42</v>
      </c>
      <c r="C917" s="24">
        <f t="shared" si="14"/>
        <v>-4.6944349607368224E-4</v>
      </c>
    </row>
    <row r="918" spans="1:3" ht="14.25" customHeight="1" x14ac:dyDescent="0.3">
      <c r="A918" s="22">
        <v>44868</v>
      </c>
      <c r="B918" s="23">
        <v>468.64</v>
      </c>
      <c r="C918" s="24">
        <f t="shared" si="14"/>
        <v>1.8170546612795611E-3</v>
      </c>
    </row>
    <row r="919" spans="1:3" ht="14.25" customHeight="1" x14ac:dyDescent="0.3">
      <c r="A919" s="22">
        <v>44867</v>
      </c>
      <c r="B919" s="23">
        <v>467.79</v>
      </c>
      <c r="C919" s="24">
        <f t="shared" si="14"/>
        <v>-2.0905774686945868E-3</v>
      </c>
    </row>
    <row r="920" spans="1:3" ht="14.25" customHeight="1" x14ac:dyDescent="0.3">
      <c r="A920" s="22">
        <v>44866</v>
      </c>
      <c r="B920" s="23">
        <v>468.77</v>
      </c>
      <c r="C920" s="24">
        <f t="shared" si="14"/>
        <v>6.9598092496724363E-3</v>
      </c>
    </row>
    <row r="921" spans="1:3" ht="14.25" customHeight="1" x14ac:dyDescent="0.3">
      <c r="A921" s="22">
        <v>44865</v>
      </c>
      <c r="B921" s="23">
        <v>465.53</v>
      </c>
      <c r="C921" s="24">
        <f t="shared" si="14"/>
        <v>8.885421407363989E-3</v>
      </c>
    </row>
    <row r="922" spans="1:3" ht="14.25" customHeight="1" x14ac:dyDescent="0.3">
      <c r="A922" s="22">
        <v>44862</v>
      </c>
      <c r="B922" s="23">
        <v>461.43</v>
      </c>
      <c r="C922" s="24">
        <f t="shared" si="14"/>
        <v>-4.4015793902518405E-3</v>
      </c>
    </row>
    <row r="923" spans="1:3" ht="14.25" customHeight="1" x14ac:dyDescent="0.3">
      <c r="A923" s="22">
        <v>44861</v>
      </c>
      <c r="B923" s="23">
        <v>463.47</v>
      </c>
      <c r="C923" s="24">
        <f t="shared" si="14"/>
        <v>5.9907534023573355E-3</v>
      </c>
    </row>
    <row r="924" spans="1:3" ht="14.25" customHeight="1" x14ac:dyDescent="0.3">
      <c r="A924" s="22">
        <v>44859</v>
      </c>
      <c r="B924" s="23">
        <v>460.71</v>
      </c>
      <c r="C924" s="24">
        <f t="shared" si="14"/>
        <v>9.7532108885284453E-3</v>
      </c>
    </row>
    <row r="925" spans="1:3" ht="14.25" customHeight="1" x14ac:dyDescent="0.3">
      <c r="A925" s="22">
        <v>44858</v>
      </c>
      <c r="B925" s="23">
        <v>456.26</v>
      </c>
      <c r="C925" s="24">
        <f t="shared" si="14"/>
        <v>0</v>
      </c>
    </row>
    <row r="926" spans="1:3" ht="14.25" customHeight="1" x14ac:dyDescent="0.3">
      <c r="A926" s="22">
        <v>44855</v>
      </c>
      <c r="B926" s="23">
        <v>456.26</v>
      </c>
      <c r="C926" s="24">
        <f t="shared" si="14"/>
        <v>-1.8813440672033901E-3</v>
      </c>
    </row>
    <row r="927" spans="1:3" ht="14.25" customHeight="1" x14ac:dyDescent="0.3">
      <c r="A927" s="22">
        <v>44854</v>
      </c>
      <c r="B927" s="23">
        <v>457.12</v>
      </c>
      <c r="C927" s="24">
        <f t="shared" si="14"/>
        <v>4.3754101947017737E-5</v>
      </c>
    </row>
    <row r="928" spans="1:3" ht="14.25" customHeight="1" x14ac:dyDescent="0.3">
      <c r="A928" s="22">
        <v>44853</v>
      </c>
      <c r="B928" s="23">
        <v>457.1</v>
      </c>
      <c r="C928" s="24">
        <f t="shared" si="14"/>
        <v>4.3773254541485112E-4</v>
      </c>
    </row>
    <row r="929" spans="1:3" ht="14.25" customHeight="1" x14ac:dyDescent="0.3">
      <c r="A929" s="22">
        <v>44852</v>
      </c>
      <c r="B929" s="23">
        <v>456.9</v>
      </c>
      <c r="C929" s="24">
        <f t="shared" si="14"/>
        <v>1.1444889646470146E-2</v>
      </c>
    </row>
    <row r="930" spans="1:3" ht="14.25" customHeight="1" x14ac:dyDescent="0.3">
      <c r="A930" s="22">
        <v>44851</v>
      </c>
      <c r="B930" s="23">
        <v>451.73</v>
      </c>
      <c r="C930" s="24">
        <f t="shared" si="14"/>
        <v>3.6883151509765704E-3</v>
      </c>
    </row>
    <row r="931" spans="1:3" ht="14.25" customHeight="1" x14ac:dyDescent="0.3">
      <c r="A931" s="22">
        <v>44848</v>
      </c>
      <c r="B931" s="23">
        <v>450.07</v>
      </c>
      <c r="C931" s="24">
        <f t="shared" si="14"/>
        <v>1.9144720731951953E-3</v>
      </c>
    </row>
    <row r="932" spans="1:3" ht="14.25" customHeight="1" x14ac:dyDescent="0.3">
      <c r="A932" s="22">
        <v>44847</v>
      </c>
      <c r="B932" s="23">
        <v>449.21</v>
      </c>
      <c r="C932" s="24">
        <f t="shared" si="14"/>
        <v>-5.688609500199197E-3</v>
      </c>
    </row>
    <row r="933" spans="1:3" ht="14.25" customHeight="1" x14ac:dyDescent="0.3">
      <c r="A933" s="22">
        <v>44846</v>
      </c>
      <c r="B933" s="23">
        <v>451.78</v>
      </c>
      <c r="C933" s="24">
        <f t="shared" si="14"/>
        <v>4.9828713796324069E-3</v>
      </c>
    </row>
    <row r="934" spans="1:3" ht="14.25" customHeight="1" x14ac:dyDescent="0.3">
      <c r="A934" s="22">
        <v>44845</v>
      </c>
      <c r="B934" s="23">
        <v>449.54</v>
      </c>
      <c r="C934" s="24">
        <f t="shared" si="14"/>
        <v>-1.356095848327922E-2</v>
      </c>
    </row>
    <row r="935" spans="1:3" ht="14.25" customHeight="1" x14ac:dyDescent="0.3">
      <c r="A935" s="22">
        <v>44844</v>
      </c>
      <c r="B935" s="23">
        <v>455.72</v>
      </c>
      <c r="C935" s="24">
        <f t="shared" si="14"/>
        <v>-4.6521786611335488E-3</v>
      </c>
    </row>
    <row r="936" spans="1:3" ht="14.25" customHeight="1" x14ac:dyDescent="0.3">
      <c r="A936" s="22">
        <v>44841</v>
      </c>
      <c r="B936" s="23">
        <v>457.85</v>
      </c>
      <c r="C936" s="24">
        <f t="shared" si="14"/>
        <v>-1.0254843777272875E-3</v>
      </c>
    </row>
    <row r="937" spans="1:3" ht="14.25" customHeight="1" x14ac:dyDescent="0.3">
      <c r="A937" s="22">
        <v>44840</v>
      </c>
      <c r="B937" s="23">
        <v>458.32</v>
      </c>
      <c r="C937" s="24">
        <f t="shared" si="14"/>
        <v>1.0338822388290011E-2</v>
      </c>
    </row>
    <row r="938" spans="1:3" ht="14.25" customHeight="1" x14ac:dyDescent="0.3">
      <c r="A938" s="22">
        <v>44838</v>
      </c>
      <c r="B938" s="23">
        <v>453.63</v>
      </c>
      <c r="C938" s="24">
        <f t="shared" si="14"/>
        <v>1.6492258050059411E-2</v>
      </c>
    </row>
    <row r="939" spans="1:3" ht="14.25" customHeight="1" x14ac:dyDescent="0.3">
      <c r="A939" s="22">
        <v>44837</v>
      </c>
      <c r="B939" s="23">
        <v>446.27</v>
      </c>
      <c r="C939" s="24">
        <f t="shared" si="14"/>
        <v>-9.4335434608896398E-3</v>
      </c>
    </row>
    <row r="940" spans="1:3" ht="14.25" customHeight="1" x14ac:dyDescent="0.3">
      <c r="A940" s="22">
        <v>44834</v>
      </c>
      <c r="B940" s="23">
        <v>450.52</v>
      </c>
      <c r="C940" s="24">
        <f t="shared" si="14"/>
        <v>1.7342606810586234E-2</v>
      </c>
    </row>
    <row r="941" spans="1:3" ht="14.25" customHeight="1" x14ac:dyDescent="0.3">
      <c r="A941" s="22">
        <v>44833</v>
      </c>
      <c r="B941" s="23">
        <v>442.84</v>
      </c>
      <c r="C941" s="24">
        <f t="shared" si="14"/>
        <v>1.1303522177510514E-3</v>
      </c>
    </row>
    <row r="942" spans="1:3" ht="14.25" customHeight="1" x14ac:dyDescent="0.3">
      <c r="A942" s="22">
        <v>44832</v>
      </c>
      <c r="B942" s="23">
        <v>442.34</v>
      </c>
      <c r="C942" s="24">
        <f t="shared" si="14"/>
        <v>-3.1325355508981657E-3</v>
      </c>
    </row>
    <row r="943" spans="1:3" ht="14.25" customHeight="1" x14ac:dyDescent="0.3">
      <c r="A943" s="22">
        <v>44831</v>
      </c>
      <c r="B943" s="23">
        <v>443.73</v>
      </c>
      <c r="C943" s="24">
        <f t="shared" si="14"/>
        <v>-3.6044966095196595E-4</v>
      </c>
    </row>
    <row r="944" spans="1:3" ht="14.25" customHeight="1" x14ac:dyDescent="0.3">
      <c r="A944" s="22">
        <v>44830</v>
      </c>
      <c r="B944" s="23">
        <v>443.89</v>
      </c>
      <c r="C944" s="24">
        <f t="shared" si="14"/>
        <v>-1.7638206524144707E-2</v>
      </c>
    </row>
    <row r="945" spans="1:3" ht="14.25" customHeight="1" x14ac:dyDescent="0.3">
      <c r="A945" s="22">
        <v>44827</v>
      </c>
      <c r="B945" s="23">
        <v>451.86</v>
      </c>
      <c r="C945" s="24">
        <f t="shared" si="14"/>
        <v>-1.8463810930576072E-2</v>
      </c>
    </row>
    <row r="946" spans="1:3" ht="14.25" customHeight="1" x14ac:dyDescent="0.3">
      <c r="A946" s="22">
        <v>44826</v>
      </c>
      <c r="B946" s="23">
        <v>460.36</v>
      </c>
      <c r="C946" s="24">
        <f t="shared" si="14"/>
        <v>-1.5398963281063169E-3</v>
      </c>
    </row>
    <row r="947" spans="1:3" ht="14.25" customHeight="1" x14ac:dyDescent="0.3">
      <c r="A947" s="22">
        <v>44825</v>
      </c>
      <c r="B947" s="23">
        <v>461.07</v>
      </c>
      <c r="C947" s="24">
        <f t="shared" si="14"/>
        <v>-6.4645419872002069E-3</v>
      </c>
    </row>
    <row r="948" spans="1:3" ht="14.25" customHeight="1" x14ac:dyDescent="0.3">
      <c r="A948" s="22">
        <v>44824</v>
      </c>
      <c r="B948" s="23">
        <v>464.07</v>
      </c>
      <c r="C948" s="24">
        <f t="shared" si="14"/>
        <v>1.2413281556786941E-2</v>
      </c>
    </row>
    <row r="949" spans="1:3" ht="14.25" customHeight="1" x14ac:dyDescent="0.3">
      <c r="A949" s="22">
        <v>44823</v>
      </c>
      <c r="B949" s="23">
        <v>458.38</v>
      </c>
      <c r="C949" s="24">
        <f t="shared" si="14"/>
        <v>3.151398433054663E-3</v>
      </c>
    </row>
    <row r="950" spans="1:3" ht="14.25" customHeight="1" x14ac:dyDescent="0.3">
      <c r="A950" s="22">
        <v>44820</v>
      </c>
      <c r="B950" s="23">
        <v>456.94</v>
      </c>
      <c r="C950" s="24">
        <f t="shared" si="14"/>
        <v>-2.0849851072492379E-2</v>
      </c>
    </row>
    <row r="951" spans="1:3" ht="14.25" customHeight="1" x14ac:dyDescent="0.3">
      <c r="A951" s="22">
        <v>44819</v>
      </c>
      <c r="B951" s="23">
        <v>466.67</v>
      </c>
      <c r="C951" s="24">
        <f t="shared" si="14"/>
        <v>-3.5019538339988178E-3</v>
      </c>
    </row>
    <row r="952" spans="1:3" ht="14.25" customHeight="1" x14ac:dyDescent="0.3">
      <c r="A952" s="22">
        <v>44818</v>
      </c>
      <c r="B952" s="23">
        <v>468.31</v>
      </c>
      <c r="C952" s="24">
        <f t="shared" si="14"/>
        <v>-5.3354959877070177E-4</v>
      </c>
    </row>
    <row r="953" spans="1:3" ht="14.25" customHeight="1" x14ac:dyDescent="0.3">
      <c r="A953" s="22">
        <v>44817</v>
      </c>
      <c r="B953" s="23">
        <v>468.56</v>
      </c>
      <c r="C953" s="24">
        <f t="shared" si="14"/>
        <v>3.3834425457192683E-3</v>
      </c>
    </row>
    <row r="954" spans="1:3" ht="14.25" customHeight="1" x14ac:dyDescent="0.3">
      <c r="A954" s="22">
        <v>44816</v>
      </c>
      <c r="B954" s="23">
        <v>466.98</v>
      </c>
      <c r="C954" s="24">
        <f t="shared" si="14"/>
        <v>6.6393619314508321E-3</v>
      </c>
    </row>
    <row r="955" spans="1:3" ht="14.25" customHeight="1" x14ac:dyDescent="0.3">
      <c r="A955" s="22">
        <v>44813</v>
      </c>
      <c r="B955" s="23">
        <v>463.9</v>
      </c>
      <c r="C955" s="24">
        <f t="shared" si="14"/>
        <v>1.8356548968793129E-3</v>
      </c>
    </row>
    <row r="956" spans="1:3" ht="14.25" customHeight="1" x14ac:dyDescent="0.3">
      <c r="A956" s="22">
        <v>44812</v>
      </c>
      <c r="B956" s="23">
        <v>463.05</v>
      </c>
      <c r="C956" s="24">
        <f t="shared" si="14"/>
        <v>9.4613154280482926E-3</v>
      </c>
    </row>
    <row r="957" spans="1:3" ht="14.25" customHeight="1" x14ac:dyDescent="0.3">
      <c r="A957" s="22">
        <v>44811</v>
      </c>
      <c r="B957" s="23">
        <v>458.71</v>
      </c>
      <c r="C957" s="24">
        <f t="shared" si="14"/>
        <v>5.4530384330148758E-4</v>
      </c>
    </row>
    <row r="958" spans="1:3" ht="14.25" customHeight="1" x14ac:dyDescent="0.3">
      <c r="A958" s="22">
        <v>44810</v>
      </c>
      <c r="B958" s="23">
        <v>458.46</v>
      </c>
      <c r="C958" s="24">
        <f t="shared" si="14"/>
        <v>1.048080702213986E-3</v>
      </c>
    </row>
    <row r="959" spans="1:3" ht="14.25" customHeight="1" x14ac:dyDescent="0.3">
      <c r="A959" s="22">
        <v>44809</v>
      </c>
      <c r="B959" s="23">
        <v>457.98</v>
      </c>
      <c r="C959" s="24">
        <f t="shared" si="14"/>
        <v>7.1913967143894765E-3</v>
      </c>
    </row>
    <row r="960" spans="1:3" ht="14.25" customHeight="1" x14ac:dyDescent="0.3">
      <c r="A960" s="22">
        <v>44806</v>
      </c>
      <c r="B960" s="23">
        <v>454.71</v>
      </c>
      <c r="C960" s="24">
        <f t="shared" si="14"/>
        <v>-3.957000593550239E-4</v>
      </c>
    </row>
    <row r="961" spans="1:3" ht="14.25" customHeight="1" x14ac:dyDescent="0.3">
      <c r="A961" s="22">
        <v>44805</v>
      </c>
      <c r="B961" s="23">
        <v>454.89</v>
      </c>
      <c r="C961" s="24">
        <f t="shared" si="14"/>
        <v>-3.3303389496287081E-3</v>
      </c>
    </row>
    <row r="962" spans="1:3" ht="14.25" customHeight="1" x14ac:dyDescent="0.3">
      <c r="A962" s="22">
        <v>44803</v>
      </c>
      <c r="B962" s="23">
        <v>456.41</v>
      </c>
      <c r="C962" s="24">
        <f t="shared" ref="C962:C1025" si="15">(B962-B963)/B963</f>
        <v>1.8544967641151534E-2</v>
      </c>
    </row>
    <row r="963" spans="1:3" ht="14.25" customHeight="1" x14ac:dyDescent="0.3">
      <c r="A963" s="22">
        <v>44802</v>
      </c>
      <c r="B963" s="23">
        <v>448.1</v>
      </c>
      <c r="C963" s="24">
        <f t="shared" si="15"/>
        <v>-1.1209673860276234E-2</v>
      </c>
    </row>
    <row r="964" spans="1:3" ht="14.25" customHeight="1" x14ac:dyDescent="0.3">
      <c r="A964" s="22">
        <v>44799</v>
      </c>
      <c r="B964" s="23">
        <v>453.18</v>
      </c>
      <c r="C964" s="24">
        <f t="shared" si="15"/>
        <v>3.6320148824024144E-3</v>
      </c>
    </row>
    <row r="965" spans="1:3" ht="14.25" customHeight="1" x14ac:dyDescent="0.3">
      <c r="A965" s="22">
        <v>44798</v>
      </c>
      <c r="B965" s="23">
        <v>451.54</v>
      </c>
      <c r="C965" s="24">
        <f t="shared" si="15"/>
        <v>2.9318999600195308E-3</v>
      </c>
    </row>
    <row r="966" spans="1:3" ht="14.25" customHeight="1" x14ac:dyDescent="0.3">
      <c r="A966" s="22">
        <v>44797</v>
      </c>
      <c r="B966" s="23">
        <v>450.22</v>
      </c>
      <c r="C966" s="24">
        <f t="shared" si="15"/>
        <v>4.2604447815128479E-3</v>
      </c>
    </row>
    <row r="967" spans="1:3" ht="14.25" customHeight="1" x14ac:dyDescent="0.3">
      <c r="A967" s="22">
        <v>44796</v>
      </c>
      <c r="B967" s="23">
        <v>448.31</v>
      </c>
      <c r="C967" s="24">
        <f t="shared" si="15"/>
        <v>4.5262049340114765E-3</v>
      </c>
    </row>
    <row r="968" spans="1:3" ht="14.25" customHeight="1" x14ac:dyDescent="0.3">
      <c r="A968" s="22">
        <v>44795</v>
      </c>
      <c r="B968" s="23">
        <v>446.29</v>
      </c>
      <c r="C968" s="24">
        <f t="shared" si="15"/>
        <v>-1.4094152473104016E-2</v>
      </c>
    </row>
    <row r="969" spans="1:3" ht="14.25" customHeight="1" x14ac:dyDescent="0.3">
      <c r="A969" s="22">
        <v>44792</v>
      </c>
      <c r="B969" s="23">
        <v>452.67</v>
      </c>
      <c r="C969" s="24">
        <f t="shared" si="15"/>
        <v>-9.9730988780263805E-3</v>
      </c>
    </row>
    <row r="970" spans="1:3" ht="14.25" customHeight="1" x14ac:dyDescent="0.3">
      <c r="A970" s="22">
        <v>44791</v>
      </c>
      <c r="B970" s="23">
        <v>457.23</v>
      </c>
      <c r="C970" s="24">
        <f t="shared" si="15"/>
        <v>1.4674960574733132E-3</v>
      </c>
    </row>
    <row r="971" spans="1:3" ht="14.25" customHeight="1" x14ac:dyDescent="0.3">
      <c r="A971" s="22">
        <v>44790</v>
      </c>
      <c r="B971" s="23">
        <v>456.56</v>
      </c>
      <c r="C971" s="24">
        <f t="shared" si="15"/>
        <v>5.0631796768370787E-3</v>
      </c>
    </row>
    <row r="972" spans="1:3" ht="14.25" customHeight="1" x14ac:dyDescent="0.3">
      <c r="A972" s="22">
        <v>44789</v>
      </c>
      <c r="B972" s="23">
        <v>454.26</v>
      </c>
      <c r="C972" s="24">
        <f t="shared" si="15"/>
        <v>5.7342750238005072E-3</v>
      </c>
    </row>
    <row r="973" spans="1:3" ht="14.25" customHeight="1" x14ac:dyDescent="0.3">
      <c r="A973" s="22">
        <v>44785</v>
      </c>
      <c r="B973" s="23">
        <v>451.67</v>
      </c>
      <c r="C973" s="24">
        <f t="shared" si="15"/>
        <v>1.1526099966752492E-3</v>
      </c>
    </row>
    <row r="974" spans="1:3" ht="14.25" customHeight="1" x14ac:dyDescent="0.3">
      <c r="A974" s="22">
        <v>44784</v>
      </c>
      <c r="B974" s="23">
        <v>451.15</v>
      </c>
      <c r="C974" s="24">
        <f t="shared" si="15"/>
        <v>6.5594252694049617E-3</v>
      </c>
    </row>
    <row r="975" spans="1:3" ht="14.25" customHeight="1" x14ac:dyDescent="0.3">
      <c r="A975" s="22">
        <v>44783</v>
      </c>
      <c r="B975" s="23">
        <v>448.21</v>
      </c>
      <c r="C975" s="24">
        <f t="shared" si="15"/>
        <v>-1.3384790416490569E-4</v>
      </c>
    </row>
    <row r="976" spans="1:3" ht="14.25" customHeight="1" x14ac:dyDescent="0.3">
      <c r="A976" s="22">
        <v>44781</v>
      </c>
      <c r="B976" s="23">
        <v>448.27</v>
      </c>
      <c r="C976" s="24">
        <f t="shared" si="15"/>
        <v>4.6616912077814031E-3</v>
      </c>
    </row>
    <row r="977" spans="1:3" ht="14.25" customHeight="1" x14ac:dyDescent="0.3">
      <c r="A977" s="22">
        <v>44778</v>
      </c>
      <c r="B977" s="23">
        <v>446.19</v>
      </c>
      <c r="C977" s="24">
        <f t="shared" si="15"/>
        <v>2.2462319459107347E-3</v>
      </c>
    </row>
    <row r="978" spans="1:3" ht="14.25" customHeight="1" x14ac:dyDescent="0.3">
      <c r="A978" s="22">
        <v>44777</v>
      </c>
      <c r="B978" s="23">
        <v>445.19</v>
      </c>
      <c r="C978" s="24">
        <f t="shared" si="15"/>
        <v>2.2462824026216148E-5</v>
      </c>
    </row>
    <row r="979" spans="1:3" ht="14.25" customHeight="1" x14ac:dyDescent="0.3">
      <c r="A979" s="22">
        <v>44776</v>
      </c>
      <c r="B979" s="23">
        <v>445.18</v>
      </c>
      <c r="C979" s="24">
        <f t="shared" si="15"/>
        <v>-2.1517909176491227E-3</v>
      </c>
    </row>
    <row r="980" spans="1:3" ht="14.25" customHeight="1" x14ac:dyDescent="0.3">
      <c r="A980" s="22">
        <v>44775</v>
      </c>
      <c r="B980" s="23">
        <v>446.14</v>
      </c>
      <c r="C980" s="24">
        <f t="shared" si="15"/>
        <v>7.6267384477338488E-4</v>
      </c>
    </row>
    <row r="981" spans="1:3" ht="14.25" customHeight="1" x14ac:dyDescent="0.3">
      <c r="A981" s="22">
        <v>44774</v>
      </c>
      <c r="B981" s="23">
        <v>445.8</v>
      </c>
      <c r="C981" s="24">
        <f t="shared" si="15"/>
        <v>9.5565922369673165E-3</v>
      </c>
    </row>
    <row r="982" spans="1:3" ht="14.25" customHeight="1" x14ac:dyDescent="0.3">
      <c r="A982" s="22">
        <v>44771</v>
      </c>
      <c r="B982" s="23">
        <v>441.58</v>
      </c>
      <c r="C982" s="24">
        <f t="shared" si="15"/>
        <v>1.2984033767663718E-2</v>
      </c>
    </row>
    <row r="983" spans="1:3" ht="14.25" customHeight="1" x14ac:dyDescent="0.3">
      <c r="A983" s="22">
        <v>44770</v>
      </c>
      <c r="B983" s="23">
        <v>435.92</v>
      </c>
      <c r="C983" s="24">
        <f t="shared" si="15"/>
        <v>9.4946968644343075E-3</v>
      </c>
    </row>
    <row r="984" spans="1:3" ht="14.25" customHeight="1" x14ac:dyDescent="0.3">
      <c r="A984" s="22">
        <v>44769</v>
      </c>
      <c r="B984" s="23">
        <v>431.82</v>
      </c>
      <c r="C984" s="24">
        <f t="shared" si="15"/>
        <v>3.8123576177413786E-3</v>
      </c>
    </row>
    <row r="985" spans="1:3" ht="14.25" customHeight="1" x14ac:dyDescent="0.3">
      <c r="A985" s="22">
        <v>44768</v>
      </c>
      <c r="B985" s="23">
        <v>430.18</v>
      </c>
      <c r="C985" s="24">
        <f t="shared" si="15"/>
        <v>-8.7333225799018834E-3</v>
      </c>
    </row>
    <row r="986" spans="1:3" ht="14.25" customHeight="1" x14ac:dyDescent="0.3">
      <c r="A986" s="22">
        <v>44767</v>
      </c>
      <c r="B986" s="23">
        <v>433.97</v>
      </c>
      <c r="C986" s="24">
        <f t="shared" si="15"/>
        <v>-1.9318782916675674E-3</v>
      </c>
    </row>
    <row r="987" spans="1:3" ht="14.25" customHeight="1" x14ac:dyDescent="0.3">
      <c r="A987" s="22">
        <v>44764</v>
      </c>
      <c r="B987" s="23">
        <v>434.81</v>
      </c>
      <c r="C987" s="24">
        <f t="shared" si="15"/>
        <v>2.5824897968595184E-3</v>
      </c>
    </row>
    <row r="988" spans="1:3" ht="14.25" customHeight="1" x14ac:dyDescent="0.3">
      <c r="A988" s="22">
        <v>44763</v>
      </c>
      <c r="B988" s="23">
        <v>433.69</v>
      </c>
      <c r="C988" s="24">
        <f t="shared" si="15"/>
        <v>8.276567549345552E-3</v>
      </c>
    </row>
    <row r="989" spans="1:3" ht="14.25" customHeight="1" x14ac:dyDescent="0.3">
      <c r="A989" s="22">
        <v>44762</v>
      </c>
      <c r="B989" s="23">
        <v>430.13</v>
      </c>
      <c r="C989" s="24">
        <f t="shared" si="15"/>
        <v>4.014845591839524E-3</v>
      </c>
    </row>
    <row r="990" spans="1:3" ht="14.25" customHeight="1" x14ac:dyDescent="0.3">
      <c r="A990" s="22">
        <v>44761</v>
      </c>
      <c r="B990" s="23">
        <v>428.41</v>
      </c>
      <c r="C990" s="24">
        <f t="shared" si="15"/>
        <v>4.8081433530350205E-3</v>
      </c>
    </row>
    <row r="991" spans="1:3" ht="14.25" customHeight="1" x14ac:dyDescent="0.3">
      <c r="A991" s="22">
        <v>44760</v>
      </c>
      <c r="B991" s="23">
        <v>426.36</v>
      </c>
      <c r="C991" s="24">
        <f t="shared" si="15"/>
        <v>1.5650682484099177E-2</v>
      </c>
    </row>
    <row r="992" spans="1:3" ht="14.25" customHeight="1" x14ac:dyDescent="0.3">
      <c r="A992" s="22">
        <v>44757</v>
      </c>
      <c r="B992" s="23">
        <v>419.79</v>
      </c>
      <c r="C992" s="24">
        <f t="shared" si="15"/>
        <v>5.172042238345006E-3</v>
      </c>
    </row>
    <row r="993" spans="1:3" ht="14.25" customHeight="1" x14ac:dyDescent="0.3">
      <c r="A993" s="22">
        <v>44756</v>
      </c>
      <c r="B993" s="23">
        <v>417.63</v>
      </c>
      <c r="C993" s="24">
        <f t="shared" si="15"/>
        <v>-3.5075161059413677E-3</v>
      </c>
    </row>
    <row r="994" spans="1:3" ht="14.25" customHeight="1" x14ac:dyDescent="0.3">
      <c r="A994" s="22">
        <v>44755</v>
      </c>
      <c r="B994" s="23">
        <v>419.1</v>
      </c>
      <c r="C994" s="24">
        <f t="shared" si="15"/>
        <v>-9.5351609058397441E-4</v>
      </c>
    </row>
    <row r="995" spans="1:3" ht="14.25" customHeight="1" x14ac:dyDescent="0.3">
      <c r="A995" s="22">
        <v>44754</v>
      </c>
      <c r="B995" s="23">
        <v>419.5</v>
      </c>
      <c r="C995" s="24">
        <f t="shared" si="15"/>
        <v>-7.7347020838753507E-3</v>
      </c>
    </row>
    <row r="996" spans="1:3" ht="14.25" customHeight="1" x14ac:dyDescent="0.3">
      <c r="A996" s="22">
        <v>44753</v>
      </c>
      <c r="B996" s="23">
        <v>422.77</v>
      </c>
      <c r="C996" s="24">
        <f t="shared" si="15"/>
        <v>4.9203708105538231E-3</v>
      </c>
    </row>
    <row r="997" spans="1:3" ht="14.25" customHeight="1" x14ac:dyDescent="0.3">
      <c r="A997" s="22">
        <v>44750</v>
      </c>
      <c r="B997" s="23">
        <v>420.7</v>
      </c>
      <c r="C997" s="24">
        <f t="shared" si="15"/>
        <v>6.3871014042054782E-3</v>
      </c>
    </row>
    <row r="998" spans="1:3" ht="14.25" customHeight="1" x14ac:dyDescent="0.3">
      <c r="A998" s="22">
        <v>44749</v>
      </c>
      <c r="B998" s="23">
        <v>418.03</v>
      </c>
      <c r="C998" s="24">
        <f t="shared" si="15"/>
        <v>1.119980648282534E-2</v>
      </c>
    </row>
    <row r="999" spans="1:3" ht="14.25" customHeight="1" x14ac:dyDescent="0.3">
      <c r="A999" s="22">
        <v>44748</v>
      </c>
      <c r="B999" s="23">
        <v>413.4</v>
      </c>
      <c r="C999" s="24">
        <f t="shared" si="15"/>
        <v>9.4745067395975678E-3</v>
      </c>
    </row>
    <row r="1000" spans="1:3" ht="14.25" customHeight="1" x14ac:dyDescent="0.3">
      <c r="A1000" s="22">
        <v>44747</v>
      </c>
      <c r="B1000" s="23">
        <v>409.52</v>
      </c>
      <c r="C1000" s="24">
        <f t="shared" si="15"/>
        <v>1.5652514185090646E-3</v>
      </c>
    </row>
    <row r="1001" spans="1:3" ht="14.25" customHeight="1" x14ac:dyDescent="0.3">
      <c r="A1001" s="22">
        <v>44746</v>
      </c>
      <c r="B1001" s="23">
        <v>408.88</v>
      </c>
      <c r="C1001" s="24">
        <f t="shared" si="15"/>
        <v>8.7831836573571565E-3</v>
      </c>
    </row>
    <row r="1002" spans="1:3" ht="14.25" customHeight="1" x14ac:dyDescent="0.3">
      <c r="A1002" s="22">
        <v>44743</v>
      </c>
      <c r="B1002" s="23">
        <v>405.32</v>
      </c>
      <c r="C1002" s="24">
        <f t="shared" si="15"/>
        <v>2.9445970356073484E-3</v>
      </c>
    </row>
    <row r="1003" spans="1:3" ht="14.25" customHeight="1" x14ac:dyDescent="0.3">
      <c r="A1003" s="22">
        <v>44742</v>
      </c>
      <c r="B1003" s="23">
        <v>404.13</v>
      </c>
      <c r="C1003" s="24">
        <f t="shared" si="15"/>
        <v>-1.9510026671935702E-3</v>
      </c>
    </row>
    <row r="1004" spans="1:3" ht="14.25" customHeight="1" x14ac:dyDescent="0.3">
      <c r="A1004" s="22">
        <v>44741</v>
      </c>
      <c r="B1004" s="23">
        <v>404.92</v>
      </c>
      <c r="C1004" s="24">
        <f t="shared" si="15"/>
        <v>-2.0947827587055865E-3</v>
      </c>
    </row>
    <row r="1005" spans="1:3" ht="14.25" customHeight="1" x14ac:dyDescent="0.3">
      <c r="A1005" s="22">
        <v>44740</v>
      </c>
      <c r="B1005" s="23">
        <v>405.77</v>
      </c>
      <c r="C1005" s="24">
        <f t="shared" si="15"/>
        <v>2.792605773032808E-3</v>
      </c>
    </row>
    <row r="1006" spans="1:3" ht="14.25" customHeight="1" x14ac:dyDescent="0.3">
      <c r="A1006" s="22">
        <v>44739</v>
      </c>
      <c r="B1006" s="23">
        <v>404.64</v>
      </c>
      <c r="C1006" s="24">
        <f t="shared" si="15"/>
        <v>1.2055424941223533E-2</v>
      </c>
    </row>
    <row r="1007" spans="1:3" ht="14.25" customHeight="1" x14ac:dyDescent="0.3">
      <c r="A1007" s="22">
        <v>44736</v>
      </c>
      <c r="B1007" s="23">
        <v>399.82</v>
      </c>
      <c r="C1007" s="24">
        <f t="shared" si="15"/>
        <v>1.1511118981961726E-2</v>
      </c>
    </row>
    <row r="1008" spans="1:3" ht="14.25" customHeight="1" x14ac:dyDescent="0.3">
      <c r="A1008" s="22">
        <v>44735</v>
      </c>
      <c r="B1008" s="23">
        <v>395.27</v>
      </c>
      <c r="C1008" s="24">
        <f t="shared" si="15"/>
        <v>1.0274760383386535E-2</v>
      </c>
    </row>
    <row r="1009" spans="1:3" ht="14.25" customHeight="1" x14ac:dyDescent="0.3">
      <c r="A1009" s="22">
        <v>44734</v>
      </c>
      <c r="B1009" s="23">
        <v>391.25</v>
      </c>
      <c r="C1009" s="24">
        <f t="shared" si="15"/>
        <v>-9.016995516830887E-3</v>
      </c>
    </row>
    <row r="1010" spans="1:3" ht="14.25" customHeight="1" x14ac:dyDescent="0.3">
      <c r="A1010" s="22">
        <v>44733</v>
      </c>
      <c r="B1010" s="23">
        <v>394.81</v>
      </c>
      <c r="C1010" s="24">
        <f t="shared" si="15"/>
        <v>2.0128158751485766E-2</v>
      </c>
    </row>
    <row r="1011" spans="1:3" ht="14.25" customHeight="1" x14ac:dyDescent="0.3">
      <c r="A1011" s="22">
        <v>44732</v>
      </c>
      <c r="B1011" s="23">
        <v>387.02</v>
      </c>
      <c r="C1011" s="24">
        <f t="shared" si="15"/>
        <v>-5.7545085546935448E-3</v>
      </c>
    </row>
    <row r="1012" spans="1:3" ht="14.25" customHeight="1" x14ac:dyDescent="0.3">
      <c r="A1012" s="22">
        <v>44729</v>
      </c>
      <c r="B1012" s="23">
        <v>389.26</v>
      </c>
      <c r="C1012" s="24">
        <f t="shared" si="15"/>
        <v>-6.2546271476347009E-3</v>
      </c>
    </row>
    <row r="1013" spans="1:3" ht="14.25" customHeight="1" x14ac:dyDescent="0.3">
      <c r="A1013" s="22">
        <v>44728</v>
      </c>
      <c r="B1013" s="23">
        <v>391.71</v>
      </c>
      <c r="C1013" s="24">
        <f t="shared" si="15"/>
        <v>-1.9352092930102188E-2</v>
      </c>
    </row>
    <row r="1014" spans="1:3" ht="14.25" customHeight="1" x14ac:dyDescent="0.3">
      <c r="A1014" s="22">
        <v>44727</v>
      </c>
      <c r="B1014" s="23">
        <v>399.44</v>
      </c>
      <c r="C1014" s="24">
        <f t="shared" si="15"/>
        <v>-2.5028783100571338E-4</v>
      </c>
    </row>
    <row r="1015" spans="1:3" ht="14.25" customHeight="1" x14ac:dyDescent="0.3">
      <c r="A1015" s="22">
        <v>44726</v>
      </c>
      <c r="B1015" s="23">
        <v>399.54</v>
      </c>
      <c r="C1015" s="24">
        <f t="shared" si="15"/>
        <v>-8.5025507652289431E-4</v>
      </c>
    </row>
    <row r="1016" spans="1:3" ht="14.25" customHeight="1" x14ac:dyDescent="0.3">
      <c r="A1016" s="22">
        <v>44725</v>
      </c>
      <c r="B1016" s="23">
        <v>399.88</v>
      </c>
      <c r="C1016" s="24">
        <f t="shared" si="15"/>
        <v>-2.3492063492063502E-2</v>
      </c>
    </row>
    <row r="1017" spans="1:3" ht="14.25" customHeight="1" x14ac:dyDescent="0.3">
      <c r="A1017" s="22">
        <v>44722</v>
      </c>
      <c r="B1017" s="23">
        <v>409.5</v>
      </c>
      <c r="C1017" s="24">
        <f t="shared" si="15"/>
        <v>-9.841139347631582E-3</v>
      </c>
    </row>
    <row r="1018" spans="1:3" ht="14.25" customHeight="1" x14ac:dyDescent="0.3">
      <c r="A1018" s="22">
        <v>44721</v>
      </c>
      <c r="B1018" s="23">
        <v>413.57</v>
      </c>
      <c r="C1018" s="24">
        <f t="shared" si="15"/>
        <v>4.9571112677083582E-3</v>
      </c>
    </row>
    <row r="1019" spans="1:3" ht="14.25" customHeight="1" x14ac:dyDescent="0.3">
      <c r="A1019" s="22">
        <v>44720</v>
      </c>
      <c r="B1019" s="23">
        <v>411.53</v>
      </c>
      <c r="C1019" s="24">
        <f t="shared" si="15"/>
        <v>-2.9150977772380557E-4</v>
      </c>
    </row>
    <row r="1020" spans="1:3" ht="14.25" customHeight="1" x14ac:dyDescent="0.3">
      <c r="A1020" s="22">
        <v>44719</v>
      </c>
      <c r="B1020" s="23">
        <v>411.65</v>
      </c>
      <c r="C1020" s="24">
        <f t="shared" si="15"/>
        <v>-6.2284238225141604E-3</v>
      </c>
    </row>
    <row r="1021" spans="1:3" ht="14.25" customHeight="1" x14ac:dyDescent="0.3">
      <c r="A1021" s="22">
        <v>44718</v>
      </c>
      <c r="B1021" s="23">
        <v>414.23</v>
      </c>
      <c r="C1021" s="24">
        <f t="shared" si="15"/>
        <v>-5.283000744422805E-3</v>
      </c>
    </row>
    <row r="1022" spans="1:3" ht="14.25" customHeight="1" x14ac:dyDescent="0.3">
      <c r="A1022" s="22">
        <v>44715</v>
      </c>
      <c r="B1022" s="23">
        <v>416.43</v>
      </c>
      <c r="C1022" s="24">
        <f t="shared" si="15"/>
        <v>-8.9719181342217558E-3</v>
      </c>
    </row>
    <row r="1023" spans="1:3" ht="14.25" customHeight="1" x14ac:dyDescent="0.3">
      <c r="A1023" s="22">
        <v>44714</v>
      </c>
      <c r="B1023" s="23">
        <v>420.2</v>
      </c>
      <c r="C1023" s="24">
        <f t="shared" si="15"/>
        <v>5.3593645324911694E-3</v>
      </c>
    </row>
    <row r="1024" spans="1:3" ht="14.25" customHeight="1" x14ac:dyDescent="0.3">
      <c r="A1024" s="22">
        <v>44713</v>
      </c>
      <c r="B1024" s="23">
        <v>417.96</v>
      </c>
      <c r="C1024" s="24">
        <f t="shared" si="15"/>
        <v>-2.1528525296024838E-4</v>
      </c>
    </row>
    <row r="1025" spans="1:3" ht="14.25" customHeight="1" x14ac:dyDescent="0.3">
      <c r="A1025" s="22">
        <v>44712</v>
      </c>
      <c r="B1025" s="23">
        <v>418.05</v>
      </c>
      <c r="C1025" s="24">
        <f t="shared" si="15"/>
        <v>1.581254941421752E-3</v>
      </c>
    </row>
    <row r="1026" spans="1:3" ht="14.25" customHeight="1" x14ac:dyDescent="0.3">
      <c r="A1026" s="22">
        <v>44711</v>
      </c>
      <c r="B1026" s="23">
        <v>417.39</v>
      </c>
      <c r="C1026" s="24">
        <f t="shared" ref="C1026:C1089" si="16">(B1026-B1027)/B1027</f>
        <v>2.0338817317329536E-2</v>
      </c>
    </row>
    <row r="1027" spans="1:3" ht="14.25" customHeight="1" x14ac:dyDescent="0.3">
      <c r="A1027" s="22">
        <v>44708</v>
      </c>
      <c r="B1027" s="23">
        <v>409.07</v>
      </c>
      <c r="C1027" s="24">
        <f t="shared" si="16"/>
        <v>8.5800931975640871E-3</v>
      </c>
    </row>
    <row r="1028" spans="1:3" ht="14.25" customHeight="1" x14ac:dyDescent="0.3">
      <c r="A1028" s="22">
        <v>44707</v>
      </c>
      <c r="B1028" s="23">
        <v>405.59</v>
      </c>
      <c r="C1028" s="24">
        <f t="shared" si="16"/>
        <v>1.1395940352102124E-2</v>
      </c>
    </row>
    <row r="1029" spans="1:3" ht="14.25" customHeight="1" x14ac:dyDescent="0.3">
      <c r="A1029" s="22">
        <v>44706</v>
      </c>
      <c r="B1029" s="23">
        <v>401.02</v>
      </c>
      <c r="C1029" s="24">
        <f t="shared" si="16"/>
        <v>-1.1389409328468604E-2</v>
      </c>
    </row>
    <row r="1030" spans="1:3" ht="14.25" customHeight="1" x14ac:dyDescent="0.3">
      <c r="A1030" s="22">
        <v>44705</v>
      </c>
      <c r="B1030" s="23">
        <v>405.64</v>
      </c>
      <c r="C1030" s="24">
        <f t="shared" si="16"/>
        <v>-7.0255318107267989E-3</v>
      </c>
    </row>
    <row r="1031" spans="1:3" ht="14.25" customHeight="1" x14ac:dyDescent="0.3">
      <c r="A1031" s="22">
        <v>44704</v>
      </c>
      <c r="B1031" s="23">
        <v>408.51</v>
      </c>
      <c r="C1031" s="24">
        <f t="shared" si="16"/>
        <v>-2.3201289503247905E-3</v>
      </c>
    </row>
    <row r="1032" spans="1:3" ht="14.25" customHeight="1" x14ac:dyDescent="0.3">
      <c r="A1032" s="22">
        <v>44701</v>
      </c>
      <c r="B1032" s="23">
        <v>409.46</v>
      </c>
      <c r="C1032" s="24">
        <f t="shared" si="16"/>
        <v>2.1250062353469303E-2</v>
      </c>
    </row>
    <row r="1033" spans="1:3" ht="14.25" customHeight="1" x14ac:dyDescent="0.3">
      <c r="A1033" s="22">
        <v>44700</v>
      </c>
      <c r="B1033" s="23">
        <v>400.94</v>
      </c>
      <c r="C1033" s="24">
        <f t="shared" si="16"/>
        <v>-2.2788759170342981E-2</v>
      </c>
    </row>
    <row r="1034" spans="1:3" ht="14.25" customHeight="1" x14ac:dyDescent="0.3">
      <c r="A1034" s="22">
        <v>44699</v>
      </c>
      <c r="B1034" s="23">
        <v>410.29</v>
      </c>
      <c r="C1034" s="24">
        <f t="shared" si="16"/>
        <v>-2.7223451058554834E-3</v>
      </c>
    </row>
    <row r="1035" spans="1:3" ht="14.25" customHeight="1" x14ac:dyDescent="0.3">
      <c r="A1035" s="22">
        <v>44698</v>
      </c>
      <c r="B1035" s="23">
        <v>411.41</v>
      </c>
      <c r="C1035" s="24">
        <f t="shared" si="16"/>
        <v>2.3382502922812951E-2</v>
      </c>
    </row>
    <row r="1036" spans="1:3" ht="14.25" customHeight="1" x14ac:dyDescent="0.3">
      <c r="A1036" s="22">
        <v>44697</v>
      </c>
      <c r="B1036" s="23">
        <v>402.01</v>
      </c>
      <c r="C1036" s="24">
        <f t="shared" si="16"/>
        <v>1.2517630465444213E-2</v>
      </c>
    </row>
    <row r="1037" spans="1:3" ht="14.25" customHeight="1" x14ac:dyDescent="0.3">
      <c r="A1037" s="22">
        <v>44694</v>
      </c>
      <c r="B1037" s="23">
        <v>397.04</v>
      </c>
      <c r="C1037" s="24">
        <f t="shared" si="16"/>
        <v>2.5187013575920584E-5</v>
      </c>
    </row>
    <row r="1038" spans="1:3" ht="14.25" customHeight="1" x14ac:dyDescent="0.3">
      <c r="A1038" s="22">
        <v>44693</v>
      </c>
      <c r="B1038" s="23">
        <v>397.03</v>
      </c>
      <c r="C1038" s="24">
        <f t="shared" si="16"/>
        <v>-1.8928068398033123E-2</v>
      </c>
    </row>
    <row r="1039" spans="1:3" ht="14.25" customHeight="1" x14ac:dyDescent="0.3">
      <c r="A1039" s="22">
        <v>44692</v>
      </c>
      <c r="B1039" s="23">
        <v>404.69</v>
      </c>
      <c r="C1039" s="24">
        <f t="shared" si="16"/>
        <v>-8.89008620689654E-3</v>
      </c>
    </row>
    <row r="1040" spans="1:3" ht="14.25" customHeight="1" x14ac:dyDescent="0.3">
      <c r="A1040" s="22">
        <v>44691</v>
      </c>
      <c r="B1040" s="23">
        <v>408.32</v>
      </c>
      <c r="C1040" s="24">
        <f t="shared" si="16"/>
        <v>-1.142746465233398E-2</v>
      </c>
    </row>
    <row r="1041" spans="1:3" ht="14.25" customHeight="1" x14ac:dyDescent="0.3">
      <c r="A1041" s="22">
        <v>44690</v>
      </c>
      <c r="B1041" s="23">
        <v>413.04</v>
      </c>
      <c r="C1041" s="24">
        <f t="shared" si="16"/>
        <v>-9.5914061001342796E-3</v>
      </c>
    </row>
    <row r="1042" spans="1:3" ht="14.25" customHeight="1" x14ac:dyDescent="0.3">
      <c r="A1042" s="22">
        <v>44687</v>
      </c>
      <c r="B1042" s="23">
        <v>417.04</v>
      </c>
      <c r="C1042" s="24">
        <f t="shared" si="16"/>
        <v>-1.9928557999623901E-2</v>
      </c>
    </row>
    <row r="1043" spans="1:3" ht="14.25" customHeight="1" x14ac:dyDescent="0.3">
      <c r="A1043" s="22">
        <v>44686</v>
      </c>
      <c r="B1043" s="23">
        <v>425.52</v>
      </c>
      <c r="C1043" s="24">
        <f t="shared" si="16"/>
        <v>1.0586491636671339E-3</v>
      </c>
    </row>
    <row r="1044" spans="1:3" ht="14.25" customHeight="1" x14ac:dyDescent="0.3">
      <c r="A1044" s="22">
        <v>44685</v>
      </c>
      <c r="B1044" s="23">
        <v>425.07</v>
      </c>
      <c r="C1044" s="24">
        <f t="shared" si="16"/>
        <v>-2.1342726895980067E-2</v>
      </c>
    </row>
    <row r="1045" spans="1:3" ht="14.25" customHeight="1" x14ac:dyDescent="0.3">
      <c r="A1045" s="22">
        <v>44683</v>
      </c>
      <c r="B1045" s="23">
        <v>434.34</v>
      </c>
      <c r="C1045" s="24">
        <f t="shared" si="16"/>
        <v>-7.9711303473951282E-3</v>
      </c>
    </row>
    <row r="1046" spans="1:3" ht="14.25" customHeight="1" x14ac:dyDescent="0.3">
      <c r="A1046" s="22">
        <v>44680</v>
      </c>
      <c r="B1046" s="23">
        <v>437.83</v>
      </c>
      <c r="C1046" s="24">
        <f t="shared" si="16"/>
        <v>-8.1777818050018432E-3</v>
      </c>
    </row>
    <row r="1047" spans="1:3" ht="14.25" customHeight="1" x14ac:dyDescent="0.3">
      <c r="A1047" s="22">
        <v>44679</v>
      </c>
      <c r="B1047" s="23">
        <v>441.44</v>
      </c>
      <c r="C1047" s="24">
        <f t="shared" si="16"/>
        <v>1.2360967778924403E-2</v>
      </c>
    </row>
    <row r="1048" spans="1:3" ht="14.25" customHeight="1" x14ac:dyDescent="0.3">
      <c r="A1048" s="22">
        <v>44678</v>
      </c>
      <c r="B1048" s="23">
        <v>436.05</v>
      </c>
      <c r="C1048" s="24">
        <f t="shared" si="16"/>
        <v>-7.013868330562667E-3</v>
      </c>
    </row>
    <row r="1049" spans="1:3" ht="14.25" customHeight="1" x14ac:dyDescent="0.3">
      <c r="A1049" s="22">
        <v>44677</v>
      </c>
      <c r="B1049" s="23">
        <v>439.13</v>
      </c>
      <c r="C1049" s="24">
        <f t="shared" si="16"/>
        <v>1.2940579442701638E-2</v>
      </c>
    </row>
    <row r="1050" spans="1:3" ht="14.25" customHeight="1" x14ac:dyDescent="0.3">
      <c r="A1050" s="22">
        <v>44676</v>
      </c>
      <c r="B1050" s="23">
        <v>433.52</v>
      </c>
      <c r="C1050" s="24">
        <f t="shared" si="16"/>
        <v>-1.3134831204898901E-2</v>
      </c>
    </row>
    <row r="1051" spans="1:3" ht="14.25" customHeight="1" x14ac:dyDescent="0.3">
      <c r="A1051" s="22">
        <v>44673</v>
      </c>
      <c r="B1051" s="23">
        <v>439.29</v>
      </c>
      <c r="C1051" s="24">
        <f t="shared" si="16"/>
        <v>-5.0958010599266206E-3</v>
      </c>
    </row>
    <row r="1052" spans="1:3" ht="14.25" customHeight="1" x14ac:dyDescent="0.3">
      <c r="A1052" s="22">
        <v>44672</v>
      </c>
      <c r="B1052" s="23">
        <v>441.54</v>
      </c>
      <c r="C1052" s="24">
        <f t="shared" si="16"/>
        <v>1.0042319569941767E-2</v>
      </c>
    </row>
    <row r="1053" spans="1:3" ht="14.25" customHeight="1" x14ac:dyDescent="0.3">
      <c r="A1053" s="22">
        <v>44671</v>
      </c>
      <c r="B1053" s="23">
        <v>437.15</v>
      </c>
      <c r="C1053" s="24">
        <f t="shared" si="16"/>
        <v>4.0884764682912753E-3</v>
      </c>
    </row>
    <row r="1054" spans="1:3" ht="14.25" customHeight="1" x14ac:dyDescent="0.3">
      <c r="A1054" s="22">
        <v>44670</v>
      </c>
      <c r="B1054" s="23">
        <v>435.37</v>
      </c>
      <c r="C1054" s="24">
        <f t="shared" si="16"/>
        <v>-1.2071978034445967E-2</v>
      </c>
    </row>
    <row r="1055" spans="1:3" ht="14.25" customHeight="1" x14ac:dyDescent="0.3">
      <c r="A1055" s="22">
        <v>44669</v>
      </c>
      <c r="B1055" s="23">
        <v>440.69</v>
      </c>
      <c r="C1055" s="24">
        <f t="shared" si="16"/>
        <v>-1.7106789187260274E-2</v>
      </c>
    </row>
    <row r="1056" spans="1:3" ht="14.25" customHeight="1" x14ac:dyDescent="0.3">
      <c r="A1056" s="22">
        <v>44664</v>
      </c>
      <c r="B1056" s="23">
        <v>448.36</v>
      </c>
      <c r="C1056" s="24">
        <f t="shared" si="16"/>
        <v>4.4609002096709314E-5</v>
      </c>
    </row>
    <row r="1057" spans="1:3" ht="14.25" customHeight="1" x14ac:dyDescent="0.3">
      <c r="A1057" s="22">
        <v>44663</v>
      </c>
      <c r="B1057" s="23">
        <v>448.34</v>
      </c>
      <c r="C1057" s="24">
        <f t="shared" si="16"/>
        <v>-1.0745570486088138E-2</v>
      </c>
    </row>
    <row r="1058" spans="1:3" ht="14.25" customHeight="1" x14ac:dyDescent="0.3">
      <c r="A1058" s="22">
        <v>44662</v>
      </c>
      <c r="B1058" s="23">
        <v>453.21</v>
      </c>
      <c r="C1058" s="24">
        <f t="shared" si="16"/>
        <v>-2.6407869545125445E-3</v>
      </c>
    </row>
    <row r="1059" spans="1:3" ht="14.25" customHeight="1" x14ac:dyDescent="0.3">
      <c r="A1059" s="22">
        <v>44659</v>
      </c>
      <c r="B1059" s="23">
        <v>454.41</v>
      </c>
      <c r="C1059" s="24">
        <f t="shared" si="16"/>
        <v>8.8136044756238954E-3</v>
      </c>
    </row>
    <row r="1060" spans="1:3" ht="14.25" customHeight="1" x14ac:dyDescent="0.3">
      <c r="A1060" s="22">
        <v>44658</v>
      </c>
      <c r="B1060" s="23">
        <v>450.44</v>
      </c>
      <c r="C1060" s="24">
        <f t="shared" si="16"/>
        <v>-3.6056362952639979E-3</v>
      </c>
    </row>
    <row r="1061" spans="1:3" ht="14.25" customHeight="1" x14ac:dyDescent="0.3">
      <c r="A1061" s="22">
        <v>44657</v>
      </c>
      <c r="B1061" s="23">
        <v>452.07</v>
      </c>
      <c r="C1061" s="24">
        <f t="shared" si="16"/>
        <v>-2.6537517415246809E-4</v>
      </c>
    </row>
    <row r="1062" spans="1:3" ht="14.25" customHeight="1" x14ac:dyDescent="0.3">
      <c r="A1062" s="22">
        <v>44656</v>
      </c>
      <c r="B1062" s="23">
        <v>452.19</v>
      </c>
      <c r="C1062" s="24">
        <f t="shared" si="16"/>
        <v>3.5731723556305509E-3</v>
      </c>
    </row>
    <row r="1063" spans="1:3" ht="14.25" customHeight="1" x14ac:dyDescent="0.3">
      <c r="A1063" s="22">
        <v>44655</v>
      </c>
      <c r="B1063" s="23">
        <v>450.58</v>
      </c>
      <c r="C1063" s="24">
        <f t="shared" si="16"/>
        <v>1.4454250720461002E-2</v>
      </c>
    </row>
    <row r="1064" spans="1:3" ht="14.25" customHeight="1" x14ac:dyDescent="0.3">
      <c r="A1064" s="22">
        <v>44652</v>
      </c>
      <c r="B1064" s="23">
        <v>444.16</v>
      </c>
      <c r="C1064" s="24">
        <f t="shared" si="16"/>
        <v>8.6751146841078496E-3</v>
      </c>
    </row>
    <row r="1065" spans="1:3" ht="14.25" customHeight="1" x14ac:dyDescent="0.3">
      <c r="A1065" s="22">
        <v>44651</v>
      </c>
      <c r="B1065" s="23">
        <v>440.34</v>
      </c>
      <c r="C1065" s="24">
        <f t="shared" si="16"/>
        <v>4.6772684752103728E-3</v>
      </c>
    </row>
    <row r="1066" spans="1:3" ht="14.25" customHeight="1" x14ac:dyDescent="0.3">
      <c r="A1066" s="22">
        <v>44650</v>
      </c>
      <c r="B1066" s="23">
        <v>438.29</v>
      </c>
      <c r="C1066" s="24">
        <f t="shared" si="16"/>
        <v>7.609545266449037E-3</v>
      </c>
    </row>
    <row r="1067" spans="1:3" ht="14.25" customHeight="1" x14ac:dyDescent="0.3">
      <c r="A1067" s="22">
        <v>44649</v>
      </c>
      <c r="B1067" s="23">
        <v>434.98</v>
      </c>
      <c r="C1067" s="24">
        <f t="shared" si="16"/>
        <v>9.6794410529003876E-3</v>
      </c>
    </row>
    <row r="1068" spans="1:3" ht="14.25" customHeight="1" x14ac:dyDescent="0.3">
      <c r="A1068" s="22">
        <v>44648</v>
      </c>
      <c r="B1068" s="23">
        <v>430.81</v>
      </c>
      <c r="C1068" s="24">
        <f t="shared" si="16"/>
        <v>3.0967681847815592E-3</v>
      </c>
    </row>
    <row r="1069" spans="1:3" ht="14.25" customHeight="1" x14ac:dyDescent="0.3">
      <c r="A1069" s="22">
        <v>44645</v>
      </c>
      <c r="B1069" s="23">
        <v>429.48</v>
      </c>
      <c r="C1069" s="24">
        <f t="shared" si="16"/>
        <v>-3.2260310534499648E-3</v>
      </c>
    </row>
    <row r="1070" spans="1:3" ht="14.25" customHeight="1" x14ac:dyDescent="0.3">
      <c r="A1070" s="22">
        <v>44644</v>
      </c>
      <c r="B1070" s="23">
        <v>430.87</v>
      </c>
      <c r="C1070" s="24">
        <f t="shared" si="16"/>
        <v>-8.5799090993415395E-4</v>
      </c>
    </row>
    <row r="1071" spans="1:3" ht="14.25" customHeight="1" x14ac:dyDescent="0.3">
      <c r="A1071" s="22">
        <v>44643</v>
      </c>
      <c r="B1071" s="23">
        <v>431.24</v>
      </c>
      <c r="C1071" s="24">
        <f t="shared" si="16"/>
        <v>1.0910694802331344E-3</v>
      </c>
    </row>
    <row r="1072" spans="1:3" ht="14.25" customHeight="1" x14ac:dyDescent="0.3">
      <c r="A1072" s="22">
        <v>44642</v>
      </c>
      <c r="B1072" s="23">
        <v>430.77</v>
      </c>
      <c r="C1072" s="24">
        <f t="shared" si="16"/>
        <v>5.76698575764644E-3</v>
      </c>
    </row>
    <row r="1073" spans="1:3" ht="14.25" customHeight="1" x14ac:dyDescent="0.3">
      <c r="A1073" s="22">
        <v>44641</v>
      </c>
      <c r="B1073" s="23">
        <v>428.3</v>
      </c>
      <c r="C1073" s="24">
        <f t="shared" si="16"/>
        <v>-8.1056044465030105E-3</v>
      </c>
    </row>
    <row r="1074" spans="1:3" ht="14.25" customHeight="1" x14ac:dyDescent="0.3">
      <c r="A1074" s="22">
        <v>44637</v>
      </c>
      <c r="B1074" s="23">
        <v>431.8</v>
      </c>
      <c r="C1074" s="24">
        <f t="shared" si="16"/>
        <v>1.3044294294294299E-2</v>
      </c>
    </row>
    <row r="1075" spans="1:3" ht="14.25" customHeight="1" x14ac:dyDescent="0.3">
      <c r="A1075" s="22">
        <v>44636</v>
      </c>
      <c r="B1075" s="23">
        <v>426.24</v>
      </c>
      <c r="C1075" s="24">
        <f t="shared" si="16"/>
        <v>1.7886567164179128E-2</v>
      </c>
    </row>
    <row r="1076" spans="1:3" ht="14.25" customHeight="1" x14ac:dyDescent="0.3">
      <c r="A1076" s="22">
        <v>44635</v>
      </c>
      <c r="B1076" s="23">
        <v>418.75</v>
      </c>
      <c r="C1076" s="24">
        <f t="shared" si="16"/>
        <v>-6.4536028661589841E-3</v>
      </c>
    </row>
    <row r="1077" spans="1:3" ht="14.25" customHeight="1" x14ac:dyDescent="0.3">
      <c r="A1077" s="22">
        <v>44634</v>
      </c>
      <c r="B1077" s="23">
        <v>421.47</v>
      </c>
      <c r="C1077" s="24">
        <f t="shared" si="16"/>
        <v>7.265253447410607E-3</v>
      </c>
    </row>
    <row r="1078" spans="1:3" ht="14.25" customHeight="1" x14ac:dyDescent="0.3">
      <c r="A1078" s="22">
        <v>44631</v>
      </c>
      <c r="B1078" s="23">
        <v>418.43</v>
      </c>
      <c r="C1078" s="24">
        <f t="shared" si="16"/>
        <v>4.995796805572196E-3</v>
      </c>
    </row>
    <row r="1079" spans="1:3" ht="14.25" customHeight="1" x14ac:dyDescent="0.3">
      <c r="A1079" s="22">
        <v>44630</v>
      </c>
      <c r="B1079" s="23">
        <v>416.35</v>
      </c>
      <c r="C1079" s="24">
        <f t="shared" si="16"/>
        <v>1.2745980394541629E-2</v>
      </c>
    </row>
    <row r="1080" spans="1:3" ht="14.25" customHeight="1" x14ac:dyDescent="0.3">
      <c r="A1080" s="22">
        <v>44629</v>
      </c>
      <c r="B1080" s="23">
        <v>411.11</v>
      </c>
      <c r="C1080" s="24">
        <f t="shared" si="16"/>
        <v>1.3759771163662469E-2</v>
      </c>
    </row>
    <row r="1081" spans="1:3" ht="14.25" customHeight="1" x14ac:dyDescent="0.3">
      <c r="A1081" s="22">
        <v>44628</v>
      </c>
      <c r="B1081" s="23">
        <v>405.53</v>
      </c>
      <c r="C1081" s="24">
        <f t="shared" si="16"/>
        <v>1.1019421106429556E-2</v>
      </c>
    </row>
    <row r="1082" spans="1:3" ht="14.25" customHeight="1" x14ac:dyDescent="0.3">
      <c r="A1082" s="22">
        <v>44627</v>
      </c>
      <c r="B1082" s="23">
        <v>401.11</v>
      </c>
      <c r="C1082" s="24">
        <f t="shared" si="16"/>
        <v>-2.2493541940829462E-2</v>
      </c>
    </row>
    <row r="1083" spans="1:3" ht="14.25" customHeight="1" x14ac:dyDescent="0.3">
      <c r="A1083" s="22">
        <v>44624</v>
      </c>
      <c r="B1083" s="23">
        <v>410.34</v>
      </c>
      <c r="C1083" s="24">
        <f t="shared" si="16"/>
        <v>-1.6678648454349475E-2</v>
      </c>
    </row>
    <row r="1084" spans="1:3" ht="14.25" customHeight="1" x14ac:dyDescent="0.3">
      <c r="A1084" s="22">
        <v>44623</v>
      </c>
      <c r="B1084" s="23">
        <v>417.3</v>
      </c>
      <c r="C1084" s="24">
        <f t="shared" si="16"/>
        <v>-6.4049144027238684E-3</v>
      </c>
    </row>
    <row r="1085" spans="1:3" ht="14.25" customHeight="1" x14ac:dyDescent="0.3">
      <c r="A1085" s="22">
        <v>44622</v>
      </c>
      <c r="B1085" s="23">
        <v>419.99</v>
      </c>
      <c r="C1085" s="24">
        <f t="shared" si="16"/>
        <v>-9.2706170975655946E-3</v>
      </c>
    </row>
    <row r="1086" spans="1:3" ht="14.25" customHeight="1" x14ac:dyDescent="0.3">
      <c r="A1086" s="22">
        <v>44620</v>
      </c>
      <c r="B1086" s="23">
        <v>423.92</v>
      </c>
      <c r="C1086" s="24">
        <f t="shared" si="16"/>
        <v>7.4623318598793752E-3</v>
      </c>
    </row>
    <row r="1087" spans="1:3" ht="14.25" customHeight="1" x14ac:dyDescent="0.3">
      <c r="A1087" s="22">
        <v>44617</v>
      </c>
      <c r="B1087" s="23">
        <v>420.78</v>
      </c>
      <c r="C1087" s="24">
        <f t="shared" si="16"/>
        <v>3.0767723286463045E-2</v>
      </c>
    </row>
    <row r="1088" spans="1:3" ht="14.25" customHeight="1" x14ac:dyDescent="0.3">
      <c r="A1088" s="22">
        <v>44616</v>
      </c>
      <c r="B1088" s="23">
        <v>408.22</v>
      </c>
      <c r="C1088" s="24">
        <f t="shared" si="16"/>
        <v>-4.440647018890885E-2</v>
      </c>
    </row>
    <row r="1089" spans="1:3" ht="14.25" customHeight="1" x14ac:dyDescent="0.3">
      <c r="A1089" s="22">
        <v>44615</v>
      </c>
      <c r="B1089" s="23">
        <v>427.19</v>
      </c>
      <c r="C1089" s="24">
        <f t="shared" si="16"/>
        <v>-3.5100856460892329E-4</v>
      </c>
    </row>
    <row r="1090" spans="1:3" ht="14.25" customHeight="1" x14ac:dyDescent="0.3">
      <c r="A1090" s="22">
        <v>44614</v>
      </c>
      <c r="B1090" s="23">
        <v>427.34</v>
      </c>
      <c r="C1090" s="24">
        <f t="shared" ref="C1090:C1153" si="17">(B1090-B1091)/B1091</f>
        <v>-9.503059521602129E-3</v>
      </c>
    </row>
    <row r="1091" spans="1:3" ht="14.25" customHeight="1" x14ac:dyDescent="0.3">
      <c r="A1091" s="22">
        <v>44613</v>
      </c>
      <c r="B1091" s="23">
        <v>431.44</v>
      </c>
      <c r="C1091" s="24">
        <f t="shared" si="17"/>
        <v>-6.6310554429913323E-3</v>
      </c>
    </row>
    <row r="1092" spans="1:3" ht="14.25" customHeight="1" x14ac:dyDescent="0.3">
      <c r="A1092" s="22">
        <v>44610</v>
      </c>
      <c r="B1092" s="23">
        <v>434.32</v>
      </c>
      <c r="C1092" s="24">
        <f t="shared" si="17"/>
        <v>-4.5153452978524081E-3</v>
      </c>
    </row>
    <row r="1093" spans="1:3" ht="14.25" customHeight="1" x14ac:dyDescent="0.3">
      <c r="A1093" s="22">
        <v>44609</v>
      </c>
      <c r="B1093" s="23">
        <v>436.29</v>
      </c>
      <c r="C1093" s="24">
        <f t="shared" si="17"/>
        <v>-4.9945265462506784E-3</v>
      </c>
    </row>
    <row r="1094" spans="1:3" ht="14.25" customHeight="1" x14ac:dyDescent="0.3">
      <c r="A1094" s="22">
        <v>44608</v>
      </c>
      <c r="B1094" s="23">
        <v>438.48</v>
      </c>
      <c r="C1094" s="24">
        <f t="shared" si="17"/>
        <v>-2.5023886437052778E-3</v>
      </c>
    </row>
    <row r="1095" spans="1:3" ht="14.25" customHeight="1" x14ac:dyDescent="0.3">
      <c r="A1095" s="22">
        <v>44607</v>
      </c>
      <c r="B1095" s="23">
        <v>439.58</v>
      </c>
      <c r="C1095" s="24">
        <f t="shared" si="17"/>
        <v>2.3707498835584553E-2</v>
      </c>
    </row>
    <row r="1096" spans="1:3" ht="14.25" customHeight="1" x14ac:dyDescent="0.3">
      <c r="A1096" s="22">
        <v>44606</v>
      </c>
      <c r="B1096" s="23">
        <v>429.4</v>
      </c>
      <c r="C1096" s="24">
        <f t="shared" si="17"/>
        <v>-3.1945352481006418E-2</v>
      </c>
    </row>
    <row r="1097" spans="1:3" ht="14.25" customHeight="1" x14ac:dyDescent="0.3">
      <c r="A1097" s="22">
        <v>44603</v>
      </c>
      <c r="B1097" s="23">
        <v>443.57</v>
      </c>
      <c r="C1097" s="24">
        <f t="shared" si="17"/>
        <v>-1.7650706471187553E-2</v>
      </c>
    </row>
    <row r="1098" spans="1:3" ht="14.25" customHeight="1" x14ac:dyDescent="0.3">
      <c r="A1098" s="22">
        <v>44602</v>
      </c>
      <c r="B1098" s="23">
        <v>451.54</v>
      </c>
      <c r="C1098" s="24">
        <f t="shared" si="17"/>
        <v>8.8250407739226648E-3</v>
      </c>
    </row>
    <row r="1099" spans="1:3" ht="14.25" customHeight="1" x14ac:dyDescent="0.3">
      <c r="A1099" s="22">
        <v>44601</v>
      </c>
      <c r="B1099" s="23">
        <v>447.59</v>
      </c>
      <c r="C1099" s="24">
        <f t="shared" si="17"/>
        <v>8.8126577713666786E-3</v>
      </c>
    </row>
    <row r="1100" spans="1:3" ht="14.25" customHeight="1" x14ac:dyDescent="0.3">
      <c r="A1100" s="22">
        <v>44600</v>
      </c>
      <c r="B1100" s="23">
        <v>443.68</v>
      </c>
      <c r="C1100" s="24">
        <f t="shared" si="17"/>
        <v>-3.5261089275687662E-3</v>
      </c>
    </row>
    <row r="1101" spans="1:3" ht="14.25" customHeight="1" x14ac:dyDescent="0.3">
      <c r="A1101" s="22">
        <v>44599</v>
      </c>
      <c r="B1101" s="23">
        <v>445.25</v>
      </c>
      <c r="C1101" s="24">
        <f t="shared" si="17"/>
        <v>-1.0643498355701761E-2</v>
      </c>
    </row>
    <row r="1102" spans="1:3" ht="14.25" customHeight="1" x14ac:dyDescent="0.3">
      <c r="A1102" s="22">
        <v>44596</v>
      </c>
      <c r="B1102" s="23">
        <v>450.04</v>
      </c>
      <c r="C1102" s="24">
        <f t="shared" si="17"/>
        <v>-4.1600283235970863E-3</v>
      </c>
    </row>
    <row r="1103" spans="1:3" ht="14.25" customHeight="1" x14ac:dyDescent="0.3">
      <c r="A1103" s="22">
        <v>44595</v>
      </c>
      <c r="B1103" s="23">
        <v>451.92</v>
      </c>
      <c r="C1103" s="24">
        <f t="shared" si="17"/>
        <v>-8.6430044311850071E-3</v>
      </c>
    </row>
    <row r="1104" spans="1:3" ht="14.25" customHeight="1" x14ac:dyDescent="0.3">
      <c r="A1104" s="22">
        <v>44594</v>
      </c>
      <c r="B1104" s="23">
        <v>455.86</v>
      </c>
      <c r="C1104" s="24">
        <f t="shared" si="17"/>
        <v>8.7630006638637677E-3</v>
      </c>
    </row>
    <row r="1105" spans="1:3" ht="14.25" customHeight="1" x14ac:dyDescent="0.3">
      <c r="A1105" s="22">
        <v>44593</v>
      </c>
      <c r="B1105" s="23">
        <v>451.9</v>
      </c>
      <c r="C1105" s="24">
        <f t="shared" si="17"/>
        <v>1.2388825413894241E-2</v>
      </c>
    </row>
    <row r="1106" spans="1:3" ht="14.25" customHeight="1" x14ac:dyDescent="0.3">
      <c r="A1106" s="22">
        <v>44592</v>
      </c>
      <c r="B1106" s="23">
        <v>446.37</v>
      </c>
      <c r="C1106" s="24">
        <f t="shared" si="17"/>
        <v>1.586253982703693E-2</v>
      </c>
    </row>
    <row r="1107" spans="1:3" ht="14.25" customHeight="1" x14ac:dyDescent="0.3">
      <c r="A1107" s="22">
        <v>44589</v>
      </c>
      <c r="B1107" s="23">
        <v>439.4</v>
      </c>
      <c r="C1107" s="24">
        <f t="shared" si="17"/>
        <v>1.5043077904908788E-3</v>
      </c>
    </row>
    <row r="1108" spans="1:3" ht="14.25" customHeight="1" x14ac:dyDescent="0.3">
      <c r="A1108" s="22">
        <v>44588</v>
      </c>
      <c r="B1108" s="23">
        <v>438.74</v>
      </c>
      <c r="C1108" s="24">
        <f t="shared" si="17"/>
        <v>-7.2632650752347087E-3</v>
      </c>
    </row>
    <row r="1109" spans="1:3" ht="14.25" customHeight="1" x14ac:dyDescent="0.3">
      <c r="A1109" s="22">
        <v>44586</v>
      </c>
      <c r="B1109" s="23">
        <v>441.95</v>
      </c>
      <c r="C1109" s="24">
        <f t="shared" si="17"/>
        <v>8.3506354240342421E-3</v>
      </c>
    </row>
    <row r="1110" spans="1:3" ht="14.25" customHeight="1" x14ac:dyDescent="0.3">
      <c r="A1110" s="22">
        <v>44585</v>
      </c>
      <c r="B1110" s="23">
        <v>438.29</v>
      </c>
      <c r="C1110" s="24">
        <f t="shared" si="17"/>
        <v>-2.5978932396995415E-2</v>
      </c>
    </row>
    <row r="1111" spans="1:3" ht="14.25" customHeight="1" x14ac:dyDescent="0.3">
      <c r="A1111" s="22">
        <v>44582</v>
      </c>
      <c r="B1111" s="23">
        <v>449.98</v>
      </c>
      <c r="C1111" s="24">
        <f t="shared" si="17"/>
        <v>-1.5856352382827024E-2</v>
      </c>
    </row>
    <row r="1112" spans="1:3" ht="14.25" customHeight="1" x14ac:dyDescent="0.3">
      <c r="A1112" s="22">
        <v>44581</v>
      </c>
      <c r="B1112" s="23">
        <v>457.23</v>
      </c>
      <c r="C1112" s="24">
        <f t="shared" si="17"/>
        <v>-5.2432338351752856E-3</v>
      </c>
    </row>
    <row r="1113" spans="1:3" ht="14.25" customHeight="1" x14ac:dyDescent="0.3">
      <c r="A1113" s="22">
        <v>44580</v>
      </c>
      <c r="B1113" s="23">
        <v>459.64</v>
      </c>
      <c r="C1113" s="24">
        <f t="shared" si="17"/>
        <v>-2.4091155724362749E-3</v>
      </c>
    </row>
    <row r="1114" spans="1:3" ht="14.25" customHeight="1" x14ac:dyDescent="0.3">
      <c r="A1114" s="22">
        <v>44579</v>
      </c>
      <c r="B1114" s="23">
        <v>460.75</v>
      </c>
      <c r="C1114" s="24">
        <f t="shared" si="17"/>
        <v>-1.2579829411512589E-2</v>
      </c>
    </row>
    <row r="1115" spans="1:3" ht="14.25" customHeight="1" x14ac:dyDescent="0.3">
      <c r="A1115" s="22">
        <v>44578</v>
      </c>
      <c r="B1115" s="23">
        <v>466.62</v>
      </c>
      <c r="C1115" s="24">
        <f t="shared" si="17"/>
        <v>1.3519603424966102E-3</v>
      </c>
    </row>
    <row r="1116" spans="1:3" ht="14.25" customHeight="1" x14ac:dyDescent="0.3">
      <c r="A1116" s="22">
        <v>44575</v>
      </c>
      <c r="B1116" s="23">
        <v>465.99</v>
      </c>
      <c r="C1116" s="24">
        <f t="shared" si="17"/>
        <v>1.4829142488716907E-3</v>
      </c>
    </row>
    <row r="1117" spans="1:3" ht="14.25" customHeight="1" x14ac:dyDescent="0.3">
      <c r="A1117" s="22">
        <v>44574</v>
      </c>
      <c r="B1117" s="23">
        <v>465.3</v>
      </c>
      <c r="C1117" s="24">
        <f t="shared" si="17"/>
        <v>1.3989023996557283E-3</v>
      </c>
    </row>
    <row r="1118" spans="1:3" ht="14.25" customHeight="1" x14ac:dyDescent="0.3">
      <c r="A1118" s="22">
        <v>44573</v>
      </c>
      <c r="B1118" s="23">
        <v>464.65</v>
      </c>
      <c r="C1118" s="24">
        <f t="shared" si="17"/>
        <v>6.040791581864555E-3</v>
      </c>
    </row>
    <row r="1119" spans="1:3" ht="14.25" customHeight="1" x14ac:dyDescent="0.3">
      <c r="A1119" s="22">
        <v>44572</v>
      </c>
      <c r="B1119" s="23">
        <v>461.86</v>
      </c>
      <c r="C1119" s="24">
        <f t="shared" si="17"/>
        <v>1.6916804025332471E-3</v>
      </c>
    </row>
    <row r="1120" spans="1:3" ht="14.25" customHeight="1" x14ac:dyDescent="0.3">
      <c r="A1120" s="22">
        <v>44571</v>
      </c>
      <c r="B1120" s="23">
        <v>461.08</v>
      </c>
      <c r="C1120" s="24">
        <f t="shared" si="17"/>
        <v>9.5684351119966829E-3</v>
      </c>
    </row>
    <row r="1121" spans="1:3" ht="14.25" customHeight="1" x14ac:dyDescent="0.3">
      <c r="A1121" s="22">
        <v>44568</v>
      </c>
      <c r="B1121" s="23">
        <v>456.71</v>
      </c>
      <c r="C1121" s="24">
        <f t="shared" si="17"/>
        <v>5.8362330969474897E-3</v>
      </c>
    </row>
    <row r="1122" spans="1:3" ht="14.25" customHeight="1" x14ac:dyDescent="0.3">
      <c r="A1122" s="22">
        <v>44567</v>
      </c>
      <c r="B1122" s="23">
        <v>454.06</v>
      </c>
      <c r="C1122" s="24">
        <f t="shared" si="17"/>
        <v>-2.2194387676620982E-3</v>
      </c>
    </row>
    <row r="1123" spans="1:3" ht="14.25" customHeight="1" x14ac:dyDescent="0.3">
      <c r="A1123" s="22">
        <v>44566</v>
      </c>
      <c r="B1123" s="23">
        <v>455.07</v>
      </c>
      <c r="C1123" s="24">
        <f t="shared" si="17"/>
        <v>2.8206879834283979E-3</v>
      </c>
    </row>
    <row r="1124" spans="1:3" ht="14.25" customHeight="1" x14ac:dyDescent="0.3">
      <c r="A1124" s="22">
        <v>44565</v>
      </c>
      <c r="B1124" s="23">
        <v>453.79</v>
      </c>
      <c r="C1124" s="24">
        <f t="shared" si="17"/>
        <v>3.8047205078860073E-3</v>
      </c>
    </row>
    <row r="1125" spans="1:3" ht="14.25" customHeight="1" x14ac:dyDescent="0.3">
      <c r="A1125" s="22">
        <v>44564</v>
      </c>
      <c r="B1125" s="23">
        <v>452.07</v>
      </c>
      <c r="C1125" s="24">
        <f t="shared" si="17"/>
        <v>1.3882659011393196E-2</v>
      </c>
    </row>
    <row r="1126" spans="1:3" ht="14.25" customHeight="1" x14ac:dyDescent="0.3">
      <c r="A1126" s="22">
        <v>44561</v>
      </c>
      <c r="B1126" s="23">
        <v>445.88</v>
      </c>
      <c r="C1126" s="24">
        <f t="shared" si="17"/>
        <v>8.7326365322836375E-3</v>
      </c>
    </row>
    <row r="1127" spans="1:3" ht="14.25" customHeight="1" x14ac:dyDescent="0.3">
      <c r="A1127" s="22">
        <v>44560</v>
      </c>
      <c r="B1127" s="23">
        <v>442.02</v>
      </c>
      <c r="C1127" s="24">
        <f t="shared" si="17"/>
        <v>9.5108695652164636E-4</v>
      </c>
    </row>
    <row r="1128" spans="1:3" ht="14.25" customHeight="1" x14ac:dyDescent="0.3">
      <c r="A1128" s="22">
        <v>44559</v>
      </c>
      <c r="B1128" s="23">
        <v>441.6</v>
      </c>
      <c r="C1128" s="24">
        <f t="shared" si="17"/>
        <v>-1.9887904538058113E-3</v>
      </c>
    </row>
    <row r="1129" spans="1:3" ht="14.25" customHeight="1" x14ac:dyDescent="0.3">
      <c r="A1129" s="22">
        <v>44558</v>
      </c>
      <c r="B1129" s="23">
        <v>442.48</v>
      </c>
      <c r="C1129" s="24">
        <f t="shared" si="17"/>
        <v>8.8463292293661545E-3</v>
      </c>
    </row>
    <row r="1130" spans="1:3" ht="14.25" customHeight="1" x14ac:dyDescent="0.3">
      <c r="A1130" s="22">
        <v>44557</v>
      </c>
      <c r="B1130" s="23">
        <v>438.6</v>
      </c>
      <c r="C1130" s="24">
        <f t="shared" si="17"/>
        <v>2.1248886147097281E-3</v>
      </c>
    </row>
    <row r="1131" spans="1:3" ht="14.25" customHeight="1" x14ac:dyDescent="0.3">
      <c r="A1131" s="22">
        <v>44554</v>
      </c>
      <c r="B1131" s="23">
        <v>437.67</v>
      </c>
      <c r="C1131" s="24">
        <f t="shared" si="17"/>
        <v>-6.4921798742422921E-3</v>
      </c>
    </row>
    <row r="1132" spans="1:3" ht="14.25" customHeight="1" x14ac:dyDescent="0.3">
      <c r="A1132" s="22">
        <v>44553</v>
      </c>
      <c r="B1132" s="23">
        <v>440.53</v>
      </c>
      <c r="C1132" s="24">
        <f t="shared" si="17"/>
        <v>8.0086035283618972E-3</v>
      </c>
    </row>
    <row r="1133" spans="1:3" ht="14.25" customHeight="1" x14ac:dyDescent="0.3">
      <c r="A1133" s="22">
        <v>44552</v>
      </c>
      <c r="B1133" s="23">
        <v>437.03</v>
      </c>
      <c r="C1133" s="24">
        <f t="shared" si="17"/>
        <v>1.4108365239586923E-2</v>
      </c>
    </row>
    <row r="1134" spans="1:3" ht="14.25" customHeight="1" x14ac:dyDescent="0.3">
      <c r="A1134" s="22">
        <v>44551</v>
      </c>
      <c r="B1134" s="23">
        <v>430.95</v>
      </c>
      <c r="C1134" s="24">
        <f t="shared" si="17"/>
        <v>1.06707317073171E-2</v>
      </c>
    </row>
    <row r="1135" spans="1:3" ht="14.25" customHeight="1" x14ac:dyDescent="0.3">
      <c r="A1135" s="22">
        <v>44550</v>
      </c>
      <c r="B1135" s="23">
        <v>426.4</v>
      </c>
      <c r="C1135" s="24">
        <f t="shared" si="17"/>
        <v>-2.5460529323033419E-2</v>
      </c>
    </row>
    <row r="1136" spans="1:3" ht="14.25" customHeight="1" x14ac:dyDescent="0.3">
      <c r="A1136" s="22">
        <v>44547</v>
      </c>
      <c r="B1136" s="23">
        <v>437.54</v>
      </c>
      <c r="C1136" s="24">
        <f t="shared" si="17"/>
        <v>-1.448296056039824E-2</v>
      </c>
    </row>
    <row r="1137" spans="1:3" ht="14.25" customHeight="1" x14ac:dyDescent="0.3">
      <c r="A1137" s="22">
        <v>44546</v>
      </c>
      <c r="B1137" s="23">
        <v>443.97</v>
      </c>
      <c r="C1137" s="24">
        <f t="shared" si="17"/>
        <v>-3.7250633933980392E-3</v>
      </c>
    </row>
    <row r="1138" spans="1:3" ht="14.25" customHeight="1" x14ac:dyDescent="0.3">
      <c r="A1138" s="22">
        <v>44545</v>
      </c>
      <c r="B1138" s="23">
        <v>445.63</v>
      </c>
      <c r="C1138" s="24">
        <f t="shared" si="17"/>
        <v>-5.2013572640413966E-3</v>
      </c>
    </row>
    <row r="1139" spans="1:3" ht="14.25" customHeight="1" x14ac:dyDescent="0.3">
      <c r="A1139" s="22">
        <v>44544</v>
      </c>
      <c r="B1139" s="23">
        <v>447.96</v>
      </c>
      <c r="C1139" s="24">
        <f t="shared" si="17"/>
        <v>-2.5828286426790724E-3</v>
      </c>
    </row>
    <row r="1140" spans="1:3" ht="14.25" customHeight="1" x14ac:dyDescent="0.3">
      <c r="A1140" s="22">
        <v>44543</v>
      </c>
      <c r="B1140" s="23">
        <v>449.12</v>
      </c>
      <c r="C1140" s="24">
        <f t="shared" si="17"/>
        <v>1.2037986535289591E-3</v>
      </c>
    </row>
    <row r="1141" spans="1:3" ht="14.25" customHeight="1" x14ac:dyDescent="0.3">
      <c r="A1141" s="22">
        <v>44540</v>
      </c>
      <c r="B1141" s="23">
        <v>448.58</v>
      </c>
      <c r="C1141" s="24">
        <f t="shared" si="17"/>
        <v>4.0513015645634275E-3</v>
      </c>
    </row>
    <row r="1142" spans="1:3" ht="14.25" customHeight="1" x14ac:dyDescent="0.3">
      <c r="A1142" s="22">
        <v>44539</v>
      </c>
      <c r="B1142" s="23">
        <v>446.77</v>
      </c>
      <c r="C1142" s="24">
        <f t="shared" si="17"/>
        <v>1.1652661064425363E-3</v>
      </c>
    </row>
    <row r="1143" spans="1:3" ht="14.25" customHeight="1" x14ac:dyDescent="0.3">
      <c r="A1143" s="22">
        <v>44538</v>
      </c>
      <c r="B1143" s="23">
        <v>446.25</v>
      </c>
      <c r="C1143" s="24">
        <f t="shared" si="17"/>
        <v>3.2651455546813563E-2</v>
      </c>
    </row>
    <row r="1144" spans="1:3" ht="14.25" customHeight="1" x14ac:dyDescent="0.3">
      <c r="A1144" s="22">
        <v>44536</v>
      </c>
      <c r="B1144" s="23">
        <v>432.14</v>
      </c>
      <c r="C1144" s="24">
        <f t="shared" si="17"/>
        <v>-1.602987385582226E-2</v>
      </c>
    </row>
    <row r="1145" spans="1:3" ht="14.25" customHeight="1" x14ac:dyDescent="0.3">
      <c r="A1145" s="22">
        <v>44533</v>
      </c>
      <c r="B1145" s="23">
        <v>439.18</v>
      </c>
      <c r="C1145" s="24">
        <f t="shared" si="17"/>
        <v>-3.8785184513143406E-3</v>
      </c>
    </row>
    <row r="1146" spans="1:3" ht="14.25" customHeight="1" x14ac:dyDescent="0.3">
      <c r="A1146" s="22">
        <v>44532</v>
      </c>
      <c r="B1146" s="23">
        <v>440.89</v>
      </c>
      <c r="C1146" s="24">
        <f t="shared" si="17"/>
        <v>6.8970242309360809E-3</v>
      </c>
    </row>
    <row r="1147" spans="1:3" ht="14.25" customHeight="1" x14ac:dyDescent="0.3">
      <c r="A1147" s="22">
        <v>44531</v>
      </c>
      <c r="B1147" s="23">
        <v>437.87</v>
      </c>
      <c r="C1147" s="24">
        <f t="shared" si="17"/>
        <v>3.5294387275686305E-3</v>
      </c>
    </row>
    <row r="1148" spans="1:3" ht="14.25" customHeight="1" x14ac:dyDescent="0.3">
      <c r="A1148" s="22">
        <v>44530</v>
      </c>
      <c r="B1148" s="23">
        <v>436.33</v>
      </c>
      <c r="C1148" s="24">
        <f t="shared" si="17"/>
        <v>4.7204568481164491E-3</v>
      </c>
    </row>
    <row r="1149" spans="1:3" ht="14.25" customHeight="1" x14ac:dyDescent="0.3">
      <c r="A1149" s="22">
        <v>44529</v>
      </c>
      <c r="B1149" s="23">
        <v>434.28</v>
      </c>
      <c r="C1149" s="24">
        <f t="shared" si="17"/>
        <v>-5.7692307692308572E-3</v>
      </c>
    </row>
    <row r="1150" spans="1:3" ht="14.25" customHeight="1" x14ac:dyDescent="0.3">
      <c r="A1150" s="22">
        <v>44526</v>
      </c>
      <c r="B1150" s="23">
        <v>436.8</v>
      </c>
      <c r="C1150" s="24">
        <f t="shared" si="17"/>
        <v>-3.1464112286303463E-2</v>
      </c>
    </row>
    <row r="1151" spans="1:3" ht="14.25" customHeight="1" x14ac:dyDescent="0.3">
      <c r="A1151" s="22">
        <v>44525</v>
      </c>
      <c r="B1151" s="23">
        <v>450.99</v>
      </c>
      <c r="C1151" s="24">
        <f t="shared" si="17"/>
        <v>2.2668177878524829E-3</v>
      </c>
    </row>
    <row r="1152" spans="1:3" ht="14.25" customHeight="1" x14ac:dyDescent="0.3">
      <c r="A1152" s="22">
        <v>44524</v>
      </c>
      <c r="B1152" s="23">
        <v>449.97</v>
      </c>
      <c r="C1152" s="24">
        <f t="shared" si="17"/>
        <v>-6.6666666666606036E-5</v>
      </c>
    </row>
    <row r="1153" spans="1:3" ht="14.25" customHeight="1" x14ac:dyDescent="0.3">
      <c r="A1153" s="22">
        <v>44523</v>
      </c>
      <c r="B1153" s="23">
        <v>450</v>
      </c>
      <c r="C1153" s="24">
        <f t="shared" si="17"/>
        <v>8.9912329872866899E-3</v>
      </c>
    </row>
    <row r="1154" spans="1:3" ht="14.25" customHeight="1" x14ac:dyDescent="0.3">
      <c r="A1154" s="22">
        <v>44522</v>
      </c>
      <c r="B1154" s="23">
        <v>445.99</v>
      </c>
      <c r="C1154" s="24">
        <f t="shared" ref="C1154:C1205" si="18">(B1154-B1155)/B1155</f>
        <v>-2.4881387060804151E-2</v>
      </c>
    </row>
    <row r="1155" spans="1:3" ht="14.25" customHeight="1" x14ac:dyDescent="0.3">
      <c r="A1155" s="22">
        <v>44518</v>
      </c>
      <c r="B1155" s="23">
        <v>457.37</v>
      </c>
      <c r="C1155" s="24">
        <f t="shared" si="18"/>
        <v>-1.1732929991356972E-2</v>
      </c>
    </row>
    <row r="1156" spans="1:3" ht="14.25" customHeight="1" x14ac:dyDescent="0.3">
      <c r="A1156" s="22">
        <v>44517</v>
      </c>
      <c r="B1156" s="23">
        <v>462.8</v>
      </c>
      <c r="C1156" s="24">
        <f t="shared" si="18"/>
        <v>-2.3066807510724839E-3</v>
      </c>
    </row>
    <row r="1157" spans="1:3" ht="14.25" customHeight="1" x14ac:dyDescent="0.3">
      <c r="A1157" s="22">
        <v>44516</v>
      </c>
      <c r="B1157" s="23">
        <v>463.87</v>
      </c>
      <c r="C1157" s="24">
        <f t="shared" si="18"/>
        <v>-4.271669600309125E-3</v>
      </c>
    </row>
    <row r="1158" spans="1:3" ht="14.25" customHeight="1" x14ac:dyDescent="0.3">
      <c r="A1158" s="22">
        <v>44515</v>
      </c>
      <c r="B1158" s="23">
        <v>465.86</v>
      </c>
      <c r="C1158" s="24">
        <f t="shared" si="18"/>
        <v>-4.4662891334543752E-3</v>
      </c>
    </row>
    <row r="1159" spans="1:3" ht="14.25" customHeight="1" x14ac:dyDescent="0.3">
      <c r="A1159" s="22">
        <v>44512</v>
      </c>
      <c r="B1159" s="23">
        <v>467.95</v>
      </c>
      <c r="C1159" s="24">
        <f t="shared" si="18"/>
        <v>7.644272179155925E-3</v>
      </c>
    </row>
    <row r="1160" spans="1:3" ht="14.25" customHeight="1" x14ac:dyDescent="0.3">
      <c r="A1160" s="22">
        <v>44511</v>
      </c>
      <c r="B1160" s="23">
        <v>464.4</v>
      </c>
      <c r="C1160" s="24">
        <f t="shared" si="18"/>
        <v>-8.6666951287196394E-3</v>
      </c>
    </row>
    <row r="1161" spans="1:3" ht="14.25" customHeight="1" x14ac:dyDescent="0.3">
      <c r="A1161" s="22">
        <v>44510</v>
      </c>
      <c r="B1161" s="23">
        <v>468.46</v>
      </c>
      <c r="C1161" s="24">
        <f t="shared" si="18"/>
        <v>-1.5345922673601332E-3</v>
      </c>
    </row>
    <row r="1162" spans="1:3" ht="14.25" customHeight="1" x14ac:dyDescent="0.3">
      <c r="A1162" s="22">
        <v>44509</v>
      </c>
      <c r="B1162" s="23">
        <v>469.18</v>
      </c>
      <c r="C1162" s="24">
        <f t="shared" si="18"/>
        <v>2.8856635957506421E-3</v>
      </c>
    </row>
    <row r="1163" spans="1:3" ht="14.25" customHeight="1" x14ac:dyDescent="0.3">
      <c r="A1163" s="22">
        <v>44508</v>
      </c>
      <c r="B1163" s="23">
        <v>467.83</v>
      </c>
      <c r="C1163" s="24">
        <f t="shared" si="18"/>
        <v>1.6513482389240088E-2</v>
      </c>
    </row>
    <row r="1164" spans="1:3" ht="14.25" customHeight="1" x14ac:dyDescent="0.3">
      <c r="A1164" s="22">
        <v>44503</v>
      </c>
      <c r="B1164" s="23">
        <v>460.23</v>
      </c>
      <c r="C1164" s="24">
        <f t="shared" si="18"/>
        <v>-1.5186687783394195E-3</v>
      </c>
    </row>
    <row r="1165" spans="1:3" ht="14.25" customHeight="1" x14ac:dyDescent="0.3">
      <c r="A1165" s="22">
        <v>44502</v>
      </c>
      <c r="B1165" s="23">
        <v>460.93</v>
      </c>
      <c r="C1165" s="24">
        <f t="shared" si="18"/>
        <v>6.7051063643908471E-3</v>
      </c>
    </row>
    <row r="1166" spans="1:3" ht="14.25" customHeight="1" x14ac:dyDescent="0.3">
      <c r="A1166" s="22">
        <v>44501</v>
      </c>
      <c r="B1166" s="23">
        <v>457.86</v>
      </c>
      <c r="C1166" s="24">
        <f t="shared" si="18"/>
        <v>1.2203209974797805E-2</v>
      </c>
    </row>
    <row r="1167" spans="1:3" ht="14.25" customHeight="1" x14ac:dyDescent="0.3">
      <c r="A1167" s="22">
        <v>44498</v>
      </c>
      <c r="B1167" s="23">
        <v>452.34</v>
      </c>
      <c r="C1167" s="24">
        <f t="shared" si="18"/>
        <v>-2.5138925641705104E-3</v>
      </c>
    </row>
    <row r="1168" spans="1:3" ht="14.25" customHeight="1" x14ac:dyDescent="0.3">
      <c r="A1168" s="22">
        <v>44497</v>
      </c>
      <c r="B1168" s="23">
        <v>453.48</v>
      </c>
      <c r="C1168" s="24">
        <f t="shared" si="18"/>
        <v>-1.4709397066811476E-2</v>
      </c>
    </row>
    <row r="1169" spans="1:3" ht="14.25" customHeight="1" x14ac:dyDescent="0.3">
      <c r="A1169" s="22">
        <v>44496</v>
      </c>
      <c r="B1169" s="23">
        <v>460.25</v>
      </c>
      <c r="C1169" s="24">
        <f t="shared" si="18"/>
        <v>0</v>
      </c>
    </row>
    <row r="1170" spans="1:3" ht="14.25" customHeight="1" x14ac:dyDescent="0.3">
      <c r="A1170" s="22">
        <v>44495</v>
      </c>
      <c r="B1170" s="23">
        <v>460.25</v>
      </c>
      <c r="C1170" s="24">
        <f t="shared" si="18"/>
        <v>1.0583404694464556E-2</v>
      </c>
    </row>
    <row r="1171" spans="1:3" ht="14.25" customHeight="1" x14ac:dyDescent="0.3">
      <c r="A1171" s="22">
        <v>44494</v>
      </c>
      <c r="B1171" s="23">
        <v>455.43</v>
      </c>
      <c r="C1171" s="24">
        <f t="shared" si="18"/>
        <v>7.9108708550335916E-4</v>
      </c>
    </row>
    <row r="1172" spans="1:3" ht="14.25" customHeight="1" x14ac:dyDescent="0.3">
      <c r="A1172" s="22">
        <v>44491</v>
      </c>
      <c r="B1172" s="23">
        <v>455.07</v>
      </c>
      <c r="C1172" s="24">
        <f t="shared" si="18"/>
        <v>-2.6518804243008233E-3</v>
      </c>
    </row>
    <row r="1173" spans="1:3" ht="14.25" customHeight="1" x14ac:dyDescent="0.3">
      <c r="A1173" s="22">
        <v>44490</v>
      </c>
      <c r="B1173" s="23">
        <v>456.28</v>
      </c>
      <c r="C1173" s="24">
        <f t="shared" si="18"/>
        <v>-4.1685763547873698E-3</v>
      </c>
    </row>
    <row r="1174" spans="1:3" ht="14.25" customHeight="1" x14ac:dyDescent="0.3">
      <c r="A1174" s="22">
        <v>44489</v>
      </c>
      <c r="B1174" s="23">
        <v>458.19</v>
      </c>
      <c r="C1174" s="24">
        <f t="shared" si="18"/>
        <v>-1.064518915183971E-2</v>
      </c>
    </row>
    <row r="1175" spans="1:3" ht="14.25" customHeight="1" x14ac:dyDescent="0.3">
      <c r="A1175" s="22">
        <v>44488</v>
      </c>
      <c r="B1175" s="23">
        <v>463.12</v>
      </c>
      <c r="C1175" s="24">
        <f t="shared" si="18"/>
        <v>-8.5631101215961642E-3</v>
      </c>
    </row>
    <row r="1176" spans="1:3" ht="14.25" customHeight="1" x14ac:dyDescent="0.3">
      <c r="A1176" s="22">
        <v>44487</v>
      </c>
      <c r="B1176" s="23">
        <v>467.12</v>
      </c>
      <c r="C1176" s="24">
        <f t="shared" si="18"/>
        <v>2.1453702909122116E-3</v>
      </c>
    </row>
    <row r="1177" spans="1:3" ht="14.25" customHeight="1" x14ac:dyDescent="0.3">
      <c r="A1177" s="22">
        <v>44483</v>
      </c>
      <c r="B1177" s="23">
        <v>466.12</v>
      </c>
      <c r="C1177" s="24">
        <f t="shared" si="18"/>
        <v>9.7920277296360079E-3</v>
      </c>
    </row>
    <row r="1178" spans="1:3" ht="14.25" customHeight="1" x14ac:dyDescent="0.3">
      <c r="A1178" s="22">
        <v>44482</v>
      </c>
      <c r="B1178" s="23">
        <v>461.6</v>
      </c>
      <c r="C1178" s="24">
        <f t="shared" si="18"/>
        <v>1.2547161533737009E-2</v>
      </c>
    </row>
    <row r="1179" spans="1:3" ht="14.25" customHeight="1" x14ac:dyDescent="0.3">
      <c r="A1179" s="22">
        <v>44481</v>
      </c>
      <c r="B1179" s="23">
        <v>455.88</v>
      </c>
      <c r="C1179" s="24">
        <f t="shared" si="18"/>
        <v>2.9480353764244618E-3</v>
      </c>
    </row>
    <row r="1180" spans="1:3" ht="14.25" customHeight="1" x14ac:dyDescent="0.3">
      <c r="A1180" s="22">
        <v>44480</v>
      </c>
      <c r="B1180" s="23">
        <v>454.54</v>
      </c>
      <c r="C1180" s="24">
        <f t="shared" si="18"/>
        <v>7.3131814555447462E-3</v>
      </c>
    </row>
    <row r="1181" spans="1:3" ht="14.25" customHeight="1" x14ac:dyDescent="0.3">
      <c r="A1181" s="22">
        <v>44477</v>
      </c>
      <c r="B1181" s="23">
        <v>451.24</v>
      </c>
      <c r="C1181" s="24">
        <f t="shared" si="18"/>
        <v>5.0336317876074456E-3</v>
      </c>
    </row>
    <row r="1182" spans="1:3" ht="14.25" customHeight="1" x14ac:dyDescent="0.3">
      <c r="A1182" s="22">
        <v>44476</v>
      </c>
      <c r="B1182" s="23">
        <v>448.98</v>
      </c>
      <c r="C1182" s="24">
        <f t="shared" si="18"/>
        <v>1.2881539468044389E-2</v>
      </c>
    </row>
    <row r="1183" spans="1:3" ht="14.25" customHeight="1" x14ac:dyDescent="0.3">
      <c r="A1183" s="22">
        <v>44475</v>
      </c>
      <c r="B1183" s="23">
        <v>443.27</v>
      </c>
      <c r="C1183" s="24">
        <f t="shared" si="18"/>
        <v>-1.0315032708924077E-2</v>
      </c>
    </row>
    <row r="1184" spans="1:3" ht="14.25" customHeight="1" x14ac:dyDescent="0.3">
      <c r="A1184" s="22">
        <v>44474</v>
      </c>
      <c r="B1184" s="23">
        <v>447.89</v>
      </c>
      <c r="C1184" s="24">
        <f t="shared" si="18"/>
        <v>3.3378136200717052E-3</v>
      </c>
    </row>
    <row r="1185" spans="1:3" ht="14.25" customHeight="1" x14ac:dyDescent="0.3">
      <c r="A1185" s="22">
        <v>44473</v>
      </c>
      <c r="B1185" s="23">
        <v>446.4</v>
      </c>
      <c r="C1185" s="24">
        <f t="shared" si="18"/>
        <v>7.925218451534221E-3</v>
      </c>
    </row>
    <row r="1186" spans="1:3" ht="14.25" customHeight="1" x14ac:dyDescent="0.3">
      <c r="A1186" s="22">
        <v>44470</v>
      </c>
      <c r="B1186" s="23">
        <v>442.89</v>
      </c>
      <c r="C1186" s="24">
        <f t="shared" si="18"/>
        <v>1.6056809444117317E-3</v>
      </c>
    </row>
    <row r="1187" spans="1:3" ht="14.25" customHeight="1" x14ac:dyDescent="0.3">
      <c r="A1187" s="22">
        <v>44469</v>
      </c>
      <c r="B1187" s="23">
        <v>442.18</v>
      </c>
      <c r="C1187" s="24">
        <f t="shared" si="18"/>
        <v>5.8834178131786494E-4</v>
      </c>
    </row>
    <row r="1188" spans="1:3" ht="14.25" customHeight="1" x14ac:dyDescent="0.3">
      <c r="A1188" s="22">
        <v>44468</v>
      </c>
      <c r="B1188" s="23">
        <v>441.92</v>
      </c>
      <c r="C1188" s="24">
        <f t="shared" si="18"/>
        <v>9.0522313750385764E-5</v>
      </c>
    </row>
    <row r="1189" spans="1:3" ht="14.25" customHeight="1" x14ac:dyDescent="0.3">
      <c r="A1189" s="22">
        <v>44467</v>
      </c>
      <c r="B1189" s="23">
        <v>441.88</v>
      </c>
      <c r="C1189" s="24">
        <f t="shared" si="18"/>
        <v>-9.7483360598794849E-3</v>
      </c>
    </row>
    <row r="1190" spans="1:3" ht="14.25" customHeight="1" x14ac:dyDescent="0.3">
      <c r="A1190" s="22">
        <v>44466</v>
      </c>
      <c r="B1190" s="23">
        <v>446.23</v>
      </c>
      <c r="C1190" s="24">
        <f t="shared" si="18"/>
        <v>-4.7038795806822762E-4</v>
      </c>
    </row>
    <row r="1191" spans="1:3" ht="14.25" customHeight="1" x14ac:dyDescent="0.3">
      <c r="A1191" s="22">
        <v>44463</v>
      </c>
      <c r="B1191" s="23">
        <v>446.44</v>
      </c>
      <c r="C1191" s="24">
        <f t="shared" si="18"/>
        <v>-2.3910080221670872E-3</v>
      </c>
    </row>
    <row r="1192" spans="1:3" ht="14.25" customHeight="1" x14ac:dyDescent="0.3">
      <c r="A1192" s="22">
        <v>44462</v>
      </c>
      <c r="B1192" s="23">
        <v>447.51</v>
      </c>
      <c r="C1192" s="24">
        <f t="shared" si="18"/>
        <v>8.9962121212121427E-3</v>
      </c>
    </row>
    <row r="1193" spans="1:3" ht="14.25" customHeight="1" x14ac:dyDescent="0.3">
      <c r="A1193" s="22">
        <v>44461</v>
      </c>
      <c r="B1193" s="23">
        <v>443.52</v>
      </c>
      <c r="C1193" s="24">
        <f t="shared" si="18"/>
        <v>6.4445856403739102E-3</v>
      </c>
    </row>
    <row r="1194" spans="1:3" ht="14.25" customHeight="1" x14ac:dyDescent="0.3">
      <c r="A1194" s="22">
        <v>44460</v>
      </c>
      <c r="B1194" s="23">
        <v>440.68</v>
      </c>
      <c r="C1194" s="24">
        <f t="shared" si="18"/>
        <v>4.4675419401895957E-3</v>
      </c>
    </row>
    <row r="1195" spans="1:3" ht="14.25" customHeight="1" x14ac:dyDescent="0.3">
      <c r="A1195" s="22">
        <v>44459</v>
      </c>
      <c r="B1195" s="23">
        <v>438.72</v>
      </c>
      <c r="C1195" s="24">
        <f t="shared" si="18"/>
        <v>-1.5815330775960597E-2</v>
      </c>
    </row>
    <row r="1196" spans="1:3" ht="14.25" customHeight="1" x14ac:dyDescent="0.3">
      <c r="A1196" s="22">
        <v>44456</v>
      </c>
      <c r="B1196" s="23">
        <v>445.77</v>
      </c>
      <c r="C1196" s="24">
        <f t="shared" si="18"/>
        <v>-4.0884718498660428E-3</v>
      </c>
    </row>
    <row r="1197" spans="1:3" ht="14.25" customHeight="1" x14ac:dyDescent="0.3">
      <c r="A1197" s="22">
        <v>44455</v>
      </c>
      <c r="B1197" s="23">
        <v>447.6</v>
      </c>
      <c r="C1197" s="24">
        <f t="shared" si="18"/>
        <v>4.736357718467336E-3</v>
      </c>
    </row>
    <row r="1198" spans="1:3" ht="14.25" customHeight="1" x14ac:dyDescent="0.3">
      <c r="A1198" s="22">
        <v>44454</v>
      </c>
      <c r="B1198" s="23">
        <v>445.49</v>
      </c>
      <c r="C1198" s="24">
        <f t="shared" si="18"/>
        <v>8.9231117653719803E-3</v>
      </c>
    </row>
    <row r="1199" spans="1:3" ht="14.25" customHeight="1" x14ac:dyDescent="0.3">
      <c r="A1199" s="22">
        <v>44453</v>
      </c>
      <c r="B1199" s="23">
        <v>441.55</v>
      </c>
      <c r="C1199" s="24">
        <f t="shared" si="18"/>
        <v>5.9003098232185891E-3</v>
      </c>
    </row>
    <row r="1200" spans="1:3" ht="14.25" customHeight="1" x14ac:dyDescent="0.3">
      <c r="A1200" s="22">
        <v>44452</v>
      </c>
      <c r="B1200" s="23">
        <v>438.96</v>
      </c>
      <c r="C1200" s="24">
        <f t="shared" si="18"/>
        <v>9.1207588471355636E-4</v>
      </c>
    </row>
    <row r="1201" spans="1:3" ht="14.25" customHeight="1" x14ac:dyDescent="0.3">
      <c r="A1201" s="22">
        <v>44448</v>
      </c>
      <c r="B1201" s="23">
        <v>438.56</v>
      </c>
      <c r="C1201" s="24">
        <f t="shared" si="18"/>
        <v>-1.8238190771471843E-4</v>
      </c>
    </row>
    <row r="1202" spans="1:3" ht="14.25" customHeight="1" x14ac:dyDescent="0.3">
      <c r="A1202" s="22">
        <v>44447</v>
      </c>
      <c r="B1202" s="23">
        <v>438.64</v>
      </c>
      <c r="C1202" s="24">
        <f t="shared" si="18"/>
        <v>-3.8741140812656027E-4</v>
      </c>
    </row>
    <row r="1203" spans="1:3" ht="14.25" customHeight="1" x14ac:dyDescent="0.3">
      <c r="A1203" s="22">
        <v>44446</v>
      </c>
      <c r="B1203" s="23">
        <v>438.81</v>
      </c>
      <c r="C1203" s="24">
        <f t="shared" si="18"/>
        <v>1.0722270383721022E-3</v>
      </c>
    </row>
    <row r="1204" spans="1:3" ht="14.25" customHeight="1" x14ac:dyDescent="0.3">
      <c r="A1204" s="22">
        <v>44445</v>
      </c>
      <c r="B1204" s="23">
        <v>438.34</v>
      </c>
      <c r="C1204" s="24">
        <f t="shared" si="18"/>
        <v>6.082306226904398E-3</v>
      </c>
    </row>
    <row r="1205" spans="1:3" ht="14.25" customHeight="1" x14ac:dyDescent="0.3">
      <c r="A1205" s="22">
        <v>44442</v>
      </c>
      <c r="B1205" s="23">
        <v>435.69</v>
      </c>
      <c r="C1205" s="24">
        <f t="shared" si="18"/>
        <v>3.5702768692127225E-3</v>
      </c>
    </row>
    <row r="1206" spans="1:3" ht="14.25" customHeight="1" x14ac:dyDescent="0.3">
      <c r="A1206" s="22">
        <v>44441</v>
      </c>
      <c r="B1206" s="23">
        <v>434.14</v>
      </c>
      <c r="C1206" s="24" t="s">
        <v>31</v>
      </c>
    </row>
    <row r="1208" spans="1:3" ht="54.75" customHeight="1" x14ac:dyDescent="0.3">
      <c r="A1208" s="33" t="s">
        <v>52</v>
      </c>
      <c r="B1208" s="33"/>
      <c r="C1208" s="33"/>
    </row>
  </sheetData>
  <mergeCells count="1">
    <mergeCell ref="A1208:C1208"/>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08"/>
  <sheetViews>
    <sheetView zoomScaleNormal="100" workbookViewId="0">
      <selection activeCell="F8" sqref="F8"/>
    </sheetView>
  </sheetViews>
  <sheetFormatPr defaultColWidth="8.5546875" defaultRowHeight="14.4" x14ac:dyDescent="0.3"/>
  <cols>
    <col min="1" max="1" width="14" style="17" customWidth="1"/>
    <col min="2" max="2" width="14" customWidth="1"/>
    <col min="3" max="3" width="12" customWidth="1"/>
    <col min="5" max="5" width="30" customWidth="1"/>
    <col min="6" max="6" width="14" customWidth="1"/>
  </cols>
  <sheetData>
    <row r="1" spans="1:6" ht="14.25" customHeight="1" x14ac:dyDescent="0.3">
      <c r="A1" s="18" t="s">
        <v>22</v>
      </c>
      <c r="B1" s="19" t="s">
        <v>45</v>
      </c>
      <c r="C1" s="19" t="s">
        <v>46</v>
      </c>
      <c r="E1" s="20" t="s">
        <v>47</v>
      </c>
      <c r="F1" s="21"/>
    </row>
    <row r="2" spans="1:6" ht="14.25" customHeight="1" x14ac:dyDescent="0.3">
      <c r="A2" s="22">
        <v>46265</v>
      </c>
      <c r="B2" s="23">
        <v>663.67399999999998</v>
      </c>
      <c r="C2" s="24">
        <f t="shared" ref="C2:C65" si="0">(B2-B3)/B3</f>
        <v>-7.2592430821792767E-3</v>
      </c>
      <c r="E2" s="6" t="s">
        <v>4</v>
      </c>
      <c r="F2" s="25">
        <f>Assumptions!$B$5</f>
        <v>252</v>
      </c>
    </row>
    <row r="3" spans="1:6" ht="14.25" customHeight="1" x14ac:dyDescent="0.3">
      <c r="A3" s="22">
        <v>46262</v>
      </c>
      <c r="B3" s="23">
        <v>668.52700000000004</v>
      </c>
      <c r="C3" s="24">
        <f t="shared" si="0"/>
        <v>2.4088598163290504E-4</v>
      </c>
      <c r="E3" s="6" t="s">
        <v>48</v>
      </c>
      <c r="F3" s="26">
        <f>Assumptions!$B$4</f>
        <v>6.9500000000000006E-2</v>
      </c>
    </row>
    <row r="4" spans="1:6" ht="14.25" customHeight="1" x14ac:dyDescent="0.3">
      <c r="A4" s="22">
        <v>46261</v>
      </c>
      <c r="B4" s="23">
        <v>668.36599999999999</v>
      </c>
      <c r="C4" s="24">
        <f t="shared" si="0"/>
        <v>6.4328242688534067E-3</v>
      </c>
      <c r="E4" s="6" t="s">
        <v>49</v>
      </c>
      <c r="F4" s="25">
        <f>COUNT('Raw Data'!E2:E1206)</f>
        <v>1204</v>
      </c>
    </row>
    <row r="5" spans="1:6" ht="14.25" customHeight="1" x14ac:dyDescent="0.3">
      <c r="A5" s="22">
        <v>46260</v>
      </c>
      <c r="B5" s="23">
        <v>664.09400000000005</v>
      </c>
      <c r="C5" s="24">
        <f t="shared" si="0"/>
        <v>7.5291113088689198E-6</v>
      </c>
      <c r="E5" s="6" t="s">
        <v>8</v>
      </c>
      <c r="F5" s="26">
        <f>('Raw Data'!D2/'Raw Data'!D1206)^(F2/F4)-1</f>
        <v>0.11806419807832369</v>
      </c>
    </row>
    <row r="6" spans="1:6" ht="14.25" customHeight="1" x14ac:dyDescent="0.3">
      <c r="A6" s="22">
        <v>46259</v>
      </c>
      <c r="B6" s="23">
        <v>664.08900000000006</v>
      </c>
      <c r="C6" s="24">
        <f t="shared" si="0"/>
        <v>5.7032694605519971E-3</v>
      </c>
      <c r="E6" s="6" t="s">
        <v>50</v>
      </c>
      <c r="F6" s="27">
        <f>STDEV('Raw Data'!E2:E1206)</f>
        <v>1.1072787130394026E-2</v>
      </c>
    </row>
    <row r="7" spans="1:6" ht="14.25" customHeight="1" x14ac:dyDescent="0.3">
      <c r="A7" s="22">
        <v>46258</v>
      </c>
      <c r="B7" s="23">
        <v>660.32299999999998</v>
      </c>
      <c r="C7" s="24">
        <f t="shared" si="0"/>
        <v>-1.5332576281079239E-3</v>
      </c>
      <c r="E7" s="6" t="s">
        <v>12</v>
      </c>
      <c r="F7" s="28">
        <f>F6*SQRT(F2)</f>
        <v>0.17577504640427474</v>
      </c>
    </row>
    <row r="8" spans="1:6" ht="14.25" customHeight="1" x14ac:dyDescent="0.3">
      <c r="A8" s="22">
        <v>46255</v>
      </c>
      <c r="B8" s="23">
        <v>661.33699999999999</v>
      </c>
      <c r="C8" s="24">
        <f t="shared" si="0"/>
        <v>4.5493071989938429E-3</v>
      </c>
      <c r="E8" s="6" t="s">
        <v>51</v>
      </c>
      <c r="F8" s="27">
        <f>SLOPE('Raw Data'!E2:E1206, 'Raw Data'!I2:I1206)</f>
        <v>1.0969278934031779</v>
      </c>
    </row>
    <row r="9" spans="1:6" ht="14.25" customHeight="1" x14ac:dyDescent="0.3">
      <c r="A9" s="22">
        <v>46254</v>
      </c>
      <c r="B9" s="23">
        <v>658.34199999999998</v>
      </c>
      <c r="C9" s="24">
        <f t="shared" si="0"/>
        <v>2.4988541208250978E-3</v>
      </c>
      <c r="E9" s="6" t="s">
        <v>16</v>
      </c>
      <c r="F9" s="29">
        <f>(F5-F3)/F7</f>
        <v>0.27628607741412964</v>
      </c>
    </row>
    <row r="10" spans="1:6" ht="14.25" customHeight="1" x14ac:dyDescent="0.3">
      <c r="A10" s="22">
        <v>46253</v>
      </c>
      <c r="B10" s="23">
        <v>656.70100000000002</v>
      </c>
      <c r="C10" s="24">
        <f t="shared" si="0"/>
        <v>-4.1731556304997518E-3</v>
      </c>
      <c r="E10" s="6" t="s">
        <v>18</v>
      </c>
      <c r="F10" s="28">
        <f>(F5-F3)/F8</f>
        <v>4.4272917454633298E-2</v>
      </c>
    </row>
    <row r="11" spans="1:6" ht="14.25" customHeight="1" x14ac:dyDescent="0.3">
      <c r="A11" s="22">
        <v>46252</v>
      </c>
      <c r="B11" s="23">
        <v>659.45299999999997</v>
      </c>
      <c r="C11" s="24">
        <f t="shared" si="0"/>
        <v>-2.5757914924767751E-3</v>
      </c>
      <c r="E11" s="6" t="s">
        <v>20</v>
      </c>
      <c r="F11" s="26">
        <f>F5-(F3+F8*('NIFTY500 TRI'!F5-F3))</f>
        <v>-9.6631339268068994E-4</v>
      </c>
    </row>
    <row r="12" spans="1:6" ht="14.25" customHeight="1" x14ac:dyDescent="0.3">
      <c r="A12" s="22">
        <v>46251</v>
      </c>
      <c r="B12" s="23">
        <v>661.15599999999995</v>
      </c>
      <c r="C12" s="24">
        <f t="shared" si="0"/>
        <v>-2.0693496265059303E-3</v>
      </c>
    </row>
    <row r="13" spans="1:6" ht="14.25" customHeight="1" x14ac:dyDescent="0.3">
      <c r="A13" s="22">
        <v>46248</v>
      </c>
      <c r="B13" s="23">
        <v>662.52700000000004</v>
      </c>
      <c r="C13" s="24">
        <f t="shared" si="0"/>
        <v>2.5061862035967344E-4</v>
      </c>
    </row>
    <row r="14" spans="1:6" ht="14.25" customHeight="1" x14ac:dyDescent="0.3">
      <c r="A14" s="22">
        <v>46247</v>
      </c>
      <c r="B14" s="23">
        <v>662.36099999999999</v>
      </c>
      <c r="C14" s="24">
        <f t="shared" si="0"/>
        <v>-4.0627730004525863E-3</v>
      </c>
    </row>
    <row r="15" spans="1:6" ht="14.25" customHeight="1" x14ac:dyDescent="0.3">
      <c r="A15" s="22">
        <v>46246</v>
      </c>
      <c r="B15" s="23">
        <v>665.06299999999999</v>
      </c>
      <c r="C15" s="24">
        <f t="shared" si="0"/>
        <v>-3.4254940068840414E-3</v>
      </c>
    </row>
    <row r="16" spans="1:6" ht="14.25" customHeight="1" x14ac:dyDescent="0.3">
      <c r="A16" s="22">
        <v>46245</v>
      </c>
      <c r="B16" s="23">
        <v>667.34900000000005</v>
      </c>
      <c r="C16" s="24">
        <f t="shared" si="0"/>
        <v>-1.844201608777902E-3</v>
      </c>
    </row>
    <row r="17" spans="1:3" ht="14.25" customHeight="1" x14ac:dyDescent="0.3">
      <c r="A17" s="22">
        <v>46244</v>
      </c>
      <c r="B17" s="23">
        <v>668.58199999999999</v>
      </c>
      <c r="C17" s="24">
        <f t="shared" si="0"/>
        <v>6.4506376552611621E-4</v>
      </c>
    </row>
    <row r="18" spans="1:3" ht="14.25" customHeight="1" x14ac:dyDescent="0.3">
      <c r="A18" s="22">
        <v>46241</v>
      </c>
      <c r="B18" s="23">
        <v>668.15099999999995</v>
      </c>
      <c r="C18" s="24">
        <f t="shared" si="0"/>
        <v>8.4065193538600362E-3</v>
      </c>
    </row>
    <row r="19" spans="1:3" ht="14.25" customHeight="1" x14ac:dyDescent="0.3">
      <c r="A19" s="22">
        <v>46240</v>
      </c>
      <c r="B19" s="23">
        <v>662.58100000000002</v>
      </c>
      <c r="C19" s="24">
        <f t="shared" si="0"/>
        <v>-3.8682771207870343E-3</v>
      </c>
    </row>
    <row r="20" spans="1:3" ht="14.25" customHeight="1" x14ac:dyDescent="0.3">
      <c r="A20" s="22">
        <v>46239</v>
      </c>
      <c r="B20" s="23">
        <v>665.154</v>
      </c>
      <c r="C20" s="24">
        <f t="shared" si="0"/>
        <v>3.9363304585643064E-3</v>
      </c>
    </row>
    <row r="21" spans="1:3" ht="14.25" customHeight="1" x14ac:dyDescent="0.3">
      <c r="A21" s="22">
        <v>46238</v>
      </c>
      <c r="B21" s="23">
        <v>662.54600000000005</v>
      </c>
      <c r="C21" s="24">
        <f t="shared" si="0"/>
        <v>-2.4015984557494772E-3</v>
      </c>
    </row>
    <row r="22" spans="1:3" ht="14.25" customHeight="1" x14ac:dyDescent="0.3">
      <c r="A22" s="22">
        <v>46237</v>
      </c>
      <c r="B22" s="23">
        <v>664.14099999999996</v>
      </c>
      <c r="C22" s="24">
        <f t="shared" si="0"/>
        <v>1.0103452786168041E-2</v>
      </c>
    </row>
    <row r="23" spans="1:3" ht="14.25" customHeight="1" x14ac:dyDescent="0.3">
      <c r="A23" s="22">
        <v>46234</v>
      </c>
      <c r="B23" s="23">
        <v>657.49800000000005</v>
      </c>
      <c r="C23" s="24">
        <f t="shared" si="0"/>
        <v>1.1694303595085182E-3</v>
      </c>
    </row>
    <row r="24" spans="1:3" ht="14.25" customHeight="1" x14ac:dyDescent="0.3">
      <c r="A24" s="22">
        <v>46233</v>
      </c>
      <c r="B24" s="23">
        <v>656.73</v>
      </c>
      <c r="C24" s="24">
        <f t="shared" si="0"/>
        <v>-5.4894715721089411E-3</v>
      </c>
    </row>
    <row r="25" spans="1:3" ht="14.25" customHeight="1" x14ac:dyDescent="0.3">
      <c r="A25" s="22">
        <v>46232</v>
      </c>
      <c r="B25" s="23">
        <v>660.35500000000002</v>
      </c>
      <c r="C25" s="24">
        <f t="shared" si="0"/>
        <v>1.2136037655743016E-2</v>
      </c>
    </row>
    <row r="26" spans="1:3" ht="14.25" customHeight="1" x14ac:dyDescent="0.3">
      <c r="A26" s="22">
        <v>46231</v>
      </c>
      <c r="B26" s="23">
        <v>652.43700000000001</v>
      </c>
      <c r="C26" s="24">
        <f t="shared" si="0"/>
        <v>-5.6678594724424341E-3</v>
      </c>
    </row>
    <row r="27" spans="1:3" ht="14.25" customHeight="1" x14ac:dyDescent="0.3">
      <c r="A27" s="22">
        <v>46230</v>
      </c>
      <c r="B27" s="23">
        <v>656.15599999999995</v>
      </c>
      <c r="C27" s="24">
        <f t="shared" si="0"/>
        <v>9.312384825765763E-3</v>
      </c>
    </row>
    <row r="28" spans="1:3" ht="14.25" customHeight="1" x14ac:dyDescent="0.3">
      <c r="A28" s="22">
        <v>46227</v>
      </c>
      <c r="B28" s="23">
        <v>650.10199999999998</v>
      </c>
      <c r="C28" s="24">
        <f t="shared" si="0"/>
        <v>1.7010838246033547E-3</v>
      </c>
    </row>
    <row r="29" spans="1:3" ht="14.25" customHeight="1" x14ac:dyDescent="0.3">
      <c r="A29" s="22">
        <v>46226</v>
      </c>
      <c r="B29" s="23">
        <v>648.99800000000005</v>
      </c>
      <c r="C29" s="24">
        <f t="shared" si="0"/>
        <v>-1.2950314290363819E-2</v>
      </c>
    </row>
    <row r="30" spans="1:3" ht="14.25" customHeight="1" x14ac:dyDescent="0.3">
      <c r="A30" s="22">
        <v>46225</v>
      </c>
      <c r="B30" s="23">
        <v>657.51300000000003</v>
      </c>
      <c r="C30" s="24">
        <f t="shared" si="0"/>
        <v>-1.5669630827270253E-2</v>
      </c>
    </row>
    <row r="31" spans="1:3" ht="14.25" customHeight="1" x14ac:dyDescent="0.3">
      <c r="A31" s="22">
        <v>46224</v>
      </c>
      <c r="B31" s="23">
        <v>667.98</v>
      </c>
      <c r="C31" s="24">
        <f t="shared" si="0"/>
        <v>1.2876224852763401E-3</v>
      </c>
    </row>
    <row r="32" spans="1:3" ht="14.25" customHeight="1" x14ac:dyDescent="0.3">
      <c r="A32" s="22">
        <v>46223</v>
      </c>
      <c r="B32" s="23">
        <v>667.12099999999998</v>
      </c>
      <c r="C32" s="24">
        <f t="shared" si="0"/>
        <v>5.9714006101083093E-3</v>
      </c>
    </row>
    <row r="33" spans="1:3" ht="14.25" customHeight="1" x14ac:dyDescent="0.3">
      <c r="A33" s="22">
        <v>46220</v>
      </c>
      <c r="B33" s="23">
        <v>663.16099999999994</v>
      </c>
      <c r="C33" s="24">
        <f t="shared" si="0"/>
        <v>-5.4105377381245075E-4</v>
      </c>
    </row>
    <row r="34" spans="1:3" ht="14.25" customHeight="1" x14ac:dyDescent="0.3">
      <c r="A34" s="22">
        <v>46219</v>
      </c>
      <c r="B34" s="23">
        <v>663.52</v>
      </c>
      <c r="C34" s="24">
        <f t="shared" si="0"/>
        <v>4.2367834219632599E-4</v>
      </c>
    </row>
    <row r="35" spans="1:3" ht="14.25" customHeight="1" x14ac:dyDescent="0.3">
      <c r="A35" s="22">
        <v>46218</v>
      </c>
      <c r="B35" s="23">
        <v>663.23900000000003</v>
      </c>
      <c r="C35" s="24">
        <f t="shared" si="0"/>
        <v>-2.5356243185320477E-3</v>
      </c>
    </row>
    <row r="36" spans="1:3" ht="14.25" customHeight="1" x14ac:dyDescent="0.3">
      <c r="A36" s="22">
        <v>46217</v>
      </c>
      <c r="B36" s="23">
        <v>664.92499999999995</v>
      </c>
      <c r="C36" s="24">
        <f t="shared" si="0"/>
        <v>-2.2704172154771379E-4</v>
      </c>
    </row>
    <row r="37" spans="1:3" ht="14.25" customHeight="1" x14ac:dyDescent="0.3">
      <c r="A37" s="22">
        <v>46216</v>
      </c>
      <c r="B37" s="23">
        <v>665.07600000000002</v>
      </c>
      <c r="C37" s="24">
        <f t="shared" si="0"/>
        <v>3.0994493387088251E-3</v>
      </c>
    </row>
    <row r="38" spans="1:3" ht="14.25" customHeight="1" x14ac:dyDescent="0.3">
      <c r="A38" s="22">
        <v>46213</v>
      </c>
      <c r="B38" s="23">
        <v>663.02099999999996</v>
      </c>
      <c r="C38" s="24">
        <f t="shared" si="0"/>
        <v>1.0548696844993042E-2</v>
      </c>
    </row>
    <row r="39" spans="1:3" ht="14.25" customHeight="1" x14ac:dyDescent="0.3">
      <c r="A39" s="22">
        <v>46212</v>
      </c>
      <c r="B39" s="23">
        <v>656.1</v>
      </c>
      <c r="C39" s="24">
        <f t="shared" si="0"/>
        <v>1.0905639562295229E-2</v>
      </c>
    </row>
    <row r="40" spans="1:3" ht="14.25" customHeight="1" x14ac:dyDescent="0.3">
      <c r="A40" s="22">
        <v>46211</v>
      </c>
      <c r="B40" s="23">
        <v>649.02200000000005</v>
      </c>
      <c r="C40" s="24">
        <f t="shared" si="0"/>
        <v>-1.8089833413769563E-2</v>
      </c>
    </row>
    <row r="41" spans="1:3" ht="14.25" customHeight="1" x14ac:dyDescent="0.3">
      <c r="A41" s="22">
        <v>46210</v>
      </c>
      <c r="B41" s="23">
        <v>660.97900000000004</v>
      </c>
      <c r="C41" s="24">
        <f t="shared" si="0"/>
        <v>-7.3989421930421226E-3</v>
      </c>
    </row>
    <row r="42" spans="1:3" ht="14.25" customHeight="1" x14ac:dyDescent="0.3">
      <c r="A42" s="22">
        <v>46209</v>
      </c>
      <c r="B42" s="23">
        <v>665.90599999999995</v>
      </c>
      <c r="C42" s="24">
        <f t="shared" si="0"/>
        <v>2.3281977796499399E-4</v>
      </c>
    </row>
    <row r="43" spans="1:3" ht="14.25" customHeight="1" x14ac:dyDescent="0.3">
      <c r="A43" s="22">
        <v>46206</v>
      </c>
      <c r="B43" s="23">
        <v>665.75099999999998</v>
      </c>
      <c r="C43" s="24">
        <f t="shared" si="0"/>
        <v>4.9329567702115062E-3</v>
      </c>
    </row>
    <row r="44" spans="1:3" ht="14.25" customHeight="1" x14ac:dyDescent="0.3">
      <c r="A44" s="22">
        <v>46205</v>
      </c>
      <c r="B44" s="23">
        <v>662.48299999999995</v>
      </c>
      <c r="C44" s="24">
        <f t="shared" si="0"/>
        <v>7.3121333669872446E-3</v>
      </c>
    </row>
    <row r="45" spans="1:3" ht="14.25" customHeight="1" x14ac:dyDescent="0.3">
      <c r="A45" s="22">
        <v>46204</v>
      </c>
      <c r="B45" s="23">
        <v>657.67399999999998</v>
      </c>
      <c r="C45" s="24">
        <f t="shared" si="0"/>
        <v>2.2096113522210884E-3</v>
      </c>
    </row>
    <row r="46" spans="1:3" ht="14.25" customHeight="1" x14ac:dyDescent="0.3">
      <c r="A46" s="22">
        <v>46203</v>
      </c>
      <c r="B46" s="23">
        <v>656.22400000000005</v>
      </c>
      <c r="C46" s="24">
        <f t="shared" si="0"/>
        <v>1.0922826266041119E-3</v>
      </c>
    </row>
    <row r="47" spans="1:3" ht="14.25" customHeight="1" x14ac:dyDescent="0.3">
      <c r="A47" s="22">
        <v>46202</v>
      </c>
      <c r="B47" s="23">
        <v>655.50800000000004</v>
      </c>
      <c r="C47" s="24">
        <f t="shared" si="0"/>
        <v>-5.2551629737878688E-3</v>
      </c>
    </row>
    <row r="48" spans="1:3" ht="14.25" customHeight="1" x14ac:dyDescent="0.3">
      <c r="A48" s="22">
        <v>46198</v>
      </c>
      <c r="B48" s="23">
        <v>658.971</v>
      </c>
      <c r="C48" s="24">
        <f t="shared" si="0"/>
        <v>2.70849722531193E-3</v>
      </c>
    </row>
    <row r="49" spans="1:3" ht="14.25" customHeight="1" x14ac:dyDescent="0.3">
      <c r="A49" s="22">
        <v>46197</v>
      </c>
      <c r="B49" s="23">
        <v>657.19100000000003</v>
      </c>
      <c r="C49" s="24">
        <f t="shared" si="0"/>
        <v>9.1968390760471148E-3</v>
      </c>
    </row>
    <row r="50" spans="1:3" ht="14.25" customHeight="1" x14ac:dyDescent="0.3">
      <c r="A50" s="22">
        <v>46196</v>
      </c>
      <c r="B50" s="23">
        <v>651.202</v>
      </c>
      <c r="C50" s="24">
        <f t="shared" si="0"/>
        <v>-1.0544836828526449E-2</v>
      </c>
    </row>
    <row r="51" spans="1:3" ht="14.25" customHeight="1" x14ac:dyDescent="0.3">
      <c r="A51" s="22">
        <v>46195</v>
      </c>
      <c r="B51" s="23">
        <v>658.14200000000005</v>
      </c>
      <c r="C51" s="24">
        <f t="shared" si="0"/>
        <v>8.0426901274486713E-3</v>
      </c>
    </row>
    <row r="52" spans="1:3" ht="14.25" customHeight="1" x14ac:dyDescent="0.3">
      <c r="A52" s="22">
        <v>46192</v>
      </c>
      <c r="B52" s="23">
        <v>652.89099999999996</v>
      </c>
      <c r="C52" s="24">
        <f t="shared" si="0"/>
        <v>2.9540622580526261E-3</v>
      </c>
    </row>
    <row r="53" spans="1:3" ht="14.25" customHeight="1" x14ac:dyDescent="0.3">
      <c r="A53" s="22">
        <v>46191</v>
      </c>
      <c r="B53" s="23">
        <v>650.96799999999996</v>
      </c>
      <c r="C53" s="24">
        <f t="shared" si="0"/>
        <v>1.2699030032435983E-2</v>
      </c>
    </row>
    <row r="54" spans="1:3" ht="14.25" customHeight="1" x14ac:dyDescent="0.3">
      <c r="A54" s="22">
        <v>46190</v>
      </c>
      <c r="B54" s="23">
        <v>642.80499999999995</v>
      </c>
      <c r="C54" s="24">
        <f t="shared" si="0"/>
        <v>7.8779509231677433E-4</v>
      </c>
    </row>
    <row r="55" spans="1:3" ht="14.25" customHeight="1" x14ac:dyDescent="0.3">
      <c r="A55" s="22">
        <v>46189</v>
      </c>
      <c r="B55" s="23">
        <v>642.29899999999998</v>
      </c>
      <c r="C55" s="24">
        <f t="shared" si="0"/>
        <v>4.7476472943884969E-3</v>
      </c>
    </row>
    <row r="56" spans="1:3" ht="14.25" customHeight="1" x14ac:dyDescent="0.3">
      <c r="A56" s="22">
        <v>46188</v>
      </c>
      <c r="B56" s="23">
        <v>639.26400000000001</v>
      </c>
      <c r="C56" s="24">
        <f t="shared" si="0"/>
        <v>8.1253082215908615E-4</v>
      </c>
    </row>
    <row r="57" spans="1:3" ht="14.25" customHeight="1" x14ac:dyDescent="0.3">
      <c r="A57" s="22">
        <v>46185</v>
      </c>
      <c r="B57" s="23">
        <v>638.745</v>
      </c>
      <c r="C57" s="24">
        <f t="shared" si="0"/>
        <v>1.9325444636830075E-2</v>
      </c>
    </row>
    <row r="58" spans="1:3" ht="14.25" customHeight="1" x14ac:dyDescent="0.3">
      <c r="A58" s="22">
        <v>46184</v>
      </c>
      <c r="B58" s="23">
        <v>626.63499999999999</v>
      </c>
      <c r="C58" s="24">
        <f t="shared" si="0"/>
        <v>-5.7326639672003023E-3</v>
      </c>
    </row>
    <row r="59" spans="1:3" ht="14.25" customHeight="1" x14ac:dyDescent="0.3">
      <c r="A59" s="22">
        <v>46183</v>
      </c>
      <c r="B59" s="23">
        <v>630.24800000000005</v>
      </c>
      <c r="C59" s="24">
        <f t="shared" si="0"/>
        <v>-1.0085303352291278E-2</v>
      </c>
    </row>
    <row r="60" spans="1:3" ht="14.25" customHeight="1" x14ac:dyDescent="0.3">
      <c r="A60" s="22">
        <v>46182</v>
      </c>
      <c r="B60" s="23">
        <v>636.66899999999998</v>
      </c>
      <c r="C60" s="24">
        <f t="shared" si="0"/>
        <v>1.2200414947654557E-2</v>
      </c>
    </row>
    <row r="61" spans="1:3" ht="14.25" customHeight="1" x14ac:dyDescent="0.3">
      <c r="A61" s="22">
        <v>46181</v>
      </c>
      <c r="B61" s="23">
        <v>628.995</v>
      </c>
      <c r="C61" s="24">
        <f t="shared" si="0"/>
        <v>-1.8552470412008373E-2</v>
      </c>
    </row>
    <row r="62" spans="1:3" ht="14.25" customHeight="1" x14ac:dyDescent="0.3">
      <c r="A62" s="22">
        <v>46178</v>
      </c>
      <c r="B62" s="23">
        <v>640.88499999999999</v>
      </c>
      <c r="C62" s="24">
        <f t="shared" si="0"/>
        <v>5.2010056950699156E-3</v>
      </c>
    </row>
    <row r="63" spans="1:3" ht="14.25" customHeight="1" x14ac:dyDescent="0.3">
      <c r="A63" s="22">
        <v>46177</v>
      </c>
      <c r="B63" s="23">
        <v>637.56899999999996</v>
      </c>
      <c r="C63" s="24">
        <f t="shared" si="0"/>
        <v>2.4039368593170183E-3</v>
      </c>
    </row>
    <row r="64" spans="1:3" ht="14.25" customHeight="1" x14ac:dyDescent="0.3">
      <c r="A64" s="22">
        <v>46176</v>
      </c>
      <c r="B64" s="23">
        <v>636.04</v>
      </c>
      <c r="C64" s="24">
        <f t="shared" si="0"/>
        <v>-8.9693706203635565E-4</v>
      </c>
    </row>
    <row r="65" spans="1:3" ht="14.25" customHeight="1" x14ac:dyDescent="0.3">
      <c r="A65" s="22">
        <v>46175</v>
      </c>
      <c r="B65" s="23">
        <v>636.61099999999999</v>
      </c>
      <c r="C65" s="24">
        <f t="shared" si="0"/>
        <v>2.4943821286338161E-3</v>
      </c>
    </row>
    <row r="66" spans="1:3" ht="14.25" customHeight="1" x14ac:dyDescent="0.3">
      <c r="A66" s="22">
        <v>46174</v>
      </c>
      <c r="B66" s="23">
        <v>635.02700000000004</v>
      </c>
      <c r="C66" s="24">
        <f t="shared" ref="C66:C129" si="1">(B66-B67)/B67</f>
        <v>-1.0859829999735171E-2</v>
      </c>
    </row>
    <row r="67" spans="1:3" ht="14.25" customHeight="1" x14ac:dyDescent="0.3">
      <c r="A67" s="22">
        <v>46171</v>
      </c>
      <c r="B67" s="23">
        <v>641.99900000000002</v>
      </c>
      <c r="C67" s="24">
        <f t="shared" si="1"/>
        <v>-8.9059663336256267E-3</v>
      </c>
    </row>
    <row r="68" spans="1:3" ht="14.25" customHeight="1" x14ac:dyDescent="0.3">
      <c r="A68" s="22">
        <v>46169</v>
      </c>
      <c r="B68" s="23">
        <v>647.76800000000003</v>
      </c>
      <c r="C68" s="24">
        <f t="shared" si="1"/>
        <v>5.1719723478707456E-3</v>
      </c>
    </row>
    <row r="69" spans="1:3" ht="14.25" customHeight="1" x14ac:dyDescent="0.3">
      <c r="A69" s="22">
        <v>46168</v>
      </c>
      <c r="B69" s="23">
        <v>644.43499999999995</v>
      </c>
      <c r="C69" s="24">
        <f t="shared" si="1"/>
        <v>5.817002441049551E-3</v>
      </c>
    </row>
    <row r="70" spans="1:3" ht="14.25" customHeight="1" x14ac:dyDescent="0.3">
      <c r="A70" s="22">
        <v>46167</v>
      </c>
      <c r="B70" s="23">
        <v>640.70799999999997</v>
      </c>
      <c r="C70" s="24">
        <f t="shared" si="1"/>
        <v>1.4608469269956631E-2</v>
      </c>
    </row>
    <row r="71" spans="1:3" ht="14.25" customHeight="1" x14ac:dyDescent="0.3">
      <c r="A71" s="22">
        <v>46164</v>
      </c>
      <c r="B71" s="23">
        <v>631.48299999999995</v>
      </c>
      <c r="C71" s="24">
        <f t="shared" si="1"/>
        <v>-7.0897118202744918E-3</v>
      </c>
    </row>
    <row r="72" spans="1:3" ht="14.25" customHeight="1" x14ac:dyDescent="0.3">
      <c r="A72" s="22">
        <v>46163</v>
      </c>
      <c r="B72" s="23">
        <v>635.99199999999996</v>
      </c>
      <c r="C72" s="24">
        <f t="shared" si="1"/>
        <v>8.2004505254280585E-3</v>
      </c>
    </row>
    <row r="73" spans="1:3" ht="14.25" customHeight="1" x14ac:dyDescent="0.3">
      <c r="A73" s="22">
        <v>46162</v>
      </c>
      <c r="B73" s="23">
        <v>630.81899999999996</v>
      </c>
      <c r="C73" s="24">
        <f t="shared" si="1"/>
        <v>3.7344543591440512E-3</v>
      </c>
    </row>
    <row r="74" spans="1:3" ht="14.25" customHeight="1" x14ac:dyDescent="0.3">
      <c r="A74" s="22">
        <v>46161</v>
      </c>
      <c r="B74" s="23">
        <v>628.47199999999998</v>
      </c>
      <c r="C74" s="24">
        <f t="shared" si="1"/>
        <v>4.865460348017131E-3</v>
      </c>
    </row>
    <row r="75" spans="1:3" ht="14.25" customHeight="1" x14ac:dyDescent="0.3">
      <c r="A75" s="22">
        <v>46160</v>
      </c>
      <c r="B75" s="23">
        <v>625.42899999999997</v>
      </c>
      <c r="C75" s="24">
        <f t="shared" si="1"/>
        <v>-6.695836542813821E-3</v>
      </c>
    </row>
    <row r="76" spans="1:3" ht="14.25" customHeight="1" x14ac:dyDescent="0.3">
      <c r="A76" s="22">
        <v>46157</v>
      </c>
      <c r="B76" s="23">
        <v>629.64499999999998</v>
      </c>
      <c r="C76" s="24">
        <f t="shared" si="1"/>
        <v>-5.1775732238728365E-3</v>
      </c>
    </row>
    <row r="77" spans="1:3" ht="14.25" customHeight="1" x14ac:dyDescent="0.3">
      <c r="A77" s="22">
        <v>46156</v>
      </c>
      <c r="B77" s="23">
        <v>632.92200000000003</v>
      </c>
      <c r="C77" s="24">
        <f t="shared" si="1"/>
        <v>1.1944980502069711E-2</v>
      </c>
    </row>
    <row r="78" spans="1:3" ht="14.25" customHeight="1" x14ac:dyDescent="0.3">
      <c r="A78" s="22">
        <v>46155</v>
      </c>
      <c r="B78" s="23">
        <v>625.45100000000002</v>
      </c>
      <c r="C78" s="24">
        <f t="shared" si="1"/>
        <v>1.0248648858192341E-2</v>
      </c>
    </row>
    <row r="79" spans="1:3" ht="14.25" customHeight="1" x14ac:dyDescent="0.3">
      <c r="A79" s="22">
        <v>46154</v>
      </c>
      <c r="B79" s="23">
        <v>619.10599999999999</v>
      </c>
      <c r="C79" s="24">
        <f t="shared" si="1"/>
        <v>-3.3370336888485098E-2</v>
      </c>
    </row>
    <row r="80" spans="1:3" ht="14.25" customHeight="1" x14ac:dyDescent="0.3">
      <c r="A80" s="22">
        <v>46150</v>
      </c>
      <c r="B80" s="23">
        <v>640.47900000000004</v>
      </c>
      <c r="C80" s="24">
        <f t="shared" si="1"/>
        <v>-7.1832376653392727E-3</v>
      </c>
    </row>
    <row r="81" spans="1:3" ht="14.25" customHeight="1" x14ac:dyDescent="0.3">
      <c r="A81" s="22">
        <v>46149</v>
      </c>
      <c r="B81" s="23">
        <v>645.11300000000006</v>
      </c>
      <c r="C81" s="24">
        <f t="shared" si="1"/>
        <v>1.0415638807573957E-2</v>
      </c>
    </row>
    <row r="82" spans="1:3" ht="14.25" customHeight="1" x14ac:dyDescent="0.3">
      <c r="A82" s="22">
        <v>46148</v>
      </c>
      <c r="B82" s="23">
        <v>638.46299999999997</v>
      </c>
      <c r="C82" s="24">
        <f t="shared" si="1"/>
        <v>1.9954566657933558E-2</v>
      </c>
    </row>
    <row r="83" spans="1:3" ht="14.25" customHeight="1" x14ac:dyDescent="0.3">
      <c r="A83" s="22">
        <v>46147</v>
      </c>
      <c r="B83" s="23">
        <v>625.97199999999998</v>
      </c>
      <c r="C83" s="24">
        <f t="shared" si="1"/>
        <v>4.6753196727757898E-3</v>
      </c>
    </row>
    <row r="84" spans="1:3" ht="14.25" customHeight="1" x14ac:dyDescent="0.3">
      <c r="A84" s="22">
        <v>46146</v>
      </c>
      <c r="B84" s="23">
        <v>623.05899999999997</v>
      </c>
      <c r="C84" s="24">
        <f t="shared" si="1"/>
        <v>8.8194529899030503E-3</v>
      </c>
    </row>
    <row r="85" spans="1:3" ht="14.25" customHeight="1" x14ac:dyDescent="0.3">
      <c r="A85" s="22">
        <v>46142</v>
      </c>
      <c r="B85" s="23">
        <v>617.61199999999997</v>
      </c>
      <c r="C85" s="24">
        <f t="shared" si="1"/>
        <v>-5.5245772031888938E-3</v>
      </c>
    </row>
    <row r="86" spans="1:3" ht="14.25" customHeight="1" x14ac:dyDescent="0.3">
      <c r="A86" s="22">
        <v>46141</v>
      </c>
      <c r="B86" s="23">
        <v>621.04300000000001</v>
      </c>
      <c r="C86" s="24">
        <f t="shared" si="1"/>
        <v>-3.1396519095536544E-3</v>
      </c>
    </row>
    <row r="87" spans="1:3" ht="14.25" customHeight="1" x14ac:dyDescent="0.3">
      <c r="A87" s="22">
        <v>46140</v>
      </c>
      <c r="B87" s="23">
        <v>622.99900000000002</v>
      </c>
      <c r="C87" s="24">
        <f t="shared" si="1"/>
        <v>2.8427337247056684E-3</v>
      </c>
    </row>
    <row r="88" spans="1:3" ht="14.25" customHeight="1" x14ac:dyDescent="0.3">
      <c r="A88" s="22">
        <v>46139</v>
      </c>
      <c r="B88" s="23">
        <v>621.23299999999995</v>
      </c>
      <c r="C88" s="24">
        <f t="shared" si="1"/>
        <v>1.1607135587562272E-2</v>
      </c>
    </row>
    <row r="89" spans="1:3" ht="14.25" customHeight="1" x14ac:dyDescent="0.3">
      <c r="A89" s="22">
        <v>46136</v>
      </c>
      <c r="B89" s="23">
        <v>614.10500000000002</v>
      </c>
      <c r="C89" s="24">
        <f t="shared" si="1"/>
        <v>-9.6023120380479138E-3</v>
      </c>
    </row>
    <row r="90" spans="1:3" ht="14.25" customHeight="1" x14ac:dyDescent="0.3">
      <c r="A90" s="22">
        <v>46135</v>
      </c>
      <c r="B90" s="23">
        <v>620.05899999999997</v>
      </c>
      <c r="C90" s="24">
        <f t="shared" si="1"/>
        <v>-3.6411842686700298E-3</v>
      </c>
    </row>
    <row r="91" spans="1:3" ht="14.25" customHeight="1" x14ac:dyDescent="0.3">
      <c r="A91" s="22">
        <v>46134</v>
      </c>
      <c r="B91" s="23">
        <v>622.32500000000005</v>
      </c>
      <c r="C91" s="24">
        <f t="shared" si="1"/>
        <v>1.2837768558859628E-2</v>
      </c>
    </row>
    <row r="92" spans="1:3" ht="14.25" customHeight="1" x14ac:dyDescent="0.3">
      <c r="A92" s="22">
        <v>46133</v>
      </c>
      <c r="B92" s="23">
        <v>614.43700000000001</v>
      </c>
      <c r="C92" s="24">
        <f t="shared" si="1"/>
        <v>6.7753341788163741E-3</v>
      </c>
    </row>
    <row r="93" spans="1:3" ht="14.25" customHeight="1" x14ac:dyDescent="0.3">
      <c r="A93" s="22">
        <v>46132</v>
      </c>
      <c r="B93" s="23">
        <v>610.30200000000002</v>
      </c>
      <c r="C93" s="24">
        <f t="shared" si="1"/>
        <v>-3.5690495160722092E-3</v>
      </c>
    </row>
    <row r="94" spans="1:3" ht="14.25" customHeight="1" x14ac:dyDescent="0.3">
      <c r="A94" s="22">
        <v>46129</v>
      </c>
      <c r="B94" s="23">
        <v>612.48800000000006</v>
      </c>
      <c r="C94" s="24">
        <f t="shared" si="1"/>
        <v>1.0884760180427942E-2</v>
      </c>
    </row>
    <row r="95" spans="1:3" ht="14.25" customHeight="1" x14ac:dyDescent="0.3">
      <c r="A95" s="22">
        <v>46128</v>
      </c>
      <c r="B95" s="23">
        <v>605.89300000000003</v>
      </c>
      <c r="C95" s="24">
        <f t="shared" si="1"/>
        <v>9.4733983442379637E-3</v>
      </c>
    </row>
    <row r="96" spans="1:3" ht="14.25" customHeight="1" x14ac:dyDescent="0.3">
      <c r="A96" s="22">
        <v>46127</v>
      </c>
      <c r="B96" s="23">
        <v>600.20699999999999</v>
      </c>
      <c r="C96" s="24">
        <f t="shared" si="1"/>
        <v>1.767774818110459E-2</v>
      </c>
    </row>
    <row r="97" spans="1:3" ht="14.25" customHeight="1" x14ac:dyDescent="0.3">
      <c r="A97" s="22">
        <v>46125</v>
      </c>
      <c r="B97" s="23">
        <v>589.78099999999995</v>
      </c>
      <c r="C97" s="24">
        <f t="shared" si="1"/>
        <v>-1.6352177835858807E-3</v>
      </c>
    </row>
    <row r="98" spans="1:3" ht="14.25" customHeight="1" x14ac:dyDescent="0.3">
      <c r="A98" s="22">
        <v>46122</v>
      </c>
      <c r="B98" s="23">
        <v>590.74699999999996</v>
      </c>
      <c r="C98" s="24">
        <f t="shared" si="1"/>
        <v>1.8655764163827165E-2</v>
      </c>
    </row>
    <row r="99" spans="1:3" ht="14.25" customHeight="1" x14ac:dyDescent="0.3">
      <c r="A99" s="22">
        <v>46121</v>
      </c>
      <c r="B99" s="23">
        <v>579.928</v>
      </c>
      <c r="C99" s="24">
        <f t="shared" si="1"/>
        <v>5.173082726288307E-6</v>
      </c>
    </row>
    <row r="100" spans="1:3" ht="14.25" customHeight="1" x14ac:dyDescent="0.3">
      <c r="A100" s="22">
        <v>46120</v>
      </c>
      <c r="B100" s="23">
        <v>579.92499999999995</v>
      </c>
      <c r="C100" s="24">
        <f t="shared" si="1"/>
        <v>3.5022184464806358E-2</v>
      </c>
    </row>
    <row r="101" spans="1:3" ht="14.25" customHeight="1" x14ac:dyDescent="0.3">
      <c r="A101" s="22">
        <v>46119</v>
      </c>
      <c r="B101" s="23">
        <v>560.30200000000002</v>
      </c>
      <c r="C101" s="24">
        <f t="shared" si="1"/>
        <v>1.4602714996827569E-3</v>
      </c>
    </row>
    <row r="102" spans="1:3" ht="14.25" customHeight="1" x14ac:dyDescent="0.3">
      <c r="A102" s="22">
        <v>46118</v>
      </c>
      <c r="B102" s="23">
        <v>559.48500000000001</v>
      </c>
      <c r="C102" s="24">
        <f t="shared" si="1"/>
        <v>1.2380506040970362E-2</v>
      </c>
    </row>
    <row r="103" spans="1:3" ht="14.25" customHeight="1" x14ac:dyDescent="0.3">
      <c r="A103" s="22">
        <v>46114</v>
      </c>
      <c r="B103" s="23">
        <v>552.64300000000003</v>
      </c>
      <c r="C103" s="24">
        <f t="shared" si="1"/>
        <v>2.1724741361332117E-3</v>
      </c>
    </row>
    <row r="104" spans="1:3" ht="14.25" customHeight="1" x14ac:dyDescent="0.3">
      <c r="A104" s="22">
        <v>46113</v>
      </c>
      <c r="B104" s="23">
        <v>551.44500000000005</v>
      </c>
      <c r="C104" s="24">
        <f t="shared" si="1"/>
        <v>2.8293477936569503E-2</v>
      </c>
    </row>
    <row r="105" spans="1:3" ht="14.25" customHeight="1" x14ac:dyDescent="0.3">
      <c r="A105" s="22">
        <v>46111</v>
      </c>
      <c r="B105" s="23">
        <v>536.27200000000005</v>
      </c>
      <c r="C105" s="24">
        <f t="shared" si="1"/>
        <v>-2.0995923493855987E-2</v>
      </c>
    </row>
    <row r="106" spans="1:3" ht="14.25" customHeight="1" x14ac:dyDescent="0.3">
      <c r="A106" s="22">
        <v>46108</v>
      </c>
      <c r="B106" s="23">
        <v>547.77300000000002</v>
      </c>
      <c r="C106" s="24">
        <f t="shared" si="1"/>
        <v>-1.6967919774311283E-2</v>
      </c>
    </row>
    <row r="107" spans="1:3" ht="14.25" customHeight="1" x14ac:dyDescent="0.3">
      <c r="A107" s="22">
        <v>46106</v>
      </c>
      <c r="B107" s="23">
        <v>557.22799999999995</v>
      </c>
      <c r="C107" s="24">
        <f t="shared" si="1"/>
        <v>1.5734711882696827E-2</v>
      </c>
    </row>
    <row r="108" spans="1:3" ht="14.25" customHeight="1" x14ac:dyDescent="0.3">
      <c r="A108" s="22">
        <v>46105</v>
      </c>
      <c r="B108" s="23">
        <v>548.596</v>
      </c>
      <c r="C108" s="24">
        <f t="shared" si="1"/>
        <v>1.7965760770735251E-2</v>
      </c>
    </row>
    <row r="109" spans="1:3" ht="14.25" customHeight="1" x14ac:dyDescent="0.3">
      <c r="A109" s="22">
        <v>46104</v>
      </c>
      <c r="B109" s="23">
        <v>538.91399999999999</v>
      </c>
      <c r="C109" s="24">
        <f t="shared" si="1"/>
        <v>-2.796270677125709E-2</v>
      </c>
    </row>
    <row r="110" spans="1:3" ht="14.25" customHeight="1" x14ac:dyDescent="0.3">
      <c r="A110" s="22">
        <v>46101</v>
      </c>
      <c r="B110" s="23">
        <v>554.41700000000003</v>
      </c>
      <c r="C110" s="24">
        <f t="shared" si="1"/>
        <v>5.8035114963590978E-3</v>
      </c>
    </row>
    <row r="111" spans="1:3" ht="14.25" customHeight="1" x14ac:dyDescent="0.3">
      <c r="A111" s="22">
        <v>46100</v>
      </c>
      <c r="B111" s="23">
        <v>551.21799999999996</v>
      </c>
      <c r="C111" s="24">
        <f t="shared" si="1"/>
        <v>-2.4296213430003682E-2</v>
      </c>
    </row>
    <row r="112" spans="1:3" ht="14.25" customHeight="1" x14ac:dyDescent="0.3">
      <c r="A112" s="22">
        <v>46099</v>
      </c>
      <c r="B112" s="23">
        <v>564.94399999999996</v>
      </c>
      <c r="C112" s="24">
        <f t="shared" si="1"/>
        <v>1.1277307193847879E-2</v>
      </c>
    </row>
    <row r="113" spans="1:3" ht="14.25" customHeight="1" x14ac:dyDescent="0.3">
      <c r="A113" s="22">
        <v>46098</v>
      </c>
      <c r="B113" s="23">
        <v>558.64400000000001</v>
      </c>
      <c r="C113" s="24">
        <f t="shared" si="1"/>
        <v>5.581926151531023E-3</v>
      </c>
    </row>
    <row r="114" spans="1:3" ht="14.25" customHeight="1" x14ac:dyDescent="0.3">
      <c r="A114" s="22">
        <v>46097</v>
      </c>
      <c r="B114" s="23">
        <v>555.54300000000001</v>
      </c>
      <c r="C114" s="24">
        <f t="shared" si="1"/>
        <v>8.2149284706724767E-4</v>
      </c>
    </row>
    <row r="115" spans="1:3" ht="14.25" customHeight="1" x14ac:dyDescent="0.3">
      <c r="A115" s="22">
        <v>46094</v>
      </c>
      <c r="B115" s="23">
        <v>555.08699999999999</v>
      </c>
      <c r="C115" s="24">
        <f t="shared" si="1"/>
        <v>-1.9957944246995405E-2</v>
      </c>
    </row>
    <row r="116" spans="1:3" ht="14.25" customHeight="1" x14ac:dyDescent="0.3">
      <c r="A116" s="22">
        <v>46093</v>
      </c>
      <c r="B116" s="23">
        <v>566.39099999999996</v>
      </c>
      <c r="C116" s="24">
        <f t="shared" si="1"/>
        <v>5.9409000330344474E-3</v>
      </c>
    </row>
    <row r="117" spans="1:3" ht="14.25" customHeight="1" x14ac:dyDescent="0.3">
      <c r="A117" s="22">
        <v>46092</v>
      </c>
      <c r="B117" s="23">
        <v>563.04600000000005</v>
      </c>
      <c r="C117" s="24">
        <f t="shared" si="1"/>
        <v>-3.4866269273788951E-3</v>
      </c>
    </row>
    <row r="118" spans="1:3" ht="14.25" customHeight="1" x14ac:dyDescent="0.3">
      <c r="A118" s="22">
        <v>46091</v>
      </c>
      <c r="B118" s="23">
        <v>565.01599999999996</v>
      </c>
      <c r="C118" s="24">
        <f t="shared" si="1"/>
        <v>1.6526635841893962E-2</v>
      </c>
    </row>
    <row r="119" spans="1:3" ht="14.25" customHeight="1" x14ac:dyDescent="0.3">
      <c r="A119" s="22">
        <v>46090</v>
      </c>
      <c r="B119" s="23">
        <v>555.83000000000004</v>
      </c>
      <c r="C119" s="24">
        <f t="shared" si="1"/>
        <v>-1.3558840754609804E-2</v>
      </c>
    </row>
    <row r="120" spans="1:3" ht="14.25" customHeight="1" x14ac:dyDescent="0.3">
      <c r="A120" s="22">
        <v>46087</v>
      </c>
      <c r="B120" s="23">
        <v>563.47</v>
      </c>
      <c r="C120" s="24">
        <f t="shared" si="1"/>
        <v>-5.4960959010489519E-3</v>
      </c>
    </row>
    <row r="121" spans="1:3" ht="14.25" customHeight="1" x14ac:dyDescent="0.3">
      <c r="A121" s="22">
        <v>46086</v>
      </c>
      <c r="B121" s="23">
        <v>566.58399999999995</v>
      </c>
      <c r="C121" s="24">
        <f t="shared" si="1"/>
        <v>9.9050491331075016E-3</v>
      </c>
    </row>
    <row r="122" spans="1:3" ht="14.25" customHeight="1" x14ac:dyDescent="0.3">
      <c r="A122" s="22">
        <v>46085</v>
      </c>
      <c r="B122" s="23">
        <v>561.02700000000004</v>
      </c>
      <c r="C122" s="24">
        <f t="shared" si="1"/>
        <v>-1.6063179383569558E-2</v>
      </c>
    </row>
    <row r="123" spans="1:3" ht="14.25" customHeight="1" x14ac:dyDescent="0.3">
      <c r="A123" s="22">
        <v>46083</v>
      </c>
      <c r="B123" s="23">
        <v>570.18600000000004</v>
      </c>
      <c r="C123" s="24">
        <f t="shared" si="1"/>
        <v>-1.7159621540280601E-2</v>
      </c>
    </row>
    <row r="124" spans="1:3" ht="14.25" customHeight="1" x14ac:dyDescent="0.3">
      <c r="A124" s="22">
        <v>46080</v>
      </c>
      <c r="B124" s="23">
        <v>580.14099999999996</v>
      </c>
      <c r="C124" s="24">
        <f t="shared" si="1"/>
        <v>-6.3322359969717676E-3</v>
      </c>
    </row>
    <row r="125" spans="1:3" ht="14.25" customHeight="1" x14ac:dyDescent="0.3">
      <c r="A125" s="22">
        <v>46079</v>
      </c>
      <c r="B125" s="23">
        <v>583.83799999999997</v>
      </c>
      <c r="C125" s="24">
        <f t="shared" si="1"/>
        <v>3.6564548375395216E-3</v>
      </c>
    </row>
    <row r="126" spans="1:3" ht="14.25" customHeight="1" x14ac:dyDescent="0.3">
      <c r="A126" s="22">
        <v>46078</v>
      </c>
      <c r="B126" s="23">
        <v>581.71100000000001</v>
      </c>
      <c r="C126" s="24">
        <f t="shared" si="1"/>
        <v>5.4358534722053868E-3</v>
      </c>
    </row>
    <row r="127" spans="1:3" ht="14.25" customHeight="1" x14ac:dyDescent="0.3">
      <c r="A127" s="22">
        <v>46077</v>
      </c>
      <c r="B127" s="23">
        <v>578.56600000000003</v>
      </c>
      <c r="C127" s="24">
        <f t="shared" si="1"/>
        <v>-3.6542859504586928E-3</v>
      </c>
    </row>
    <row r="128" spans="1:3" ht="14.25" customHeight="1" x14ac:dyDescent="0.3">
      <c r="A128" s="22">
        <v>46076</v>
      </c>
      <c r="B128" s="23">
        <v>580.68799999999999</v>
      </c>
      <c r="C128" s="24">
        <f t="shared" si="1"/>
        <v>3.2720878848372235E-5</v>
      </c>
    </row>
    <row r="129" spans="1:3" ht="14.25" customHeight="1" x14ac:dyDescent="0.3">
      <c r="A129" s="22">
        <v>46073</v>
      </c>
      <c r="B129" s="23">
        <v>580.66899999999998</v>
      </c>
      <c r="C129" s="24">
        <f t="shared" si="1"/>
        <v>2.3337827130914084E-3</v>
      </c>
    </row>
    <row r="130" spans="1:3" ht="14.25" customHeight="1" x14ac:dyDescent="0.3">
      <c r="A130" s="22">
        <v>46072</v>
      </c>
      <c r="B130" s="23">
        <v>579.31700000000001</v>
      </c>
      <c r="C130" s="24">
        <f t="shared" ref="C130:C193" si="2">(B130-B131)/B131</f>
        <v>-1.4713385762490398E-2</v>
      </c>
    </row>
    <row r="131" spans="1:3" ht="14.25" customHeight="1" x14ac:dyDescent="0.3">
      <c r="A131" s="22">
        <v>46071</v>
      </c>
      <c r="B131" s="23">
        <v>587.96799999999996</v>
      </c>
      <c r="C131" s="24">
        <f t="shared" si="2"/>
        <v>-2.5277458275229266E-3</v>
      </c>
    </row>
    <row r="132" spans="1:3" ht="14.25" customHeight="1" x14ac:dyDescent="0.3">
      <c r="A132" s="22">
        <v>46070</v>
      </c>
      <c r="B132" s="23">
        <v>589.45799999999997</v>
      </c>
      <c r="C132" s="24">
        <f t="shared" si="2"/>
        <v>6.6173369103952814E-3</v>
      </c>
    </row>
    <row r="133" spans="1:3" ht="14.25" customHeight="1" x14ac:dyDescent="0.3">
      <c r="A133" s="22">
        <v>46069</v>
      </c>
      <c r="B133" s="23">
        <v>585.58299999999997</v>
      </c>
      <c r="C133" s="24">
        <f t="shared" si="2"/>
        <v>-1.2968647023228733E-2</v>
      </c>
    </row>
    <row r="134" spans="1:3" ht="14.25" customHeight="1" x14ac:dyDescent="0.3">
      <c r="A134" s="22">
        <v>46065</v>
      </c>
      <c r="B134" s="23">
        <v>593.27700000000004</v>
      </c>
      <c r="C134" s="24">
        <f t="shared" si="2"/>
        <v>-5.373171361415646E-3</v>
      </c>
    </row>
    <row r="135" spans="1:3" ht="14.25" customHeight="1" x14ac:dyDescent="0.3">
      <c r="A135" s="22">
        <v>46064</v>
      </c>
      <c r="B135" s="23">
        <v>596.48199999999997</v>
      </c>
      <c r="C135" s="24">
        <f t="shared" si="2"/>
        <v>1.9906030099260457E-3</v>
      </c>
    </row>
    <row r="136" spans="1:3" ht="14.25" customHeight="1" x14ac:dyDescent="0.3">
      <c r="A136" s="22">
        <v>46063</v>
      </c>
      <c r="B136" s="23">
        <v>595.29700000000003</v>
      </c>
      <c r="C136" s="24">
        <f t="shared" si="2"/>
        <v>-2.7339934900129635E-3</v>
      </c>
    </row>
    <row r="137" spans="1:3" ht="14.25" customHeight="1" x14ac:dyDescent="0.3">
      <c r="A137" s="22">
        <v>46062</v>
      </c>
      <c r="B137" s="23">
        <v>596.92899999999997</v>
      </c>
      <c r="C137" s="24">
        <f t="shared" si="2"/>
        <v>1.1015793707922293E-2</v>
      </c>
    </row>
    <row r="138" spans="1:3" ht="14.25" customHeight="1" x14ac:dyDescent="0.3">
      <c r="A138" s="22">
        <v>46059</v>
      </c>
      <c r="B138" s="23">
        <v>590.42499999999995</v>
      </c>
      <c r="C138" s="24">
        <f t="shared" si="2"/>
        <v>-7.3621500863158636E-4</v>
      </c>
    </row>
    <row r="139" spans="1:3" ht="14.25" customHeight="1" x14ac:dyDescent="0.3">
      <c r="A139" s="22">
        <v>46058</v>
      </c>
      <c r="B139" s="23">
        <v>590.86</v>
      </c>
      <c r="C139" s="24">
        <f t="shared" si="2"/>
        <v>-5.8886869910491956E-3</v>
      </c>
    </row>
    <row r="140" spans="1:3" ht="14.25" customHeight="1" x14ac:dyDescent="0.3">
      <c r="A140" s="22">
        <v>46057</v>
      </c>
      <c r="B140" s="23">
        <v>594.36</v>
      </c>
      <c r="C140" s="24">
        <f t="shared" si="2"/>
        <v>9.979829630901018E-3</v>
      </c>
    </row>
    <row r="141" spans="1:3" ht="14.25" customHeight="1" x14ac:dyDescent="0.3">
      <c r="A141" s="22">
        <v>46056</v>
      </c>
      <c r="B141" s="23">
        <v>588.48699999999997</v>
      </c>
      <c r="C141" s="24">
        <f t="shared" si="2"/>
        <v>3.2415220785600211E-2</v>
      </c>
    </row>
    <row r="142" spans="1:3" ht="14.25" customHeight="1" x14ac:dyDescent="0.3">
      <c r="A142" s="22">
        <v>46055</v>
      </c>
      <c r="B142" s="23">
        <v>570.01</v>
      </c>
      <c r="C142" s="24">
        <f t="shared" si="2"/>
        <v>-1.0670684083185557E-2</v>
      </c>
    </row>
    <row r="143" spans="1:3" ht="14.25" customHeight="1" x14ac:dyDescent="0.3">
      <c r="A143" s="22">
        <v>46052</v>
      </c>
      <c r="B143" s="23">
        <v>576.15800000000002</v>
      </c>
      <c r="C143" s="24">
        <f t="shared" si="2"/>
        <v>1.1630561125411342E-2</v>
      </c>
    </row>
    <row r="144" spans="1:3" ht="14.25" customHeight="1" x14ac:dyDescent="0.3">
      <c r="A144" s="22">
        <v>46051</v>
      </c>
      <c r="B144" s="23">
        <v>569.53399999999999</v>
      </c>
      <c r="C144" s="24">
        <f t="shared" si="2"/>
        <v>1.584501778827387E-3</v>
      </c>
    </row>
    <row r="145" spans="1:3" ht="14.25" customHeight="1" x14ac:dyDescent="0.3">
      <c r="A145" s="22">
        <v>46050</v>
      </c>
      <c r="B145" s="23">
        <v>568.63300000000004</v>
      </c>
      <c r="C145" s="24">
        <f t="shared" si="2"/>
        <v>1.2867624138551477E-2</v>
      </c>
    </row>
    <row r="146" spans="1:3" ht="14.25" customHeight="1" x14ac:dyDescent="0.3">
      <c r="A146" s="22">
        <v>46049</v>
      </c>
      <c r="B146" s="23">
        <v>561.40899999999999</v>
      </c>
      <c r="C146" s="24">
        <f t="shared" si="2"/>
        <v>2.0973378980925013E-3</v>
      </c>
    </row>
    <row r="147" spans="1:3" ht="14.25" customHeight="1" x14ac:dyDescent="0.3">
      <c r="A147" s="22">
        <v>46045</v>
      </c>
      <c r="B147" s="23">
        <v>560.23400000000004</v>
      </c>
      <c r="C147" s="24">
        <f t="shared" si="2"/>
        <v>-2.290675447531082E-2</v>
      </c>
    </row>
    <row r="148" spans="1:3" ht="14.25" customHeight="1" x14ac:dyDescent="0.3">
      <c r="A148" s="22">
        <v>46044</v>
      </c>
      <c r="B148" s="23">
        <v>573.36800000000005</v>
      </c>
      <c r="C148" s="24">
        <f t="shared" si="2"/>
        <v>3.2738579555099934E-3</v>
      </c>
    </row>
    <row r="149" spans="1:3" ht="14.25" customHeight="1" x14ac:dyDescent="0.3">
      <c r="A149" s="22">
        <v>46042</v>
      </c>
      <c r="B149" s="23">
        <v>571.49699999999996</v>
      </c>
      <c r="C149" s="24">
        <f t="shared" si="2"/>
        <v>-2.0879448468691986E-2</v>
      </c>
    </row>
    <row r="150" spans="1:3" ht="14.25" customHeight="1" x14ac:dyDescent="0.3">
      <c r="A150" s="22">
        <v>46041</v>
      </c>
      <c r="B150" s="23">
        <v>583.68399999999997</v>
      </c>
      <c r="C150" s="24">
        <f t="shared" si="2"/>
        <v>-6.7725775272945397E-3</v>
      </c>
    </row>
    <row r="151" spans="1:3" ht="14.25" customHeight="1" x14ac:dyDescent="0.3">
      <c r="A151" s="22">
        <v>46038</v>
      </c>
      <c r="B151" s="23">
        <v>587.66399999999999</v>
      </c>
      <c r="C151" s="24">
        <f t="shared" si="2"/>
        <v>-3.8090491616531263E-3</v>
      </c>
    </row>
    <row r="152" spans="1:3" ht="14.25" customHeight="1" x14ac:dyDescent="0.3">
      <c r="A152" s="22">
        <v>46036</v>
      </c>
      <c r="B152" s="23">
        <v>589.91099999999994</v>
      </c>
      <c r="C152" s="24">
        <f t="shared" si="2"/>
        <v>-8.1361586144124972E-5</v>
      </c>
    </row>
    <row r="153" spans="1:3" ht="14.25" customHeight="1" x14ac:dyDescent="0.3">
      <c r="A153" s="22">
        <v>46035</v>
      </c>
      <c r="B153" s="23">
        <v>589.95899999999995</v>
      </c>
      <c r="C153" s="24">
        <f t="shared" si="2"/>
        <v>-4.2062550320618505E-3</v>
      </c>
    </row>
    <row r="154" spans="1:3" ht="14.25" customHeight="1" x14ac:dyDescent="0.3">
      <c r="A154" s="22">
        <v>46034</v>
      </c>
      <c r="B154" s="23">
        <v>592.45100000000002</v>
      </c>
      <c r="C154" s="24">
        <f t="shared" si="2"/>
        <v>-3.0944488381092427E-3</v>
      </c>
    </row>
    <row r="155" spans="1:3" ht="14.25" customHeight="1" x14ac:dyDescent="0.3">
      <c r="A155" s="22">
        <v>46031</v>
      </c>
      <c r="B155" s="23">
        <v>594.29</v>
      </c>
      <c r="C155" s="24">
        <f t="shared" si="2"/>
        <v>-1.1368702630405805E-2</v>
      </c>
    </row>
    <row r="156" spans="1:3" ht="14.25" customHeight="1" x14ac:dyDescent="0.3">
      <c r="A156" s="22">
        <v>46030</v>
      </c>
      <c r="B156" s="23">
        <v>601.12400000000002</v>
      </c>
      <c r="C156" s="24">
        <f t="shared" si="2"/>
        <v>-1.9674227153825524E-2</v>
      </c>
    </row>
    <row r="157" spans="1:3" ht="14.25" customHeight="1" x14ac:dyDescent="0.3">
      <c r="A157" s="22">
        <v>46029</v>
      </c>
      <c r="B157" s="23">
        <v>613.18799999999999</v>
      </c>
      <c r="C157" s="24">
        <f t="shared" si="2"/>
        <v>2.4456752744845133E-3</v>
      </c>
    </row>
    <row r="158" spans="1:3" ht="14.25" customHeight="1" x14ac:dyDescent="0.3">
      <c r="A158" s="22">
        <v>46028</v>
      </c>
      <c r="B158" s="23">
        <v>611.69200000000001</v>
      </c>
      <c r="C158" s="24">
        <f t="shared" si="2"/>
        <v>-7.7103521278608345E-4</v>
      </c>
    </row>
    <row r="159" spans="1:3" ht="14.25" customHeight="1" x14ac:dyDescent="0.3">
      <c r="A159" s="22">
        <v>46027</v>
      </c>
      <c r="B159" s="23">
        <v>612.16399999999999</v>
      </c>
      <c r="C159" s="24">
        <f t="shared" si="2"/>
        <v>-3.439816239253718E-3</v>
      </c>
    </row>
    <row r="160" spans="1:3" ht="14.25" customHeight="1" x14ac:dyDescent="0.3">
      <c r="A160" s="22">
        <v>46024</v>
      </c>
      <c r="B160" s="23">
        <v>614.27700000000004</v>
      </c>
      <c r="C160" s="24">
        <f t="shared" si="2"/>
        <v>4.6020773129364792E-3</v>
      </c>
    </row>
    <row r="161" spans="1:3" ht="14.25" customHeight="1" x14ac:dyDescent="0.3">
      <c r="A161" s="22">
        <v>46023</v>
      </c>
      <c r="B161" s="23">
        <v>611.46299999999997</v>
      </c>
      <c r="C161" s="24">
        <f t="shared" si="2"/>
        <v>4.5028765183449679E-3</v>
      </c>
    </row>
    <row r="162" spans="1:3" ht="14.25" customHeight="1" x14ac:dyDescent="0.3">
      <c r="A162" s="22">
        <v>46022</v>
      </c>
      <c r="B162" s="23">
        <v>608.72199999999998</v>
      </c>
      <c r="C162" s="24">
        <f t="shared" si="2"/>
        <v>4.7819089671108563E-3</v>
      </c>
    </row>
    <row r="163" spans="1:3" ht="14.25" customHeight="1" x14ac:dyDescent="0.3">
      <c r="A163" s="22">
        <v>46021</v>
      </c>
      <c r="B163" s="23">
        <v>605.82500000000005</v>
      </c>
      <c r="C163" s="24">
        <f t="shared" si="2"/>
        <v>-2.4123565347690858E-3</v>
      </c>
    </row>
    <row r="164" spans="1:3" ht="14.25" customHeight="1" x14ac:dyDescent="0.3">
      <c r="A164" s="22">
        <v>46020</v>
      </c>
      <c r="B164" s="23">
        <v>607.29</v>
      </c>
      <c r="C164" s="24">
        <f t="shared" si="2"/>
        <v>-3.6945772399606036E-3</v>
      </c>
    </row>
    <row r="165" spans="1:3" ht="14.25" customHeight="1" x14ac:dyDescent="0.3">
      <c r="A165" s="22">
        <v>46017</v>
      </c>
      <c r="B165" s="23">
        <v>609.54200000000003</v>
      </c>
      <c r="C165" s="24">
        <f t="shared" si="2"/>
        <v>-2.1184082143160892E-3</v>
      </c>
    </row>
    <row r="166" spans="1:3" ht="14.25" customHeight="1" x14ac:dyDescent="0.3">
      <c r="A166" s="22">
        <v>46015</v>
      </c>
      <c r="B166" s="23">
        <v>610.83600000000001</v>
      </c>
      <c r="C166" s="24">
        <f t="shared" si="2"/>
        <v>-3.7755789356943739E-3</v>
      </c>
    </row>
    <row r="167" spans="1:3" ht="14.25" customHeight="1" x14ac:dyDescent="0.3">
      <c r="A167" s="22">
        <v>46014</v>
      </c>
      <c r="B167" s="23">
        <v>613.15099999999995</v>
      </c>
      <c r="C167" s="24">
        <f t="shared" si="2"/>
        <v>5.1237115252500182E-4</v>
      </c>
    </row>
    <row r="168" spans="1:3" ht="14.25" customHeight="1" x14ac:dyDescent="0.3">
      <c r="A168" s="22">
        <v>46013</v>
      </c>
      <c r="B168" s="23">
        <v>612.83699999999999</v>
      </c>
      <c r="C168" s="24">
        <f t="shared" si="2"/>
        <v>4.6952897915154158E-3</v>
      </c>
    </row>
    <row r="169" spans="1:3" ht="14.25" customHeight="1" x14ac:dyDescent="0.3">
      <c r="A169" s="22">
        <v>46010</v>
      </c>
      <c r="B169" s="23">
        <v>609.97299999999996</v>
      </c>
      <c r="C169" s="24">
        <f t="shared" si="2"/>
        <v>8.9853293655846374E-3</v>
      </c>
    </row>
    <row r="170" spans="1:3" ht="14.25" customHeight="1" x14ac:dyDescent="0.3">
      <c r="A170" s="22">
        <v>46009</v>
      </c>
      <c r="B170" s="23">
        <v>604.54100000000005</v>
      </c>
      <c r="C170" s="24">
        <f t="shared" si="2"/>
        <v>-1.4700271376919688E-3</v>
      </c>
    </row>
    <row r="171" spans="1:3" ht="14.25" customHeight="1" x14ac:dyDescent="0.3">
      <c r="A171" s="22">
        <v>46008</v>
      </c>
      <c r="B171" s="23">
        <v>605.43100000000004</v>
      </c>
      <c r="C171" s="24">
        <f t="shared" si="2"/>
        <v>-2.581557105624742E-3</v>
      </c>
    </row>
    <row r="172" spans="1:3" ht="14.25" customHeight="1" x14ac:dyDescent="0.3">
      <c r="A172" s="22">
        <v>46007</v>
      </c>
      <c r="B172" s="23">
        <v>606.99800000000005</v>
      </c>
      <c r="C172" s="24">
        <f t="shared" si="2"/>
        <v>-8.5960072583423086E-3</v>
      </c>
    </row>
    <row r="173" spans="1:3" ht="14.25" customHeight="1" x14ac:dyDescent="0.3">
      <c r="A173" s="22">
        <v>46006</v>
      </c>
      <c r="B173" s="23">
        <v>612.26099999999997</v>
      </c>
      <c r="C173" s="24">
        <f t="shared" si="2"/>
        <v>-9.7086428133203774E-4</v>
      </c>
    </row>
    <row r="174" spans="1:3" ht="14.25" customHeight="1" x14ac:dyDescent="0.3">
      <c r="A174" s="22">
        <v>46003</v>
      </c>
      <c r="B174" s="23">
        <v>612.85599999999999</v>
      </c>
      <c r="C174" s="24">
        <f t="shared" si="2"/>
        <v>9.2600369215771333E-3</v>
      </c>
    </row>
    <row r="175" spans="1:3" ht="14.25" customHeight="1" x14ac:dyDescent="0.3">
      <c r="A175" s="22">
        <v>46002</v>
      </c>
      <c r="B175" s="23">
        <v>607.23299999999995</v>
      </c>
      <c r="C175" s="24">
        <f t="shared" si="2"/>
        <v>7.4225353748346061E-3</v>
      </c>
    </row>
    <row r="176" spans="1:3" ht="14.25" customHeight="1" x14ac:dyDescent="0.3">
      <c r="A176" s="22">
        <v>46001</v>
      </c>
      <c r="B176" s="23">
        <v>602.75900000000001</v>
      </c>
      <c r="C176" s="24">
        <f t="shared" si="2"/>
        <v>-3.2543610587917539E-3</v>
      </c>
    </row>
    <row r="177" spans="1:3" ht="14.25" customHeight="1" x14ac:dyDescent="0.3">
      <c r="A177" s="22">
        <v>46000</v>
      </c>
      <c r="B177" s="23">
        <v>604.72699999999998</v>
      </c>
      <c r="C177" s="24">
        <f t="shared" si="2"/>
        <v>3.759573217895878E-3</v>
      </c>
    </row>
    <row r="178" spans="1:3" ht="14.25" customHeight="1" x14ac:dyDescent="0.3">
      <c r="A178" s="22">
        <v>45999</v>
      </c>
      <c r="B178" s="23">
        <v>602.46199999999999</v>
      </c>
      <c r="C178" s="24">
        <f t="shared" si="2"/>
        <v>-1.7964637976928391E-2</v>
      </c>
    </row>
    <row r="179" spans="1:3" ht="14.25" customHeight="1" x14ac:dyDescent="0.3">
      <c r="A179" s="22">
        <v>45996</v>
      </c>
      <c r="B179" s="23">
        <v>613.48299999999995</v>
      </c>
      <c r="C179" s="24">
        <f t="shared" si="2"/>
        <v>4.9904024449698263E-4</v>
      </c>
    </row>
    <row r="180" spans="1:3" ht="14.25" customHeight="1" x14ac:dyDescent="0.3">
      <c r="A180" s="22">
        <v>45995</v>
      </c>
      <c r="B180" s="23">
        <v>613.17700000000002</v>
      </c>
      <c r="C180" s="24">
        <f t="shared" si="2"/>
        <v>6.2827190955494017E-4</v>
      </c>
    </row>
    <row r="181" spans="1:3" ht="14.25" customHeight="1" x14ac:dyDescent="0.3">
      <c r="A181" s="22">
        <v>45994</v>
      </c>
      <c r="B181" s="23">
        <v>612.79200000000003</v>
      </c>
      <c r="C181" s="24">
        <f t="shared" si="2"/>
        <v>-7.7865806564431875E-3</v>
      </c>
    </row>
    <row r="182" spans="1:3" ht="14.25" customHeight="1" x14ac:dyDescent="0.3">
      <c r="A182" s="22">
        <v>45993</v>
      </c>
      <c r="B182" s="23">
        <v>617.601</v>
      </c>
      <c r="C182" s="24">
        <f t="shared" si="2"/>
        <v>-3.6845543931535558E-3</v>
      </c>
    </row>
    <row r="183" spans="1:3" ht="14.25" customHeight="1" x14ac:dyDescent="0.3">
      <c r="A183" s="22">
        <v>45992</v>
      </c>
      <c r="B183" s="23">
        <v>619.88499999999999</v>
      </c>
      <c r="C183" s="24">
        <f t="shared" si="2"/>
        <v>-1.8565691632396407E-3</v>
      </c>
    </row>
    <row r="184" spans="1:3" ht="14.25" customHeight="1" x14ac:dyDescent="0.3">
      <c r="A184" s="22">
        <v>45989</v>
      </c>
      <c r="B184" s="23">
        <v>621.03800000000001</v>
      </c>
      <c r="C184" s="24">
        <f t="shared" si="2"/>
        <v>-1.3732287921376088E-3</v>
      </c>
    </row>
    <row r="185" spans="1:3" ht="14.25" customHeight="1" x14ac:dyDescent="0.3">
      <c r="A185" s="22">
        <v>45988</v>
      </c>
      <c r="B185" s="23">
        <v>621.89200000000005</v>
      </c>
      <c r="C185" s="24">
        <f t="shared" si="2"/>
        <v>-1.157623270800283E-4</v>
      </c>
    </row>
    <row r="186" spans="1:3" ht="14.25" customHeight="1" x14ac:dyDescent="0.3">
      <c r="A186" s="22">
        <v>45987</v>
      </c>
      <c r="B186" s="23">
        <v>621.96400000000006</v>
      </c>
      <c r="C186" s="24">
        <f t="shared" si="2"/>
        <v>1.0631746397994229E-2</v>
      </c>
    </row>
    <row r="187" spans="1:3" ht="14.25" customHeight="1" x14ac:dyDescent="0.3">
      <c r="A187" s="22">
        <v>45986</v>
      </c>
      <c r="B187" s="23">
        <v>615.42100000000005</v>
      </c>
      <c r="C187" s="24">
        <f t="shared" si="2"/>
        <v>-1.1766691660741271E-3</v>
      </c>
    </row>
    <row r="188" spans="1:3" ht="14.25" customHeight="1" x14ac:dyDescent="0.3">
      <c r="A188" s="22">
        <v>45985</v>
      </c>
      <c r="B188" s="23">
        <v>616.14599999999996</v>
      </c>
      <c r="C188" s="24">
        <f t="shared" si="2"/>
        <v>-6.5510174795915385E-3</v>
      </c>
    </row>
    <row r="189" spans="1:3" ht="14.25" customHeight="1" x14ac:dyDescent="0.3">
      <c r="A189" s="22">
        <v>45982</v>
      </c>
      <c r="B189" s="23">
        <v>620.20899999999995</v>
      </c>
      <c r="C189" s="24">
        <f t="shared" si="2"/>
        <v>-1.1598646665189909E-2</v>
      </c>
    </row>
    <row r="190" spans="1:3" ht="14.25" customHeight="1" x14ac:dyDescent="0.3">
      <c r="A190" s="22">
        <v>45981</v>
      </c>
      <c r="B190" s="23">
        <v>627.48699999999997</v>
      </c>
      <c r="C190" s="24">
        <f t="shared" si="2"/>
        <v>-2.4418820933416715E-3</v>
      </c>
    </row>
    <row r="191" spans="1:3" ht="14.25" customHeight="1" x14ac:dyDescent="0.3">
      <c r="A191" s="22">
        <v>45980</v>
      </c>
      <c r="B191" s="23">
        <v>629.02300000000002</v>
      </c>
      <c r="C191" s="24">
        <f t="shared" si="2"/>
        <v>1.4137088364762887E-3</v>
      </c>
    </row>
    <row r="192" spans="1:3" ht="14.25" customHeight="1" x14ac:dyDescent="0.3">
      <c r="A192" s="22">
        <v>45979</v>
      </c>
      <c r="B192" s="23">
        <v>628.13499999999999</v>
      </c>
      <c r="C192" s="24">
        <f t="shared" si="2"/>
        <v>-6.3403375502062631E-3</v>
      </c>
    </row>
    <row r="193" spans="1:3" ht="14.25" customHeight="1" x14ac:dyDescent="0.3">
      <c r="A193" s="22">
        <v>45978</v>
      </c>
      <c r="B193" s="23">
        <v>632.14300000000003</v>
      </c>
      <c r="C193" s="24">
        <f t="shared" si="2"/>
        <v>6.1917730595794787E-3</v>
      </c>
    </row>
    <row r="194" spans="1:3" ht="14.25" customHeight="1" x14ac:dyDescent="0.3">
      <c r="A194" s="22">
        <v>45975</v>
      </c>
      <c r="B194" s="23">
        <v>628.25300000000004</v>
      </c>
      <c r="C194" s="24">
        <f t="shared" ref="C194:C257" si="3">(B194-B195)/B195</f>
        <v>6.4824813728213469E-4</v>
      </c>
    </row>
    <row r="195" spans="1:3" ht="14.25" customHeight="1" x14ac:dyDescent="0.3">
      <c r="A195" s="22">
        <v>45974</v>
      </c>
      <c r="B195" s="23">
        <v>627.846</v>
      </c>
      <c r="C195" s="24">
        <f t="shared" si="3"/>
        <v>9.5656249701077845E-4</v>
      </c>
    </row>
    <row r="196" spans="1:3" ht="14.25" customHeight="1" x14ac:dyDescent="0.3">
      <c r="A196" s="22">
        <v>45973</v>
      </c>
      <c r="B196" s="23">
        <v>627.24599999999998</v>
      </c>
      <c r="C196" s="24">
        <f t="shared" si="3"/>
        <v>6.4519234626338132E-3</v>
      </c>
    </row>
    <row r="197" spans="1:3" ht="14.25" customHeight="1" x14ac:dyDescent="0.3">
      <c r="A197" s="22">
        <v>45972</v>
      </c>
      <c r="B197" s="23">
        <v>623.22500000000002</v>
      </c>
      <c r="C197" s="24">
        <f t="shared" si="3"/>
        <v>2.7278212089788242E-5</v>
      </c>
    </row>
    <row r="198" spans="1:3" ht="14.25" customHeight="1" x14ac:dyDescent="0.3">
      <c r="A198" s="22">
        <v>45971</v>
      </c>
      <c r="B198" s="23">
        <v>623.20799999999997</v>
      </c>
      <c r="C198" s="24">
        <f t="shared" si="3"/>
        <v>1.3673823866366076E-3</v>
      </c>
    </row>
    <row r="199" spans="1:3" ht="14.25" customHeight="1" x14ac:dyDescent="0.3">
      <c r="A199" s="22">
        <v>45968</v>
      </c>
      <c r="B199" s="23">
        <v>622.35699999999997</v>
      </c>
      <c r="C199" s="24">
        <f t="shared" si="3"/>
        <v>3.7093363997180171E-3</v>
      </c>
    </row>
    <row r="200" spans="1:3" ht="14.25" customHeight="1" x14ac:dyDescent="0.3">
      <c r="A200" s="22">
        <v>45967</v>
      </c>
      <c r="B200" s="23">
        <v>620.05700000000002</v>
      </c>
      <c r="C200" s="24">
        <f t="shared" si="3"/>
        <v>-1.3303268371161209E-2</v>
      </c>
    </row>
    <row r="201" spans="1:3" ht="14.25" customHeight="1" x14ac:dyDescent="0.3">
      <c r="A201" s="22">
        <v>45965</v>
      </c>
      <c r="B201" s="23">
        <v>628.41700000000003</v>
      </c>
      <c r="C201" s="24">
        <f t="shared" si="3"/>
        <v>-8.1003994955401205E-3</v>
      </c>
    </row>
    <row r="202" spans="1:3" ht="14.25" customHeight="1" x14ac:dyDescent="0.3">
      <c r="A202" s="22">
        <v>45964</v>
      </c>
      <c r="B202" s="23">
        <v>633.54899999999998</v>
      </c>
      <c r="C202" s="24">
        <f t="shared" si="3"/>
        <v>4.7545717951441415E-3</v>
      </c>
    </row>
    <row r="203" spans="1:3" ht="14.25" customHeight="1" x14ac:dyDescent="0.3">
      <c r="A203" s="22">
        <v>45961</v>
      </c>
      <c r="B203" s="23">
        <v>630.55100000000004</v>
      </c>
      <c r="C203" s="24">
        <f t="shared" si="3"/>
        <v>-4.593810826554386E-3</v>
      </c>
    </row>
    <row r="204" spans="1:3" ht="14.25" customHeight="1" x14ac:dyDescent="0.3">
      <c r="A204" s="22">
        <v>45960</v>
      </c>
      <c r="B204" s="23">
        <v>633.46100000000001</v>
      </c>
      <c r="C204" s="24">
        <f t="shared" si="3"/>
        <v>-2.9260844928540534E-3</v>
      </c>
    </row>
    <row r="205" spans="1:3" ht="14.25" customHeight="1" x14ac:dyDescent="0.3">
      <c r="A205" s="22">
        <v>45959</v>
      </c>
      <c r="B205" s="23">
        <v>635.32000000000005</v>
      </c>
      <c r="C205" s="24">
        <f t="shared" si="3"/>
        <v>7.385889747598579E-3</v>
      </c>
    </row>
    <row r="206" spans="1:3" ht="14.25" customHeight="1" x14ac:dyDescent="0.3">
      <c r="A206" s="22">
        <v>45958</v>
      </c>
      <c r="B206" s="23">
        <v>630.66200000000003</v>
      </c>
      <c r="C206" s="24">
        <f t="shared" si="3"/>
        <v>1.4147999828510306E-3</v>
      </c>
    </row>
    <row r="207" spans="1:3" ht="14.25" customHeight="1" x14ac:dyDescent="0.3">
      <c r="A207" s="22">
        <v>45957</v>
      </c>
      <c r="B207" s="23">
        <v>629.77099999999996</v>
      </c>
      <c r="C207" s="24">
        <f t="shared" si="3"/>
        <v>4.606920270608582E-3</v>
      </c>
    </row>
    <row r="208" spans="1:3" ht="14.25" customHeight="1" x14ac:dyDescent="0.3">
      <c r="A208" s="22">
        <v>45954</v>
      </c>
      <c r="B208" s="23">
        <v>626.88300000000004</v>
      </c>
      <c r="C208" s="24">
        <f t="shared" si="3"/>
        <v>-2.8409226476889182E-3</v>
      </c>
    </row>
    <row r="209" spans="1:3" ht="14.25" customHeight="1" x14ac:dyDescent="0.3">
      <c r="A209" s="22">
        <v>45953</v>
      </c>
      <c r="B209" s="23">
        <v>628.66899999999998</v>
      </c>
      <c r="C209" s="24">
        <f t="shared" si="3"/>
        <v>1.8022812961127003E-3</v>
      </c>
    </row>
    <row r="210" spans="1:3" ht="14.25" customHeight="1" x14ac:dyDescent="0.3">
      <c r="A210" s="22">
        <v>45950</v>
      </c>
      <c r="B210" s="23">
        <v>627.53800000000001</v>
      </c>
      <c r="C210" s="24">
        <f t="shared" si="3"/>
        <v>5.682765163656023E-3</v>
      </c>
    </row>
    <row r="211" spans="1:3" ht="14.25" customHeight="1" x14ac:dyDescent="0.3">
      <c r="A211" s="22">
        <v>45947</v>
      </c>
      <c r="B211" s="23">
        <v>623.99199999999996</v>
      </c>
      <c r="C211" s="24">
        <f t="shared" si="3"/>
        <v>-2.2529545043899705E-3</v>
      </c>
    </row>
    <row r="212" spans="1:3" ht="14.25" customHeight="1" x14ac:dyDescent="0.3">
      <c r="A212" s="22">
        <v>45946</v>
      </c>
      <c r="B212" s="23">
        <v>625.40099999999995</v>
      </c>
      <c r="C212" s="24">
        <f t="shared" si="3"/>
        <v>5.1155704270850295E-3</v>
      </c>
    </row>
    <row r="213" spans="1:3" ht="14.25" customHeight="1" x14ac:dyDescent="0.3">
      <c r="A213" s="22">
        <v>45945</v>
      </c>
      <c r="B213" s="23">
        <v>622.21799999999996</v>
      </c>
      <c r="C213" s="24">
        <f t="shared" si="3"/>
        <v>7.6029556793834989E-3</v>
      </c>
    </row>
    <row r="214" spans="1:3" ht="14.25" customHeight="1" x14ac:dyDescent="0.3">
      <c r="A214" s="22">
        <v>45944</v>
      </c>
      <c r="B214" s="23">
        <v>617.52300000000002</v>
      </c>
      <c r="C214" s="24">
        <f t="shared" si="3"/>
        <v>-8.6353872679811889E-3</v>
      </c>
    </row>
    <row r="215" spans="1:3" ht="14.25" customHeight="1" x14ac:dyDescent="0.3">
      <c r="A215" s="22">
        <v>45940</v>
      </c>
      <c r="B215" s="23">
        <v>622.90200000000004</v>
      </c>
      <c r="C215" s="24">
        <f t="shared" si="3"/>
        <v>6.4744423529032582E-3</v>
      </c>
    </row>
    <row r="216" spans="1:3" ht="14.25" customHeight="1" x14ac:dyDescent="0.3">
      <c r="A216" s="22">
        <v>45939</v>
      </c>
      <c r="B216" s="23">
        <v>618.89499999999998</v>
      </c>
      <c r="C216" s="24">
        <f t="shared" si="3"/>
        <v>7.668699170445447E-3</v>
      </c>
    </row>
    <row r="217" spans="1:3" ht="14.25" customHeight="1" x14ac:dyDescent="0.3">
      <c r="A217" s="22">
        <v>45938</v>
      </c>
      <c r="B217" s="23">
        <v>614.18499999999995</v>
      </c>
      <c r="C217" s="24">
        <f t="shared" si="3"/>
        <v>-1.1090483727355776E-2</v>
      </c>
    </row>
    <row r="218" spans="1:3" ht="14.25" customHeight="1" x14ac:dyDescent="0.3">
      <c r="A218" s="22">
        <v>45937</v>
      </c>
      <c r="B218" s="23">
        <v>621.07299999999998</v>
      </c>
      <c r="C218" s="24">
        <f t="shared" si="3"/>
        <v>-2.5070908430956797E-3</v>
      </c>
    </row>
    <row r="219" spans="1:3" ht="14.25" customHeight="1" x14ac:dyDescent="0.3">
      <c r="A219" s="22">
        <v>45936</v>
      </c>
      <c r="B219" s="23">
        <v>622.63400000000001</v>
      </c>
      <c r="C219" s="24">
        <f t="shared" si="3"/>
        <v>2.0729191143099191E-3</v>
      </c>
    </row>
    <row r="220" spans="1:3" ht="14.25" customHeight="1" x14ac:dyDescent="0.3">
      <c r="A220" s="22">
        <v>45933</v>
      </c>
      <c r="B220" s="23">
        <v>621.346</v>
      </c>
      <c r="C220" s="24">
        <f t="shared" si="3"/>
        <v>6.5967463395509981E-3</v>
      </c>
    </row>
    <row r="221" spans="1:3" ht="14.25" customHeight="1" x14ac:dyDescent="0.3">
      <c r="A221" s="22">
        <v>45931</v>
      </c>
      <c r="B221" s="23">
        <v>617.274</v>
      </c>
      <c r="C221" s="24">
        <f t="shared" si="3"/>
        <v>1.3582878217148792E-2</v>
      </c>
    </row>
    <row r="222" spans="1:3" ht="14.25" customHeight="1" x14ac:dyDescent="0.3">
      <c r="A222" s="22">
        <v>45930</v>
      </c>
      <c r="B222" s="23">
        <v>609.00199999999995</v>
      </c>
      <c r="C222" s="24">
        <f t="shared" si="3"/>
        <v>-9.7933231517783595E-4</v>
      </c>
    </row>
    <row r="223" spans="1:3" ht="14.25" customHeight="1" x14ac:dyDescent="0.3">
      <c r="A223" s="22">
        <v>45929</v>
      </c>
      <c r="B223" s="23">
        <v>609.59900000000005</v>
      </c>
      <c r="C223" s="24">
        <f t="shared" si="3"/>
        <v>-7.818697998281779E-4</v>
      </c>
    </row>
    <row r="224" spans="1:3" ht="14.25" customHeight="1" x14ac:dyDescent="0.3">
      <c r="A224" s="22">
        <v>45926</v>
      </c>
      <c r="B224" s="23">
        <v>610.07600000000002</v>
      </c>
      <c r="C224" s="24">
        <f t="shared" si="3"/>
        <v>-1.5668286040204156E-2</v>
      </c>
    </row>
    <row r="225" spans="1:3" ht="14.25" customHeight="1" x14ac:dyDescent="0.3">
      <c r="A225" s="22">
        <v>45925</v>
      </c>
      <c r="B225" s="23">
        <v>619.78700000000003</v>
      </c>
      <c r="C225" s="24">
        <f t="shared" si="3"/>
        <v>-5.0183572986917538E-3</v>
      </c>
    </row>
    <row r="226" spans="1:3" ht="14.25" customHeight="1" x14ac:dyDescent="0.3">
      <c r="A226" s="22">
        <v>45924</v>
      </c>
      <c r="B226" s="23">
        <v>622.91300000000001</v>
      </c>
      <c r="C226" s="24">
        <f t="shared" si="3"/>
        <v>-1.5032731412668716E-2</v>
      </c>
    </row>
    <row r="227" spans="1:3" ht="14.25" customHeight="1" x14ac:dyDescent="0.3">
      <c r="A227" s="22">
        <v>45923</v>
      </c>
      <c r="B227" s="23">
        <v>632.41999999999996</v>
      </c>
      <c r="C227" s="24">
        <f t="shared" si="3"/>
        <v>-7.1120182117906999E-3</v>
      </c>
    </row>
    <row r="228" spans="1:3" ht="14.25" customHeight="1" x14ac:dyDescent="0.3">
      <c r="A228" s="22">
        <v>45922</v>
      </c>
      <c r="B228" s="23">
        <v>636.95000000000005</v>
      </c>
      <c r="C228" s="24">
        <f t="shared" si="3"/>
        <v>7.2171110682400915E-3</v>
      </c>
    </row>
    <row r="229" spans="1:3" ht="14.25" customHeight="1" x14ac:dyDescent="0.3">
      <c r="A229" s="22">
        <v>45919</v>
      </c>
      <c r="B229" s="23">
        <v>632.38599999999997</v>
      </c>
      <c r="C229" s="24">
        <f t="shared" si="3"/>
        <v>4.9246210393666685E-3</v>
      </c>
    </row>
    <row r="230" spans="1:3" ht="14.25" customHeight="1" x14ac:dyDescent="0.3">
      <c r="A230" s="22">
        <v>45918</v>
      </c>
      <c r="B230" s="23">
        <v>629.28700000000003</v>
      </c>
      <c r="C230" s="24">
        <f t="shared" si="3"/>
        <v>5.4306840840533778E-3</v>
      </c>
    </row>
    <row r="231" spans="1:3" ht="14.25" customHeight="1" x14ac:dyDescent="0.3">
      <c r="A231" s="22">
        <v>45917</v>
      </c>
      <c r="B231" s="23">
        <v>625.88800000000003</v>
      </c>
      <c r="C231" s="24">
        <f t="shared" si="3"/>
        <v>1.403175304114754E-3</v>
      </c>
    </row>
    <row r="232" spans="1:3" ht="14.25" customHeight="1" x14ac:dyDescent="0.3">
      <c r="A232" s="22">
        <v>45916</v>
      </c>
      <c r="B232" s="23">
        <v>625.01099999999997</v>
      </c>
      <c r="C232" s="24">
        <f t="shared" si="3"/>
        <v>5.1688895250378208E-3</v>
      </c>
    </row>
    <row r="233" spans="1:3" ht="14.25" customHeight="1" x14ac:dyDescent="0.3">
      <c r="A233" s="22">
        <v>45915</v>
      </c>
      <c r="B233" s="23">
        <v>621.79700000000003</v>
      </c>
      <c r="C233" s="24">
        <f t="shared" si="3"/>
        <v>5.6395659135386458E-3</v>
      </c>
    </row>
    <row r="234" spans="1:3" ht="14.25" customHeight="1" x14ac:dyDescent="0.3">
      <c r="A234" s="22">
        <v>45912</v>
      </c>
      <c r="B234" s="23">
        <v>618.30999999999995</v>
      </c>
      <c r="C234" s="24">
        <f t="shared" si="3"/>
        <v>2.5180095240102626E-3</v>
      </c>
    </row>
    <row r="235" spans="1:3" ht="14.25" customHeight="1" x14ac:dyDescent="0.3">
      <c r="A235" s="22">
        <v>45911</v>
      </c>
      <c r="B235" s="23">
        <v>616.75699999999995</v>
      </c>
      <c r="C235" s="24">
        <f t="shared" si="3"/>
        <v>6.5262305836886825E-3</v>
      </c>
    </row>
    <row r="236" spans="1:3" ht="14.25" customHeight="1" x14ac:dyDescent="0.3">
      <c r="A236" s="22">
        <v>45910</v>
      </c>
      <c r="B236" s="23">
        <v>612.75800000000004</v>
      </c>
      <c r="C236" s="24">
        <f t="shared" si="3"/>
        <v>5.1293323338217163E-3</v>
      </c>
    </row>
    <row r="237" spans="1:3" ht="14.25" customHeight="1" x14ac:dyDescent="0.3">
      <c r="A237" s="22">
        <v>45909</v>
      </c>
      <c r="B237" s="23">
        <v>609.63099999999997</v>
      </c>
      <c r="C237" s="24">
        <f t="shared" si="3"/>
        <v>2.5671386517998286E-3</v>
      </c>
    </row>
    <row r="238" spans="1:3" ht="14.25" customHeight="1" x14ac:dyDescent="0.3">
      <c r="A238" s="22">
        <v>45908</v>
      </c>
      <c r="B238" s="23">
        <v>608.07000000000005</v>
      </c>
      <c r="C238" s="24">
        <f t="shared" si="3"/>
        <v>3.1642228351964627E-3</v>
      </c>
    </row>
    <row r="239" spans="1:3" ht="14.25" customHeight="1" x14ac:dyDescent="0.3">
      <c r="A239" s="22">
        <v>45905</v>
      </c>
      <c r="B239" s="23">
        <v>606.15200000000004</v>
      </c>
      <c r="C239" s="24">
        <f t="shared" si="3"/>
        <v>-5.5236138614664896E-4</v>
      </c>
    </row>
    <row r="240" spans="1:3" ht="14.25" customHeight="1" x14ac:dyDescent="0.3">
      <c r="A240" s="22">
        <v>45904</v>
      </c>
      <c r="B240" s="23">
        <v>606.48699999999997</v>
      </c>
      <c r="C240" s="24">
        <f t="shared" si="3"/>
        <v>-5.5454532038848696E-3</v>
      </c>
    </row>
    <row r="241" spans="1:3" ht="14.25" customHeight="1" x14ac:dyDescent="0.3">
      <c r="A241" s="22">
        <v>45903</v>
      </c>
      <c r="B241" s="23">
        <v>609.86900000000003</v>
      </c>
      <c r="C241" s="24">
        <f t="shared" si="3"/>
        <v>5.9728032092476683E-3</v>
      </c>
    </row>
    <row r="242" spans="1:3" ht="14.25" customHeight="1" x14ac:dyDescent="0.3">
      <c r="A242" s="22">
        <v>45902</v>
      </c>
      <c r="B242" s="23">
        <v>606.24800000000005</v>
      </c>
      <c r="C242" s="24">
        <f t="shared" si="3"/>
        <v>5.6198785787745639E-3</v>
      </c>
    </row>
    <row r="243" spans="1:3" ht="14.25" customHeight="1" x14ac:dyDescent="0.3">
      <c r="A243" s="22">
        <v>45901</v>
      </c>
      <c r="B243" s="23">
        <v>602.86</v>
      </c>
      <c r="C243" s="24">
        <f t="shared" si="3"/>
        <v>1.2588916043099618E-2</v>
      </c>
    </row>
    <row r="244" spans="1:3" ht="14.25" customHeight="1" x14ac:dyDescent="0.3">
      <c r="A244" s="22">
        <v>45898</v>
      </c>
      <c r="B244" s="23">
        <v>595.36500000000001</v>
      </c>
      <c r="C244" s="24">
        <f t="shared" si="3"/>
        <v>-4.1648894798906244E-3</v>
      </c>
    </row>
    <row r="245" spans="1:3" ht="14.25" customHeight="1" x14ac:dyDescent="0.3">
      <c r="A245" s="22">
        <v>45897</v>
      </c>
      <c r="B245" s="23">
        <v>597.85500000000002</v>
      </c>
      <c r="C245" s="24">
        <f t="shared" si="3"/>
        <v>-8.6885150763975974E-3</v>
      </c>
    </row>
    <row r="246" spans="1:3" ht="14.25" customHeight="1" x14ac:dyDescent="0.3">
      <c r="A246" s="22">
        <v>45895</v>
      </c>
      <c r="B246" s="23">
        <v>603.09500000000003</v>
      </c>
      <c r="C246" s="24">
        <f t="shared" si="3"/>
        <v>-1.71923506261763E-2</v>
      </c>
    </row>
    <row r="247" spans="1:3" ht="14.25" customHeight="1" x14ac:dyDescent="0.3">
      <c r="A247" s="22">
        <v>45894</v>
      </c>
      <c r="B247" s="23">
        <v>613.64499999999998</v>
      </c>
      <c r="C247" s="24">
        <f t="shared" si="3"/>
        <v>1.6943978766158581E-3</v>
      </c>
    </row>
    <row r="248" spans="1:3" ht="14.25" customHeight="1" x14ac:dyDescent="0.3">
      <c r="A248" s="22">
        <v>45891</v>
      </c>
      <c r="B248" s="23">
        <v>612.60699999999997</v>
      </c>
      <c r="C248" s="24">
        <f t="shared" si="3"/>
        <v>-4.7147970216520696E-3</v>
      </c>
    </row>
    <row r="249" spans="1:3" ht="14.25" customHeight="1" x14ac:dyDescent="0.3">
      <c r="A249" s="22">
        <v>45890</v>
      </c>
      <c r="B249" s="23">
        <v>615.50900000000001</v>
      </c>
      <c r="C249" s="24">
        <f t="shared" si="3"/>
        <v>-4.5461896752491187E-3</v>
      </c>
    </row>
    <row r="250" spans="1:3" ht="14.25" customHeight="1" x14ac:dyDescent="0.3">
      <c r="A250" s="22">
        <v>45889</v>
      </c>
      <c r="B250" s="23">
        <v>618.32000000000005</v>
      </c>
      <c r="C250" s="24">
        <f t="shared" si="3"/>
        <v>4.1281111049761929E-3</v>
      </c>
    </row>
    <row r="251" spans="1:3" ht="14.25" customHeight="1" x14ac:dyDescent="0.3">
      <c r="A251" s="22">
        <v>45888</v>
      </c>
      <c r="B251" s="23">
        <v>615.77800000000002</v>
      </c>
      <c r="C251" s="24">
        <f t="shared" si="3"/>
        <v>1.3186039317893146E-2</v>
      </c>
    </row>
    <row r="252" spans="1:3" ht="14.25" customHeight="1" x14ac:dyDescent="0.3">
      <c r="A252" s="22">
        <v>45887</v>
      </c>
      <c r="B252" s="23">
        <v>607.76400000000001</v>
      </c>
      <c r="C252" s="24">
        <f t="shared" si="3"/>
        <v>9.4741387901539128E-3</v>
      </c>
    </row>
    <row r="253" spans="1:3" ht="14.25" customHeight="1" x14ac:dyDescent="0.3">
      <c r="A253" s="22">
        <v>45883</v>
      </c>
      <c r="B253" s="23">
        <v>602.05999999999995</v>
      </c>
      <c r="C253" s="24">
        <f t="shared" si="3"/>
        <v>7.3801228690719659E-4</v>
      </c>
    </row>
    <row r="254" spans="1:3" ht="14.25" customHeight="1" x14ac:dyDescent="0.3">
      <c r="A254" s="22">
        <v>45881</v>
      </c>
      <c r="B254" s="23">
        <v>601.61599999999999</v>
      </c>
      <c r="C254" s="24">
        <f t="shared" si="3"/>
        <v>-5.5486336074434754E-4</v>
      </c>
    </row>
    <row r="255" spans="1:3" ht="14.25" customHeight="1" x14ac:dyDescent="0.3">
      <c r="A255" s="22">
        <v>45880</v>
      </c>
      <c r="B255" s="23">
        <v>601.95000000000005</v>
      </c>
      <c r="C255" s="24">
        <f t="shared" si="3"/>
        <v>7.6821218660074152E-3</v>
      </c>
    </row>
    <row r="256" spans="1:3" ht="14.25" customHeight="1" x14ac:dyDescent="0.3">
      <c r="A256" s="22">
        <v>45877</v>
      </c>
      <c r="B256" s="23">
        <v>597.36099999999999</v>
      </c>
      <c r="C256" s="24">
        <f t="shared" si="3"/>
        <v>-8.5228781601869412E-3</v>
      </c>
    </row>
    <row r="257" spans="1:3" ht="14.25" customHeight="1" x14ac:dyDescent="0.3">
      <c r="A257" s="22">
        <v>45876</v>
      </c>
      <c r="B257" s="23">
        <v>602.49599999999998</v>
      </c>
      <c r="C257" s="24">
        <f t="shared" si="3"/>
        <v>6.639489024918603E-5</v>
      </c>
    </row>
    <row r="258" spans="1:3" ht="14.25" customHeight="1" x14ac:dyDescent="0.3">
      <c r="A258" s="22">
        <v>45875</v>
      </c>
      <c r="B258" s="23">
        <v>602.45600000000002</v>
      </c>
      <c r="C258" s="24">
        <f t="shared" ref="C258:C321" si="4">(B258-B259)/B259</f>
        <v>-1.1034541628226856E-2</v>
      </c>
    </row>
    <row r="259" spans="1:3" ht="14.25" customHeight="1" x14ac:dyDescent="0.3">
      <c r="A259" s="22">
        <v>45874</v>
      </c>
      <c r="B259" s="23">
        <v>609.178</v>
      </c>
      <c r="C259" s="24">
        <f t="shared" si="4"/>
        <v>3.0362205969039296E-3</v>
      </c>
    </row>
    <row r="260" spans="1:3" ht="14.25" customHeight="1" x14ac:dyDescent="0.3">
      <c r="A260" s="22">
        <v>45870</v>
      </c>
      <c r="B260" s="23">
        <v>607.33399999999995</v>
      </c>
      <c r="C260" s="24">
        <f t="shared" si="4"/>
        <v>-1.6625593829035574E-2</v>
      </c>
    </row>
    <row r="261" spans="1:3" ht="14.25" customHeight="1" x14ac:dyDescent="0.3">
      <c r="A261" s="22">
        <v>45869</v>
      </c>
      <c r="B261" s="23">
        <v>617.60199999999998</v>
      </c>
      <c r="C261" s="24">
        <f t="shared" si="4"/>
        <v>-9.0001620638917434E-3</v>
      </c>
    </row>
    <row r="262" spans="1:3" ht="14.25" customHeight="1" x14ac:dyDescent="0.3">
      <c r="A262" s="22">
        <v>45868</v>
      </c>
      <c r="B262" s="23">
        <v>623.21100000000001</v>
      </c>
      <c r="C262" s="24">
        <f t="shared" si="4"/>
        <v>-2.3742337882347821E-4</v>
      </c>
    </row>
    <row r="263" spans="1:3" ht="14.25" customHeight="1" x14ac:dyDescent="0.3">
      <c r="A263" s="22">
        <v>45867</v>
      </c>
      <c r="B263" s="23">
        <v>623.35900000000004</v>
      </c>
      <c r="C263" s="24">
        <f t="shared" si="4"/>
        <v>1.1849514413392334E-2</v>
      </c>
    </row>
    <row r="264" spans="1:3" ht="14.25" customHeight="1" x14ac:dyDescent="0.3">
      <c r="A264" s="22">
        <v>45866</v>
      </c>
      <c r="B264" s="23">
        <v>616.05899999999997</v>
      </c>
      <c r="C264" s="24">
        <f t="shared" si="4"/>
        <v>-7.2211299835626954E-3</v>
      </c>
    </row>
    <row r="265" spans="1:3" ht="14.25" customHeight="1" x14ac:dyDescent="0.3">
      <c r="A265" s="22">
        <v>45863</v>
      </c>
      <c r="B265" s="23">
        <v>620.54</v>
      </c>
      <c r="C265" s="24">
        <f t="shared" si="4"/>
        <v>-1.8514945132116323E-2</v>
      </c>
    </row>
    <row r="266" spans="1:3" ht="14.25" customHeight="1" x14ac:dyDescent="0.3">
      <c r="A266" s="22">
        <v>45862</v>
      </c>
      <c r="B266" s="23">
        <v>632.24599999999998</v>
      </c>
      <c r="C266" s="24">
        <f t="shared" si="4"/>
        <v>-5.4396385739274413E-3</v>
      </c>
    </row>
    <row r="267" spans="1:3" ht="14.25" customHeight="1" x14ac:dyDescent="0.3">
      <c r="A267" s="22">
        <v>45861</v>
      </c>
      <c r="B267" s="23">
        <v>635.70399999999995</v>
      </c>
      <c r="C267" s="24">
        <f t="shared" si="4"/>
        <v>5.5886777470018417E-3</v>
      </c>
    </row>
    <row r="268" spans="1:3" ht="14.25" customHeight="1" x14ac:dyDescent="0.3">
      <c r="A268" s="22">
        <v>45860</v>
      </c>
      <c r="B268" s="23">
        <v>632.17100000000005</v>
      </c>
      <c r="C268" s="24">
        <f t="shared" si="4"/>
        <v>-5.9719892007314848E-3</v>
      </c>
    </row>
    <row r="269" spans="1:3" ht="14.25" customHeight="1" x14ac:dyDescent="0.3">
      <c r="A269" s="22">
        <v>45859</v>
      </c>
      <c r="B269" s="23">
        <v>635.96900000000005</v>
      </c>
      <c r="C269" s="24">
        <f t="shared" si="4"/>
        <v>1.5512201882252365E-3</v>
      </c>
    </row>
    <row r="270" spans="1:3" ht="14.25" customHeight="1" x14ac:dyDescent="0.3">
      <c r="A270" s="22">
        <v>45856</v>
      </c>
      <c r="B270" s="23">
        <v>634.98400000000004</v>
      </c>
      <c r="C270" s="24">
        <f t="shared" si="4"/>
        <v>-6.2148351605355676E-3</v>
      </c>
    </row>
    <row r="271" spans="1:3" ht="14.25" customHeight="1" x14ac:dyDescent="0.3">
      <c r="A271" s="22">
        <v>45855</v>
      </c>
      <c r="B271" s="23">
        <v>638.95500000000004</v>
      </c>
      <c r="C271" s="24">
        <f t="shared" si="4"/>
        <v>-1.0381180046246082E-3</v>
      </c>
    </row>
    <row r="272" spans="1:3" ht="14.25" customHeight="1" x14ac:dyDescent="0.3">
      <c r="A272" s="22">
        <v>45854</v>
      </c>
      <c r="B272" s="23">
        <v>639.61900000000003</v>
      </c>
      <c r="C272" s="24">
        <f t="shared" si="4"/>
        <v>2.3161025541378246E-3</v>
      </c>
    </row>
    <row r="273" spans="1:3" ht="14.25" customHeight="1" x14ac:dyDescent="0.3">
      <c r="A273" s="22">
        <v>45853</v>
      </c>
      <c r="B273" s="23">
        <v>638.14099999999996</v>
      </c>
      <c r="C273" s="24">
        <f t="shared" si="4"/>
        <v>8.2634051233112064E-3</v>
      </c>
    </row>
    <row r="274" spans="1:3" ht="14.25" customHeight="1" x14ac:dyDescent="0.3">
      <c r="A274" s="22">
        <v>45852</v>
      </c>
      <c r="B274" s="23">
        <v>632.91099999999994</v>
      </c>
      <c r="C274" s="24">
        <f t="shared" si="4"/>
        <v>-2.6063221477370377E-4</v>
      </c>
    </row>
    <row r="275" spans="1:3" ht="14.25" customHeight="1" x14ac:dyDescent="0.3">
      <c r="A275" s="22">
        <v>45849</v>
      </c>
      <c r="B275" s="23">
        <v>633.07600000000002</v>
      </c>
      <c r="C275" s="24">
        <f t="shared" si="4"/>
        <v>-9.4923984147522646E-3</v>
      </c>
    </row>
    <row r="276" spans="1:3" ht="14.25" customHeight="1" x14ac:dyDescent="0.3">
      <c r="A276" s="22">
        <v>45848</v>
      </c>
      <c r="B276" s="23">
        <v>639.14300000000003</v>
      </c>
      <c r="C276" s="24">
        <f t="shared" si="4"/>
        <v>6.2587720602277422E-5</v>
      </c>
    </row>
    <row r="277" spans="1:3" ht="14.25" customHeight="1" x14ac:dyDescent="0.3">
      <c r="A277" s="22">
        <v>45847</v>
      </c>
      <c r="B277" s="23">
        <v>639.10299999999995</v>
      </c>
      <c r="C277" s="24">
        <f t="shared" si="4"/>
        <v>5.0408512463583413E-4</v>
      </c>
    </row>
    <row r="278" spans="1:3" ht="14.25" customHeight="1" x14ac:dyDescent="0.3">
      <c r="A278" s="22">
        <v>45846</v>
      </c>
      <c r="B278" s="23">
        <v>638.78099999999995</v>
      </c>
      <c r="C278" s="24">
        <f t="shared" si="4"/>
        <v>-1.2430109947841582E-3</v>
      </c>
    </row>
    <row r="279" spans="1:3" ht="14.25" customHeight="1" x14ac:dyDescent="0.3">
      <c r="A279" s="22">
        <v>45845</v>
      </c>
      <c r="B279" s="23">
        <v>639.57600000000002</v>
      </c>
      <c r="C279" s="24">
        <f t="shared" si="4"/>
        <v>6.3206773763556032E-4</v>
      </c>
    </row>
    <row r="280" spans="1:3" ht="14.25" customHeight="1" x14ac:dyDescent="0.3">
      <c r="A280" s="22">
        <v>45842</v>
      </c>
      <c r="B280" s="23">
        <v>639.17200000000003</v>
      </c>
      <c r="C280" s="24">
        <f t="shared" si="4"/>
        <v>3.792655597033213E-3</v>
      </c>
    </row>
    <row r="281" spans="1:3" ht="14.25" customHeight="1" x14ac:dyDescent="0.3">
      <c r="A281" s="22">
        <v>45841</v>
      </c>
      <c r="B281" s="23">
        <v>636.75699999999995</v>
      </c>
      <c r="C281" s="24">
        <f t="shared" si="4"/>
        <v>-1.3800955716183276E-3</v>
      </c>
    </row>
    <row r="282" spans="1:3" ht="14.25" customHeight="1" x14ac:dyDescent="0.3">
      <c r="A282" s="22">
        <v>45840</v>
      </c>
      <c r="B282" s="23">
        <v>637.63699999999994</v>
      </c>
      <c r="C282" s="24">
        <f t="shared" si="4"/>
        <v>-4.7713885255676134E-3</v>
      </c>
    </row>
    <row r="283" spans="1:3" ht="14.25" customHeight="1" x14ac:dyDescent="0.3">
      <c r="A283" s="22">
        <v>45839</v>
      </c>
      <c r="B283" s="23">
        <v>640.69399999999996</v>
      </c>
      <c r="C283" s="24">
        <f t="shared" si="4"/>
        <v>-2.5951139623981378E-3</v>
      </c>
    </row>
    <row r="284" spans="1:3" ht="14.25" customHeight="1" x14ac:dyDescent="0.3">
      <c r="A284" s="22">
        <v>45838</v>
      </c>
      <c r="B284" s="23">
        <v>642.36099999999999</v>
      </c>
      <c r="C284" s="24">
        <f t="shared" si="4"/>
        <v>1.9200474162806211E-3</v>
      </c>
    </row>
    <row r="285" spans="1:3" ht="14.25" customHeight="1" x14ac:dyDescent="0.3">
      <c r="A285" s="22">
        <v>45835</v>
      </c>
      <c r="B285" s="23">
        <v>641.13</v>
      </c>
      <c r="C285" s="24">
        <f t="shared" si="4"/>
        <v>5.4480785878279932E-3</v>
      </c>
    </row>
    <row r="286" spans="1:3" ht="14.25" customHeight="1" x14ac:dyDescent="0.3">
      <c r="A286" s="22">
        <v>45834</v>
      </c>
      <c r="B286" s="23">
        <v>637.65599999999995</v>
      </c>
      <c r="C286" s="24">
        <f t="shared" si="4"/>
        <v>9.1569468403309932E-3</v>
      </c>
    </row>
    <row r="287" spans="1:3" ht="14.25" customHeight="1" x14ac:dyDescent="0.3">
      <c r="A287" s="22">
        <v>45833</v>
      </c>
      <c r="B287" s="23">
        <v>631.87</v>
      </c>
      <c r="C287" s="24">
        <f t="shared" si="4"/>
        <v>1.1670223717980514E-2</v>
      </c>
    </row>
    <row r="288" spans="1:3" ht="14.25" customHeight="1" x14ac:dyDescent="0.3">
      <c r="A288" s="22">
        <v>45832</v>
      </c>
      <c r="B288" s="23">
        <v>624.58100000000002</v>
      </c>
      <c r="C288" s="24">
        <f t="shared" si="4"/>
        <v>4.8603513739624042E-3</v>
      </c>
    </row>
    <row r="289" spans="1:3" ht="14.25" customHeight="1" x14ac:dyDescent="0.3">
      <c r="A289" s="22">
        <v>45831</v>
      </c>
      <c r="B289" s="23">
        <v>621.55999999999995</v>
      </c>
      <c r="C289" s="24">
        <f t="shared" si="4"/>
        <v>6.1496060710448236E-4</v>
      </c>
    </row>
    <row r="290" spans="1:3" ht="14.25" customHeight="1" x14ac:dyDescent="0.3">
      <c r="A290" s="22">
        <v>45828</v>
      </c>
      <c r="B290" s="23">
        <v>621.178</v>
      </c>
      <c r="C290" s="24">
        <f t="shared" si="4"/>
        <v>8.5695729826270831E-3</v>
      </c>
    </row>
    <row r="291" spans="1:3" ht="14.25" customHeight="1" x14ac:dyDescent="0.3">
      <c r="A291" s="22">
        <v>45827</v>
      </c>
      <c r="B291" s="23">
        <v>615.9</v>
      </c>
      <c r="C291" s="24">
        <f t="shared" si="4"/>
        <v>-9.9566946474328212E-3</v>
      </c>
    </row>
    <row r="292" spans="1:3" ht="14.25" customHeight="1" x14ac:dyDescent="0.3">
      <c r="A292" s="22">
        <v>45826</v>
      </c>
      <c r="B292" s="23">
        <v>622.09400000000005</v>
      </c>
      <c r="C292" s="24">
        <f t="shared" si="4"/>
        <v>-4.0504367427443913E-3</v>
      </c>
    </row>
    <row r="293" spans="1:3" ht="14.25" customHeight="1" x14ac:dyDescent="0.3">
      <c r="A293" s="22">
        <v>45825</v>
      </c>
      <c r="B293" s="23">
        <v>624.62400000000002</v>
      </c>
      <c r="C293" s="24">
        <f t="shared" si="4"/>
        <v>-5.9741111241959754E-3</v>
      </c>
    </row>
    <row r="294" spans="1:3" ht="14.25" customHeight="1" x14ac:dyDescent="0.3">
      <c r="A294" s="22">
        <v>45824</v>
      </c>
      <c r="B294" s="23">
        <v>628.37800000000004</v>
      </c>
      <c r="C294" s="24">
        <f t="shared" si="4"/>
        <v>4.7151635117656347E-3</v>
      </c>
    </row>
    <row r="295" spans="1:3" ht="14.25" customHeight="1" x14ac:dyDescent="0.3">
      <c r="A295" s="22">
        <v>45821</v>
      </c>
      <c r="B295" s="23">
        <v>625.42899999999997</v>
      </c>
      <c r="C295" s="24">
        <f t="shared" si="4"/>
        <v>-6.3975877583183627E-3</v>
      </c>
    </row>
    <row r="296" spans="1:3" ht="14.25" customHeight="1" x14ac:dyDescent="0.3">
      <c r="A296" s="22">
        <v>45820</v>
      </c>
      <c r="B296" s="23">
        <v>629.45600000000002</v>
      </c>
      <c r="C296" s="24">
        <f t="shared" si="4"/>
        <v>-1.6836005529219735E-2</v>
      </c>
    </row>
    <row r="297" spans="1:3" ht="14.25" customHeight="1" x14ac:dyDescent="0.3">
      <c r="A297" s="22">
        <v>45819</v>
      </c>
      <c r="B297" s="23">
        <v>640.23500000000001</v>
      </c>
      <c r="C297" s="24">
        <f t="shared" si="4"/>
        <v>2.3750700622184638E-3</v>
      </c>
    </row>
    <row r="298" spans="1:3" ht="14.25" customHeight="1" x14ac:dyDescent="0.3">
      <c r="A298" s="22">
        <v>45818</v>
      </c>
      <c r="B298" s="23">
        <v>638.71799999999996</v>
      </c>
      <c r="C298" s="24">
        <f t="shared" si="4"/>
        <v>3.2072828251731118E-3</v>
      </c>
    </row>
    <row r="299" spans="1:3" ht="14.25" customHeight="1" x14ac:dyDescent="0.3">
      <c r="A299" s="22">
        <v>45817</v>
      </c>
      <c r="B299" s="23">
        <v>636.67600000000004</v>
      </c>
      <c r="C299" s="24">
        <f t="shared" si="4"/>
        <v>9.7937988996053427E-3</v>
      </c>
    </row>
    <row r="300" spans="1:3" ht="14.25" customHeight="1" x14ac:dyDescent="0.3">
      <c r="A300" s="22">
        <v>45814</v>
      </c>
      <c r="B300" s="23">
        <v>630.50099999999998</v>
      </c>
      <c r="C300" s="24">
        <f t="shared" si="4"/>
        <v>3.88017781627352E-3</v>
      </c>
    </row>
    <row r="301" spans="1:3" ht="14.25" customHeight="1" x14ac:dyDescent="0.3">
      <c r="A301" s="22">
        <v>45813</v>
      </c>
      <c r="B301" s="23">
        <v>628.06399999999996</v>
      </c>
      <c r="C301" s="24">
        <f t="shared" si="4"/>
        <v>6.043655923279225E-3</v>
      </c>
    </row>
    <row r="302" spans="1:3" ht="14.25" customHeight="1" x14ac:dyDescent="0.3">
      <c r="A302" s="22">
        <v>45812</v>
      </c>
      <c r="B302" s="23">
        <v>624.29100000000005</v>
      </c>
      <c r="C302" s="24">
        <f t="shared" si="4"/>
        <v>6.6709236737972459E-3</v>
      </c>
    </row>
    <row r="303" spans="1:3" ht="14.25" customHeight="1" x14ac:dyDescent="0.3">
      <c r="A303" s="22">
        <v>45811</v>
      </c>
      <c r="B303" s="23">
        <v>620.154</v>
      </c>
      <c r="C303" s="24">
        <f t="shared" si="4"/>
        <v>-4.1861966308101677E-3</v>
      </c>
    </row>
    <row r="304" spans="1:3" ht="14.25" customHeight="1" x14ac:dyDescent="0.3">
      <c r="A304" s="22">
        <v>45810</v>
      </c>
      <c r="B304" s="23">
        <v>622.76099999999997</v>
      </c>
      <c r="C304" s="24">
        <f t="shared" si="4"/>
        <v>-1.3534208353044811E-3</v>
      </c>
    </row>
    <row r="305" spans="1:3" ht="14.25" customHeight="1" x14ac:dyDescent="0.3">
      <c r="A305" s="22">
        <v>45807</v>
      </c>
      <c r="B305" s="23">
        <v>623.60500000000002</v>
      </c>
      <c r="C305" s="24">
        <f t="shared" si="4"/>
        <v>-2.8079781118425548E-3</v>
      </c>
    </row>
    <row r="306" spans="1:3" ht="14.25" customHeight="1" x14ac:dyDescent="0.3">
      <c r="A306" s="22">
        <v>45806</v>
      </c>
      <c r="B306" s="23">
        <v>625.36099999999999</v>
      </c>
      <c r="C306" s="24">
        <f t="shared" si="4"/>
        <v>3.8364546664290734E-3</v>
      </c>
    </row>
    <row r="307" spans="1:3" ht="14.25" customHeight="1" x14ac:dyDescent="0.3">
      <c r="A307" s="22">
        <v>45805</v>
      </c>
      <c r="B307" s="23">
        <v>622.971</v>
      </c>
      <c r="C307" s="24">
        <f t="shared" si="4"/>
        <v>-8.3561617470626439E-4</v>
      </c>
    </row>
    <row r="308" spans="1:3" ht="14.25" customHeight="1" x14ac:dyDescent="0.3">
      <c r="A308" s="22">
        <v>45804</v>
      </c>
      <c r="B308" s="23">
        <v>623.49199999999996</v>
      </c>
      <c r="C308" s="24">
        <f t="shared" si="4"/>
        <v>3.0631221966961981E-3</v>
      </c>
    </row>
    <row r="309" spans="1:3" ht="14.25" customHeight="1" x14ac:dyDescent="0.3">
      <c r="A309" s="22">
        <v>45803</v>
      </c>
      <c r="B309" s="23">
        <v>621.58799999999997</v>
      </c>
      <c r="C309" s="24">
        <f t="shared" si="4"/>
        <v>3.2052833915965249E-3</v>
      </c>
    </row>
    <row r="310" spans="1:3" ht="14.25" customHeight="1" x14ac:dyDescent="0.3">
      <c r="A310" s="22">
        <v>45800</v>
      </c>
      <c r="B310" s="23">
        <v>619.60199999999998</v>
      </c>
      <c r="C310" s="24">
        <f t="shared" si="4"/>
        <v>3.6673588860559533E-3</v>
      </c>
    </row>
    <row r="311" spans="1:3" ht="14.25" customHeight="1" x14ac:dyDescent="0.3">
      <c r="A311" s="22">
        <v>45799</v>
      </c>
      <c r="B311" s="23">
        <v>617.33799999999997</v>
      </c>
      <c r="C311" s="24">
        <f t="shared" si="4"/>
        <v>-6.7925863955209161E-3</v>
      </c>
    </row>
    <row r="312" spans="1:3" ht="14.25" customHeight="1" x14ac:dyDescent="0.3">
      <c r="A312" s="22">
        <v>45798</v>
      </c>
      <c r="B312" s="23">
        <v>621.55999999999995</v>
      </c>
      <c r="C312" s="24">
        <f t="shared" si="4"/>
        <v>4.6453289714005327E-3</v>
      </c>
    </row>
    <row r="313" spans="1:3" ht="14.25" customHeight="1" x14ac:dyDescent="0.3">
      <c r="A313" s="22">
        <v>45797</v>
      </c>
      <c r="B313" s="23">
        <v>618.68600000000004</v>
      </c>
      <c r="C313" s="24">
        <f t="shared" si="4"/>
        <v>-1.1007525912285024E-2</v>
      </c>
    </row>
    <row r="314" spans="1:3" ht="14.25" customHeight="1" x14ac:dyDescent="0.3">
      <c r="A314" s="22">
        <v>45796</v>
      </c>
      <c r="B314" s="23">
        <v>625.572</v>
      </c>
      <c r="C314" s="24">
        <f t="shared" si="4"/>
        <v>3.6934233959600511E-3</v>
      </c>
    </row>
    <row r="315" spans="1:3" ht="14.25" customHeight="1" x14ac:dyDescent="0.3">
      <c r="A315" s="22">
        <v>45793</v>
      </c>
      <c r="B315" s="23">
        <v>623.27</v>
      </c>
      <c r="C315" s="24">
        <f t="shared" si="4"/>
        <v>1.1017424790503522E-2</v>
      </c>
    </row>
    <row r="316" spans="1:3" ht="14.25" customHeight="1" x14ac:dyDescent="0.3">
      <c r="A316" s="22">
        <v>45792</v>
      </c>
      <c r="B316" s="23">
        <v>616.47799999999995</v>
      </c>
      <c r="C316" s="24">
        <f t="shared" si="4"/>
        <v>8.3368635924243317E-3</v>
      </c>
    </row>
    <row r="317" spans="1:3" ht="14.25" customHeight="1" x14ac:dyDescent="0.3">
      <c r="A317" s="22">
        <v>45791</v>
      </c>
      <c r="B317" s="23">
        <v>611.38099999999997</v>
      </c>
      <c r="C317" s="24">
        <f t="shared" si="4"/>
        <v>5.4847824013313506E-3</v>
      </c>
    </row>
    <row r="318" spans="1:3" ht="14.25" customHeight="1" x14ac:dyDescent="0.3">
      <c r="A318" s="22">
        <v>45790</v>
      </c>
      <c r="B318" s="23">
        <v>608.04600000000005</v>
      </c>
      <c r="C318" s="24">
        <f t="shared" si="4"/>
        <v>5.3807763127366125E-4</v>
      </c>
    </row>
    <row r="319" spans="1:3" ht="14.25" customHeight="1" x14ac:dyDescent="0.3">
      <c r="A319" s="22">
        <v>45789</v>
      </c>
      <c r="B319" s="23">
        <v>607.71900000000005</v>
      </c>
      <c r="C319" s="24">
        <f t="shared" si="4"/>
        <v>3.9624946112947278E-2</v>
      </c>
    </row>
    <row r="320" spans="1:3" ht="14.25" customHeight="1" x14ac:dyDescent="0.3">
      <c r="A320" s="22">
        <v>45786</v>
      </c>
      <c r="B320" s="23">
        <v>584.55600000000004</v>
      </c>
      <c r="C320" s="24">
        <f t="shared" si="4"/>
        <v>-5.0584823191405E-3</v>
      </c>
    </row>
    <row r="321" spans="1:3" ht="14.25" customHeight="1" x14ac:dyDescent="0.3">
      <c r="A321" s="22">
        <v>45785</v>
      </c>
      <c r="B321" s="23">
        <v>587.52800000000002</v>
      </c>
      <c r="C321" s="24">
        <f t="shared" si="4"/>
        <v>-9.7920578152755188E-3</v>
      </c>
    </row>
    <row r="322" spans="1:3" ht="14.25" customHeight="1" x14ac:dyDescent="0.3">
      <c r="A322" s="22">
        <v>45784</v>
      </c>
      <c r="B322" s="23">
        <v>593.33799999999997</v>
      </c>
      <c r="C322" s="24">
        <f t="shared" ref="C322:C385" si="5">(B322-B323)/B323</f>
        <v>3.7386149869400916E-3</v>
      </c>
    </row>
    <row r="323" spans="1:3" ht="14.25" customHeight="1" x14ac:dyDescent="0.3">
      <c r="A323" s="22">
        <v>45783</v>
      </c>
      <c r="B323" s="23">
        <v>591.12800000000004</v>
      </c>
      <c r="C323" s="24">
        <f t="shared" si="5"/>
        <v>-1.9873523081871736E-2</v>
      </c>
    </row>
    <row r="324" spans="1:3" ht="14.25" customHeight="1" x14ac:dyDescent="0.3">
      <c r="A324" s="22">
        <v>45782</v>
      </c>
      <c r="B324" s="23">
        <v>603.11400000000003</v>
      </c>
      <c r="C324" s="24">
        <f t="shared" si="5"/>
        <v>1.5584507433582711E-2</v>
      </c>
    </row>
    <row r="325" spans="1:3" ht="14.25" customHeight="1" x14ac:dyDescent="0.3">
      <c r="A325" s="22">
        <v>45779</v>
      </c>
      <c r="B325" s="23">
        <v>593.85900000000004</v>
      </c>
      <c r="C325" s="24">
        <f t="shared" si="5"/>
        <v>-2.6183286363528967E-3</v>
      </c>
    </row>
    <row r="326" spans="1:3" ht="14.25" customHeight="1" x14ac:dyDescent="0.3">
      <c r="A326" s="22">
        <v>45777</v>
      </c>
      <c r="B326" s="23">
        <v>595.41800000000001</v>
      </c>
      <c r="C326" s="24">
        <f t="shared" si="5"/>
        <v>-7.4232626681402748E-3</v>
      </c>
    </row>
    <row r="327" spans="1:3" ht="14.25" customHeight="1" x14ac:dyDescent="0.3">
      <c r="A327" s="22">
        <v>45776</v>
      </c>
      <c r="B327" s="23">
        <v>599.87099999999998</v>
      </c>
      <c r="C327" s="24">
        <f t="shared" si="5"/>
        <v>-2.3001925974713484E-3</v>
      </c>
    </row>
    <row r="328" spans="1:3" ht="14.25" customHeight="1" x14ac:dyDescent="0.3">
      <c r="A328" s="22">
        <v>45775</v>
      </c>
      <c r="B328" s="23">
        <v>601.25400000000002</v>
      </c>
      <c r="C328" s="24">
        <f t="shared" si="5"/>
        <v>1.4509284490977123E-2</v>
      </c>
    </row>
    <row r="329" spans="1:3" ht="14.25" customHeight="1" x14ac:dyDescent="0.3">
      <c r="A329" s="22">
        <v>45772</v>
      </c>
      <c r="B329" s="23">
        <v>592.65499999999997</v>
      </c>
      <c r="C329" s="24">
        <f t="shared" si="5"/>
        <v>-2.2324757336007996E-2</v>
      </c>
    </row>
    <row r="330" spans="1:3" ht="14.25" customHeight="1" x14ac:dyDescent="0.3">
      <c r="A330" s="22">
        <v>45771</v>
      </c>
      <c r="B330" s="23">
        <v>606.18799999999999</v>
      </c>
      <c r="C330" s="24">
        <f t="shared" si="5"/>
        <v>-4.9959521245986711E-4</v>
      </c>
    </row>
    <row r="331" spans="1:3" ht="14.25" customHeight="1" x14ac:dyDescent="0.3">
      <c r="A331" s="22">
        <v>45770</v>
      </c>
      <c r="B331" s="23">
        <v>606.49099999999999</v>
      </c>
      <c r="C331" s="24">
        <f t="shared" si="5"/>
        <v>7.4166232023202194E-3</v>
      </c>
    </row>
    <row r="332" spans="1:3" ht="14.25" customHeight="1" x14ac:dyDescent="0.3">
      <c r="A332" s="22">
        <v>45769</v>
      </c>
      <c r="B332" s="23">
        <v>602.02599999999995</v>
      </c>
      <c r="C332" s="24">
        <f t="shared" si="5"/>
        <v>2.3125448482194905E-3</v>
      </c>
    </row>
    <row r="333" spans="1:3" ht="14.25" customHeight="1" x14ac:dyDescent="0.3">
      <c r="A333" s="22">
        <v>45768</v>
      </c>
      <c r="B333" s="23">
        <v>600.63699999999994</v>
      </c>
      <c r="C333" s="24">
        <f t="shared" si="5"/>
        <v>9.4077867165008617E-3</v>
      </c>
    </row>
    <row r="334" spans="1:3" ht="14.25" customHeight="1" x14ac:dyDescent="0.3">
      <c r="A334" s="22">
        <v>45764</v>
      </c>
      <c r="B334" s="23">
        <v>595.03899999999999</v>
      </c>
      <c r="C334" s="24">
        <f t="shared" si="5"/>
        <v>8.6859971351805326E-3</v>
      </c>
    </row>
    <row r="335" spans="1:3" ht="14.25" customHeight="1" x14ac:dyDescent="0.3">
      <c r="A335" s="22">
        <v>45763</v>
      </c>
      <c r="B335" s="23">
        <v>589.91499999999996</v>
      </c>
      <c r="C335" s="24">
        <f t="shared" si="5"/>
        <v>9.9969866935123875E-3</v>
      </c>
    </row>
    <row r="336" spans="1:3" ht="14.25" customHeight="1" x14ac:dyDescent="0.3">
      <c r="A336" s="22">
        <v>45762</v>
      </c>
      <c r="B336" s="23">
        <v>584.07600000000002</v>
      </c>
      <c r="C336" s="24">
        <f t="shared" si="5"/>
        <v>2.7163533404850299E-2</v>
      </c>
    </row>
    <row r="337" spans="1:3" ht="14.25" customHeight="1" x14ac:dyDescent="0.3">
      <c r="A337" s="22">
        <v>45758</v>
      </c>
      <c r="B337" s="23">
        <v>568.63</v>
      </c>
      <c r="C337" s="24">
        <f t="shared" si="5"/>
        <v>1.6474382121291223E-2</v>
      </c>
    </row>
    <row r="338" spans="1:3" ht="14.25" customHeight="1" x14ac:dyDescent="0.3">
      <c r="A338" s="22">
        <v>45756</v>
      </c>
      <c r="B338" s="23">
        <v>559.41399999999999</v>
      </c>
      <c r="C338" s="24">
        <f t="shared" si="5"/>
        <v>-7.5610811884842654E-3</v>
      </c>
    </row>
    <row r="339" spans="1:3" ht="14.25" customHeight="1" x14ac:dyDescent="0.3">
      <c r="A339" s="22">
        <v>45755</v>
      </c>
      <c r="B339" s="23">
        <v>563.67600000000004</v>
      </c>
      <c r="C339" s="24">
        <f t="shared" si="5"/>
        <v>2.2684347745626224E-2</v>
      </c>
    </row>
    <row r="340" spans="1:3" ht="14.25" customHeight="1" x14ac:dyDescent="0.3">
      <c r="A340" s="22">
        <v>45754</v>
      </c>
      <c r="B340" s="23">
        <v>551.173</v>
      </c>
      <c r="C340" s="24">
        <f t="shared" si="5"/>
        <v>-3.3474087349323549E-2</v>
      </c>
    </row>
    <row r="341" spans="1:3" ht="14.25" customHeight="1" x14ac:dyDescent="0.3">
      <c r="A341" s="22">
        <v>45751</v>
      </c>
      <c r="B341" s="23">
        <v>570.26199999999994</v>
      </c>
      <c r="C341" s="24">
        <f t="shared" si="5"/>
        <v>-3.2832955406947917E-2</v>
      </c>
    </row>
    <row r="342" spans="1:3" ht="14.25" customHeight="1" x14ac:dyDescent="0.3">
      <c r="A342" s="22">
        <v>45750</v>
      </c>
      <c r="B342" s="23">
        <v>589.62099999999998</v>
      </c>
      <c r="C342" s="24">
        <f t="shared" si="5"/>
        <v>5.3968243141854864E-3</v>
      </c>
    </row>
    <row r="343" spans="1:3" ht="14.25" customHeight="1" x14ac:dyDescent="0.3">
      <c r="A343" s="22">
        <v>45749</v>
      </c>
      <c r="B343" s="23">
        <v>586.45600000000002</v>
      </c>
      <c r="C343" s="24">
        <f t="shared" si="5"/>
        <v>8.925315000997797E-3</v>
      </c>
    </row>
    <row r="344" spans="1:3" ht="14.25" customHeight="1" x14ac:dyDescent="0.3">
      <c r="A344" s="22">
        <v>45748</v>
      </c>
      <c r="B344" s="23">
        <v>581.26800000000003</v>
      </c>
      <c r="C344" s="24">
        <f t="shared" si="5"/>
        <v>-5.1380354972871325E-3</v>
      </c>
    </row>
    <row r="345" spans="1:3" ht="14.25" customHeight="1" x14ac:dyDescent="0.3">
      <c r="A345" s="22">
        <v>45744</v>
      </c>
      <c r="B345" s="23">
        <v>584.27</v>
      </c>
      <c r="C345" s="24">
        <f t="shared" si="5"/>
        <v>-7.6936141304347365E-3</v>
      </c>
    </row>
    <row r="346" spans="1:3" ht="14.25" customHeight="1" x14ac:dyDescent="0.3">
      <c r="A346" s="22">
        <v>45743</v>
      </c>
      <c r="B346" s="23">
        <v>588.79999999999995</v>
      </c>
      <c r="C346" s="24">
        <f t="shared" si="5"/>
        <v>1.7632276641122158E-2</v>
      </c>
    </row>
    <row r="347" spans="1:3" ht="14.25" customHeight="1" x14ac:dyDescent="0.3">
      <c r="A347" s="22">
        <v>45742</v>
      </c>
      <c r="B347" s="23">
        <v>578.59799999999996</v>
      </c>
      <c r="C347" s="24">
        <f t="shared" si="5"/>
        <v>-1.1249510835109279E-2</v>
      </c>
    </row>
    <row r="348" spans="1:3" ht="14.25" customHeight="1" x14ac:dyDescent="0.3">
      <c r="A348" s="22">
        <v>45741</v>
      </c>
      <c r="B348" s="23">
        <v>585.18100000000004</v>
      </c>
      <c r="C348" s="24">
        <f t="shared" si="5"/>
        <v>-1.0734855823278763E-2</v>
      </c>
    </row>
    <row r="349" spans="1:3" ht="14.25" customHeight="1" x14ac:dyDescent="0.3">
      <c r="A349" s="22">
        <v>45740</v>
      </c>
      <c r="B349" s="23">
        <v>591.53099999999995</v>
      </c>
      <c r="C349" s="24">
        <f t="shared" si="5"/>
        <v>1.1316232185354231E-2</v>
      </c>
    </row>
    <row r="350" spans="1:3" ht="14.25" customHeight="1" x14ac:dyDescent="0.3">
      <c r="A350" s="22">
        <v>45737</v>
      </c>
      <c r="B350" s="23">
        <v>584.91200000000003</v>
      </c>
      <c r="C350" s="24">
        <f t="shared" si="5"/>
        <v>1.0411394318388011E-2</v>
      </c>
    </row>
    <row r="351" spans="1:3" ht="14.25" customHeight="1" x14ac:dyDescent="0.3">
      <c r="A351" s="22">
        <v>45736</v>
      </c>
      <c r="B351" s="23">
        <v>578.88499999999999</v>
      </c>
      <c r="C351" s="24">
        <f t="shared" si="5"/>
        <v>9.1240144268902833E-3</v>
      </c>
    </row>
    <row r="352" spans="1:3" ht="14.25" customHeight="1" x14ac:dyDescent="0.3">
      <c r="A352" s="22">
        <v>45735</v>
      </c>
      <c r="B352" s="23">
        <v>573.65099999999995</v>
      </c>
      <c r="C352" s="24">
        <f t="shared" si="5"/>
        <v>1.5760956175298723E-2</v>
      </c>
    </row>
    <row r="353" spans="1:3" ht="14.25" customHeight="1" x14ac:dyDescent="0.3">
      <c r="A353" s="22">
        <v>45734</v>
      </c>
      <c r="B353" s="23">
        <v>564.75</v>
      </c>
      <c r="C353" s="24">
        <f t="shared" si="5"/>
        <v>1.6814575152454769E-2</v>
      </c>
    </row>
    <row r="354" spans="1:3" ht="14.25" customHeight="1" x14ac:dyDescent="0.3">
      <c r="A354" s="22">
        <v>45733</v>
      </c>
      <c r="B354" s="23">
        <v>555.41099999999994</v>
      </c>
      <c r="C354" s="24">
        <f t="shared" si="5"/>
        <v>5.8729744093230431E-4</v>
      </c>
    </row>
    <row r="355" spans="1:3" ht="14.25" customHeight="1" x14ac:dyDescent="0.3">
      <c r="A355" s="22">
        <v>45729</v>
      </c>
      <c r="B355" s="23">
        <v>555.08500000000004</v>
      </c>
      <c r="C355" s="24">
        <f t="shared" si="5"/>
        <v>-7.003577817531241E-3</v>
      </c>
    </row>
    <row r="356" spans="1:3" ht="14.25" customHeight="1" x14ac:dyDescent="0.3">
      <c r="A356" s="22">
        <v>45728</v>
      </c>
      <c r="B356" s="23">
        <v>559</v>
      </c>
      <c r="C356" s="24">
        <f t="shared" si="5"/>
        <v>8.2357575106534252E-4</v>
      </c>
    </row>
    <row r="357" spans="1:3" ht="14.25" customHeight="1" x14ac:dyDescent="0.3">
      <c r="A357" s="22">
        <v>45727</v>
      </c>
      <c r="B357" s="23">
        <v>558.54</v>
      </c>
      <c r="C357" s="24">
        <f t="shared" si="5"/>
        <v>-1.6365727247271658E-2</v>
      </c>
    </row>
    <row r="358" spans="1:3" ht="14.25" customHeight="1" x14ac:dyDescent="0.3">
      <c r="A358" s="22">
        <v>45723</v>
      </c>
      <c r="B358" s="23">
        <v>567.83299999999997</v>
      </c>
      <c r="C358" s="24">
        <f t="shared" si="5"/>
        <v>3.4973685791740059E-3</v>
      </c>
    </row>
    <row r="359" spans="1:3" ht="14.25" customHeight="1" x14ac:dyDescent="0.3">
      <c r="A359" s="22">
        <v>45722</v>
      </c>
      <c r="B359" s="23">
        <v>565.85400000000004</v>
      </c>
      <c r="C359" s="24">
        <f t="shared" si="5"/>
        <v>1.0863332100690846E-2</v>
      </c>
    </row>
    <row r="360" spans="1:3" ht="14.25" customHeight="1" x14ac:dyDescent="0.3">
      <c r="A360" s="22">
        <v>45721</v>
      </c>
      <c r="B360" s="23">
        <v>559.77300000000002</v>
      </c>
      <c r="C360" s="24">
        <f t="shared" si="5"/>
        <v>2.6855831512676696E-2</v>
      </c>
    </row>
    <row r="361" spans="1:3" ht="14.25" customHeight="1" x14ac:dyDescent="0.3">
      <c r="A361" s="22">
        <v>45720</v>
      </c>
      <c r="B361" s="23">
        <v>545.13300000000004</v>
      </c>
      <c r="C361" s="24">
        <f t="shared" si="5"/>
        <v>4.7701112350129098E-3</v>
      </c>
    </row>
    <row r="362" spans="1:3" ht="14.25" customHeight="1" x14ac:dyDescent="0.3">
      <c r="A362" s="22">
        <v>45719</v>
      </c>
      <c r="B362" s="23">
        <v>542.54499999999996</v>
      </c>
      <c r="C362" s="24">
        <f t="shared" si="5"/>
        <v>-4.6598236972216758E-3</v>
      </c>
    </row>
    <row r="363" spans="1:3" ht="14.25" customHeight="1" x14ac:dyDescent="0.3">
      <c r="A363" s="22">
        <v>45716</v>
      </c>
      <c r="B363" s="23">
        <v>545.08500000000004</v>
      </c>
      <c r="C363" s="24">
        <f t="shared" si="5"/>
        <v>-2.1451114294639025E-2</v>
      </c>
    </row>
    <row r="364" spans="1:3" ht="14.25" customHeight="1" x14ac:dyDescent="0.3">
      <c r="A364" s="22">
        <v>45715</v>
      </c>
      <c r="B364" s="23">
        <v>557.03399999999999</v>
      </c>
      <c r="C364" s="24">
        <f t="shared" si="5"/>
        <v>-1.3517701583411175E-2</v>
      </c>
    </row>
    <row r="365" spans="1:3" ht="14.25" customHeight="1" x14ac:dyDescent="0.3">
      <c r="A365" s="22">
        <v>45713</v>
      </c>
      <c r="B365" s="23">
        <v>564.66700000000003</v>
      </c>
      <c r="C365" s="24">
        <f t="shared" si="5"/>
        <v>-3.8388054540674068E-3</v>
      </c>
    </row>
    <row r="366" spans="1:3" ht="14.25" customHeight="1" x14ac:dyDescent="0.3">
      <c r="A366" s="22">
        <v>45712</v>
      </c>
      <c r="B366" s="23">
        <v>566.84299999999996</v>
      </c>
      <c r="C366" s="24">
        <f t="shared" si="5"/>
        <v>-8.7713929482618556E-3</v>
      </c>
    </row>
    <row r="367" spans="1:3" ht="14.25" customHeight="1" x14ac:dyDescent="0.3">
      <c r="A367" s="22">
        <v>45709</v>
      </c>
      <c r="B367" s="23">
        <v>571.85900000000004</v>
      </c>
      <c r="C367" s="24">
        <f t="shared" si="5"/>
        <v>-2.8283413051172703E-3</v>
      </c>
    </row>
    <row r="368" spans="1:3" ht="14.25" customHeight="1" x14ac:dyDescent="0.3">
      <c r="A368" s="22">
        <v>45708</v>
      </c>
      <c r="B368" s="23">
        <v>573.48099999999999</v>
      </c>
      <c r="C368" s="24">
        <f t="shared" si="5"/>
        <v>5.7770520899283612E-3</v>
      </c>
    </row>
    <row r="369" spans="1:3" ht="14.25" customHeight="1" x14ac:dyDescent="0.3">
      <c r="A369" s="22">
        <v>45707</v>
      </c>
      <c r="B369" s="23">
        <v>570.18700000000001</v>
      </c>
      <c r="C369" s="24">
        <f t="shared" si="5"/>
        <v>1.1836377607064132E-2</v>
      </c>
    </row>
    <row r="370" spans="1:3" ht="14.25" customHeight="1" x14ac:dyDescent="0.3">
      <c r="A370" s="22">
        <v>45706</v>
      </c>
      <c r="B370" s="23">
        <v>563.51700000000005</v>
      </c>
      <c r="C370" s="24">
        <f t="shared" si="5"/>
        <v>-8.8976671544348847E-3</v>
      </c>
    </row>
    <row r="371" spans="1:3" ht="14.25" customHeight="1" x14ac:dyDescent="0.3">
      <c r="A371" s="22">
        <v>45705</v>
      </c>
      <c r="B371" s="23">
        <v>568.57600000000002</v>
      </c>
      <c r="C371" s="24">
        <f t="shared" si="5"/>
        <v>1.5589466805004675E-3</v>
      </c>
    </row>
    <row r="372" spans="1:3" ht="14.25" customHeight="1" x14ac:dyDescent="0.3">
      <c r="A372" s="22">
        <v>45702</v>
      </c>
      <c r="B372" s="23">
        <v>567.69100000000003</v>
      </c>
      <c r="C372" s="24">
        <f t="shared" si="5"/>
        <v>-2.1795843815694247E-2</v>
      </c>
    </row>
    <row r="373" spans="1:3" ht="14.25" customHeight="1" x14ac:dyDescent="0.3">
      <c r="A373" s="22">
        <v>45701</v>
      </c>
      <c r="B373" s="23">
        <v>580.34</v>
      </c>
      <c r="C373" s="24">
        <f t="shared" si="5"/>
        <v>-1.9433504737991563E-3</v>
      </c>
    </row>
    <row r="374" spans="1:3" ht="14.25" customHeight="1" x14ac:dyDescent="0.3">
      <c r="A374" s="22">
        <v>45700</v>
      </c>
      <c r="B374" s="23">
        <v>581.47</v>
      </c>
      <c r="C374" s="24">
        <f t="shared" si="5"/>
        <v>-1.6928317332124485E-3</v>
      </c>
    </row>
    <row r="375" spans="1:3" ht="14.25" customHeight="1" x14ac:dyDescent="0.3">
      <c r="A375" s="22">
        <v>45699</v>
      </c>
      <c r="B375" s="23">
        <v>582.45600000000002</v>
      </c>
      <c r="C375" s="24">
        <f t="shared" si="5"/>
        <v>-2.4103531587924387E-2</v>
      </c>
    </row>
    <row r="376" spans="1:3" ht="14.25" customHeight="1" x14ac:dyDescent="0.3">
      <c r="A376" s="22">
        <v>45698</v>
      </c>
      <c r="B376" s="23">
        <v>596.84199999999998</v>
      </c>
      <c r="C376" s="24">
        <f t="shared" si="5"/>
        <v>-1.9024780701394021E-2</v>
      </c>
    </row>
    <row r="377" spans="1:3" ht="14.25" customHeight="1" x14ac:dyDescent="0.3">
      <c r="A377" s="22">
        <v>45695</v>
      </c>
      <c r="B377" s="23">
        <v>608.41700000000003</v>
      </c>
      <c r="C377" s="24">
        <f t="shared" si="5"/>
        <v>-5.0417007358952905E-3</v>
      </c>
    </row>
    <row r="378" spans="1:3" ht="14.25" customHeight="1" x14ac:dyDescent="0.3">
      <c r="A378" s="22">
        <v>45694</v>
      </c>
      <c r="B378" s="23">
        <v>611.5</v>
      </c>
      <c r="C378" s="24">
        <f t="shared" si="5"/>
        <v>-4.2986941088350968E-3</v>
      </c>
    </row>
    <row r="379" spans="1:3" ht="14.25" customHeight="1" x14ac:dyDescent="0.3">
      <c r="A379" s="22">
        <v>45693</v>
      </c>
      <c r="B379" s="23">
        <v>614.14</v>
      </c>
      <c r="C379" s="24">
        <f t="shared" si="5"/>
        <v>4.1760275742086534E-3</v>
      </c>
    </row>
    <row r="380" spans="1:3" ht="14.25" customHeight="1" x14ac:dyDescent="0.3">
      <c r="A380" s="22">
        <v>45692</v>
      </c>
      <c r="B380" s="23">
        <v>611.58600000000001</v>
      </c>
      <c r="C380" s="24">
        <f t="shared" si="5"/>
        <v>2.1434583934584035E-2</v>
      </c>
    </row>
    <row r="381" spans="1:3" ht="14.25" customHeight="1" x14ac:dyDescent="0.3">
      <c r="A381" s="22">
        <v>45691</v>
      </c>
      <c r="B381" s="23">
        <v>598.75199999999995</v>
      </c>
      <c r="C381" s="24">
        <f t="shared" si="5"/>
        <v>-2.2124811570817568E-2</v>
      </c>
    </row>
    <row r="382" spans="1:3" ht="14.25" customHeight="1" x14ac:dyDescent="0.3">
      <c r="A382" s="22">
        <v>45688</v>
      </c>
      <c r="B382" s="23">
        <v>612.29899999999998</v>
      </c>
      <c r="C382" s="24">
        <f t="shared" si="5"/>
        <v>1.6824208526524113E-2</v>
      </c>
    </row>
    <row r="383" spans="1:3" ht="14.25" customHeight="1" x14ac:dyDescent="0.3">
      <c r="A383" s="22">
        <v>45687</v>
      </c>
      <c r="B383" s="23">
        <v>602.16800000000001</v>
      </c>
      <c r="C383" s="24">
        <f t="shared" si="5"/>
        <v>1.9400933773931763E-3</v>
      </c>
    </row>
    <row r="384" spans="1:3" ht="14.25" customHeight="1" x14ac:dyDescent="0.3">
      <c r="A384" s="22">
        <v>45686</v>
      </c>
      <c r="B384" s="23">
        <v>601.00199999999995</v>
      </c>
      <c r="C384" s="24">
        <f t="shared" si="5"/>
        <v>2.1415667206547917E-2</v>
      </c>
    </row>
    <row r="385" spans="1:3" ht="14.25" customHeight="1" x14ac:dyDescent="0.3">
      <c r="A385" s="22">
        <v>45685</v>
      </c>
      <c r="B385" s="23">
        <v>588.40099999999995</v>
      </c>
      <c r="C385" s="24">
        <f t="shared" si="5"/>
        <v>-5.2947172854262764E-3</v>
      </c>
    </row>
    <row r="386" spans="1:3" ht="14.25" customHeight="1" x14ac:dyDescent="0.3">
      <c r="A386" s="22">
        <v>45684</v>
      </c>
      <c r="B386" s="23">
        <v>591.53300000000002</v>
      </c>
      <c r="C386" s="24">
        <f t="shared" ref="C386:C449" si="6">(B386-B387)/B387</f>
        <v>-2.540559153674166E-2</v>
      </c>
    </row>
    <row r="387" spans="1:3" ht="14.25" customHeight="1" x14ac:dyDescent="0.3">
      <c r="A387" s="22">
        <v>45681</v>
      </c>
      <c r="B387" s="23">
        <v>606.95299999999997</v>
      </c>
      <c r="C387" s="24">
        <f t="shared" si="6"/>
        <v>-1.5624721247772033E-2</v>
      </c>
    </row>
    <row r="388" spans="1:3" ht="14.25" customHeight="1" x14ac:dyDescent="0.3">
      <c r="A388" s="22">
        <v>45680</v>
      </c>
      <c r="B388" s="23">
        <v>616.58699999999999</v>
      </c>
      <c r="C388" s="24">
        <f t="shared" si="6"/>
        <v>3.8030056117124966E-3</v>
      </c>
    </row>
    <row r="389" spans="1:3" ht="14.25" customHeight="1" x14ac:dyDescent="0.3">
      <c r="A389" s="22">
        <v>45679</v>
      </c>
      <c r="B389" s="23">
        <v>614.25099999999998</v>
      </c>
      <c r="C389" s="24">
        <f t="shared" si="6"/>
        <v>-7.6848764474773531E-3</v>
      </c>
    </row>
    <row r="390" spans="1:3" ht="14.25" customHeight="1" x14ac:dyDescent="0.3">
      <c r="A390" s="22">
        <v>45678</v>
      </c>
      <c r="B390" s="23">
        <v>619.00800000000004</v>
      </c>
      <c r="C390" s="24">
        <f t="shared" si="6"/>
        <v>-1.558817448831906E-2</v>
      </c>
    </row>
    <row r="391" spans="1:3" ht="14.25" customHeight="1" x14ac:dyDescent="0.3">
      <c r="A391" s="22">
        <v>45677</v>
      </c>
      <c r="B391" s="23">
        <v>628.80999999999995</v>
      </c>
      <c r="C391" s="24">
        <f t="shared" si="6"/>
        <v>1.5258372992360779E-3</v>
      </c>
    </row>
    <row r="392" spans="1:3" ht="14.25" customHeight="1" x14ac:dyDescent="0.3">
      <c r="A392" s="22">
        <v>45674</v>
      </c>
      <c r="B392" s="23">
        <v>627.85199999999998</v>
      </c>
      <c r="C392" s="24">
        <f t="shared" si="6"/>
        <v>9.1390400632627329E-3</v>
      </c>
    </row>
    <row r="393" spans="1:3" ht="14.25" customHeight="1" x14ac:dyDescent="0.3">
      <c r="A393" s="22">
        <v>45673</v>
      </c>
      <c r="B393" s="23">
        <v>622.16600000000005</v>
      </c>
      <c r="C393" s="24">
        <f t="shared" si="6"/>
        <v>1.1984424152323286E-2</v>
      </c>
    </row>
    <row r="394" spans="1:3" ht="14.25" customHeight="1" x14ac:dyDescent="0.3">
      <c r="A394" s="22">
        <v>45672</v>
      </c>
      <c r="B394" s="23">
        <v>614.798</v>
      </c>
      <c r="C394" s="24">
        <f t="shared" si="6"/>
        <v>1.2996742671009802E-3</v>
      </c>
    </row>
    <row r="395" spans="1:3" ht="14.25" customHeight="1" x14ac:dyDescent="0.3">
      <c r="A395" s="22">
        <v>45671</v>
      </c>
      <c r="B395" s="23">
        <v>614</v>
      </c>
      <c r="C395" s="24">
        <f t="shared" si="6"/>
        <v>2.2168061742946426E-2</v>
      </c>
    </row>
    <row r="396" spans="1:3" ht="14.25" customHeight="1" x14ac:dyDescent="0.3">
      <c r="A396" s="22">
        <v>45670</v>
      </c>
      <c r="B396" s="23">
        <v>600.68399999999997</v>
      </c>
      <c r="C396" s="24">
        <f t="shared" si="6"/>
        <v>-3.170301974204931E-2</v>
      </c>
    </row>
    <row r="397" spans="1:3" ht="14.25" customHeight="1" x14ac:dyDescent="0.3">
      <c r="A397" s="22">
        <v>45667</v>
      </c>
      <c r="B397" s="23">
        <v>620.351</v>
      </c>
      <c r="C397" s="24">
        <f t="shared" si="6"/>
        <v>-1.7606565009525489E-2</v>
      </c>
    </row>
    <row r="398" spans="1:3" ht="14.25" customHeight="1" x14ac:dyDescent="0.3">
      <c r="A398" s="22">
        <v>45666</v>
      </c>
      <c r="B398" s="23">
        <v>631.46900000000005</v>
      </c>
      <c r="C398" s="24">
        <f t="shared" si="6"/>
        <v>-1.4055281191498058E-2</v>
      </c>
    </row>
    <row r="399" spans="1:3" ht="14.25" customHeight="1" x14ac:dyDescent="0.3">
      <c r="A399" s="22">
        <v>45665</v>
      </c>
      <c r="B399" s="23">
        <v>640.471</v>
      </c>
      <c r="C399" s="24">
        <f t="shared" si="6"/>
        <v>-5.1739509973563564E-3</v>
      </c>
    </row>
    <row r="400" spans="1:3" ht="14.25" customHeight="1" x14ac:dyDescent="0.3">
      <c r="A400" s="22">
        <v>45664</v>
      </c>
      <c r="B400" s="23">
        <v>643.80200000000002</v>
      </c>
      <c r="C400" s="24">
        <f t="shared" si="6"/>
        <v>1.9009420822042683E-2</v>
      </c>
    </row>
    <row r="401" spans="1:3" ht="14.25" customHeight="1" x14ac:dyDescent="0.3">
      <c r="A401" s="22">
        <v>45663</v>
      </c>
      <c r="B401" s="23">
        <v>631.79200000000003</v>
      </c>
      <c r="C401" s="24">
        <f t="shared" si="6"/>
        <v>-2.8750457344725696E-2</v>
      </c>
    </row>
    <row r="402" spans="1:3" ht="14.25" customHeight="1" x14ac:dyDescent="0.3">
      <c r="A402" s="22">
        <v>45660</v>
      </c>
      <c r="B402" s="23">
        <v>650.49400000000003</v>
      </c>
      <c r="C402" s="24">
        <f t="shared" si="6"/>
        <v>2.3064716519254002E-4</v>
      </c>
    </row>
    <row r="403" spans="1:3" ht="14.25" customHeight="1" x14ac:dyDescent="0.3">
      <c r="A403" s="22">
        <v>45659</v>
      </c>
      <c r="B403" s="23">
        <v>650.34400000000005</v>
      </c>
      <c r="C403" s="24">
        <f t="shared" si="6"/>
        <v>8.5948864922876008E-3</v>
      </c>
    </row>
    <row r="404" spans="1:3" ht="14.25" customHeight="1" x14ac:dyDescent="0.3">
      <c r="A404" s="22">
        <v>45658</v>
      </c>
      <c r="B404" s="23">
        <v>644.80200000000002</v>
      </c>
      <c r="C404" s="24">
        <f t="shared" si="6"/>
        <v>6.8219470264649518E-3</v>
      </c>
    </row>
    <row r="405" spans="1:3" ht="14.25" customHeight="1" x14ac:dyDescent="0.3">
      <c r="A405" s="22">
        <v>45657</v>
      </c>
      <c r="B405" s="23">
        <v>640.43299999999999</v>
      </c>
      <c r="C405" s="24">
        <f t="shared" si="6"/>
        <v>6.0526563825441448E-3</v>
      </c>
    </row>
    <row r="406" spans="1:3" ht="14.25" customHeight="1" x14ac:dyDescent="0.3">
      <c r="A406" s="22">
        <v>45656</v>
      </c>
      <c r="B406" s="23">
        <v>636.58000000000004</v>
      </c>
      <c r="C406" s="24">
        <f t="shared" si="6"/>
        <v>-1.4137850324172349E-5</v>
      </c>
    </row>
    <row r="407" spans="1:3" ht="14.25" customHeight="1" x14ac:dyDescent="0.3">
      <c r="A407" s="22">
        <v>45653</v>
      </c>
      <c r="B407" s="23">
        <v>636.58900000000006</v>
      </c>
      <c r="C407" s="24">
        <f t="shared" si="6"/>
        <v>2.073981431582367E-4</v>
      </c>
    </row>
    <row r="408" spans="1:3" ht="14.25" customHeight="1" x14ac:dyDescent="0.3">
      <c r="A408" s="22">
        <v>45652</v>
      </c>
      <c r="B408" s="23">
        <v>636.45699999999999</v>
      </c>
      <c r="C408" s="24">
        <f t="shared" si="6"/>
        <v>-2.9998182877694567E-3</v>
      </c>
    </row>
    <row r="409" spans="1:3" ht="14.25" customHeight="1" x14ac:dyDescent="0.3">
      <c r="A409" s="22">
        <v>45650</v>
      </c>
      <c r="B409" s="23">
        <v>638.37199999999996</v>
      </c>
      <c r="C409" s="24">
        <f t="shared" si="6"/>
        <v>8.3563407066658156E-4</v>
      </c>
    </row>
    <row r="410" spans="1:3" ht="14.25" customHeight="1" x14ac:dyDescent="0.3">
      <c r="A410" s="22">
        <v>45649</v>
      </c>
      <c r="B410" s="23">
        <v>637.83900000000006</v>
      </c>
      <c r="C410" s="24">
        <f t="shared" si="6"/>
        <v>3.5037098103876097E-3</v>
      </c>
    </row>
    <row r="411" spans="1:3" ht="14.25" customHeight="1" x14ac:dyDescent="0.3">
      <c r="A411" s="22">
        <v>45646</v>
      </c>
      <c r="B411" s="23">
        <v>635.61199999999997</v>
      </c>
      <c r="C411" s="24">
        <f t="shared" si="6"/>
        <v>-1.6050032508746481E-2</v>
      </c>
    </row>
    <row r="412" spans="1:3" ht="14.25" customHeight="1" x14ac:dyDescent="0.3">
      <c r="A412" s="22">
        <v>45645</v>
      </c>
      <c r="B412" s="23">
        <v>645.98</v>
      </c>
      <c r="C412" s="24">
        <f t="shared" si="6"/>
        <v>-1.1153190277773442E-2</v>
      </c>
    </row>
    <row r="413" spans="1:3" ht="14.25" customHeight="1" x14ac:dyDescent="0.3">
      <c r="A413" s="22">
        <v>45644</v>
      </c>
      <c r="B413" s="23">
        <v>653.26599999999996</v>
      </c>
      <c r="C413" s="24">
        <f t="shared" si="6"/>
        <v>-6.4017643256398492E-3</v>
      </c>
    </row>
    <row r="414" spans="1:3" ht="14.25" customHeight="1" x14ac:dyDescent="0.3">
      <c r="A414" s="22">
        <v>45643</v>
      </c>
      <c r="B414" s="23">
        <v>657.47500000000002</v>
      </c>
      <c r="C414" s="24">
        <f t="shared" si="6"/>
        <v>-1.2619428784251799E-2</v>
      </c>
    </row>
    <row r="415" spans="1:3" ht="14.25" customHeight="1" x14ac:dyDescent="0.3">
      <c r="A415" s="22">
        <v>45642</v>
      </c>
      <c r="B415" s="23">
        <v>665.87800000000004</v>
      </c>
      <c r="C415" s="24">
        <f t="shared" si="6"/>
        <v>-3.4539668809494009E-5</v>
      </c>
    </row>
    <row r="416" spans="1:3" ht="14.25" customHeight="1" x14ac:dyDescent="0.3">
      <c r="A416" s="22">
        <v>45639</v>
      </c>
      <c r="B416" s="23">
        <v>665.90099999999995</v>
      </c>
      <c r="C416" s="24">
        <f t="shared" si="6"/>
        <v>3.8062878367622244E-3</v>
      </c>
    </row>
    <row r="417" spans="1:3" ht="14.25" customHeight="1" x14ac:dyDescent="0.3">
      <c r="A417" s="22">
        <v>45638</v>
      </c>
      <c r="B417" s="23">
        <v>663.37599999999998</v>
      </c>
      <c r="C417" s="24">
        <f t="shared" si="6"/>
        <v>-8.6629317082428988E-3</v>
      </c>
    </row>
    <row r="418" spans="1:3" ht="14.25" customHeight="1" x14ac:dyDescent="0.3">
      <c r="A418" s="22">
        <v>45637</v>
      </c>
      <c r="B418" s="23">
        <v>669.173</v>
      </c>
      <c r="C418" s="24">
        <f t="shared" si="6"/>
        <v>5.3741308541517653E-3</v>
      </c>
    </row>
    <row r="419" spans="1:3" ht="14.25" customHeight="1" x14ac:dyDescent="0.3">
      <c r="A419" s="22">
        <v>45636</v>
      </c>
      <c r="B419" s="23">
        <v>665.596</v>
      </c>
      <c r="C419" s="24">
        <f t="shared" si="6"/>
        <v>-2.0615588983628973E-3</v>
      </c>
    </row>
    <row r="420" spans="1:3" ht="14.25" customHeight="1" x14ac:dyDescent="0.3">
      <c r="A420" s="22">
        <v>45635</v>
      </c>
      <c r="B420" s="23">
        <v>666.971</v>
      </c>
      <c r="C420" s="24">
        <f t="shared" si="6"/>
        <v>-3.9247370441115393E-3</v>
      </c>
    </row>
    <row r="421" spans="1:3" ht="14.25" customHeight="1" x14ac:dyDescent="0.3">
      <c r="A421" s="22">
        <v>45632</v>
      </c>
      <c r="B421" s="23">
        <v>669.59900000000005</v>
      </c>
      <c r="C421" s="24">
        <f t="shared" si="6"/>
        <v>-1.0577227185114102E-3</v>
      </c>
    </row>
    <row r="422" spans="1:3" ht="14.25" customHeight="1" x14ac:dyDescent="0.3">
      <c r="A422" s="22">
        <v>45631</v>
      </c>
      <c r="B422" s="23">
        <v>670.30799999999999</v>
      </c>
      <c r="C422" s="24">
        <f t="shared" si="6"/>
        <v>2.4166581924114322E-3</v>
      </c>
    </row>
    <row r="423" spans="1:3" ht="14.25" customHeight="1" x14ac:dyDescent="0.3">
      <c r="A423" s="22">
        <v>45630</v>
      </c>
      <c r="B423" s="23">
        <v>668.69200000000001</v>
      </c>
      <c r="C423" s="24">
        <f t="shared" si="6"/>
        <v>2.8900737141271979E-3</v>
      </c>
    </row>
    <row r="424" spans="1:3" ht="14.25" customHeight="1" x14ac:dyDescent="0.3">
      <c r="A424" s="22">
        <v>45629</v>
      </c>
      <c r="B424" s="23">
        <v>666.76499999999999</v>
      </c>
      <c r="C424" s="24">
        <f t="shared" si="6"/>
        <v>7.0153446505164955E-3</v>
      </c>
    </row>
    <row r="425" spans="1:3" ht="14.25" customHeight="1" x14ac:dyDescent="0.3">
      <c r="A425" s="22">
        <v>45628</v>
      </c>
      <c r="B425" s="23">
        <v>662.12</v>
      </c>
      <c r="C425" s="24">
        <f t="shared" si="6"/>
        <v>1.2142436985590832E-3</v>
      </c>
    </row>
    <row r="426" spans="1:3" ht="14.25" customHeight="1" x14ac:dyDescent="0.3">
      <c r="A426" s="22">
        <v>45625</v>
      </c>
      <c r="B426" s="23">
        <v>661.31700000000001</v>
      </c>
      <c r="C426" s="24">
        <f t="shared" si="6"/>
        <v>9.3252971961532982E-3</v>
      </c>
    </row>
    <row r="427" spans="1:3" ht="14.25" customHeight="1" x14ac:dyDescent="0.3">
      <c r="A427" s="22">
        <v>45624</v>
      </c>
      <c r="B427" s="23">
        <v>655.20699999999999</v>
      </c>
      <c r="C427" s="24">
        <f t="shared" si="6"/>
        <v>5.208557068602575E-3</v>
      </c>
    </row>
    <row r="428" spans="1:3" ht="14.25" customHeight="1" x14ac:dyDescent="0.3">
      <c r="A428" s="22">
        <v>45623</v>
      </c>
      <c r="B428" s="23">
        <v>651.81200000000001</v>
      </c>
      <c r="C428" s="24">
        <f t="shared" si="6"/>
        <v>1.2871214817047895E-2</v>
      </c>
    </row>
    <row r="429" spans="1:3" ht="14.25" customHeight="1" x14ac:dyDescent="0.3">
      <c r="A429" s="22">
        <v>45622</v>
      </c>
      <c r="B429" s="23">
        <v>643.529</v>
      </c>
      <c r="C429" s="24">
        <f t="shared" si="6"/>
        <v>4.340239844681449E-3</v>
      </c>
    </row>
    <row r="430" spans="1:3" ht="14.25" customHeight="1" x14ac:dyDescent="0.3">
      <c r="A430" s="22">
        <v>45621</v>
      </c>
      <c r="B430" s="23">
        <v>640.74800000000005</v>
      </c>
      <c r="C430" s="24">
        <f t="shared" si="6"/>
        <v>1.6174793711511825E-2</v>
      </c>
    </row>
    <row r="431" spans="1:3" ht="14.25" customHeight="1" x14ac:dyDescent="0.3">
      <c r="A431" s="22">
        <v>45618</v>
      </c>
      <c r="B431" s="23">
        <v>630.54899999999998</v>
      </c>
      <c r="C431" s="24">
        <f t="shared" si="6"/>
        <v>1.6660324790073087E-2</v>
      </c>
    </row>
    <row r="432" spans="1:3" ht="14.25" customHeight="1" x14ac:dyDescent="0.3">
      <c r="A432" s="22">
        <v>45617</v>
      </c>
      <c r="B432" s="23">
        <v>620.21600000000001</v>
      </c>
      <c r="C432" s="24">
        <f t="shared" si="6"/>
        <v>-2.2501430275826594E-2</v>
      </c>
    </row>
    <row r="433" spans="1:3" ht="14.25" customHeight="1" x14ac:dyDescent="0.3">
      <c r="A433" s="22">
        <v>45614</v>
      </c>
      <c r="B433" s="23">
        <v>634.49300000000005</v>
      </c>
      <c r="C433" s="24">
        <f t="shared" si="6"/>
        <v>-1.8436520067436978E-4</v>
      </c>
    </row>
    <row r="434" spans="1:3" ht="14.25" customHeight="1" x14ac:dyDescent="0.3">
      <c r="A434" s="22">
        <v>45610</v>
      </c>
      <c r="B434" s="23">
        <v>634.61</v>
      </c>
      <c r="C434" s="24">
        <f t="shared" si="6"/>
        <v>7.2087457226839482E-3</v>
      </c>
    </row>
    <row r="435" spans="1:3" ht="14.25" customHeight="1" x14ac:dyDescent="0.3">
      <c r="A435" s="22">
        <v>45609</v>
      </c>
      <c r="B435" s="23">
        <v>630.06799999999998</v>
      </c>
      <c r="C435" s="24">
        <f t="shared" si="6"/>
        <v>-2.1148674576381865E-2</v>
      </c>
    </row>
    <row r="436" spans="1:3" ht="14.25" customHeight="1" x14ac:dyDescent="0.3">
      <c r="A436" s="22">
        <v>45608</v>
      </c>
      <c r="B436" s="23">
        <v>643.68100000000004</v>
      </c>
      <c r="C436" s="24">
        <f t="shared" si="6"/>
        <v>-1.307253678663362E-2</v>
      </c>
    </row>
    <row r="437" spans="1:3" ht="14.25" customHeight="1" x14ac:dyDescent="0.3">
      <c r="A437" s="22">
        <v>45607</v>
      </c>
      <c r="B437" s="23">
        <v>652.20699999999999</v>
      </c>
      <c r="C437" s="24">
        <f t="shared" si="6"/>
        <v>-1.1113857145239828E-2</v>
      </c>
    </row>
    <row r="438" spans="1:3" ht="14.25" customHeight="1" x14ac:dyDescent="0.3">
      <c r="A438" s="22">
        <v>45604</v>
      </c>
      <c r="B438" s="23">
        <v>659.53700000000003</v>
      </c>
      <c r="C438" s="24">
        <f t="shared" si="6"/>
        <v>-1.3409104848010611E-2</v>
      </c>
    </row>
    <row r="439" spans="1:3" ht="14.25" customHeight="1" x14ac:dyDescent="0.3">
      <c r="A439" s="22">
        <v>45603</v>
      </c>
      <c r="B439" s="23">
        <v>668.50099999999998</v>
      </c>
      <c r="C439" s="24">
        <f t="shared" si="6"/>
        <v>-6.3483617035192778E-3</v>
      </c>
    </row>
    <row r="440" spans="1:3" ht="14.25" customHeight="1" x14ac:dyDescent="0.3">
      <c r="A440" s="22">
        <v>45602</v>
      </c>
      <c r="B440" s="23">
        <v>672.77200000000005</v>
      </c>
      <c r="C440" s="24">
        <f t="shared" si="6"/>
        <v>1.6677345648415772E-2</v>
      </c>
    </row>
    <row r="441" spans="1:3" ht="14.25" customHeight="1" x14ac:dyDescent="0.3">
      <c r="A441" s="22">
        <v>45601</v>
      </c>
      <c r="B441" s="23">
        <v>661.73599999999999</v>
      </c>
      <c r="C441" s="24">
        <f t="shared" si="6"/>
        <v>4.2081270116835464E-3</v>
      </c>
    </row>
    <row r="442" spans="1:3" ht="14.25" customHeight="1" x14ac:dyDescent="0.3">
      <c r="A442" s="22">
        <v>45600</v>
      </c>
      <c r="B442" s="23">
        <v>658.96299999999997</v>
      </c>
      <c r="C442" s="24">
        <f t="shared" si="6"/>
        <v>-7.6411404786180118E-3</v>
      </c>
    </row>
    <row r="443" spans="1:3" ht="14.25" customHeight="1" x14ac:dyDescent="0.3">
      <c r="A443" s="22">
        <v>45597</v>
      </c>
      <c r="B443" s="23">
        <v>664.03700000000003</v>
      </c>
      <c r="C443" s="24">
        <f t="shared" si="6"/>
        <v>0</v>
      </c>
    </row>
    <row r="444" spans="1:3" ht="14.25" customHeight="1" x14ac:dyDescent="0.3">
      <c r="A444" s="22">
        <v>45596</v>
      </c>
      <c r="B444" s="23">
        <v>664.03700000000003</v>
      </c>
      <c r="C444" s="24">
        <f t="shared" si="6"/>
        <v>-1.7917477219194666E-4</v>
      </c>
    </row>
    <row r="445" spans="1:3" ht="14.25" customHeight="1" x14ac:dyDescent="0.3">
      <c r="A445" s="22">
        <v>45595</v>
      </c>
      <c r="B445" s="23">
        <v>664.15599999999995</v>
      </c>
      <c r="C445" s="24">
        <f t="shared" si="6"/>
        <v>1.1453851835494541E-2</v>
      </c>
    </row>
    <row r="446" spans="1:3" ht="14.25" customHeight="1" x14ac:dyDescent="0.3">
      <c r="A446" s="22">
        <v>45594</v>
      </c>
      <c r="B446" s="23">
        <v>656.63499999999999</v>
      </c>
      <c r="C446" s="24">
        <f t="shared" si="6"/>
        <v>9.7571852558089901E-3</v>
      </c>
    </row>
    <row r="447" spans="1:3" ht="14.25" customHeight="1" x14ac:dyDescent="0.3">
      <c r="A447" s="22">
        <v>45593</v>
      </c>
      <c r="B447" s="23">
        <v>650.29</v>
      </c>
      <c r="C447" s="24">
        <f t="shared" si="6"/>
        <v>1.1241546291875775E-2</v>
      </c>
    </row>
    <row r="448" spans="1:3" ht="14.25" customHeight="1" x14ac:dyDescent="0.3">
      <c r="A448" s="22">
        <v>45590</v>
      </c>
      <c r="B448" s="23">
        <v>643.06100000000004</v>
      </c>
      <c r="C448" s="24">
        <f t="shared" si="6"/>
        <v>-1.8876071238402639E-2</v>
      </c>
    </row>
    <row r="449" spans="1:3" ht="14.25" customHeight="1" x14ac:dyDescent="0.3">
      <c r="A449" s="22">
        <v>45589</v>
      </c>
      <c r="B449" s="23">
        <v>655.43299999999999</v>
      </c>
      <c r="C449" s="24">
        <f t="shared" si="6"/>
        <v>-5.6707591808499705E-3</v>
      </c>
    </row>
    <row r="450" spans="1:3" ht="14.25" customHeight="1" x14ac:dyDescent="0.3">
      <c r="A450" s="22">
        <v>45588</v>
      </c>
      <c r="B450" s="23">
        <v>659.17100000000005</v>
      </c>
      <c r="C450" s="24">
        <f t="shared" ref="C450:C513" si="7">(B450-B451)/B451</f>
        <v>3.034123267426704E-6</v>
      </c>
    </row>
    <row r="451" spans="1:3" ht="14.25" customHeight="1" x14ac:dyDescent="0.3">
      <c r="A451" s="22">
        <v>45587</v>
      </c>
      <c r="B451" s="23">
        <v>659.16899999999998</v>
      </c>
      <c r="C451" s="24">
        <f t="shared" si="7"/>
        <v>-2.6622937456991895E-2</v>
      </c>
    </row>
    <row r="452" spans="1:3" ht="14.25" customHeight="1" x14ac:dyDescent="0.3">
      <c r="A452" s="22">
        <v>45586</v>
      </c>
      <c r="B452" s="23">
        <v>677.19799999999998</v>
      </c>
      <c r="C452" s="24">
        <f t="shared" si="7"/>
        <v>-1.0362580722472535E-2</v>
      </c>
    </row>
    <row r="453" spans="1:3" ht="14.25" customHeight="1" x14ac:dyDescent="0.3">
      <c r="A453" s="22">
        <v>45583</v>
      </c>
      <c r="B453" s="23">
        <v>684.28899999999999</v>
      </c>
      <c r="C453" s="24">
        <f t="shared" si="7"/>
        <v>5.717226837919729E-4</v>
      </c>
    </row>
    <row r="454" spans="1:3" ht="14.25" customHeight="1" x14ac:dyDescent="0.3">
      <c r="A454" s="22">
        <v>45582</v>
      </c>
      <c r="B454" s="23">
        <v>683.89800000000002</v>
      </c>
      <c r="C454" s="24">
        <f t="shared" si="7"/>
        <v>-1.1889436476253533E-2</v>
      </c>
    </row>
    <row r="455" spans="1:3" ht="14.25" customHeight="1" x14ac:dyDescent="0.3">
      <c r="A455" s="22">
        <v>45581</v>
      </c>
      <c r="B455" s="23">
        <v>692.12699999999995</v>
      </c>
      <c r="C455" s="24">
        <f t="shared" si="7"/>
        <v>-1.278475295557343E-3</v>
      </c>
    </row>
    <row r="456" spans="1:3" ht="14.25" customHeight="1" x14ac:dyDescent="0.3">
      <c r="A456" s="22">
        <v>45580</v>
      </c>
      <c r="B456" s="23">
        <v>693.01300000000003</v>
      </c>
      <c r="C456" s="24">
        <f t="shared" si="7"/>
        <v>-3.4907790062814085E-4</v>
      </c>
    </row>
    <row r="457" spans="1:3" ht="14.25" customHeight="1" x14ac:dyDescent="0.3">
      <c r="A457" s="22">
        <v>45579</v>
      </c>
      <c r="B457" s="23">
        <v>693.255</v>
      </c>
      <c r="C457" s="24">
        <f t="shared" si="7"/>
        <v>8.3444375950114484E-4</v>
      </c>
    </row>
    <row r="458" spans="1:3" ht="14.25" customHeight="1" x14ac:dyDescent="0.3">
      <c r="A458" s="22">
        <v>45576</v>
      </c>
      <c r="B458" s="23">
        <v>692.67700000000002</v>
      </c>
      <c r="C458" s="24">
        <f t="shared" si="7"/>
        <v>4.1605840474219667E-3</v>
      </c>
    </row>
    <row r="459" spans="1:3" ht="14.25" customHeight="1" x14ac:dyDescent="0.3">
      <c r="A459" s="22">
        <v>45575</v>
      </c>
      <c r="B459" s="23">
        <v>689.80700000000002</v>
      </c>
      <c r="C459" s="24">
        <f t="shared" si="7"/>
        <v>-4.3690119133875218E-3</v>
      </c>
    </row>
    <row r="460" spans="1:3" ht="14.25" customHeight="1" x14ac:dyDescent="0.3">
      <c r="A460" s="22">
        <v>45574</v>
      </c>
      <c r="B460" s="23">
        <v>692.83399999999995</v>
      </c>
      <c r="C460" s="24">
        <f t="shared" si="7"/>
        <v>1.067772487880882E-3</v>
      </c>
    </row>
    <row r="461" spans="1:3" ht="14.25" customHeight="1" x14ac:dyDescent="0.3">
      <c r="A461" s="22">
        <v>45573</v>
      </c>
      <c r="B461" s="23">
        <v>692.09500000000003</v>
      </c>
      <c r="C461" s="24">
        <f t="shared" si="7"/>
        <v>1.860914179241771E-2</v>
      </c>
    </row>
    <row r="462" spans="1:3" ht="14.25" customHeight="1" x14ac:dyDescent="0.3">
      <c r="A462" s="22">
        <v>45572</v>
      </c>
      <c r="B462" s="23">
        <v>679.45100000000002</v>
      </c>
      <c r="C462" s="24">
        <f t="shared" si="7"/>
        <v>-2.0661990873266287E-2</v>
      </c>
    </row>
    <row r="463" spans="1:3" ht="14.25" customHeight="1" x14ac:dyDescent="0.3">
      <c r="A463" s="22">
        <v>45569</v>
      </c>
      <c r="B463" s="23">
        <v>693.78599999999994</v>
      </c>
      <c r="C463" s="24">
        <f t="shared" si="7"/>
        <v>-8.1091359309637262E-3</v>
      </c>
    </row>
    <row r="464" spans="1:3" ht="14.25" customHeight="1" x14ac:dyDescent="0.3">
      <c r="A464" s="22">
        <v>45568</v>
      </c>
      <c r="B464" s="23">
        <v>699.45799999999997</v>
      </c>
      <c r="C464" s="24">
        <f t="shared" si="7"/>
        <v>-2.1909425751545891E-2</v>
      </c>
    </row>
    <row r="465" spans="1:3" ht="14.25" customHeight="1" x14ac:dyDescent="0.3">
      <c r="A465" s="22">
        <v>45565</v>
      </c>
      <c r="B465" s="23">
        <v>715.12599999999998</v>
      </c>
      <c r="C465" s="24">
        <f t="shared" si="7"/>
        <v>-7.9915437509623117E-3</v>
      </c>
    </row>
    <row r="466" spans="1:3" ht="14.25" customHeight="1" x14ac:dyDescent="0.3">
      <c r="A466" s="22">
        <v>45562</v>
      </c>
      <c r="B466" s="23">
        <v>720.88699999999994</v>
      </c>
      <c r="C466" s="24">
        <f t="shared" si="7"/>
        <v>3.1030101981889893E-3</v>
      </c>
    </row>
    <row r="467" spans="1:3" ht="14.25" customHeight="1" x14ac:dyDescent="0.3">
      <c r="A467" s="22">
        <v>45561</v>
      </c>
      <c r="B467" s="23">
        <v>718.65700000000004</v>
      </c>
      <c r="C467" s="24">
        <f t="shared" si="7"/>
        <v>3.2176918609846329E-3</v>
      </c>
    </row>
    <row r="468" spans="1:3" ht="14.25" customHeight="1" x14ac:dyDescent="0.3">
      <c r="A468" s="22">
        <v>45560</v>
      </c>
      <c r="B468" s="23">
        <v>716.35199999999998</v>
      </c>
      <c r="C468" s="24">
        <f t="shared" si="7"/>
        <v>-1.9602680008192711E-3</v>
      </c>
    </row>
    <row r="469" spans="1:3" ht="14.25" customHeight="1" x14ac:dyDescent="0.3">
      <c r="A469" s="22">
        <v>45559</v>
      </c>
      <c r="B469" s="23">
        <v>717.75900000000001</v>
      </c>
      <c r="C469" s="24">
        <f t="shared" si="7"/>
        <v>-1.6576632798334561E-4</v>
      </c>
    </row>
    <row r="470" spans="1:3" ht="14.25" customHeight="1" x14ac:dyDescent="0.3">
      <c r="A470" s="22">
        <v>45558</v>
      </c>
      <c r="B470" s="23">
        <v>717.87800000000004</v>
      </c>
      <c r="C470" s="24">
        <f t="shared" si="7"/>
        <v>7.6965728282765338E-3</v>
      </c>
    </row>
    <row r="471" spans="1:3" ht="14.25" customHeight="1" x14ac:dyDescent="0.3">
      <c r="A471" s="22">
        <v>45555</v>
      </c>
      <c r="B471" s="23">
        <v>712.39499999999998</v>
      </c>
      <c r="C471" s="24">
        <f t="shared" si="7"/>
        <v>7.0269032433166023E-3</v>
      </c>
    </row>
    <row r="472" spans="1:3" ht="14.25" customHeight="1" x14ac:dyDescent="0.3">
      <c r="A472" s="22">
        <v>45554</v>
      </c>
      <c r="B472" s="23">
        <v>707.42399999999998</v>
      </c>
      <c r="C472" s="24">
        <f t="shared" si="7"/>
        <v>-7.2565763161403724E-3</v>
      </c>
    </row>
    <row r="473" spans="1:3" ht="14.25" customHeight="1" x14ac:dyDescent="0.3">
      <c r="A473" s="22">
        <v>45553</v>
      </c>
      <c r="B473" s="23">
        <v>712.59500000000003</v>
      </c>
      <c r="C473" s="24">
        <f t="shared" si="7"/>
        <v>-6.2101839765259436E-3</v>
      </c>
    </row>
    <row r="474" spans="1:3" ht="14.25" customHeight="1" x14ac:dyDescent="0.3">
      <c r="A474" s="22">
        <v>45552</v>
      </c>
      <c r="B474" s="23">
        <v>717.048</v>
      </c>
      <c r="C474" s="24">
        <f t="shared" si="7"/>
        <v>-2.0319885095225611E-3</v>
      </c>
    </row>
    <row r="475" spans="1:3" ht="14.25" customHeight="1" x14ac:dyDescent="0.3">
      <c r="A475" s="22">
        <v>45551</v>
      </c>
      <c r="B475" s="23">
        <v>718.50800000000004</v>
      </c>
      <c r="C475" s="24">
        <f t="shared" si="7"/>
        <v>-1.6281092363884056E-4</v>
      </c>
    </row>
    <row r="476" spans="1:3" ht="14.25" customHeight="1" x14ac:dyDescent="0.3">
      <c r="A476" s="22">
        <v>45548</v>
      </c>
      <c r="B476" s="23">
        <v>718.625</v>
      </c>
      <c r="C476" s="24">
        <f t="shared" si="7"/>
        <v>1.1493452215102333E-3</v>
      </c>
    </row>
    <row r="477" spans="1:3" ht="14.25" customHeight="1" x14ac:dyDescent="0.3">
      <c r="A477" s="22">
        <v>45547</v>
      </c>
      <c r="B477" s="23">
        <v>717.8</v>
      </c>
      <c r="C477" s="24">
        <f t="shared" si="7"/>
        <v>9.8778945354321916E-3</v>
      </c>
    </row>
    <row r="478" spans="1:3" ht="14.25" customHeight="1" x14ac:dyDescent="0.3">
      <c r="A478" s="22">
        <v>45546</v>
      </c>
      <c r="B478" s="23">
        <v>710.779</v>
      </c>
      <c r="C478" s="24">
        <f t="shared" si="7"/>
        <v>-7.3113095553997741E-3</v>
      </c>
    </row>
    <row r="479" spans="1:3" ht="14.25" customHeight="1" x14ac:dyDescent="0.3">
      <c r="A479" s="22">
        <v>45545</v>
      </c>
      <c r="B479" s="23">
        <v>716.01400000000001</v>
      </c>
      <c r="C479" s="24">
        <f t="shared" si="7"/>
        <v>7.4983994315344559E-3</v>
      </c>
    </row>
    <row r="480" spans="1:3" ht="14.25" customHeight="1" x14ac:dyDescent="0.3">
      <c r="A480" s="22">
        <v>45544</v>
      </c>
      <c r="B480" s="23">
        <v>710.68499999999995</v>
      </c>
      <c r="C480" s="24">
        <f t="shared" si="7"/>
        <v>-2.4689659818877196E-3</v>
      </c>
    </row>
    <row r="481" spans="1:3" ht="14.25" customHeight="1" x14ac:dyDescent="0.3">
      <c r="A481" s="22">
        <v>45541</v>
      </c>
      <c r="B481" s="23">
        <v>712.44399999999996</v>
      </c>
      <c r="C481" s="24">
        <f t="shared" si="7"/>
        <v>-1.0966982441722414E-2</v>
      </c>
    </row>
    <row r="482" spans="1:3" ht="14.25" customHeight="1" x14ac:dyDescent="0.3">
      <c r="A482" s="22">
        <v>45540</v>
      </c>
      <c r="B482" s="23">
        <v>720.34400000000005</v>
      </c>
      <c r="C482" s="24">
        <f t="shared" si="7"/>
        <v>-2.8833363094125358E-3</v>
      </c>
    </row>
    <row r="483" spans="1:3" ht="14.25" customHeight="1" x14ac:dyDescent="0.3">
      <c r="A483" s="22">
        <v>45539</v>
      </c>
      <c r="B483" s="23">
        <v>722.42700000000002</v>
      </c>
      <c r="C483" s="24">
        <f t="shared" si="7"/>
        <v>-6.5016177961732763E-4</v>
      </c>
    </row>
    <row r="484" spans="1:3" ht="14.25" customHeight="1" x14ac:dyDescent="0.3">
      <c r="A484" s="22">
        <v>45538</v>
      </c>
      <c r="B484" s="23">
        <v>722.89700000000005</v>
      </c>
      <c r="C484" s="24">
        <f t="shared" si="7"/>
        <v>1.3835143200652844E-4</v>
      </c>
    </row>
    <row r="485" spans="1:3" ht="14.25" customHeight="1" x14ac:dyDescent="0.3">
      <c r="A485" s="22">
        <v>45537</v>
      </c>
      <c r="B485" s="23">
        <v>722.79700000000003</v>
      </c>
      <c r="C485" s="24">
        <f t="shared" si="7"/>
        <v>4.8518921684343524E-3</v>
      </c>
    </row>
    <row r="486" spans="1:3" ht="14.25" customHeight="1" x14ac:dyDescent="0.3">
      <c r="A486" s="22">
        <v>45534</v>
      </c>
      <c r="B486" s="23">
        <v>719.30700000000002</v>
      </c>
      <c r="C486" s="24">
        <f t="shared" si="7"/>
        <v>-9.6943771223808044E-4</v>
      </c>
    </row>
    <row r="487" spans="1:3" ht="14.25" customHeight="1" x14ac:dyDescent="0.3">
      <c r="A487" s="22">
        <v>45533</v>
      </c>
      <c r="B487" s="23">
        <v>720.005</v>
      </c>
      <c r="C487" s="24">
        <f t="shared" si="7"/>
        <v>-3.7498333407464742E-5</v>
      </c>
    </row>
    <row r="488" spans="1:3" ht="14.25" customHeight="1" x14ac:dyDescent="0.3">
      <c r="A488" s="22">
        <v>45532</v>
      </c>
      <c r="B488" s="23">
        <v>720.03200000000004</v>
      </c>
      <c r="C488" s="24">
        <f t="shared" si="7"/>
        <v>-4.0844554174705901E-3</v>
      </c>
    </row>
    <row r="489" spans="1:3" ht="14.25" customHeight="1" x14ac:dyDescent="0.3">
      <c r="A489" s="22">
        <v>45531</v>
      </c>
      <c r="B489" s="23">
        <v>722.98500000000001</v>
      </c>
      <c r="C489" s="24">
        <f t="shared" si="7"/>
        <v>-1.2695053487755043E-3</v>
      </c>
    </row>
    <row r="490" spans="1:3" ht="14.25" customHeight="1" x14ac:dyDescent="0.3">
      <c r="A490" s="22">
        <v>45530</v>
      </c>
      <c r="B490" s="23">
        <v>723.904</v>
      </c>
      <c r="C490" s="24">
        <f t="shared" si="7"/>
        <v>3.2596403308423724E-3</v>
      </c>
    </row>
    <row r="491" spans="1:3" ht="14.25" customHeight="1" x14ac:dyDescent="0.3">
      <c r="A491" s="22">
        <v>45527</v>
      </c>
      <c r="B491" s="23">
        <v>721.55200000000002</v>
      </c>
      <c r="C491" s="24">
        <f t="shared" si="7"/>
        <v>-3.5050891463768467E-3</v>
      </c>
    </row>
    <row r="492" spans="1:3" ht="14.25" customHeight="1" x14ac:dyDescent="0.3">
      <c r="A492" s="22">
        <v>45526</v>
      </c>
      <c r="B492" s="23">
        <v>724.09</v>
      </c>
      <c r="C492" s="24">
        <f t="shared" si="7"/>
        <v>7.573851967128402E-4</v>
      </c>
    </row>
    <row r="493" spans="1:3" ht="14.25" customHeight="1" x14ac:dyDescent="0.3">
      <c r="A493" s="22">
        <v>45525</v>
      </c>
      <c r="B493" s="23">
        <v>723.54200000000003</v>
      </c>
      <c r="C493" s="24">
        <f t="shared" si="7"/>
        <v>6.6727327873825374E-3</v>
      </c>
    </row>
    <row r="494" spans="1:3" ht="14.25" customHeight="1" x14ac:dyDescent="0.3">
      <c r="A494" s="22">
        <v>45524</v>
      </c>
      <c r="B494" s="23">
        <v>718.74599999999998</v>
      </c>
      <c r="C494" s="24">
        <f t="shared" si="7"/>
        <v>8.2172795726677215E-3</v>
      </c>
    </row>
    <row r="495" spans="1:3" ht="14.25" customHeight="1" x14ac:dyDescent="0.3">
      <c r="A495" s="22">
        <v>45523</v>
      </c>
      <c r="B495" s="23">
        <v>712.88800000000003</v>
      </c>
      <c r="C495" s="24">
        <f t="shared" si="7"/>
        <v>7.5457671482823882E-3</v>
      </c>
    </row>
    <row r="496" spans="1:3" ht="14.25" customHeight="1" x14ac:dyDescent="0.3">
      <c r="A496" s="22">
        <v>45520</v>
      </c>
      <c r="B496" s="23">
        <v>707.54899999999998</v>
      </c>
      <c r="C496" s="24">
        <f t="shared" si="7"/>
        <v>1.3159420870927332E-2</v>
      </c>
    </row>
    <row r="497" spans="1:3" ht="14.25" customHeight="1" x14ac:dyDescent="0.3">
      <c r="A497" s="22">
        <v>45518</v>
      </c>
      <c r="B497" s="23">
        <v>698.35900000000004</v>
      </c>
      <c r="C497" s="24">
        <f t="shared" si="7"/>
        <v>-5.4742004804877471E-3</v>
      </c>
    </row>
    <row r="498" spans="1:3" ht="14.25" customHeight="1" x14ac:dyDescent="0.3">
      <c r="A498" s="22">
        <v>45517</v>
      </c>
      <c r="B498" s="23">
        <v>702.20299999999997</v>
      </c>
      <c r="C498" s="24">
        <f t="shared" si="7"/>
        <v>-8.4833474769525439E-3</v>
      </c>
    </row>
    <row r="499" spans="1:3" ht="14.25" customHeight="1" x14ac:dyDescent="0.3">
      <c r="A499" s="22">
        <v>45516</v>
      </c>
      <c r="B499" s="23">
        <v>708.21100000000001</v>
      </c>
      <c r="C499" s="24">
        <f t="shared" si="7"/>
        <v>-3.747494285211869E-3</v>
      </c>
    </row>
    <row r="500" spans="1:3" ht="14.25" customHeight="1" x14ac:dyDescent="0.3">
      <c r="A500" s="22">
        <v>45513</v>
      </c>
      <c r="B500" s="23">
        <v>710.875</v>
      </c>
      <c r="C500" s="24">
        <f t="shared" si="7"/>
        <v>2.3604027631094404E-3</v>
      </c>
    </row>
    <row r="501" spans="1:3" ht="14.25" customHeight="1" x14ac:dyDescent="0.3">
      <c r="A501" s="22">
        <v>45512</v>
      </c>
      <c r="B501" s="23">
        <v>709.20100000000002</v>
      </c>
      <c r="C501" s="24">
        <f t="shared" si="7"/>
        <v>-3.9042789205575082E-4</v>
      </c>
    </row>
    <row r="502" spans="1:3" ht="14.25" customHeight="1" x14ac:dyDescent="0.3">
      <c r="A502" s="22">
        <v>45511</v>
      </c>
      <c r="B502" s="23">
        <v>709.47799999999995</v>
      </c>
      <c r="C502" s="24">
        <f t="shared" si="7"/>
        <v>2.0408809011517443E-2</v>
      </c>
    </row>
    <row r="503" spans="1:3" ht="14.25" customHeight="1" x14ac:dyDescent="0.3">
      <c r="A503" s="22">
        <v>45510</v>
      </c>
      <c r="B503" s="23">
        <v>695.28800000000001</v>
      </c>
      <c r="C503" s="24">
        <f t="shared" si="7"/>
        <v>-3.990980898873106E-3</v>
      </c>
    </row>
    <row r="504" spans="1:3" ht="14.25" customHeight="1" x14ac:dyDescent="0.3">
      <c r="A504" s="22">
        <v>45509</v>
      </c>
      <c r="B504" s="23">
        <v>698.07399999999996</v>
      </c>
      <c r="C504" s="24">
        <f t="shared" si="7"/>
        <v>-3.1823017146566247E-2</v>
      </c>
    </row>
    <row r="505" spans="1:3" ht="14.25" customHeight="1" x14ac:dyDescent="0.3">
      <c r="A505" s="22">
        <v>45506</v>
      </c>
      <c r="B505" s="23">
        <v>721.01900000000001</v>
      </c>
      <c r="C505" s="24">
        <f t="shared" si="7"/>
        <v>-7.6714199008247478E-3</v>
      </c>
    </row>
    <row r="506" spans="1:3" ht="14.25" customHeight="1" x14ac:dyDescent="0.3">
      <c r="A506" s="22">
        <v>45505</v>
      </c>
      <c r="B506" s="23">
        <v>726.59299999999996</v>
      </c>
      <c r="C506" s="24">
        <f t="shared" si="7"/>
        <v>-6.3658293766274722E-3</v>
      </c>
    </row>
    <row r="507" spans="1:3" ht="14.25" customHeight="1" x14ac:dyDescent="0.3">
      <c r="A507" s="22">
        <v>45504</v>
      </c>
      <c r="B507" s="23">
        <v>731.24800000000005</v>
      </c>
      <c r="C507" s="24">
        <f t="shared" si="7"/>
        <v>4.3828985917311845E-3</v>
      </c>
    </row>
    <row r="508" spans="1:3" ht="14.25" customHeight="1" x14ac:dyDescent="0.3">
      <c r="A508" s="22">
        <v>45503</v>
      </c>
      <c r="B508" s="23">
        <v>728.05700000000002</v>
      </c>
      <c r="C508" s="24">
        <f t="shared" si="7"/>
        <v>9.1697713743662959E-4</v>
      </c>
    </row>
    <row r="509" spans="1:3" ht="14.25" customHeight="1" x14ac:dyDescent="0.3">
      <c r="A509" s="22">
        <v>45502</v>
      </c>
      <c r="B509" s="23">
        <v>727.39</v>
      </c>
      <c r="C509" s="24">
        <f t="shared" si="7"/>
        <v>3.817152067830989E-3</v>
      </c>
    </row>
    <row r="510" spans="1:3" ht="14.25" customHeight="1" x14ac:dyDescent="0.3">
      <c r="A510" s="22">
        <v>45499</v>
      </c>
      <c r="B510" s="23">
        <v>724.62400000000002</v>
      </c>
      <c r="C510" s="24">
        <f t="shared" si="7"/>
        <v>1.3652946574453309E-2</v>
      </c>
    </row>
    <row r="511" spans="1:3" ht="14.25" customHeight="1" x14ac:dyDescent="0.3">
      <c r="A511" s="22">
        <v>45498</v>
      </c>
      <c r="B511" s="23">
        <v>714.86400000000003</v>
      </c>
      <c r="C511" s="24">
        <f t="shared" si="7"/>
        <v>6.9151840082874163E-4</v>
      </c>
    </row>
    <row r="512" spans="1:3" ht="14.25" customHeight="1" x14ac:dyDescent="0.3">
      <c r="A512" s="22">
        <v>45497</v>
      </c>
      <c r="B512" s="23">
        <v>714.37</v>
      </c>
      <c r="C512" s="24">
        <f t="shared" si="7"/>
        <v>9.8601205832668064E-3</v>
      </c>
    </row>
    <row r="513" spans="1:3" ht="14.25" customHeight="1" x14ac:dyDescent="0.3">
      <c r="A513" s="22">
        <v>45496</v>
      </c>
      <c r="B513" s="23">
        <v>707.39499999999998</v>
      </c>
      <c r="C513" s="24">
        <f t="shared" si="7"/>
        <v>-4.1655287363765951E-3</v>
      </c>
    </row>
    <row r="514" spans="1:3" ht="14.25" customHeight="1" x14ac:dyDescent="0.3">
      <c r="A514" s="22">
        <v>45495</v>
      </c>
      <c r="B514" s="23">
        <v>710.35400000000004</v>
      </c>
      <c r="C514" s="24">
        <f t="shared" ref="C514:C577" si="8">(B514-B515)/B515</f>
        <v>1.1726204402400398E-3</v>
      </c>
    </row>
    <row r="515" spans="1:3" ht="14.25" customHeight="1" x14ac:dyDescent="0.3">
      <c r="A515" s="22">
        <v>45492</v>
      </c>
      <c r="B515" s="23">
        <v>709.52200000000005</v>
      </c>
      <c r="C515" s="24">
        <f t="shared" si="8"/>
        <v>-1.5982336771856443E-2</v>
      </c>
    </row>
    <row r="516" spans="1:3" ht="14.25" customHeight="1" x14ac:dyDescent="0.3">
      <c r="A516" s="22">
        <v>45491</v>
      </c>
      <c r="B516" s="23">
        <v>721.04600000000005</v>
      </c>
      <c r="C516" s="24">
        <f t="shared" si="8"/>
        <v>-8.4257803851352474E-3</v>
      </c>
    </row>
    <row r="517" spans="1:3" ht="14.25" customHeight="1" x14ac:dyDescent="0.3">
      <c r="A517" s="22">
        <v>45489</v>
      </c>
      <c r="B517" s="23">
        <v>727.173</v>
      </c>
      <c r="C517" s="24">
        <f t="shared" si="8"/>
        <v>9.4151459967042731E-4</v>
      </c>
    </row>
    <row r="518" spans="1:3" ht="14.25" customHeight="1" x14ac:dyDescent="0.3">
      <c r="A518" s="22">
        <v>45488</v>
      </c>
      <c r="B518" s="23">
        <v>726.48900000000003</v>
      </c>
      <c r="C518" s="24">
        <f t="shared" si="8"/>
        <v>5.9206909872850082E-3</v>
      </c>
    </row>
    <row r="519" spans="1:3" ht="14.25" customHeight="1" x14ac:dyDescent="0.3">
      <c r="A519" s="22">
        <v>45485</v>
      </c>
      <c r="B519" s="23">
        <v>722.21299999999997</v>
      </c>
      <c r="C519" s="24">
        <f t="shared" si="8"/>
        <v>-1.071940336492571E-3</v>
      </c>
    </row>
    <row r="520" spans="1:3" ht="14.25" customHeight="1" x14ac:dyDescent="0.3">
      <c r="A520" s="22">
        <v>45484</v>
      </c>
      <c r="B520" s="23">
        <v>722.98800000000006</v>
      </c>
      <c r="C520" s="24">
        <f t="shared" si="8"/>
        <v>-1.4106127867896865E-4</v>
      </c>
    </row>
    <row r="521" spans="1:3" ht="14.25" customHeight="1" x14ac:dyDescent="0.3">
      <c r="A521" s="22">
        <v>45483</v>
      </c>
      <c r="B521" s="23">
        <v>723.09</v>
      </c>
      <c r="C521" s="24">
        <f t="shared" si="8"/>
        <v>-6.3718949551135849E-3</v>
      </c>
    </row>
    <row r="522" spans="1:3" ht="14.25" customHeight="1" x14ac:dyDescent="0.3">
      <c r="A522" s="22">
        <v>45482</v>
      </c>
      <c r="B522" s="23">
        <v>727.72699999999998</v>
      </c>
      <c r="C522" s="24">
        <f t="shared" si="8"/>
        <v>3.4942422224152631E-3</v>
      </c>
    </row>
    <row r="523" spans="1:3" ht="14.25" customHeight="1" x14ac:dyDescent="0.3">
      <c r="A523" s="22">
        <v>45481</v>
      </c>
      <c r="B523" s="23">
        <v>725.19299999999998</v>
      </c>
      <c r="C523" s="24">
        <f t="shared" si="8"/>
        <v>-1.2175017250236745E-3</v>
      </c>
    </row>
    <row r="524" spans="1:3" ht="14.25" customHeight="1" x14ac:dyDescent="0.3">
      <c r="A524" s="22">
        <v>45478</v>
      </c>
      <c r="B524" s="23">
        <v>726.077</v>
      </c>
      <c r="C524" s="24">
        <f t="shared" si="8"/>
        <v>2.1580355095189605E-2</v>
      </c>
    </row>
    <row r="525" spans="1:3" ht="14.25" customHeight="1" x14ac:dyDescent="0.3">
      <c r="A525" s="22">
        <v>45475</v>
      </c>
      <c r="B525" s="23">
        <v>710.73900000000003</v>
      </c>
      <c r="C525" s="24">
        <f t="shared" si="8"/>
        <v>-8.3083800767577373E-4</v>
      </c>
    </row>
    <row r="526" spans="1:3" ht="14.25" customHeight="1" x14ac:dyDescent="0.3">
      <c r="A526" s="22">
        <v>45474</v>
      </c>
      <c r="B526" s="23">
        <v>711.33</v>
      </c>
      <c r="C526" s="24">
        <f t="shared" si="8"/>
        <v>7.3612299116880319E-3</v>
      </c>
    </row>
    <row r="527" spans="1:3" ht="14.25" customHeight="1" x14ac:dyDescent="0.3">
      <c r="A527" s="22">
        <v>45471</v>
      </c>
      <c r="B527" s="23">
        <v>706.13199999999995</v>
      </c>
      <c r="C527" s="24">
        <f t="shared" si="8"/>
        <v>1.3372301609922781E-3</v>
      </c>
    </row>
    <row r="528" spans="1:3" ht="14.25" customHeight="1" x14ac:dyDescent="0.3">
      <c r="A528" s="22">
        <v>45469</v>
      </c>
      <c r="B528" s="23">
        <v>705.18899999999996</v>
      </c>
      <c r="C528" s="24">
        <f t="shared" si="8"/>
        <v>1.4499380829574166E-3</v>
      </c>
    </row>
    <row r="529" spans="1:3" ht="14.25" customHeight="1" x14ac:dyDescent="0.3">
      <c r="A529" s="22">
        <v>45468</v>
      </c>
      <c r="B529" s="23">
        <v>704.16800000000001</v>
      </c>
      <c r="C529" s="24">
        <f t="shared" si="8"/>
        <v>-2.6033773084080951E-3</v>
      </c>
    </row>
    <row r="530" spans="1:3" ht="14.25" customHeight="1" x14ac:dyDescent="0.3">
      <c r="A530" s="22">
        <v>45467</v>
      </c>
      <c r="B530" s="23">
        <v>706.00599999999997</v>
      </c>
      <c r="C530" s="24">
        <f t="shared" si="8"/>
        <v>-6.894010046321202E-3</v>
      </c>
    </row>
    <row r="531" spans="1:3" ht="14.25" customHeight="1" x14ac:dyDescent="0.3">
      <c r="A531" s="22">
        <v>45464</v>
      </c>
      <c r="B531" s="23">
        <v>710.90700000000004</v>
      </c>
      <c r="C531" s="24">
        <f t="shared" si="8"/>
        <v>-2.1811720220474857E-3</v>
      </c>
    </row>
    <row r="532" spans="1:3" ht="14.25" customHeight="1" x14ac:dyDescent="0.3">
      <c r="A532" s="22">
        <v>45463</v>
      </c>
      <c r="B532" s="23">
        <v>712.46100000000001</v>
      </c>
      <c r="C532" s="24">
        <f t="shared" si="8"/>
        <v>1.1216961556039417E-2</v>
      </c>
    </row>
    <row r="533" spans="1:3" ht="14.25" customHeight="1" x14ac:dyDescent="0.3">
      <c r="A533" s="22">
        <v>45462</v>
      </c>
      <c r="B533" s="23">
        <v>704.55799999999999</v>
      </c>
      <c r="C533" s="24">
        <f t="shared" si="8"/>
        <v>-5.61018329421498E-3</v>
      </c>
    </row>
    <row r="534" spans="1:3" ht="14.25" customHeight="1" x14ac:dyDescent="0.3">
      <c r="A534" s="22">
        <v>45461</v>
      </c>
      <c r="B534" s="23">
        <v>708.53300000000002</v>
      </c>
      <c r="C534" s="24">
        <f t="shared" si="8"/>
        <v>4.4912917425730028E-3</v>
      </c>
    </row>
    <row r="535" spans="1:3" ht="14.25" customHeight="1" x14ac:dyDescent="0.3">
      <c r="A535" s="22">
        <v>45457</v>
      </c>
      <c r="B535" s="23">
        <v>705.36500000000001</v>
      </c>
      <c r="C535" s="24">
        <f t="shared" si="8"/>
        <v>7.3894123174961948E-3</v>
      </c>
    </row>
    <row r="536" spans="1:3" ht="14.25" customHeight="1" x14ac:dyDescent="0.3">
      <c r="A536" s="22">
        <v>45456</v>
      </c>
      <c r="B536" s="23">
        <v>700.19100000000003</v>
      </c>
      <c r="C536" s="24">
        <f t="shared" si="8"/>
        <v>6.6000575043128349E-3</v>
      </c>
    </row>
    <row r="537" spans="1:3" ht="14.25" customHeight="1" x14ac:dyDescent="0.3">
      <c r="A537" s="22">
        <v>45455</v>
      </c>
      <c r="B537" s="23">
        <v>695.6</v>
      </c>
      <c r="C537" s="24">
        <f t="shared" si="8"/>
        <v>1.1780346501314248E-2</v>
      </c>
    </row>
    <row r="538" spans="1:3" ht="14.25" customHeight="1" x14ac:dyDescent="0.3">
      <c r="A538" s="22">
        <v>45453</v>
      </c>
      <c r="B538" s="23">
        <v>687.50099999999998</v>
      </c>
      <c r="C538" s="24">
        <f t="shared" si="8"/>
        <v>-2.6243634939286668E-3</v>
      </c>
    </row>
    <row r="539" spans="1:3" ht="14.25" customHeight="1" x14ac:dyDescent="0.3">
      <c r="A539" s="22">
        <v>45450</v>
      </c>
      <c r="B539" s="23">
        <v>689.31</v>
      </c>
      <c r="C539" s="24">
        <f t="shared" si="8"/>
        <v>1.6972408034157126E-2</v>
      </c>
    </row>
    <row r="540" spans="1:3" ht="14.25" customHeight="1" x14ac:dyDescent="0.3">
      <c r="A540" s="22">
        <v>45449</v>
      </c>
      <c r="B540" s="23">
        <v>677.80600000000004</v>
      </c>
      <c r="C540" s="24">
        <f t="shared" si="8"/>
        <v>2.2850192556106947E-2</v>
      </c>
    </row>
    <row r="541" spans="1:3" ht="14.25" customHeight="1" x14ac:dyDescent="0.3">
      <c r="A541" s="22">
        <v>45448</v>
      </c>
      <c r="B541" s="23">
        <v>662.66399999999999</v>
      </c>
      <c r="C541" s="24">
        <f t="shared" si="8"/>
        <v>3.8521573962048951E-2</v>
      </c>
    </row>
    <row r="542" spans="1:3" ht="14.25" customHeight="1" x14ac:dyDescent="0.3">
      <c r="A542" s="22">
        <v>45447</v>
      </c>
      <c r="B542" s="23">
        <v>638.08399999999995</v>
      </c>
      <c r="C542" s="24">
        <f t="shared" si="8"/>
        <v>-4.8605675110298077E-2</v>
      </c>
    </row>
    <row r="543" spans="1:3" ht="14.25" customHeight="1" x14ac:dyDescent="0.3">
      <c r="A543" s="22">
        <v>45443</v>
      </c>
      <c r="B543" s="23">
        <v>670.68299999999999</v>
      </c>
      <c r="C543" s="24">
        <f t="shared" si="8"/>
        <v>5.0742023416858869E-3</v>
      </c>
    </row>
    <row r="544" spans="1:3" ht="14.25" customHeight="1" x14ac:dyDescent="0.3">
      <c r="A544" s="22">
        <v>45442</v>
      </c>
      <c r="B544" s="23">
        <v>667.29700000000003</v>
      </c>
      <c r="C544" s="24">
        <f t="shared" si="8"/>
        <v>-1.5104843911201E-2</v>
      </c>
    </row>
    <row r="545" spans="1:3" ht="14.25" customHeight="1" x14ac:dyDescent="0.3">
      <c r="A545" s="22">
        <v>45441</v>
      </c>
      <c r="B545" s="23">
        <v>677.53099999999995</v>
      </c>
      <c r="C545" s="24">
        <f t="shared" si="8"/>
        <v>-9.1425066098848868E-4</v>
      </c>
    </row>
    <row r="546" spans="1:3" ht="14.25" customHeight="1" x14ac:dyDescent="0.3">
      <c r="A546" s="22">
        <v>45440</v>
      </c>
      <c r="B546" s="23">
        <v>678.15099999999995</v>
      </c>
      <c r="C546" s="24">
        <f t="shared" si="8"/>
        <v>-8.3844506020749644E-3</v>
      </c>
    </row>
    <row r="547" spans="1:3" ht="14.25" customHeight="1" x14ac:dyDescent="0.3">
      <c r="A547" s="22">
        <v>45439</v>
      </c>
      <c r="B547" s="23">
        <v>683.88499999999999</v>
      </c>
      <c r="C547" s="24">
        <f t="shared" si="8"/>
        <v>-4.3008623563892913E-3</v>
      </c>
    </row>
    <row r="548" spans="1:3" ht="14.25" customHeight="1" x14ac:dyDescent="0.3">
      <c r="A548" s="22">
        <v>45436</v>
      </c>
      <c r="B548" s="23">
        <v>686.83900000000006</v>
      </c>
      <c r="C548" s="24">
        <f t="shared" si="8"/>
        <v>2.917465513893075E-3</v>
      </c>
    </row>
    <row r="549" spans="1:3" ht="14.25" customHeight="1" x14ac:dyDescent="0.3">
      <c r="A549" s="22">
        <v>45435</v>
      </c>
      <c r="B549" s="23">
        <v>684.84100000000001</v>
      </c>
      <c r="C549" s="24">
        <f t="shared" si="8"/>
        <v>3.4212153446270604E-3</v>
      </c>
    </row>
    <row r="550" spans="1:3" ht="14.25" customHeight="1" x14ac:dyDescent="0.3">
      <c r="A550" s="22">
        <v>45434</v>
      </c>
      <c r="B550" s="23">
        <v>682.50599999999997</v>
      </c>
      <c r="C550" s="24">
        <f t="shared" si="8"/>
        <v>3.4550897147125406E-3</v>
      </c>
    </row>
    <row r="551" spans="1:3" ht="14.25" customHeight="1" x14ac:dyDescent="0.3">
      <c r="A551" s="22">
        <v>45433</v>
      </c>
      <c r="B551" s="23">
        <v>680.15599999999995</v>
      </c>
      <c r="C551" s="24">
        <f t="shared" si="8"/>
        <v>1.7865427151019561E-2</v>
      </c>
    </row>
    <row r="552" spans="1:3" ht="14.25" customHeight="1" x14ac:dyDescent="0.3">
      <c r="A552" s="22">
        <v>45429</v>
      </c>
      <c r="B552" s="23">
        <v>668.21799999999996</v>
      </c>
      <c r="C552" s="24">
        <f t="shared" si="8"/>
        <v>7.8079636100933528E-3</v>
      </c>
    </row>
    <row r="553" spans="1:3" ht="14.25" customHeight="1" x14ac:dyDescent="0.3">
      <c r="A553" s="22">
        <v>45428</v>
      </c>
      <c r="B553" s="23">
        <v>663.04100000000005</v>
      </c>
      <c r="C553" s="24">
        <f t="shared" si="8"/>
        <v>8.2924262608199788E-3</v>
      </c>
    </row>
    <row r="554" spans="1:3" ht="14.25" customHeight="1" x14ac:dyDescent="0.3">
      <c r="A554" s="22">
        <v>45426</v>
      </c>
      <c r="B554" s="23">
        <v>657.58799999999997</v>
      </c>
      <c r="C554" s="24">
        <f t="shared" si="8"/>
        <v>1.7382142575341979E-2</v>
      </c>
    </row>
    <row r="555" spans="1:3" ht="14.25" customHeight="1" x14ac:dyDescent="0.3">
      <c r="A555" s="22">
        <v>45425</v>
      </c>
      <c r="B555" s="23">
        <v>646.35299999999995</v>
      </c>
      <c r="C555" s="24">
        <f t="shared" si="8"/>
        <v>1.0831572642381274E-2</v>
      </c>
    </row>
    <row r="556" spans="1:3" ht="14.25" customHeight="1" x14ac:dyDescent="0.3">
      <c r="A556" s="22">
        <v>45421</v>
      </c>
      <c r="B556" s="23">
        <v>639.42700000000002</v>
      </c>
      <c r="C556" s="24">
        <f t="shared" si="8"/>
        <v>-2.1602185006388143E-2</v>
      </c>
    </row>
    <row r="557" spans="1:3" ht="14.25" customHeight="1" x14ac:dyDescent="0.3">
      <c r="A557" s="22">
        <v>45420</v>
      </c>
      <c r="B557" s="23">
        <v>653.54499999999996</v>
      </c>
      <c r="C557" s="24">
        <f t="shared" si="8"/>
        <v>8.4699470416135618E-3</v>
      </c>
    </row>
    <row r="558" spans="1:3" ht="14.25" customHeight="1" x14ac:dyDescent="0.3">
      <c r="A558" s="22">
        <v>45419</v>
      </c>
      <c r="B558" s="23">
        <v>648.05600000000004</v>
      </c>
      <c r="C558" s="24">
        <f t="shared" si="8"/>
        <v>-3.0001496781918848E-2</v>
      </c>
    </row>
    <row r="559" spans="1:3" ht="14.25" customHeight="1" x14ac:dyDescent="0.3">
      <c r="A559" s="22">
        <v>45415</v>
      </c>
      <c r="B559" s="23">
        <v>668.1</v>
      </c>
      <c r="C559" s="24">
        <f t="shared" si="8"/>
        <v>-4.76094003241495E-3</v>
      </c>
    </row>
    <row r="560" spans="1:3" ht="14.25" customHeight="1" x14ac:dyDescent="0.3">
      <c r="A560" s="22">
        <v>45414</v>
      </c>
      <c r="B560" s="23">
        <v>671.29600000000005</v>
      </c>
      <c r="C560" s="24">
        <f t="shared" si="8"/>
        <v>3.1186071914754629E-3</v>
      </c>
    </row>
    <row r="561" spans="1:3" ht="14.25" customHeight="1" x14ac:dyDescent="0.3">
      <c r="A561" s="22">
        <v>45412</v>
      </c>
      <c r="B561" s="23">
        <v>669.20899999999995</v>
      </c>
      <c r="C561" s="24">
        <f t="shared" si="8"/>
        <v>3.1043052561837469E-3</v>
      </c>
    </row>
    <row r="562" spans="1:3" ht="14.25" customHeight="1" x14ac:dyDescent="0.3">
      <c r="A562" s="22">
        <v>45408</v>
      </c>
      <c r="B562" s="23">
        <v>667.13800000000003</v>
      </c>
      <c r="C562" s="24">
        <f t="shared" si="8"/>
        <v>7.2242444738682878E-3</v>
      </c>
    </row>
    <row r="563" spans="1:3" ht="14.25" customHeight="1" x14ac:dyDescent="0.3">
      <c r="A563" s="22">
        <v>45407</v>
      </c>
      <c r="B563" s="23">
        <v>662.35299999999995</v>
      </c>
      <c r="C563" s="24">
        <f t="shared" si="8"/>
        <v>6.4288992010599778E-3</v>
      </c>
    </row>
    <row r="564" spans="1:3" ht="14.25" customHeight="1" x14ac:dyDescent="0.3">
      <c r="A564" s="22">
        <v>45406</v>
      </c>
      <c r="B564" s="23">
        <v>658.12199999999996</v>
      </c>
      <c r="C564" s="24">
        <f t="shared" si="8"/>
        <v>8.8928610300755776E-3</v>
      </c>
    </row>
    <row r="565" spans="1:3" ht="14.25" customHeight="1" x14ac:dyDescent="0.3">
      <c r="A565" s="22">
        <v>45405</v>
      </c>
      <c r="B565" s="23">
        <v>652.32100000000003</v>
      </c>
      <c r="C565" s="24">
        <f t="shared" si="8"/>
        <v>4.0248974151385532E-3</v>
      </c>
    </row>
    <row r="566" spans="1:3" ht="14.25" customHeight="1" x14ac:dyDescent="0.3">
      <c r="A566" s="22">
        <v>45404</v>
      </c>
      <c r="B566" s="23">
        <v>649.70600000000002</v>
      </c>
      <c r="C566" s="24">
        <f t="shared" si="8"/>
        <v>1.2588271415412954E-2</v>
      </c>
    </row>
    <row r="567" spans="1:3" ht="14.25" customHeight="1" x14ac:dyDescent="0.3">
      <c r="A567" s="22">
        <v>45401</v>
      </c>
      <c r="B567" s="23">
        <v>641.62900000000002</v>
      </c>
      <c r="C567" s="24">
        <f t="shared" si="8"/>
        <v>-5.2339301986870426E-4</v>
      </c>
    </row>
    <row r="568" spans="1:3" ht="14.25" customHeight="1" x14ac:dyDescent="0.3">
      <c r="A568" s="22">
        <v>45400</v>
      </c>
      <c r="B568" s="23">
        <v>641.96500000000003</v>
      </c>
      <c r="C568" s="24">
        <f t="shared" si="8"/>
        <v>-2.8115412993669304E-3</v>
      </c>
    </row>
    <row r="569" spans="1:3" ht="14.25" customHeight="1" x14ac:dyDescent="0.3">
      <c r="A569" s="22">
        <v>45398</v>
      </c>
      <c r="B569" s="23">
        <v>643.77499999999998</v>
      </c>
      <c r="C569" s="24">
        <f t="shared" si="8"/>
        <v>2.7491783617077403E-3</v>
      </c>
    </row>
    <row r="570" spans="1:3" ht="14.25" customHeight="1" x14ac:dyDescent="0.3">
      <c r="A570" s="22">
        <v>45397</v>
      </c>
      <c r="B570" s="23">
        <v>642.01</v>
      </c>
      <c r="C570" s="24">
        <f t="shared" si="8"/>
        <v>-1.3377592340732948E-2</v>
      </c>
    </row>
    <row r="571" spans="1:3" ht="14.25" customHeight="1" x14ac:dyDescent="0.3">
      <c r="A571" s="22">
        <v>45394</v>
      </c>
      <c r="B571" s="23">
        <v>650.71500000000003</v>
      </c>
      <c r="C571" s="24">
        <f t="shared" si="8"/>
        <v>-5.2784605789338128E-3</v>
      </c>
    </row>
    <row r="572" spans="1:3" ht="14.25" customHeight="1" x14ac:dyDescent="0.3">
      <c r="A572" s="22">
        <v>45392</v>
      </c>
      <c r="B572" s="23">
        <v>654.16800000000001</v>
      </c>
      <c r="C572" s="24">
        <f t="shared" si="8"/>
        <v>6.61517936691853E-3</v>
      </c>
    </row>
    <row r="573" spans="1:3" ht="14.25" customHeight="1" x14ac:dyDescent="0.3">
      <c r="A573" s="22">
        <v>45391</v>
      </c>
      <c r="B573" s="23">
        <v>649.86900000000003</v>
      </c>
      <c r="C573" s="24">
        <f t="shared" si="8"/>
        <v>5.0035101548170024E-4</v>
      </c>
    </row>
    <row r="574" spans="1:3" ht="14.25" customHeight="1" x14ac:dyDescent="0.3">
      <c r="A574" s="22">
        <v>45390</v>
      </c>
      <c r="B574" s="23">
        <v>649.54399999999998</v>
      </c>
      <c r="C574" s="24">
        <f t="shared" si="8"/>
        <v>1.3844223197245101E-3</v>
      </c>
    </row>
    <row r="575" spans="1:3" ht="14.25" customHeight="1" x14ac:dyDescent="0.3">
      <c r="A575" s="22">
        <v>45387</v>
      </c>
      <c r="B575" s="23">
        <v>648.64599999999996</v>
      </c>
      <c r="C575" s="24">
        <f t="shared" si="8"/>
        <v>6.3282792944720266E-3</v>
      </c>
    </row>
    <row r="576" spans="1:3" ht="14.25" customHeight="1" x14ac:dyDescent="0.3">
      <c r="A576" s="22">
        <v>45386</v>
      </c>
      <c r="B576" s="23">
        <v>644.56700000000001</v>
      </c>
      <c r="C576" s="24">
        <f t="shared" si="8"/>
        <v>1.1637072298809834E-4</v>
      </c>
    </row>
    <row r="577" spans="1:3" ht="14.25" customHeight="1" x14ac:dyDescent="0.3">
      <c r="A577" s="22">
        <v>45385</v>
      </c>
      <c r="B577" s="23">
        <v>644.49199999999996</v>
      </c>
      <c r="C577" s="24">
        <f t="shared" si="8"/>
        <v>1.057946357870302E-2</v>
      </c>
    </row>
    <row r="578" spans="1:3" ht="14.25" customHeight="1" x14ac:dyDescent="0.3">
      <c r="A578" s="22">
        <v>45384</v>
      </c>
      <c r="B578" s="23">
        <v>637.745</v>
      </c>
      <c r="C578" s="24">
        <f t="shared" ref="C578:C641" si="9">(B578-B579)/B579</f>
        <v>3.8923062888122917E-2</v>
      </c>
    </row>
    <row r="579" spans="1:3" ht="14.25" customHeight="1" x14ac:dyDescent="0.3">
      <c r="A579" s="22">
        <v>45378</v>
      </c>
      <c r="B579" s="23">
        <v>613.85199999999998</v>
      </c>
      <c r="C579" s="24">
        <f t="shared" si="9"/>
        <v>8.6395856679492792E-3</v>
      </c>
    </row>
    <row r="580" spans="1:3" ht="14.25" customHeight="1" x14ac:dyDescent="0.3">
      <c r="A580" s="22">
        <v>45373</v>
      </c>
      <c r="B580" s="23">
        <v>608.59400000000005</v>
      </c>
      <c r="C580" s="24">
        <f t="shared" si="9"/>
        <v>5.0650094876033723E-3</v>
      </c>
    </row>
    <row r="581" spans="1:3" ht="14.25" customHeight="1" x14ac:dyDescent="0.3">
      <c r="A581" s="22">
        <v>45372</v>
      </c>
      <c r="B581" s="23">
        <v>605.52700000000004</v>
      </c>
      <c r="C581" s="24">
        <f t="shared" si="9"/>
        <v>2.1646811102468952E-2</v>
      </c>
    </row>
    <row r="582" spans="1:3" ht="14.25" customHeight="1" x14ac:dyDescent="0.3">
      <c r="A582" s="22">
        <v>45371</v>
      </c>
      <c r="B582" s="23">
        <v>592.697</v>
      </c>
      <c r="C582" s="24">
        <f t="shared" si="9"/>
        <v>-5.750053116326579E-4</v>
      </c>
    </row>
    <row r="583" spans="1:3" ht="14.25" customHeight="1" x14ac:dyDescent="0.3">
      <c r="A583" s="22">
        <v>45370</v>
      </c>
      <c r="B583" s="23">
        <v>593.03800000000001</v>
      </c>
      <c r="C583" s="24">
        <f t="shared" si="9"/>
        <v>-1.8678660193339375E-2</v>
      </c>
    </row>
    <row r="584" spans="1:3" ht="14.25" customHeight="1" x14ac:dyDescent="0.3">
      <c r="A584" s="22">
        <v>45369</v>
      </c>
      <c r="B584" s="23">
        <v>604.32600000000002</v>
      </c>
      <c r="C584" s="24">
        <f t="shared" si="9"/>
        <v>9.6263724514004476E-3</v>
      </c>
    </row>
    <row r="585" spans="1:3" ht="14.25" customHeight="1" x14ac:dyDescent="0.3">
      <c r="A585" s="22">
        <v>45366</v>
      </c>
      <c r="B585" s="23">
        <v>598.56399999999996</v>
      </c>
      <c r="C585" s="24">
        <f t="shared" si="9"/>
        <v>-1.3997260607638859E-3</v>
      </c>
    </row>
    <row r="586" spans="1:3" ht="14.25" customHeight="1" x14ac:dyDescent="0.3">
      <c r="A586" s="22">
        <v>45365</v>
      </c>
      <c r="B586" s="23">
        <v>599.40300000000002</v>
      </c>
      <c r="C586" s="24">
        <f t="shared" si="9"/>
        <v>2.598674131878179E-2</v>
      </c>
    </row>
    <row r="587" spans="1:3" ht="14.25" customHeight="1" x14ac:dyDescent="0.3">
      <c r="A587" s="22">
        <v>45364</v>
      </c>
      <c r="B587" s="23">
        <v>584.221</v>
      </c>
      <c r="C587" s="24">
        <f t="shared" si="9"/>
        <v>-5.056895559838652E-2</v>
      </c>
    </row>
    <row r="588" spans="1:3" ht="14.25" customHeight="1" x14ac:dyDescent="0.3">
      <c r="A588" s="22">
        <v>45363</v>
      </c>
      <c r="B588" s="23">
        <v>615.33799999999997</v>
      </c>
      <c r="C588" s="24">
        <f t="shared" si="9"/>
        <v>-1.4539962877372116E-2</v>
      </c>
    </row>
    <row r="589" spans="1:3" ht="14.25" customHeight="1" x14ac:dyDescent="0.3">
      <c r="A589" s="22">
        <v>45362</v>
      </c>
      <c r="B589" s="23">
        <v>624.41700000000003</v>
      </c>
      <c r="C589" s="24">
        <f t="shared" si="9"/>
        <v>-1.175448370167323E-2</v>
      </c>
    </row>
    <row r="590" spans="1:3" ht="14.25" customHeight="1" x14ac:dyDescent="0.3">
      <c r="A590" s="22">
        <v>45358</v>
      </c>
      <c r="B590" s="23">
        <v>631.84400000000005</v>
      </c>
      <c r="C590" s="24">
        <f t="shared" si="9"/>
        <v>5.0663396213210324E-3</v>
      </c>
    </row>
    <row r="591" spans="1:3" ht="14.25" customHeight="1" x14ac:dyDescent="0.3">
      <c r="A591" s="22">
        <v>45357</v>
      </c>
      <c r="B591" s="23">
        <v>628.65899999999999</v>
      </c>
      <c r="C591" s="24">
        <f t="shared" si="9"/>
        <v>-8.2412684990764012E-3</v>
      </c>
    </row>
    <row r="592" spans="1:3" ht="14.25" customHeight="1" x14ac:dyDescent="0.3">
      <c r="A592" s="22">
        <v>45356</v>
      </c>
      <c r="B592" s="23">
        <v>633.88300000000004</v>
      </c>
      <c r="C592" s="24">
        <f t="shared" si="9"/>
        <v>-4.0943362728970874E-3</v>
      </c>
    </row>
    <row r="593" spans="1:3" ht="14.25" customHeight="1" x14ac:dyDescent="0.3">
      <c r="A593" s="22">
        <v>45355</v>
      </c>
      <c r="B593" s="23">
        <v>636.48900000000003</v>
      </c>
      <c r="C593" s="24">
        <f t="shared" si="9"/>
        <v>1.7374792005997265E-2</v>
      </c>
    </row>
    <row r="594" spans="1:3" ht="14.25" customHeight="1" x14ac:dyDescent="0.3">
      <c r="A594" s="22">
        <v>45352</v>
      </c>
      <c r="B594" s="23">
        <v>625.61900000000003</v>
      </c>
      <c r="C594" s="24">
        <f t="shared" si="9"/>
        <v>1.344359489405815E-2</v>
      </c>
    </row>
    <row r="595" spans="1:3" ht="14.25" customHeight="1" x14ac:dyDescent="0.3">
      <c r="A595" s="22">
        <v>45351</v>
      </c>
      <c r="B595" s="23">
        <v>617.32000000000005</v>
      </c>
      <c r="C595" s="24">
        <f t="shared" si="9"/>
        <v>7.4368067262547124E-3</v>
      </c>
    </row>
    <row r="596" spans="1:3" ht="14.25" customHeight="1" x14ac:dyDescent="0.3">
      <c r="A596" s="22">
        <v>45350</v>
      </c>
      <c r="B596" s="23">
        <v>612.76300000000003</v>
      </c>
      <c r="C596" s="24">
        <f t="shared" si="9"/>
        <v>-1.7143287924792788E-2</v>
      </c>
    </row>
    <row r="597" spans="1:3" ht="14.25" customHeight="1" x14ac:dyDescent="0.3">
      <c r="A597" s="22">
        <v>45349</v>
      </c>
      <c r="B597" s="23">
        <v>623.45100000000002</v>
      </c>
      <c r="C597" s="24">
        <f t="shared" si="9"/>
        <v>-5.3842693187583154E-3</v>
      </c>
    </row>
    <row r="598" spans="1:3" ht="14.25" customHeight="1" x14ac:dyDescent="0.3">
      <c r="A598" s="22">
        <v>45348</v>
      </c>
      <c r="B598" s="23">
        <v>626.82600000000002</v>
      </c>
      <c r="C598" s="24">
        <f t="shared" si="9"/>
        <v>-4.9654419211560353E-3</v>
      </c>
    </row>
    <row r="599" spans="1:3" ht="14.25" customHeight="1" x14ac:dyDescent="0.3">
      <c r="A599" s="22">
        <v>45345</v>
      </c>
      <c r="B599" s="23">
        <v>629.95399999999995</v>
      </c>
      <c r="C599" s="24">
        <f t="shared" si="9"/>
        <v>3.8771610830553764E-3</v>
      </c>
    </row>
    <row r="600" spans="1:3" ht="14.25" customHeight="1" x14ac:dyDescent="0.3">
      <c r="A600" s="22">
        <v>45344</v>
      </c>
      <c r="B600" s="23">
        <v>627.52099999999996</v>
      </c>
      <c r="C600" s="24">
        <f t="shared" si="9"/>
        <v>1.4357323091495925E-2</v>
      </c>
    </row>
    <row r="601" spans="1:3" ht="14.25" customHeight="1" x14ac:dyDescent="0.3">
      <c r="A601" s="22">
        <v>45343</v>
      </c>
      <c r="B601" s="23">
        <v>618.63900000000001</v>
      </c>
      <c r="C601" s="24">
        <f t="shared" si="9"/>
        <v>-8.11129745485791E-3</v>
      </c>
    </row>
    <row r="602" spans="1:3" ht="14.25" customHeight="1" x14ac:dyDescent="0.3">
      <c r="A602" s="22">
        <v>45342</v>
      </c>
      <c r="B602" s="23">
        <v>623.69799999999998</v>
      </c>
      <c r="C602" s="24">
        <f t="shared" si="9"/>
        <v>4.6037044582151196E-4</v>
      </c>
    </row>
    <row r="603" spans="1:3" ht="14.25" customHeight="1" x14ac:dyDescent="0.3">
      <c r="A603" s="22">
        <v>45341</v>
      </c>
      <c r="B603" s="23">
        <v>623.41099999999994</v>
      </c>
      <c r="C603" s="24">
        <f t="shared" si="9"/>
        <v>7.4450068196068074E-3</v>
      </c>
    </row>
    <row r="604" spans="1:3" ht="14.25" customHeight="1" x14ac:dyDescent="0.3">
      <c r="A604" s="22">
        <v>45338</v>
      </c>
      <c r="B604" s="23">
        <v>618.80399999999997</v>
      </c>
      <c r="C604" s="24">
        <f t="shared" si="9"/>
        <v>3.2717992950553826E-3</v>
      </c>
    </row>
    <row r="605" spans="1:3" ht="14.25" customHeight="1" x14ac:dyDescent="0.3">
      <c r="A605" s="22">
        <v>45337</v>
      </c>
      <c r="B605" s="23">
        <v>616.78599999999994</v>
      </c>
      <c r="C605" s="24">
        <f t="shared" si="9"/>
        <v>1.0226978651755186E-2</v>
      </c>
    </row>
    <row r="606" spans="1:3" ht="14.25" customHeight="1" x14ac:dyDescent="0.3">
      <c r="A606" s="22">
        <v>45336</v>
      </c>
      <c r="B606" s="23">
        <v>610.54200000000003</v>
      </c>
      <c r="C606" s="24">
        <f t="shared" si="9"/>
        <v>1.4047873718617475E-2</v>
      </c>
    </row>
    <row r="607" spans="1:3" ht="14.25" customHeight="1" x14ac:dyDescent="0.3">
      <c r="A607" s="22">
        <v>45335</v>
      </c>
      <c r="B607" s="23">
        <v>602.08399999999995</v>
      </c>
      <c r="C607" s="24">
        <f t="shared" si="9"/>
        <v>1.3221595605440296E-3</v>
      </c>
    </row>
    <row r="608" spans="1:3" ht="14.25" customHeight="1" x14ac:dyDescent="0.3">
      <c r="A608" s="22">
        <v>45334</v>
      </c>
      <c r="B608" s="23">
        <v>601.28899999999999</v>
      </c>
      <c r="C608" s="24">
        <f t="shared" si="9"/>
        <v>-2.8820948003094732E-2</v>
      </c>
    </row>
    <row r="609" spans="1:3" ht="14.25" customHeight="1" x14ac:dyDescent="0.3">
      <c r="A609" s="22">
        <v>45331</v>
      </c>
      <c r="B609" s="23">
        <v>619.13300000000004</v>
      </c>
      <c r="C609" s="24">
        <f t="shared" si="9"/>
        <v>-9.8307958034799369E-3</v>
      </c>
    </row>
    <row r="610" spans="1:3" ht="14.25" customHeight="1" x14ac:dyDescent="0.3">
      <c r="A610" s="22">
        <v>45330</v>
      </c>
      <c r="B610" s="23">
        <v>625.28</v>
      </c>
      <c r="C610" s="24">
        <f t="shared" si="9"/>
        <v>4.0478251339530778E-4</v>
      </c>
    </row>
    <row r="611" spans="1:3" ht="14.25" customHeight="1" x14ac:dyDescent="0.3">
      <c r="A611" s="22">
        <v>45329</v>
      </c>
      <c r="B611" s="23">
        <v>625.02700000000004</v>
      </c>
      <c r="C611" s="24">
        <f t="shared" si="9"/>
        <v>9.6408696000334576E-4</v>
      </c>
    </row>
    <row r="612" spans="1:3" ht="14.25" customHeight="1" x14ac:dyDescent="0.3">
      <c r="A612" s="22">
        <v>45328</v>
      </c>
      <c r="B612" s="23">
        <v>624.42499999999995</v>
      </c>
      <c r="C612" s="24">
        <f t="shared" si="9"/>
        <v>9.6547196719562068E-3</v>
      </c>
    </row>
    <row r="613" spans="1:3" ht="14.25" customHeight="1" x14ac:dyDescent="0.3">
      <c r="A613" s="22">
        <v>45327</v>
      </c>
      <c r="B613" s="23">
        <v>618.45399999999995</v>
      </c>
      <c r="C613" s="24">
        <f t="shared" si="9"/>
        <v>5.7192850649740367E-3</v>
      </c>
    </row>
    <row r="614" spans="1:3" ht="14.25" customHeight="1" x14ac:dyDescent="0.3">
      <c r="A614" s="22">
        <v>45324</v>
      </c>
      <c r="B614" s="23">
        <v>614.93700000000001</v>
      </c>
      <c r="C614" s="24">
        <f t="shared" si="9"/>
        <v>8.8492526368115221E-3</v>
      </c>
    </row>
    <row r="615" spans="1:3" ht="14.25" customHeight="1" x14ac:dyDescent="0.3">
      <c r="A615" s="22">
        <v>45323</v>
      </c>
      <c r="B615" s="23">
        <v>609.54300000000001</v>
      </c>
      <c r="C615" s="24">
        <f t="shared" si="9"/>
        <v>-5.0551710629406828E-3</v>
      </c>
    </row>
    <row r="616" spans="1:3" ht="14.25" customHeight="1" x14ac:dyDescent="0.3">
      <c r="A616" s="22">
        <v>45322</v>
      </c>
      <c r="B616" s="23">
        <v>612.64</v>
      </c>
      <c r="C616" s="24">
        <f t="shared" si="9"/>
        <v>1.0525204574282562E-2</v>
      </c>
    </row>
    <row r="617" spans="1:3" ht="14.25" customHeight="1" x14ac:dyDescent="0.3">
      <c r="A617" s="22">
        <v>45321</v>
      </c>
      <c r="B617" s="23">
        <v>606.25900000000001</v>
      </c>
      <c r="C617" s="24">
        <f t="shared" si="9"/>
        <v>-6.1981257263424685E-4</v>
      </c>
    </row>
    <row r="618" spans="1:3" ht="14.25" customHeight="1" x14ac:dyDescent="0.3">
      <c r="A618" s="22">
        <v>45320</v>
      </c>
      <c r="B618" s="23">
        <v>606.63499999999999</v>
      </c>
      <c r="C618" s="24">
        <f t="shared" si="9"/>
        <v>2.2246824831109829E-2</v>
      </c>
    </row>
    <row r="619" spans="1:3" ht="14.25" customHeight="1" x14ac:dyDescent="0.3">
      <c r="A619" s="22">
        <v>45316</v>
      </c>
      <c r="B619" s="23">
        <v>593.43299999999999</v>
      </c>
      <c r="C619" s="24">
        <f t="shared" si="9"/>
        <v>7.0322032143820866E-3</v>
      </c>
    </row>
    <row r="620" spans="1:3" ht="14.25" customHeight="1" x14ac:dyDescent="0.3">
      <c r="A620" s="22">
        <v>45315</v>
      </c>
      <c r="B620" s="23">
        <v>589.28899999999999</v>
      </c>
      <c r="C620" s="24">
        <f t="shared" si="9"/>
        <v>-6.107166349024272E-3</v>
      </c>
    </row>
    <row r="621" spans="1:3" ht="14.25" customHeight="1" x14ac:dyDescent="0.3">
      <c r="A621" s="22">
        <v>45310</v>
      </c>
      <c r="B621" s="23">
        <v>592.91</v>
      </c>
      <c r="C621" s="24">
        <f t="shared" si="9"/>
        <v>1.3623596225944046E-2</v>
      </c>
    </row>
    <row r="622" spans="1:3" ht="14.25" customHeight="1" x14ac:dyDescent="0.3">
      <c r="A622" s="22">
        <v>45309</v>
      </c>
      <c r="B622" s="23">
        <v>584.94100000000003</v>
      </c>
      <c r="C622" s="24">
        <f t="shared" si="9"/>
        <v>6.4210980903600685E-3</v>
      </c>
    </row>
    <row r="623" spans="1:3" ht="14.25" customHeight="1" x14ac:dyDescent="0.3">
      <c r="A623" s="22">
        <v>45308</v>
      </c>
      <c r="B623" s="23">
        <v>581.20899999999995</v>
      </c>
      <c r="C623" s="24">
        <f t="shared" si="9"/>
        <v>-1.2293459179563759E-2</v>
      </c>
    </row>
    <row r="624" spans="1:3" ht="14.25" customHeight="1" x14ac:dyDescent="0.3">
      <c r="A624" s="22">
        <v>45307</v>
      </c>
      <c r="B624" s="23">
        <v>588.44299999999998</v>
      </c>
      <c r="C624" s="24">
        <f t="shared" si="9"/>
        <v>-5.7615657942089813E-3</v>
      </c>
    </row>
    <row r="625" spans="1:3" ht="14.25" customHeight="1" x14ac:dyDescent="0.3">
      <c r="A625" s="22">
        <v>45306</v>
      </c>
      <c r="B625" s="23">
        <v>591.85299999999995</v>
      </c>
      <c r="C625" s="24">
        <f t="shared" si="9"/>
        <v>8.8896389255382676E-3</v>
      </c>
    </row>
    <row r="626" spans="1:3" ht="14.25" customHeight="1" x14ac:dyDescent="0.3">
      <c r="A626" s="22">
        <v>45303</v>
      </c>
      <c r="B626" s="23">
        <v>586.63800000000003</v>
      </c>
      <c r="C626" s="24">
        <f t="shared" si="9"/>
        <v>5.2435150057062799E-3</v>
      </c>
    </row>
    <row r="627" spans="1:3" ht="14.25" customHeight="1" x14ac:dyDescent="0.3">
      <c r="A627" s="22">
        <v>45302</v>
      </c>
      <c r="B627" s="23">
        <v>583.57799999999997</v>
      </c>
      <c r="C627" s="24">
        <f t="shared" si="9"/>
        <v>6.4257776122182888E-3</v>
      </c>
    </row>
    <row r="628" spans="1:3" ht="14.25" customHeight="1" x14ac:dyDescent="0.3">
      <c r="A628" s="22">
        <v>45301</v>
      </c>
      <c r="B628" s="23">
        <v>579.85199999999998</v>
      </c>
      <c r="C628" s="24">
        <f t="shared" si="9"/>
        <v>7.171851741201966E-3</v>
      </c>
    </row>
    <row r="629" spans="1:3" ht="14.25" customHeight="1" x14ac:dyDescent="0.3">
      <c r="A629" s="22">
        <v>45300</v>
      </c>
      <c r="B629" s="23">
        <v>575.72299999999996</v>
      </c>
      <c r="C629" s="24">
        <f t="shared" si="9"/>
        <v>4.7136061093638777E-3</v>
      </c>
    </row>
    <row r="630" spans="1:3" ht="14.25" customHeight="1" x14ac:dyDescent="0.3">
      <c r="A630" s="22">
        <v>45299</v>
      </c>
      <c r="B630" s="23">
        <v>573.02200000000005</v>
      </c>
      <c r="C630" s="24">
        <f t="shared" si="9"/>
        <v>-1.2635369730595876E-2</v>
      </c>
    </row>
    <row r="631" spans="1:3" ht="14.25" customHeight="1" x14ac:dyDescent="0.3">
      <c r="A631" s="22">
        <v>45296</v>
      </c>
      <c r="B631" s="23">
        <v>580.35500000000002</v>
      </c>
      <c r="C631" s="24">
        <f t="shared" si="9"/>
        <v>-1.8162711059817004E-3</v>
      </c>
    </row>
    <row r="632" spans="1:3" ht="14.25" customHeight="1" x14ac:dyDescent="0.3">
      <c r="A632" s="22">
        <v>45295</v>
      </c>
      <c r="B632" s="23">
        <v>581.41099999999994</v>
      </c>
      <c r="C632" s="24">
        <f t="shared" si="9"/>
        <v>1.3774801180796842E-2</v>
      </c>
    </row>
    <row r="633" spans="1:3" ht="14.25" customHeight="1" x14ac:dyDescent="0.3">
      <c r="A633" s="22">
        <v>45294</v>
      </c>
      <c r="B633" s="23">
        <v>573.51099999999997</v>
      </c>
      <c r="C633" s="24">
        <f t="shared" si="9"/>
        <v>-2.4837417534729726E-3</v>
      </c>
    </row>
    <row r="634" spans="1:3" ht="14.25" customHeight="1" x14ac:dyDescent="0.3">
      <c r="A634" s="22">
        <v>45293</v>
      </c>
      <c r="B634" s="23">
        <v>574.93899999999996</v>
      </c>
      <c r="C634" s="24">
        <f t="shared" si="9"/>
        <v>4.0445458879575513E-3</v>
      </c>
    </row>
    <row r="635" spans="1:3" ht="14.25" customHeight="1" x14ac:dyDescent="0.3">
      <c r="A635" s="22">
        <v>45289</v>
      </c>
      <c r="B635" s="23">
        <v>572.62300000000005</v>
      </c>
      <c r="C635" s="24">
        <f t="shared" si="9"/>
        <v>2.6966307874688573E-3</v>
      </c>
    </row>
    <row r="636" spans="1:3" ht="14.25" customHeight="1" x14ac:dyDescent="0.3">
      <c r="A636" s="22">
        <v>45288</v>
      </c>
      <c r="B636" s="23">
        <v>571.08299999999997</v>
      </c>
      <c r="C636" s="24">
        <f t="shared" si="9"/>
        <v>1.026928343222264E-2</v>
      </c>
    </row>
    <row r="637" spans="1:3" ht="14.25" customHeight="1" x14ac:dyDescent="0.3">
      <c r="A637" s="22">
        <v>45287</v>
      </c>
      <c r="B637" s="23">
        <v>565.27800000000002</v>
      </c>
      <c r="C637" s="24">
        <f t="shared" si="9"/>
        <v>4.3155446665090877E-3</v>
      </c>
    </row>
    <row r="638" spans="1:3" ht="14.25" customHeight="1" x14ac:dyDescent="0.3">
      <c r="A638" s="22">
        <v>45286</v>
      </c>
      <c r="B638" s="23">
        <v>562.84900000000005</v>
      </c>
      <c r="C638" s="24">
        <f t="shared" si="9"/>
        <v>6.1097794008555233E-3</v>
      </c>
    </row>
    <row r="639" spans="1:3" ht="14.25" customHeight="1" x14ac:dyDescent="0.3">
      <c r="A639" s="22">
        <v>45282</v>
      </c>
      <c r="B639" s="23">
        <v>559.43100000000004</v>
      </c>
      <c r="C639" s="24">
        <f t="shared" si="9"/>
        <v>8.9363651447493513E-3</v>
      </c>
    </row>
    <row r="640" spans="1:3" ht="14.25" customHeight="1" x14ac:dyDescent="0.3">
      <c r="A640" s="22">
        <v>45281</v>
      </c>
      <c r="B640" s="23">
        <v>554.476</v>
      </c>
      <c r="C640" s="24">
        <f t="shared" si="9"/>
        <v>2.0833640179689285E-2</v>
      </c>
    </row>
    <row r="641" spans="1:3" ht="14.25" customHeight="1" x14ac:dyDescent="0.3">
      <c r="A641" s="22">
        <v>45280</v>
      </c>
      <c r="B641" s="23">
        <v>543.16</v>
      </c>
      <c r="C641" s="24">
        <f t="shared" si="9"/>
        <v>-3.1005815820458839E-2</v>
      </c>
    </row>
    <row r="642" spans="1:3" ht="14.25" customHeight="1" x14ac:dyDescent="0.3">
      <c r="A642" s="22">
        <v>45279</v>
      </c>
      <c r="B642" s="23">
        <v>560.54</v>
      </c>
      <c r="C642" s="24">
        <f t="shared" ref="C642:C705" si="10">(B642-B643)/B643</f>
        <v>2.014611744810994E-3</v>
      </c>
    </row>
    <row r="643" spans="1:3" ht="14.25" customHeight="1" x14ac:dyDescent="0.3">
      <c r="A643" s="22">
        <v>45278</v>
      </c>
      <c r="B643" s="23">
        <v>559.41300000000001</v>
      </c>
      <c r="C643" s="24">
        <f t="shared" si="10"/>
        <v>6.2905187114599276E-3</v>
      </c>
    </row>
    <row r="644" spans="1:3" ht="14.25" customHeight="1" x14ac:dyDescent="0.3">
      <c r="A644" s="22">
        <v>45275</v>
      </c>
      <c r="B644" s="23">
        <v>555.91600000000005</v>
      </c>
      <c r="C644" s="24">
        <f t="shared" si="10"/>
        <v>5.9242692375896158E-3</v>
      </c>
    </row>
    <row r="645" spans="1:3" ht="14.25" customHeight="1" x14ac:dyDescent="0.3">
      <c r="A645" s="22">
        <v>45274</v>
      </c>
      <c r="B645" s="23">
        <v>552.64200000000005</v>
      </c>
      <c r="C645" s="24">
        <f t="shared" si="10"/>
        <v>1.0656254857675809E-2</v>
      </c>
    </row>
    <row r="646" spans="1:3" ht="14.25" customHeight="1" x14ac:dyDescent="0.3">
      <c r="A646" s="22">
        <v>45273</v>
      </c>
      <c r="B646" s="23">
        <v>546.81500000000005</v>
      </c>
      <c r="C646" s="24">
        <f t="shared" si="10"/>
        <v>4.94002319311503E-3</v>
      </c>
    </row>
    <row r="647" spans="1:3" ht="14.25" customHeight="1" x14ac:dyDescent="0.3">
      <c r="A647" s="22">
        <v>45272</v>
      </c>
      <c r="B647" s="23">
        <v>544.12699999999995</v>
      </c>
      <c r="C647" s="24">
        <f t="shared" si="10"/>
        <v>-1.9387949756412815E-3</v>
      </c>
    </row>
    <row r="648" spans="1:3" ht="14.25" customHeight="1" x14ac:dyDescent="0.3">
      <c r="A648" s="22">
        <v>45271</v>
      </c>
      <c r="B648" s="23">
        <v>545.18399999999997</v>
      </c>
      <c r="C648" s="24">
        <f t="shared" si="10"/>
        <v>5.3180896182924856E-3</v>
      </c>
    </row>
    <row r="649" spans="1:3" ht="14.25" customHeight="1" x14ac:dyDescent="0.3">
      <c r="A649" s="22">
        <v>45268</v>
      </c>
      <c r="B649" s="23">
        <v>542.29999999999995</v>
      </c>
      <c r="C649" s="24">
        <f t="shared" si="10"/>
        <v>-6.0502088522565844E-3</v>
      </c>
    </row>
    <row r="650" spans="1:3" ht="14.25" customHeight="1" x14ac:dyDescent="0.3">
      <c r="A650" s="22">
        <v>45267</v>
      </c>
      <c r="B650" s="23">
        <v>545.601</v>
      </c>
      <c r="C650" s="24">
        <f t="shared" si="10"/>
        <v>1.5493146485498139E-3</v>
      </c>
    </row>
    <row r="651" spans="1:3" ht="14.25" customHeight="1" x14ac:dyDescent="0.3">
      <c r="A651" s="22">
        <v>45266</v>
      </c>
      <c r="B651" s="23">
        <v>544.75699999999995</v>
      </c>
      <c r="C651" s="24">
        <f t="shared" si="10"/>
        <v>4.2510752123231894E-3</v>
      </c>
    </row>
    <row r="652" spans="1:3" ht="14.25" customHeight="1" x14ac:dyDescent="0.3">
      <c r="A652" s="22">
        <v>45265</v>
      </c>
      <c r="B652" s="23">
        <v>542.45100000000002</v>
      </c>
      <c r="C652" s="24">
        <f t="shared" si="10"/>
        <v>7.1144909481470082E-3</v>
      </c>
    </row>
    <row r="653" spans="1:3" ht="14.25" customHeight="1" x14ac:dyDescent="0.3">
      <c r="A653" s="22">
        <v>45264</v>
      </c>
      <c r="B653" s="23">
        <v>538.61900000000003</v>
      </c>
      <c r="C653" s="24">
        <f t="shared" si="10"/>
        <v>1.0680637310550989E-2</v>
      </c>
    </row>
    <row r="654" spans="1:3" ht="14.25" customHeight="1" x14ac:dyDescent="0.3">
      <c r="A654" s="22">
        <v>45261</v>
      </c>
      <c r="B654" s="23">
        <v>532.92700000000002</v>
      </c>
      <c r="C654" s="24">
        <f t="shared" si="10"/>
        <v>5.672543643297721E-3</v>
      </c>
    </row>
    <row r="655" spans="1:3" ht="14.25" customHeight="1" x14ac:dyDescent="0.3">
      <c r="A655" s="22">
        <v>45260</v>
      </c>
      <c r="B655" s="23">
        <v>529.92100000000005</v>
      </c>
      <c r="C655" s="24">
        <f t="shared" si="10"/>
        <v>5.0925961049701823E-3</v>
      </c>
    </row>
    <row r="656" spans="1:3" ht="14.25" customHeight="1" x14ac:dyDescent="0.3">
      <c r="A656" s="22">
        <v>45259</v>
      </c>
      <c r="B656" s="23">
        <v>527.23599999999999</v>
      </c>
      <c r="C656" s="24">
        <f t="shared" si="10"/>
        <v>4.9251694456514915E-3</v>
      </c>
    </row>
    <row r="657" spans="1:3" ht="14.25" customHeight="1" x14ac:dyDescent="0.3">
      <c r="A657" s="22">
        <v>45258</v>
      </c>
      <c r="B657" s="23">
        <v>524.65200000000004</v>
      </c>
      <c r="C657" s="24">
        <f t="shared" si="10"/>
        <v>6.210036554446287E-3</v>
      </c>
    </row>
    <row r="658" spans="1:3" ht="14.25" customHeight="1" x14ac:dyDescent="0.3">
      <c r="A658" s="22">
        <v>45254</v>
      </c>
      <c r="B658" s="23">
        <v>521.41399999999999</v>
      </c>
      <c r="C658" s="24">
        <f t="shared" si="10"/>
        <v>3.6340818361353115E-3</v>
      </c>
    </row>
    <row r="659" spans="1:3" ht="14.25" customHeight="1" x14ac:dyDescent="0.3">
      <c r="A659" s="22">
        <v>45253</v>
      </c>
      <c r="B659" s="23">
        <v>519.52599999999995</v>
      </c>
      <c r="C659" s="24">
        <f t="shared" si="10"/>
        <v>-2.4730517996828251E-3</v>
      </c>
    </row>
    <row r="660" spans="1:3" ht="14.25" customHeight="1" x14ac:dyDescent="0.3">
      <c r="A660" s="22">
        <v>45252</v>
      </c>
      <c r="B660" s="23">
        <v>520.81399999999996</v>
      </c>
      <c r="C660" s="24">
        <f t="shared" si="10"/>
        <v>-3.4560088473882376E-5</v>
      </c>
    </row>
    <row r="661" spans="1:3" ht="14.25" customHeight="1" x14ac:dyDescent="0.3">
      <c r="A661" s="22">
        <v>45251</v>
      </c>
      <c r="B661" s="23">
        <v>520.83199999999999</v>
      </c>
      <c r="C661" s="24">
        <f t="shared" si="10"/>
        <v>5.7156980875583867E-3</v>
      </c>
    </row>
    <row r="662" spans="1:3" ht="14.25" customHeight="1" x14ac:dyDescent="0.3">
      <c r="A662" s="22">
        <v>45250</v>
      </c>
      <c r="B662" s="23">
        <v>517.87199999999996</v>
      </c>
      <c r="C662" s="24">
        <f t="shared" si="10"/>
        <v>-3.4552582660797354E-4</v>
      </c>
    </row>
    <row r="663" spans="1:3" ht="14.25" customHeight="1" x14ac:dyDescent="0.3">
      <c r="A663" s="22">
        <v>45247</v>
      </c>
      <c r="B663" s="23">
        <v>518.05100000000004</v>
      </c>
      <c r="C663" s="24">
        <f t="shared" si="10"/>
        <v>-2.6438281087162111E-4</v>
      </c>
    </row>
    <row r="664" spans="1:3" ht="14.25" customHeight="1" x14ac:dyDescent="0.3">
      <c r="A664" s="22">
        <v>45246</v>
      </c>
      <c r="B664" s="23">
        <v>518.18799999999999</v>
      </c>
      <c r="C664" s="24">
        <f t="shared" si="10"/>
        <v>4.5303779579762161E-3</v>
      </c>
    </row>
    <row r="665" spans="1:3" ht="14.25" customHeight="1" x14ac:dyDescent="0.3">
      <c r="A665" s="22">
        <v>45245</v>
      </c>
      <c r="B665" s="23">
        <v>515.851</v>
      </c>
      <c r="C665" s="24">
        <f t="shared" si="10"/>
        <v>8.5398732704703682E-3</v>
      </c>
    </row>
    <row r="666" spans="1:3" ht="14.25" customHeight="1" x14ac:dyDescent="0.3">
      <c r="A666" s="22">
        <v>45243</v>
      </c>
      <c r="B666" s="23">
        <v>511.483</v>
      </c>
      <c r="C666" s="24">
        <f t="shared" si="10"/>
        <v>6.7393747576560553E-3</v>
      </c>
    </row>
    <row r="667" spans="1:3" ht="14.25" customHeight="1" x14ac:dyDescent="0.3">
      <c r="A667" s="22">
        <v>45240</v>
      </c>
      <c r="B667" s="23">
        <v>508.05900000000003</v>
      </c>
      <c r="C667" s="24">
        <f t="shared" si="10"/>
        <v>3.0641234968125236E-3</v>
      </c>
    </row>
    <row r="668" spans="1:3" ht="14.25" customHeight="1" x14ac:dyDescent="0.3">
      <c r="A668" s="22">
        <v>45239</v>
      </c>
      <c r="B668" s="23">
        <v>506.50700000000001</v>
      </c>
      <c r="C668" s="24">
        <f t="shared" si="10"/>
        <v>-2.8816566762659057E-4</v>
      </c>
    </row>
    <row r="669" spans="1:3" ht="14.25" customHeight="1" x14ac:dyDescent="0.3">
      <c r="A669" s="22">
        <v>45238</v>
      </c>
      <c r="B669" s="23">
        <v>506.65300000000002</v>
      </c>
      <c r="C669" s="24">
        <f t="shared" si="10"/>
        <v>5.5032944351830291E-3</v>
      </c>
    </row>
    <row r="670" spans="1:3" ht="14.25" customHeight="1" x14ac:dyDescent="0.3">
      <c r="A670" s="22">
        <v>45237</v>
      </c>
      <c r="B670" s="23">
        <v>503.88</v>
      </c>
      <c r="C670" s="24">
        <f t="shared" si="10"/>
        <v>5.7705857813245796E-3</v>
      </c>
    </row>
    <row r="671" spans="1:3" ht="14.25" customHeight="1" x14ac:dyDescent="0.3">
      <c r="A671" s="22">
        <v>45236</v>
      </c>
      <c r="B671" s="23">
        <v>500.98899999999998</v>
      </c>
      <c r="C671" s="24">
        <f t="shared" si="10"/>
        <v>1.0015704980232612E-2</v>
      </c>
    </row>
    <row r="672" spans="1:3" ht="14.25" customHeight="1" x14ac:dyDescent="0.3">
      <c r="A672" s="22">
        <v>45233</v>
      </c>
      <c r="B672" s="23">
        <v>496.02100000000002</v>
      </c>
      <c r="C672" s="24">
        <f t="shared" si="10"/>
        <v>5.104335950006293E-3</v>
      </c>
    </row>
    <row r="673" spans="1:3" ht="14.25" customHeight="1" x14ac:dyDescent="0.3">
      <c r="A673" s="22">
        <v>45232</v>
      </c>
      <c r="B673" s="23">
        <v>493.50200000000001</v>
      </c>
      <c r="C673" s="24">
        <f t="shared" si="10"/>
        <v>9.3221309597827009E-3</v>
      </c>
    </row>
    <row r="674" spans="1:3" ht="14.25" customHeight="1" x14ac:dyDescent="0.3">
      <c r="A674" s="22">
        <v>45231</v>
      </c>
      <c r="B674" s="23">
        <v>488.94400000000002</v>
      </c>
      <c r="C674" s="24">
        <f t="shared" si="10"/>
        <v>-3.6699304119247014E-3</v>
      </c>
    </row>
    <row r="675" spans="1:3" ht="14.25" customHeight="1" x14ac:dyDescent="0.3">
      <c r="A675" s="22">
        <v>45230</v>
      </c>
      <c r="B675" s="23">
        <v>490.745</v>
      </c>
      <c r="C675" s="24">
        <f t="shared" si="10"/>
        <v>-2.2405341498473621E-3</v>
      </c>
    </row>
    <row r="676" spans="1:3" ht="14.25" customHeight="1" x14ac:dyDescent="0.3">
      <c r="A676" s="22">
        <v>45229</v>
      </c>
      <c r="B676" s="23">
        <v>491.84699999999998</v>
      </c>
      <c r="C676" s="24">
        <f t="shared" si="10"/>
        <v>5.9414000024542229E-3</v>
      </c>
    </row>
    <row r="677" spans="1:3" ht="14.25" customHeight="1" x14ac:dyDescent="0.3">
      <c r="A677" s="22">
        <v>45226</v>
      </c>
      <c r="B677" s="23">
        <v>488.94200000000001</v>
      </c>
      <c r="C677" s="24">
        <f t="shared" si="10"/>
        <v>1.6308595373896277E-2</v>
      </c>
    </row>
    <row r="678" spans="1:3" ht="14.25" customHeight="1" x14ac:dyDescent="0.3">
      <c r="A678" s="22">
        <v>45225</v>
      </c>
      <c r="B678" s="23">
        <v>481.096</v>
      </c>
      <c r="C678" s="24">
        <f t="shared" si="10"/>
        <v>-8.7321308624576047E-3</v>
      </c>
    </row>
    <row r="679" spans="1:3" ht="14.25" customHeight="1" x14ac:dyDescent="0.3">
      <c r="A679" s="22">
        <v>45224</v>
      </c>
      <c r="B679" s="23">
        <v>485.334</v>
      </c>
      <c r="C679" s="24">
        <f t="shared" si="10"/>
        <v>-5.7279822997971692E-3</v>
      </c>
    </row>
    <row r="680" spans="1:3" ht="14.25" customHeight="1" x14ac:dyDescent="0.3">
      <c r="A680" s="22">
        <v>45222</v>
      </c>
      <c r="B680" s="23">
        <v>488.13</v>
      </c>
      <c r="C680" s="24">
        <f t="shared" si="10"/>
        <v>-2.9165025835630472E-2</v>
      </c>
    </row>
    <row r="681" spans="1:3" ht="14.25" customHeight="1" x14ac:dyDescent="0.3">
      <c r="A681" s="22">
        <v>45219</v>
      </c>
      <c r="B681" s="23">
        <v>502.79399999999998</v>
      </c>
      <c r="C681" s="24">
        <f t="shared" si="10"/>
        <v>-1.2153719203112175E-2</v>
      </c>
    </row>
    <row r="682" spans="1:3" ht="14.25" customHeight="1" x14ac:dyDescent="0.3">
      <c r="A682" s="22">
        <v>45218</v>
      </c>
      <c r="B682" s="23">
        <v>508.98</v>
      </c>
      <c r="C682" s="24">
        <f t="shared" si="10"/>
        <v>1.392954953253429E-3</v>
      </c>
    </row>
    <row r="683" spans="1:3" ht="14.25" customHeight="1" x14ac:dyDescent="0.3">
      <c r="A683" s="22">
        <v>45217</v>
      </c>
      <c r="B683" s="23">
        <v>508.27199999999999</v>
      </c>
      <c r="C683" s="24">
        <f t="shared" si="10"/>
        <v>-7.6204422316590295E-3</v>
      </c>
    </row>
    <row r="684" spans="1:3" ht="14.25" customHeight="1" x14ac:dyDescent="0.3">
      <c r="A684" s="22">
        <v>45216</v>
      </c>
      <c r="B684" s="23">
        <v>512.17499999999995</v>
      </c>
      <c r="C684" s="24">
        <f t="shared" si="10"/>
        <v>1.3548863889636914E-3</v>
      </c>
    </row>
    <row r="685" spans="1:3" ht="14.25" customHeight="1" x14ac:dyDescent="0.3">
      <c r="A685" s="22">
        <v>45215</v>
      </c>
      <c r="B685" s="23">
        <v>511.48200000000003</v>
      </c>
      <c r="C685" s="24">
        <f t="shared" si="10"/>
        <v>-6.1547840256976445E-4</v>
      </c>
    </row>
    <row r="686" spans="1:3" ht="14.25" customHeight="1" x14ac:dyDescent="0.3">
      <c r="A686" s="22">
        <v>45212</v>
      </c>
      <c r="B686" s="23">
        <v>511.79700000000003</v>
      </c>
      <c r="C686" s="24">
        <f t="shared" si="10"/>
        <v>-3.3028687830214359E-3</v>
      </c>
    </row>
    <row r="687" spans="1:3" ht="14.25" customHeight="1" x14ac:dyDescent="0.3">
      <c r="A687" s="22">
        <v>45211</v>
      </c>
      <c r="B687" s="23">
        <v>513.49300000000005</v>
      </c>
      <c r="C687" s="24">
        <f t="shared" si="10"/>
        <v>7.5800090261563414E-3</v>
      </c>
    </row>
    <row r="688" spans="1:3" ht="14.25" customHeight="1" x14ac:dyDescent="0.3">
      <c r="A688" s="22">
        <v>45210</v>
      </c>
      <c r="B688" s="23">
        <v>509.63</v>
      </c>
      <c r="C688" s="24">
        <f t="shared" si="10"/>
        <v>5.5027118958410771E-3</v>
      </c>
    </row>
    <row r="689" spans="1:3" ht="14.25" customHeight="1" x14ac:dyDescent="0.3">
      <c r="A689" s="22">
        <v>45209</v>
      </c>
      <c r="B689" s="23">
        <v>506.84100000000001</v>
      </c>
      <c r="C689" s="24">
        <f t="shared" si="10"/>
        <v>1.5499744542731468E-2</v>
      </c>
    </row>
    <row r="690" spans="1:3" ht="14.25" customHeight="1" x14ac:dyDescent="0.3">
      <c r="A690" s="22">
        <v>45208</v>
      </c>
      <c r="B690" s="23">
        <v>499.10500000000002</v>
      </c>
      <c r="C690" s="24">
        <f t="shared" si="10"/>
        <v>-1.4006459961082142E-2</v>
      </c>
    </row>
    <row r="691" spans="1:3" ht="14.25" customHeight="1" x14ac:dyDescent="0.3">
      <c r="A691" s="22">
        <v>45205</v>
      </c>
      <c r="B691" s="23">
        <v>506.19499999999999</v>
      </c>
      <c r="C691" s="24">
        <f t="shared" si="10"/>
        <v>5.4064468203855621E-3</v>
      </c>
    </row>
    <row r="692" spans="1:3" ht="14.25" customHeight="1" x14ac:dyDescent="0.3">
      <c r="A692" s="22">
        <v>45204</v>
      </c>
      <c r="B692" s="23">
        <v>503.47300000000001</v>
      </c>
      <c r="C692" s="24">
        <f t="shared" si="10"/>
        <v>7.1753406796099071E-4</v>
      </c>
    </row>
    <row r="693" spans="1:3" ht="14.25" customHeight="1" x14ac:dyDescent="0.3">
      <c r="A693" s="22">
        <v>45203</v>
      </c>
      <c r="B693" s="23">
        <v>503.11200000000002</v>
      </c>
      <c r="C693" s="24">
        <f t="shared" si="10"/>
        <v>-1.206077910040961E-2</v>
      </c>
    </row>
    <row r="694" spans="1:3" ht="14.25" customHeight="1" x14ac:dyDescent="0.3">
      <c r="A694" s="22">
        <v>45202</v>
      </c>
      <c r="B694" s="23">
        <v>509.25400000000002</v>
      </c>
      <c r="C694" s="24">
        <f t="shared" si="10"/>
        <v>-1.8326541732573659E-3</v>
      </c>
    </row>
    <row r="695" spans="1:3" ht="14.25" customHeight="1" x14ac:dyDescent="0.3">
      <c r="A695" s="22">
        <v>45198</v>
      </c>
      <c r="B695" s="23">
        <v>510.18900000000002</v>
      </c>
      <c r="C695" s="24">
        <f t="shared" si="10"/>
        <v>5.3538229826093824E-4</v>
      </c>
    </row>
    <row r="696" spans="1:3" ht="14.25" customHeight="1" x14ac:dyDescent="0.3">
      <c r="A696" s="22">
        <v>45197</v>
      </c>
      <c r="B696" s="23">
        <v>509.916</v>
      </c>
      <c r="C696" s="24">
        <f t="shared" si="10"/>
        <v>0</v>
      </c>
    </row>
    <row r="697" spans="1:3" ht="14.25" customHeight="1" x14ac:dyDescent="0.3">
      <c r="A697" s="22">
        <v>45196</v>
      </c>
      <c r="B697" s="23">
        <v>509.916</v>
      </c>
      <c r="C697" s="24">
        <f t="shared" si="10"/>
        <v>5.5115051437428465E-3</v>
      </c>
    </row>
    <row r="698" spans="1:3" ht="14.25" customHeight="1" x14ac:dyDescent="0.3">
      <c r="A698" s="22">
        <v>45194</v>
      </c>
      <c r="B698" s="23">
        <v>507.12099999999998</v>
      </c>
      <c r="C698" s="24">
        <f t="shared" si="10"/>
        <v>4.3630846989015535E-3</v>
      </c>
    </row>
    <row r="699" spans="1:3" ht="14.25" customHeight="1" x14ac:dyDescent="0.3">
      <c r="A699" s="22">
        <v>45191</v>
      </c>
      <c r="B699" s="23">
        <v>504.91800000000001</v>
      </c>
      <c r="C699" s="24">
        <f t="shared" si="10"/>
        <v>-9.7544374776171278E-4</v>
      </c>
    </row>
    <row r="700" spans="1:3" ht="14.25" customHeight="1" x14ac:dyDescent="0.3">
      <c r="A700" s="22">
        <v>45190</v>
      </c>
      <c r="B700" s="23">
        <v>505.411</v>
      </c>
      <c r="C700" s="24">
        <f t="shared" si="10"/>
        <v>-7.9534725779890209E-3</v>
      </c>
    </row>
    <row r="701" spans="1:3" ht="14.25" customHeight="1" x14ac:dyDescent="0.3">
      <c r="A701" s="22">
        <v>45189</v>
      </c>
      <c r="B701" s="23">
        <v>509.46300000000002</v>
      </c>
      <c r="C701" s="24">
        <f t="shared" si="10"/>
        <v>-1.1425222809308562E-2</v>
      </c>
    </row>
    <row r="702" spans="1:3" ht="14.25" customHeight="1" x14ac:dyDescent="0.3">
      <c r="A702" s="22">
        <v>45187</v>
      </c>
      <c r="B702" s="23">
        <v>515.351</v>
      </c>
      <c r="C702" s="24">
        <f t="shared" si="10"/>
        <v>-3.8100061470418881E-3</v>
      </c>
    </row>
    <row r="703" spans="1:3" ht="14.25" customHeight="1" x14ac:dyDescent="0.3">
      <c r="A703" s="22">
        <v>45184</v>
      </c>
      <c r="B703" s="23">
        <v>517.322</v>
      </c>
      <c r="C703" s="24">
        <f t="shared" si="10"/>
        <v>1.0439462715647134E-4</v>
      </c>
    </row>
    <row r="704" spans="1:3" ht="14.25" customHeight="1" x14ac:dyDescent="0.3">
      <c r="A704" s="22">
        <v>45183</v>
      </c>
      <c r="B704" s="23">
        <v>517.26800000000003</v>
      </c>
      <c r="C704" s="24">
        <f t="shared" si="10"/>
        <v>5.4581502935116284E-3</v>
      </c>
    </row>
    <row r="705" spans="1:3" ht="14.25" customHeight="1" x14ac:dyDescent="0.3">
      <c r="A705" s="22">
        <v>45182</v>
      </c>
      <c r="B705" s="23">
        <v>514.46</v>
      </c>
      <c r="C705" s="24">
        <f t="shared" si="10"/>
        <v>9.9491158086503929E-3</v>
      </c>
    </row>
    <row r="706" spans="1:3" ht="14.25" customHeight="1" x14ac:dyDescent="0.3">
      <c r="A706" s="22">
        <v>45181</v>
      </c>
      <c r="B706" s="23">
        <v>509.392</v>
      </c>
      <c r="C706" s="24">
        <f t="shared" ref="C706:C769" si="11">(B706-B707)/B707</f>
        <v>-2.6940085387635045E-2</v>
      </c>
    </row>
    <row r="707" spans="1:3" ht="14.25" customHeight="1" x14ac:dyDescent="0.3">
      <c r="A707" s="22">
        <v>45180</v>
      </c>
      <c r="B707" s="23">
        <v>523.495</v>
      </c>
      <c r="C707" s="24">
        <f t="shared" si="11"/>
        <v>8.2063193088279408E-3</v>
      </c>
    </row>
    <row r="708" spans="1:3" ht="14.25" customHeight="1" x14ac:dyDescent="0.3">
      <c r="A708" s="22">
        <v>45177</v>
      </c>
      <c r="B708" s="23">
        <v>519.23400000000004</v>
      </c>
      <c r="C708" s="24">
        <f t="shared" si="11"/>
        <v>5.7840417783700656E-3</v>
      </c>
    </row>
    <row r="709" spans="1:3" ht="14.25" customHeight="1" x14ac:dyDescent="0.3">
      <c r="A709" s="22">
        <v>45176</v>
      </c>
      <c r="B709" s="23">
        <v>516.24800000000005</v>
      </c>
      <c r="C709" s="24">
        <f t="shared" si="11"/>
        <v>5.3436779460335811E-3</v>
      </c>
    </row>
    <row r="710" spans="1:3" ht="14.25" customHeight="1" x14ac:dyDescent="0.3">
      <c r="A710" s="22">
        <v>45175</v>
      </c>
      <c r="B710" s="23">
        <v>513.50400000000002</v>
      </c>
      <c r="C710" s="24">
        <f t="shared" si="11"/>
        <v>-2.6124164560871774E-3</v>
      </c>
    </row>
    <row r="711" spans="1:3" ht="14.25" customHeight="1" x14ac:dyDescent="0.3">
      <c r="A711" s="22">
        <v>45174</v>
      </c>
      <c r="B711" s="23">
        <v>514.84900000000005</v>
      </c>
      <c r="C711" s="24">
        <f t="shared" si="11"/>
        <v>8.5111967780860231E-3</v>
      </c>
    </row>
    <row r="712" spans="1:3" ht="14.25" customHeight="1" x14ac:dyDescent="0.3">
      <c r="A712" s="22">
        <v>45173</v>
      </c>
      <c r="B712" s="23">
        <v>510.50400000000002</v>
      </c>
      <c r="C712" s="24">
        <f t="shared" si="11"/>
        <v>8.8872288328027352E-3</v>
      </c>
    </row>
    <row r="713" spans="1:3" ht="14.25" customHeight="1" x14ac:dyDescent="0.3">
      <c r="A713" s="22">
        <v>45170</v>
      </c>
      <c r="B713" s="23">
        <v>506.00700000000001</v>
      </c>
      <c r="C713" s="24">
        <f t="shared" si="11"/>
        <v>1.2656023919164774E-2</v>
      </c>
    </row>
    <row r="714" spans="1:3" ht="14.25" customHeight="1" x14ac:dyDescent="0.3">
      <c r="A714" s="22">
        <v>45169</v>
      </c>
      <c r="B714" s="23">
        <v>499.68299999999999</v>
      </c>
      <c r="C714" s="24">
        <f t="shared" si="11"/>
        <v>2.0876701120242517E-3</v>
      </c>
    </row>
    <row r="715" spans="1:3" ht="14.25" customHeight="1" x14ac:dyDescent="0.3">
      <c r="A715" s="22">
        <v>45168</v>
      </c>
      <c r="B715" s="23">
        <v>498.642</v>
      </c>
      <c r="C715" s="24">
        <f t="shared" si="11"/>
        <v>5.1786733000990116E-3</v>
      </c>
    </row>
    <row r="716" spans="1:3" ht="14.25" customHeight="1" x14ac:dyDescent="0.3">
      <c r="A716" s="22">
        <v>45167</v>
      </c>
      <c r="B716" s="23">
        <v>496.07299999999998</v>
      </c>
      <c r="C716" s="24">
        <f t="shared" si="11"/>
        <v>3.4955344951399362E-3</v>
      </c>
    </row>
    <row r="717" spans="1:3" ht="14.25" customHeight="1" x14ac:dyDescent="0.3">
      <c r="A717" s="22">
        <v>45166</v>
      </c>
      <c r="B717" s="23">
        <v>494.34500000000003</v>
      </c>
      <c r="C717" s="24">
        <f t="shared" si="11"/>
        <v>6.2961575728954135E-3</v>
      </c>
    </row>
    <row r="718" spans="1:3" ht="14.25" customHeight="1" x14ac:dyDescent="0.3">
      <c r="A718" s="22">
        <v>45163</v>
      </c>
      <c r="B718" s="23">
        <v>491.25200000000001</v>
      </c>
      <c r="C718" s="24">
        <f t="shared" si="11"/>
        <v>-4.2989786632020421E-3</v>
      </c>
    </row>
    <row r="719" spans="1:3" ht="14.25" customHeight="1" x14ac:dyDescent="0.3">
      <c r="A719" s="22">
        <v>45162</v>
      </c>
      <c r="B719" s="23">
        <v>493.37299999999999</v>
      </c>
      <c r="C719" s="24">
        <f t="shared" si="11"/>
        <v>-4.4875170753656494E-3</v>
      </c>
    </row>
    <row r="720" spans="1:3" ht="14.25" customHeight="1" x14ac:dyDescent="0.3">
      <c r="A720" s="22">
        <v>45161</v>
      </c>
      <c r="B720" s="23">
        <v>495.59699999999998</v>
      </c>
      <c r="C720" s="24">
        <f t="shared" si="11"/>
        <v>5.2392021321909111E-3</v>
      </c>
    </row>
    <row r="721" spans="1:3" ht="14.25" customHeight="1" x14ac:dyDescent="0.3">
      <c r="A721" s="22">
        <v>45160</v>
      </c>
      <c r="B721" s="23">
        <v>493.01400000000001</v>
      </c>
      <c r="C721" s="24">
        <f t="shared" si="11"/>
        <v>6.5967989905733647E-3</v>
      </c>
    </row>
    <row r="722" spans="1:3" ht="14.25" customHeight="1" x14ac:dyDescent="0.3">
      <c r="A722" s="22">
        <v>45159</v>
      </c>
      <c r="B722" s="23">
        <v>489.78300000000002</v>
      </c>
      <c r="C722" s="24">
        <f t="shared" si="11"/>
        <v>6.1980499870574277E-3</v>
      </c>
    </row>
    <row r="723" spans="1:3" ht="14.25" customHeight="1" x14ac:dyDescent="0.3">
      <c r="A723" s="22">
        <v>45156</v>
      </c>
      <c r="B723" s="23">
        <v>486.76600000000002</v>
      </c>
      <c r="C723" s="24">
        <f t="shared" si="11"/>
        <v>2.3630897706982846E-4</v>
      </c>
    </row>
    <row r="724" spans="1:3" ht="14.25" customHeight="1" x14ac:dyDescent="0.3">
      <c r="A724" s="22">
        <v>45155</v>
      </c>
      <c r="B724" s="23">
        <v>486.65100000000001</v>
      </c>
      <c r="C724" s="24">
        <f t="shared" si="11"/>
        <v>-1.171950363489271E-3</v>
      </c>
    </row>
    <row r="725" spans="1:3" ht="14.25" customHeight="1" x14ac:dyDescent="0.3">
      <c r="A725" s="22">
        <v>45154</v>
      </c>
      <c r="B725" s="23">
        <v>487.22199999999998</v>
      </c>
      <c r="C725" s="24">
        <f t="shared" si="11"/>
        <v>3.8601001162134099E-4</v>
      </c>
    </row>
    <row r="726" spans="1:3" ht="14.25" customHeight="1" x14ac:dyDescent="0.3">
      <c r="A726" s="22">
        <v>45152</v>
      </c>
      <c r="B726" s="23">
        <v>487.03399999999999</v>
      </c>
      <c r="C726" s="24">
        <f t="shared" si="11"/>
        <v>-5.6959234337231749E-3</v>
      </c>
    </row>
    <row r="727" spans="1:3" ht="14.25" customHeight="1" x14ac:dyDescent="0.3">
      <c r="A727" s="22">
        <v>45149</v>
      </c>
      <c r="B727" s="23">
        <v>489.82400000000001</v>
      </c>
      <c r="C727" s="24">
        <f t="shared" si="11"/>
        <v>1.6335064850204204E-4</v>
      </c>
    </row>
    <row r="728" spans="1:3" ht="14.25" customHeight="1" x14ac:dyDescent="0.3">
      <c r="A728" s="22">
        <v>45148</v>
      </c>
      <c r="B728" s="23">
        <v>489.74400000000003</v>
      </c>
      <c r="C728" s="24">
        <f t="shared" si="11"/>
        <v>4.6965517100603312E-5</v>
      </c>
    </row>
    <row r="729" spans="1:3" ht="14.25" customHeight="1" x14ac:dyDescent="0.3">
      <c r="A729" s="22">
        <v>45147</v>
      </c>
      <c r="B729" s="23">
        <v>489.721</v>
      </c>
      <c r="C729" s="24">
        <f t="shared" si="11"/>
        <v>5.2693809349815606E-3</v>
      </c>
    </row>
    <row r="730" spans="1:3" ht="14.25" customHeight="1" x14ac:dyDescent="0.3">
      <c r="A730" s="22">
        <v>45146</v>
      </c>
      <c r="B730" s="23">
        <v>487.154</v>
      </c>
      <c r="C730" s="24">
        <f t="shared" si="11"/>
        <v>-5.8673888068275345E-4</v>
      </c>
    </row>
    <row r="731" spans="1:3" ht="14.25" customHeight="1" x14ac:dyDescent="0.3">
      <c r="A731" s="22">
        <v>45145</v>
      </c>
      <c r="B731" s="23">
        <v>487.44</v>
      </c>
      <c r="C731" s="24">
        <f t="shared" si="11"/>
        <v>3.86975065954642E-3</v>
      </c>
    </row>
    <row r="732" spans="1:3" ht="14.25" customHeight="1" x14ac:dyDescent="0.3">
      <c r="A732" s="22">
        <v>45142</v>
      </c>
      <c r="B732" s="23">
        <v>485.56099999999998</v>
      </c>
      <c r="C732" s="24">
        <f t="shared" si="11"/>
        <v>4.0653852914111005E-3</v>
      </c>
    </row>
    <row r="733" spans="1:3" ht="14.25" customHeight="1" x14ac:dyDescent="0.3">
      <c r="A733" s="22">
        <v>45141</v>
      </c>
      <c r="B733" s="23">
        <v>483.59500000000003</v>
      </c>
      <c r="C733" s="24">
        <f t="shared" si="11"/>
        <v>-1.5732197531985713E-3</v>
      </c>
    </row>
    <row r="734" spans="1:3" ht="14.25" customHeight="1" x14ac:dyDescent="0.3">
      <c r="A734" s="22">
        <v>45140</v>
      </c>
      <c r="B734" s="23">
        <v>484.35700000000003</v>
      </c>
      <c r="C734" s="24">
        <f t="shared" si="11"/>
        <v>-1.6368240739048297E-2</v>
      </c>
    </row>
    <row r="735" spans="1:3" ht="14.25" customHeight="1" x14ac:dyDescent="0.3">
      <c r="A735" s="22">
        <v>45139</v>
      </c>
      <c r="B735" s="23">
        <v>492.41699999999997</v>
      </c>
      <c r="C735" s="24">
        <f t="shared" si="11"/>
        <v>-3.2710365501900525E-3</v>
      </c>
    </row>
    <row r="736" spans="1:3" ht="14.25" customHeight="1" x14ac:dyDescent="0.3">
      <c r="A736" s="22">
        <v>45138</v>
      </c>
      <c r="B736" s="23">
        <v>494.03300000000002</v>
      </c>
      <c r="C736" s="24">
        <f t="shared" si="11"/>
        <v>7.4144009853241849E-3</v>
      </c>
    </row>
    <row r="737" spans="1:3" ht="14.25" customHeight="1" x14ac:dyDescent="0.3">
      <c r="A737" s="22">
        <v>45135</v>
      </c>
      <c r="B737" s="23">
        <v>490.39699999999999</v>
      </c>
      <c r="C737" s="24">
        <f t="shared" si="11"/>
        <v>4.839816816416786E-3</v>
      </c>
    </row>
    <row r="738" spans="1:3" ht="14.25" customHeight="1" x14ac:dyDescent="0.3">
      <c r="A738" s="22">
        <v>45134</v>
      </c>
      <c r="B738" s="23">
        <v>488.03500000000003</v>
      </c>
      <c r="C738" s="24">
        <f t="shared" si="11"/>
        <v>2.8150781338292345E-3</v>
      </c>
    </row>
    <row r="739" spans="1:3" ht="14.25" customHeight="1" x14ac:dyDescent="0.3">
      <c r="A739" s="22">
        <v>45133</v>
      </c>
      <c r="B739" s="23">
        <v>486.66500000000002</v>
      </c>
      <c r="C739" s="24">
        <f t="shared" si="11"/>
        <v>8.1369358470554307E-3</v>
      </c>
    </row>
    <row r="740" spans="1:3" ht="14.25" customHeight="1" x14ac:dyDescent="0.3">
      <c r="A740" s="22">
        <v>45132</v>
      </c>
      <c r="B740" s="23">
        <v>482.73700000000002</v>
      </c>
      <c r="C740" s="24">
        <f t="shared" si="11"/>
        <v>3.1836743175986102E-3</v>
      </c>
    </row>
    <row r="741" spans="1:3" ht="14.25" customHeight="1" x14ac:dyDescent="0.3">
      <c r="A741" s="22">
        <v>45131</v>
      </c>
      <c r="B741" s="23">
        <v>481.20499999999998</v>
      </c>
      <c r="C741" s="24">
        <f t="shared" si="11"/>
        <v>-1.4380636566245148E-3</v>
      </c>
    </row>
    <row r="742" spans="1:3" ht="14.25" customHeight="1" x14ac:dyDescent="0.3">
      <c r="A742" s="22">
        <v>45128</v>
      </c>
      <c r="B742" s="23">
        <v>481.89800000000002</v>
      </c>
      <c r="C742" s="24">
        <f t="shared" si="11"/>
        <v>-3.8284237726097683E-3</v>
      </c>
    </row>
    <row r="743" spans="1:3" ht="14.25" customHeight="1" x14ac:dyDescent="0.3">
      <c r="A743" s="22">
        <v>45127</v>
      </c>
      <c r="B743" s="23">
        <v>483.75</v>
      </c>
      <c r="C743" s="24">
        <f t="shared" si="11"/>
        <v>6.466351255196184E-3</v>
      </c>
    </row>
    <row r="744" spans="1:3" ht="14.25" customHeight="1" x14ac:dyDescent="0.3">
      <c r="A744" s="22">
        <v>45126</v>
      </c>
      <c r="B744" s="23">
        <v>480.642</v>
      </c>
      <c r="C744" s="24">
        <f t="shared" si="11"/>
        <v>9.082205930516762E-3</v>
      </c>
    </row>
    <row r="745" spans="1:3" ht="14.25" customHeight="1" x14ac:dyDescent="0.3">
      <c r="A745" s="22">
        <v>45125</v>
      </c>
      <c r="B745" s="23">
        <v>476.31599999999997</v>
      </c>
      <c r="C745" s="24">
        <f t="shared" si="11"/>
        <v>-2.3186985126397927E-3</v>
      </c>
    </row>
    <row r="746" spans="1:3" ht="14.25" customHeight="1" x14ac:dyDescent="0.3">
      <c r="A746" s="22">
        <v>45124</v>
      </c>
      <c r="B746" s="23">
        <v>477.423</v>
      </c>
      <c r="C746" s="24">
        <f t="shared" si="11"/>
        <v>1.0245862614028038E-2</v>
      </c>
    </row>
    <row r="747" spans="1:3" ht="14.25" customHeight="1" x14ac:dyDescent="0.3">
      <c r="A747" s="22">
        <v>45121</v>
      </c>
      <c r="B747" s="23">
        <v>472.58100000000002</v>
      </c>
      <c r="C747" s="24">
        <f t="shared" si="11"/>
        <v>7.5344261875675391E-3</v>
      </c>
    </row>
    <row r="748" spans="1:3" ht="14.25" customHeight="1" x14ac:dyDescent="0.3">
      <c r="A748" s="22">
        <v>45120</v>
      </c>
      <c r="B748" s="23">
        <v>469.04700000000003</v>
      </c>
      <c r="C748" s="24">
        <f t="shared" si="11"/>
        <v>-7.952504933302575E-3</v>
      </c>
    </row>
    <row r="749" spans="1:3" ht="14.25" customHeight="1" x14ac:dyDescent="0.3">
      <c r="A749" s="22">
        <v>45119</v>
      </c>
      <c r="B749" s="23">
        <v>472.80700000000002</v>
      </c>
      <c r="C749" s="24">
        <f t="shared" si="11"/>
        <v>-1.9294057050457702E-3</v>
      </c>
    </row>
    <row r="750" spans="1:3" ht="14.25" customHeight="1" x14ac:dyDescent="0.3">
      <c r="A750" s="22">
        <v>45118</v>
      </c>
      <c r="B750" s="23">
        <v>473.721</v>
      </c>
      <c r="C750" s="24">
        <f t="shared" si="11"/>
        <v>5.3693725049927307E-3</v>
      </c>
    </row>
    <row r="751" spans="1:3" ht="14.25" customHeight="1" x14ac:dyDescent="0.3">
      <c r="A751" s="22">
        <v>45117</v>
      </c>
      <c r="B751" s="23">
        <v>471.19099999999997</v>
      </c>
      <c r="C751" s="24">
        <f t="shared" si="11"/>
        <v>1.1282029490501616E-3</v>
      </c>
    </row>
    <row r="752" spans="1:3" ht="14.25" customHeight="1" x14ac:dyDescent="0.3">
      <c r="A752" s="22">
        <v>45114</v>
      </c>
      <c r="B752" s="23">
        <v>470.66</v>
      </c>
      <c r="C752" s="24">
        <f t="shared" si="11"/>
        <v>-4.879822736421899E-3</v>
      </c>
    </row>
    <row r="753" spans="1:3" ht="14.25" customHeight="1" x14ac:dyDescent="0.3">
      <c r="A753" s="22">
        <v>45113</v>
      </c>
      <c r="B753" s="23">
        <v>472.96800000000002</v>
      </c>
      <c r="C753" s="24">
        <f t="shared" si="11"/>
        <v>6.7518667677034828E-3</v>
      </c>
    </row>
    <row r="754" spans="1:3" ht="14.25" customHeight="1" x14ac:dyDescent="0.3">
      <c r="A754" s="22">
        <v>45112</v>
      </c>
      <c r="B754" s="23">
        <v>469.79599999999999</v>
      </c>
      <c r="C754" s="24">
        <f t="shared" si="11"/>
        <v>2.4495996995612221E-3</v>
      </c>
    </row>
    <row r="755" spans="1:3" ht="14.25" customHeight="1" x14ac:dyDescent="0.3">
      <c r="A755" s="22">
        <v>45111</v>
      </c>
      <c r="B755" s="23">
        <v>468.64800000000002</v>
      </c>
      <c r="C755" s="24">
        <f t="shared" si="11"/>
        <v>1.0594849536048928E-3</v>
      </c>
    </row>
    <row r="756" spans="1:3" ht="14.25" customHeight="1" x14ac:dyDescent="0.3">
      <c r="A756" s="22">
        <v>45110</v>
      </c>
      <c r="B756" s="23">
        <v>468.15199999999999</v>
      </c>
      <c r="C756" s="24">
        <f t="shared" si="11"/>
        <v>7.0080491466871613E-3</v>
      </c>
    </row>
    <row r="757" spans="1:3" ht="14.25" customHeight="1" x14ac:dyDescent="0.3">
      <c r="A757" s="22">
        <v>45107</v>
      </c>
      <c r="B757" s="23">
        <v>464.89400000000001</v>
      </c>
      <c r="C757" s="24">
        <f t="shared" si="11"/>
        <v>6.6410149255024227E-3</v>
      </c>
    </row>
    <row r="758" spans="1:3" ht="14.25" customHeight="1" x14ac:dyDescent="0.3">
      <c r="A758" s="22">
        <v>45105</v>
      </c>
      <c r="B758" s="23">
        <v>461.827</v>
      </c>
      <c r="C758" s="24">
        <f t="shared" si="11"/>
        <v>4.0830613828924207E-3</v>
      </c>
    </row>
    <row r="759" spans="1:3" ht="14.25" customHeight="1" x14ac:dyDescent="0.3">
      <c r="A759" s="22">
        <v>45104</v>
      </c>
      <c r="B759" s="23">
        <v>459.94900000000001</v>
      </c>
      <c r="C759" s="24">
        <f t="shared" si="11"/>
        <v>7.6767189913352525E-3</v>
      </c>
    </row>
    <row r="760" spans="1:3" ht="14.25" customHeight="1" x14ac:dyDescent="0.3">
      <c r="A760" s="22">
        <v>45103</v>
      </c>
      <c r="B760" s="23">
        <v>456.44499999999999</v>
      </c>
      <c r="C760" s="24">
        <f t="shared" si="11"/>
        <v>3.4912071266353277E-3</v>
      </c>
    </row>
    <row r="761" spans="1:3" ht="14.25" customHeight="1" x14ac:dyDescent="0.3">
      <c r="A761" s="22">
        <v>45100</v>
      </c>
      <c r="B761" s="23">
        <v>454.85700000000003</v>
      </c>
      <c r="C761" s="24">
        <f t="shared" si="11"/>
        <v>-7.3089396472328805E-3</v>
      </c>
    </row>
    <row r="762" spans="1:3" ht="14.25" customHeight="1" x14ac:dyDescent="0.3">
      <c r="A762" s="22">
        <v>45099</v>
      </c>
      <c r="B762" s="23">
        <v>458.20600000000002</v>
      </c>
      <c r="C762" s="24">
        <f t="shared" si="11"/>
        <v>-6.0866094591897459E-3</v>
      </c>
    </row>
    <row r="763" spans="1:3" ht="14.25" customHeight="1" x14ac:dyDescent="0.3">
      <c r="A763" s="22">
        <v>45098</v>
      </c>
      <c r="B763" s="23">
        <v>461.012</v>
      </c>
      <c r="C763" s="24">
        <f t="shared" si="11"/>
        <v>2.3634288199162667E-3</v>
      </c>
    </row>
    <row r="764" spans="1:3" ht="14.25" customHeight="1" x14ac:dyDescent="0.3">
      <c r="A764" s="22">
        <v>45097</v>
      </c>
      <c r="B764" s="23">
        <v>459.92500000000001</v>
      </c>
      <c r="C764" s="24">
        <f t="shared" si="11"/>
        <v>1.1863816448256692E-3</v>
      </c>
    </row>
    <row r="765" spans="1:3" ht="14.25" customHeight="1" x14ac:dyDescent="0.3">
      <c r="A765" s="22">
        <v>45096</v>
      </c>
      <c r="B765" s="23">
        <v>459.38</v>
      </c>
      <c r="C765" s="24">
        <f t="shared" si="11"/>
        <v>-2.0680726084651908E-3</v>
      </c>
    </row>
    <row r="766" spans="1:3" ht="14.25" customHeight="1" x14ac:dyDescent="0.3">
      <c r="A766" s="22">
        <v>45093</v>
      </c>
      <c r="B766" s="23">
        <v>460.33199999999999</v>
      </c>
      <c r="C766" s="24">
        <f t="shared" si="11"/>
        <v>4.9797948263403113E-3</v>
      </c>
    </row>
    <row r="767" spans="1:3" ht="14.25" customHeight="1" x14ac:dyDescent="0.3">
      <c r="A767" s="22">
        <v>45092</v>
      </c>
      <c r="B767" s="23">
        <v>458.05099999999999</v>
      </c>
      <c r="C767" s="24">
        <f t="shared" si="11"/>
        <v>-1.7565385294330041E-3</v>
      </c>
    </row>
    <row r="768" spans="1:3" ht="14.25" customHeight="1" x14ac:dyDescent="0.3">
      <c r="A768" s="22">
        <v>45091</v>
      </c>
      <c r="B768" s="23">
        <v>458.85700000000003</v>
      </c>
      <c r="C768" s="24">
        <f t="shared" si="11"/>
        <v>1.4928858749861426E-3</v>
      </c>
    </row>
    <row r="769" spans="1:3" ht="14.25" customHeight="1" x14ac:dyDescent="0.3">
      <c r="A769" s="22">
        <v>45090</v>
      </c>
      <c r="B769" s="23">
        <v>458.173</v>
      </c>
      <c r="C769" s="24">
        <f t="shared" si="11"/>
        <v>1.0366681956107592E-2</v>
      </c>
    </row>
    <row r="770" spans="1:3" ht="14.25" customHeight="1" x14ac:dyDescent="0.3">
      <c r="A770" s="22">
        <v>45089</v>
      </c>
      <c r="B770" s="23">
        <v>453.47199999999998</v>
      </c>
      <c r="C770" s="24">
        <f t="shared" ref="C770:C833" si="12">(B770-B771)/B771</f>
        <v>5.7576806039798169E-3</v>
      </c>
    </row>
    <row r="771" spans="1:3" ht="14.25" customHeight="1" x14ac:dyDescent="0.3">
      <c r="A771" s="22">
        <v>45086</v>
      </c>
      <c r="B771" s="23">
        <v>450.87599999999998</v>
      </c>
      <c r="C771" s="24">
        <f t="shared" si="12"/>
        <v>1.28581802676889E-3</v>
      </c>
    </row>
    <row r="772" spans="1:3" ht="14.25" customHeight="1" x14ac:dyDescent="0.3">
      <c r="A772" s="22">
        <v>45085</v>
      </c>
      <c r="B772" s="23">
        <v>450.29700000000003</v>
      </c>
      <c r="C772" s="24">
        <f t="shared" si="12"/>
        <v>-6.5633879877865075E-3</v>
      </c>
    </row>
    <row r="773" spans="1:3" ht="14.25" customHeight="1" x14ac:dyDescent="0.3">
      <c r="A773" s="22">
        <v>45084</v>
      </c>
      <c r="B773" s="23">
        <v>453.27199999999999</v>
      </c>
      <c r="C773" s="24">
        <f t="shared" si="12"/>
        <v>9.3301446061075655E-3</v>
      </c>
    </row>
    <row r="774" spans="1:3" ht="14.25" customHeight="1" x14ac:dyDescent="0.3">
      <c r="A774" s="22">
        <v>45083</v>
      </c>
      <c r="B774" s="23">
        <v>449.08199999999999</v>
      </c>
      <c r="C774" s="24">
        <f t="shared" si="12"/>
        <v>4.3004837205557799E-3</v>
      </c>
    </row>
    <row r="775" spans="1:3" ht="14.25" customHeight="1" x14ac:dyDescent="0.3">
      <c r="A775" s="22">
        <v>45082</v>
      </c>
      <c r="B775" s="23">
        <v>447.15899999999999</v>
      </c>
      <c r="C775" s="24">
        <f t="shared" si="12"/>
        <v>-6.7089779542669169E-6</v>
      </c>
    </row>
    <row r="776" spans="1:3" ht="14.25" customHeight="1" x14ac:dyDescent="0.3">
      <c r="A776" s="22">
        <v>45079</v>
      </c>
      <c r="B776" s="23">
        <v>447.16199999999998</v>
      </c>
      <c r="C776" s="24">
        <f t="shared" si="12"/>
        <v>3.2757313182350078E-3</v>
      </c>
    </row>
    <row r="777" spans="1:3" ht="14.25" customHeight="1" x14ac:dyDescent="0.3">
      <c r="A777" s="22">
        <v>45078</v>
      </c>
      <c r="B777" s="23">
        <v>445.702</v>
      </c>
      <c r="C777" s="24">
        <f t="shared" si="12"/>
        <v>1.6495568220635652E-3</v>
      </c>
    </row>
    <row r="778" spans="1:3" ht="14.25" customHeight="1" x14ac:dyDescent="0.3">
      <c r="A778" s="22">
        <v>45077</v>
      </c>
      <c r="B778" s="23">
        <v>444.96800000000002</v>
      </c>
      <c r="C778" s="24">
        <f t="shared" si="12"/>
        <v>3.2597235304837802E-4</v>
      </c>
    </row>
    <row r="779" spans="1:3" ht="14.25" customHeight="1" x14ac:dyDescent="0.3">
      <c r="A779" s="22">
        <v>45076</v>
      </c>
      <c r="B779" s="23">
        <v>444.82299999999998</v>
      </c>
      <c r="C779" s="24">
        <f t="shared" si="12"/>
        <v>2.327677505126205E-3</v>
      </c>
    </row>
    <row r="780" spans="1:3" ht="14.25" customHeight="1" x14ac:dyDescent="0.3">
      <c r="A780" s="22">
        <v>45075</v>
      </c>
      <c r="B780" s="23">
        <v>443.79</v>
      </c>
      <c r="C780" s="24">
        <f t="shared" si="12"/>
        <v>2.6954543297854267E-3</v>
      </c>
    </row>
    <row r="781" spans="1:3" ht="14.25" customHeight="1" x14ac:dyDescent="0.3">
      <c r="A781" s="22">
        <v>45072</v>
      </c>
      <c r="B781" s="23">
        <v>442.59699999999998</v>
      </c>
      <c r="C781" s="24">
        <f t="shared" si="12"/>
        <v>7.6129246698371875E-3</v>
      </c>
    </row>
    <row r="782" spans="1:3" ht="14.25" customHeight="1" x14ac:dyDescent="0.3">
      <c r="A782" s="22">
        <v>45071</v>
      </c>
      <c r="B782" s="23">
        <v>439.25299999999999</v>
      </c>
      <c r="C782" s="24">
        <f t="shared" si="12"/>
        <v>9.7533185210504708E-4</v>
      </c>
    </row>
    <row r="783" spans="1:3" ht="14.25" customHeight="1" x14ac:dyDescent="0.3">
      <c r="A783" s="22">
        <v>45070</v>
      </c>
      <c r="B783" s="23">
        <v>438.82499999999999</v>
      </c>
      <c r="C783" s="24">
        <f t="shared" si="12"/>
        <v>-1.8106505376221617E-3</v>
      </c>
    </row>
    <row r="784" spans="1:3" ht="14.25" customHeight="1" x14ac:dyDescent="0.3">
      <c r="A784" s="22">
        <v>45069</v>
      </c>
      <c r="B784" s="23">
        <v>439.62099999999998</v>
      </c>
      <c r="C784" s="24">
        <f t="shared" si="12"/>
        <v>2.2638773630502271E-3</v>
      </c>
    </row>
    <row r="785" spans="1:3" ht="14.25" customHeight="1" x14ac:dyDescent="0.3">
      <c r="A785" s="22">
        <v>45068</v>
      </c>
      <c r="B785" s="23">
        <v>438.62799999999999</v>
      </c>
      <c r="C785" s="24">
        <f t="shared" si="12"/>
        <v>3.0322294432679588E-3</v>
      </c>
    </row>
    <row r="786" spans="1:3" ht="14.25" customHeight="1" x14ac:dyDescent="0.3">
      <c r="A786" s="22">
        <v>45065</v>
      </c>
      <c r="B786" s="23">
        <v>437.30200000000002</v>
      </c>
      <c r="C786" s="24">
        <f t="shared" si="12"/>
        <v>4.7587017895470271E-4</v>
      </c>
    </row>
    <row r="787" spans="1:3" ht="14.25" customHeight="1" x14ac:dyDescent="0.3">
      <c r="A787" s="22">
        <v>45064</v>
      </c>
      <c r="B787" s="23">
        <v>437.09399999999999</v>
      </c>
      <c r="C787" s="24">
        <f t="shared" si="12"/>
        <v>-8.3939436562203412E-3</v>
      </c>
    </row>
    <row r="788" spans="1:3" ht="14.25" customHeight="1" x14ac:dyDescent="0.3">
      <c r="A788" s="22">
        <v>45063</v>
      </c>
      <c r="B788" s="23">
        <v>440.79399999999998</v>
      </c>
      <c r="C788" s="24">
        <f t="shared" si="12"/>
        <v>-3.5604863125390145E-4</v>
      </c>
    </row>
    <row r="789" spans="1:3" ht="14.25" customHeight="1" x14ac:dyDescent="0.3">
      <c r="A789" s="22">
        <v>45062</v>
      </c>
      <c r="B789" s="23">
        <v>440.95100000000002</v>
      </c>
      <c r="C789" s="24">
        <f t="shared" si="12"/>
        <v>-3.5365568898250514E-4</v>
      </c>
    </row>
    <row r="790" spans="1:3" ht="14.25" customHeight="1" x14ac:dyDescent="0.3">
      <c r="A790" s="22">
        <v>45061</v>
      </c>
      <c r="B790" s="23">
        <v>441.10700000000003</v>
      </c>
      <c r="C790" s="24">
        <f t="shared" si="12"/>
        <v>6.3744401831568754E-3</v>
      </c>
    </row>
    <row r="791" spans="1:3" ht="14.25" customHeight="1" x14ac:dyDescent="0.3">
      <c r="A791" s="22">
        <v>45058</v>
      </c>
      <c r="B791" s="23">
        <v>438.31299999999999</v>
      </c>
      <c r="C791" s="24">
        <f t="shared" si="12"/>
        <v>-1.4034160422300315E-3</v>
      </c>
    </row>
    <row r="792" spans="1:3" ht="14.25" customHeight="1" x14ac:dyDescent="0.3">
      <c r="A792" s="22">
        <v>45057</v>
      </c>
      <c r="B792" s="23">
        <v>438.92899999999997</v>
      </c>
      <c r="C792" s="24">
        <f t="shared" si="12"/>
        <v>-3.4306602488421217E-3</v>
      </c>
    </row>
    <row r="793" spans="1:3" ht="14.25" customHeight="1" x14ac:dyDescent="0.3">
      <c r="A793" s="22">
        <v>45056</v>
      </c>
      <c r="B793" s="23">
        <v>440.44</v>
      </c>
      <c r="C793" s="24">
        <f t="shared" si="12"/>
        <v>-1.3083395878163385E-3</v>
      </c>
    </row>
    <row r="794" spans="1:3" ht="14.25" customHeight="1" x14ac:dyDescent="0.3">
      <c r="A794" s="22">
        <v>45055</v>
      </c>
      <c r="B794" s="23">
        <v>441.017</v>
      </c>
      <c r="C794" s="24">
        <f t="shared" si="12"/>
        <v>-2.1269037485547185E-3</v>
      </c>
    </row>
    <row r="795" spans="1:3" ht="14.25" customHeight="1" x14ac:dyDescent="0.3">
      <c r="A795" s="22">
        <v>45054</v>
      </c>
      <c r="B795" s="23">
        <v>441.95699999999999</v>
      </c>
      <c r="C795" s="24">
        <f t="shared" si="12"/>
        <v>6.1650681048789407E-3</v>
      </c>
    </row>
    <row r="796" spans="1:3" ht="14.25" customHeight="1" x14ac:dyDescent="0.3">
      <c r="A796" s="22">
        <v>45051</v>
      </c>
      <c r="B796" s="23">
        <v>439.24900000000002</v>
      </c>
      <c r="C796" s="24">
        <f t="shared" si="12"/>
        <v>-1.0301450359491782E-2</v>
      </c>
    </row>
    <row r="797" spans="1:3" ht="14.25" customHeight="1" x14ac:dyDescent="0.3">
      <c r="A797" s="22">
        <v>45050</v>
      </c>
      <c r="B797" s="23">
        <v>443.82100000000003</v>
      </c>
      <c r="C797" s="24">
        <f t="shared" si="12"/>
        <v>5.7787618039708277E-3</v>
      </c>
    </row>
    <row r="798" spans="1:3" ht="14.25" customHeight="1" x14ac:dyDescent="0.3">
      <c r="A798" s="22">
        <v>45049</v>
      </c>
      <c r="B798" s="23">
        <v>441.27100000000002</v>
      </c>
      <c r="C798" s="24">
        <f t="shared" si="12"/>
        <v>-4.9853498695858214E-5</v>
      </c>
    </row>
    <row r="799" spans="1:3" ht="14.25" customHeight="1" x14ac:dyDescent="0.3">
      <c r="A799" s="22">
        <v>45048</v>
      </c>
      <c r="B799" s="23">
        <v>441.29300000000001</v>
      </c>
      <c r="C799" s="24">
        <f t="shared" si="12"/>
        <v>4.9737081225846571E-3</v>
      </c>
    </row>
    <row r="800" spans="1:3" ht="14.25" customHeight="1" x14ac:dyDescent="0.3">
      <c r="A800" s="22">
        <v>45044</v>
      </c>
      <c r="B800" s="23">
        <v>439.10899999999998</v>
      </c>
      <c r="C800" s="24">
        <f t="shared" si="12"/>
        <v>1.4488099473706001E-2</v>
      </c>
    </row>
    <row r="801" spans="1:3" ht="14.25" customHeight="1" x14ac:dyDescent="0.3">
      <c r="A801" s="22">
        <v>45043</v>
      </c>
      <c r="B801" s="23">
        <v>432.83800000000002</v>
      </c>
      <c r="C801" s="24">
        <f t="shared" si="12"/>
        <v>6.3144875174950552E-3</v>
      </c>
    </row>
    <row r="802" spans="1:3" ht="14.25" customHeight="1" x14ac:dyDescent="0.3">
      <c r="A802" s="22">
        <v>45042</v>
      </c>
      <c r="B802" s="23">
        <v>430.12200000000001</v>
      </c>
      <c r="C802" s="24">
        <f t="shared" si="12"/>
        <v>3.5815365375058625E-3</v>
      </c>
    </row>
    <row r="803" spans="1:3" ht="14.25" customHeight="1" x14ac:dyDescent="0.3">
      <c r="A803" s="22">
        <v>45041</v>
      </c>
      <c r="B803" s="23">
        <v>428.58699999999999</v>
      </c>
      <c r="C803" s="24">
        <f t="shared" si="12"/>
        <v>2.9884627085721999E-3</v>
      </c>
    </row>
    <row r="804" spans="1:3" ht="14.25" customHeight="1" x14ac:dyDescent="0.3">
      <c r="A804" s="22">
        <v>45040</v>
      </c>
      <c r="B804" s="23">
        <v>427.31</v>
      </c>
      <c r="C804" s="24">
        <f t="shared" si="12"/>
        <v>9.4588784472698691E-3</v>
      </c>
    </row>
    <row r="805" spans="1:3" ht="14.25" customHeight="1" x14ac:dyDescent="0.3">
      <c r="A805" s="22">
        <v>45037</v>
      </c>
      <c r="B805" s="23">
        <v>423.30599999999998</v>
      </c>
      <c r="C805" s="24">
        <f t="shared" si="12"/>
        <v>-3.4606474942087766E-3</v>
      </c>
    </row>
    <row r="806" spans="1:3" ht="14.25" customHeight="1" x14ac:dyDescent="0.3">
      <c r="A806" s="22">
        <v>45036</v>
      </c>
      <c r="B806" s="23">
        <v>424.77600000000001</v>
      </c>
      <c r="C806" s="24">
        <f t="shared" si="12"/>
        <v>3.0605302250981495E-5</v>
      </c>
    </row>
    <row r="807" spans="1:3" ht="14.25" customHeight="1" x14ac:dyDescent="0.3">
      <c r="A807" s="22">
        <v>45035</v>
      </c>
      <c r="B807" s="23">
        <v>424.76299999999998</v>
      </c>
      <c r="C807" s="24">
        <f t="shared" si="12"/>
        <v>-1.5584378951921389E-3</v>
      </c>
    </row>
    <row r="808" spans="1:3" ht="14.25" customHeight="1" x14ac:dyDescent="0.3">
      <c r="A808" s="22">
        <v>45034</v>
      </c>
      <c r="B808" s="23">
        <v>425.42599999999999</v>
      </c>
      <c r="C808" s="24">
        <f t="shared" si="12"/>
        <v>-2.7145884515125166E-3</v>
      </c>
    </row>
    <row r="809" spans="1:3" ht="14.25" customHeight="1" x14ac:dyDescent="0.3">
      <c r="A809" s="22">
        <v>45033</v>
      </c>
      <c r="B809" s="23">
        <v>426.584</v>
      </c>
      <c r="C809" s="24">
        <f t="shared" si="12"/>
        <v>3.1251837133014493E-3</v>
      </c>
    </row>
    <row r="810" spans="1:3" ht="14.25" customHeight="1" x14ac:dyDescent="0.3">
      <c r="A810" s="22">
        <v>45029</v>
      </c>
      <c r="B810" s="23">
        <v>425.255</v>
      </c>
      <c r="C810" s="24">
        <f t="shared" si="12"/>
        <v>4.4025498888733486E-3</v>
      </c>
    </row>
    <row r="811" spans="1:3" ht="14.25" customHeight="1" x14ac:dyDescent="0.3">
      <c r="A811" s="22">
        <v>45028</v>
      </c>
      <c r="B811" s="23">
        <v>423.39100000000002</v>
      </c>
      <c r="C811" s="24">
        <f t="shared" si="12"/>
        <v>1.5375844784395981E-3</v>
      </c>
    </row>
    <row r="812" spans="1:3" ht="14.25" customHeight="1" x14ac:dyDescent="0.3">
      <c r="A812" s="22">
        <v>45027</v>
      </c>
      <c r="B812" s="23">
        <v>422.74099999999999</v>
      </c>
      <c r="C812" s="24">
        <f t="shared" si="12"/>
        <v>5.4847955094128303E-3</v>
      </c>
    </row>
    <row r="813" spans="1:3" ht="14.25" customHeight="1" x14ac:dyDescent="0.3">
      <c r="A813" s="22">
        <v>45026</v>
      </c>
      <c r="B813" s="23">
        <v>420.435</v>
      </c>
      <c r="C813" s="24">
        <f t="shared" si="12"/>
        <v>1.7393169011568083E-3</v>
      </c>
    </row>
    <row r="814" spans="1:3" ht="14.25" customHeight="1" x14ac:dyDescent="0.3">
      <c r="A814" s="22">
        <v>45022</v>
      </c>
      <c r="B814" s="23">
        <v>419.70499999999998</v>
      </c>
      <c r="C814" s="24">
        <f t="shared" si="12"/>
        <v>5.9006382371902923E-3</v>
      </c>
    </row>
    <row r="815" spans="1:3" ht="14.25" customHeight="1" x14ac:dyDescent="0.3">
      <c r="A815" s="22">
        <v>45021</v>
      </c>
      <c r="B815" s="23">
        <v>417.24299999999999</v>
      </c>
      <c r="C815" s="24">
        <f t="shared" si="12"/>
        <v>7.6118534331825289E-3</v>
      </c>
    </row>
    <row r="816" spans="1:3" ht="14.25" customHeight="1" x14ac:dyDescent="0.3">
      <c r="A816" s="22">
        <v>45019</v>
      </c>
      <c r="B816" s="23">
        <v>414.09100000000001</v>
      </c>
      <c r="C816" s="24">
        <f t="shared" si="12"/>
        <v>2.7169109545753171E-3</v>
      </c>
    </row>
    <row r="817" spans="1:3" ht="14.25" customHeight="1" x14ac:dyDescent="0.3">
      <c r="A817" s="22">
        <v>45016</v>
      </c>
      <c r="B817" s="23">
        <v>412.96899999999999</v>
      </c>
      <c r="C817" s="24">
        <f t="shared" si="12"/>
        <v>1.7944780361311183E-2</v>
      </c>
    </row>
    <row r="818" spans="1:3" ht="14.25" customHeight="1" x14ac:dyDescent="0.3">
      <c r="A818" s="22">
        <v>45014</v>
      </c>
      <c r="B818" s="23">
        <v>405.68900000000002</v>
      </c>
      <c r="C818" s="24">
        <f t="shared" si="12"/>
        <v>1.7169749348738002E-2</v>
      </c>
    </row>
    <row r="819" spans="1:3" ht="14.25" customHeight="1" x14ac:dyDescent="0.3">
      <c r="A819" s="22">
        <v>45013</v>
      </c>
      <c r="B819" s="23">
        <v>398.84100000000001</v>
      </c>
      <c r="C819" s="24">
        <f t="shared" si="12"/>
        <v>-3.0595028307899706E-3</v>
      </c>
    </row>
    <row r="820" spans="1:3" ht="14.25" customHeight="1" x14ac:dyDescent="0.3">
      <c r="A820" s="22">
        <v>45012</v>
      </c>
      <c r="B820" s="23">
        <v>400.065</v>
      </c>
      <c r="C820" s="24">
        <f t="shared" si="12"/>
        <v>-4.8456144453039559E-3</v>
      </c>
    </row>
    <row r="821" spans="1:3" ht="14.25" customHeight="1" x14ac:dyDescent="0.3">
      <c r="A821" s="22">
        <v>45009</v>
      </c>
      <c r="B821" s="23">
        <v>402.01299999999998</v>
      </c>
      <c r="C821" s="24">
        <f t="shared" si="12"/>
        <v>-1.0768007992342394E-2</v>
      </c>
    </row>
    <row r="822" spans="1:3" ht="14.25" customHeight="1" x14ac:dyDescent="0.3">
      <c r="A822" s="22">
        <v>45008</v>
      </c>
      <c r="B822" s="23">
        <v>406.38900000000001</v>
      </c>
      <c r="C822" s="24">
        <f t="shared" si="12"/>
        <v>-3.9753830166343899E-3</v>
      </c>
    </row>
    <row r="823" spans="1:3" ht="14.25" customHeight="1" x14ac:dyDescent="0.3">
      <c r="A823" s="22">
        <v>45007</v>
      </c>
      <c r="B823" s="23">
        <v>408.01100000000002</v>
      </c>
      <c r="C823" s="24">
        <f t="shared" si="12"/>
        <v>3.2703765359090812E-3</v>
      </c>
    </row>
    <row r="824" spans="1:3" ht="14.25" customHeight="1" x14ac:dyDescent="0.3">
      <c r="A824" s="22">
        <v>45006</v>
      </c>
      <c r="B824" s="23">
        <v>406.68099999999998</v>
      </c>
      <c r="C824" s="24">
        <f t="shared" si="12"/>
        <v>7.4989966654609814E-3</v>
      </c>
    </row>
    <row r="825" spans="1:3" ht="14.25" customHeight="1" x14ac:dyDescent="0.3">
      <c r="A825" s="22">
        <v>45005</v>
      </c>
      <c r="B825" s="23">
        <v>403.654</v>
      </c>
      <c r="C825" s="24">
        <f t="shared" si="12"/>
        <v>-1.2034628008351131E-2</v>
      </c>
    </row>
    <row r="826" spans="1:3" ht="14.25" customHeight="1" x14ac:dyDescent="0.3">
      <c r="A826" s="22">
        <v>45002</v>
      </c>
      <c r="B826" s="23">
        <v>408.57100000000003</v>
      </c>
      <c r="C826" s="24">
        <f t="shared" si="12"/>
        <v>2.5150535154314707E-3</v>
      </c>
    </row>
    <row r="827" spans="1:3" ht="14.25" customHeight="1" x14ac:dyDescent="0.3">
      <c r="A827" s="22">
        <v>45001</v>
      </c>
      <c r="B827" s="23">
        <v>407.54599999999999</v>
      </c>
      <c r="C827" s="24">
        <f t="shared" si="12"/>
        <v>-1.6681895122076277E-3</v>
      </c>
    </row>
    <row r="828" spans="1:3" ht="14.25" customHeight="1" x14ac:dyDescent="0.3">
      <c r="A828" s="22">
        <v>45000</v>
      </c>
      <c r="B828" s="23">
        <v>408.22699999999998</v>
      </c>
      <c r="C828" s="24">
        <f t="shared" si="12"/>
        <v>-4.3073906139861401E-3</v>
      </c>
    </row>
    <row r="829" spans="1:3" ht="14.25" customHeight="1" x14ac:dyDescent="0.3">
      <c r="A829" s="22">
        <v>44999</v>
      </c>
      <c r="B829" s="23">
        <v>409.99299999999999</v>
      </c>
      <c r="C829" s="24">
        <f t="shared" si="12"/>
        <v>-9.2312227987037462E-3</v>
      </c>
    </row>
    <row r="830" spans="1:3" ht="14.25" customHeight="1" x14ac:dyDescent="0.3">
      <c r="A830" s="22">
        <v>44998</v>
      </c>
      <c r="B830" s="23">
        <v>413.81299999999999</v>
      </c>
      <c r="C830" s="24">
        <f t="shared" si="12"/>
        <v>-2.1704799595266219E-2</v>
      </c>
    </row>
    <row r="831" spans="1:3" ht="14.25" customHeight="1" x14ac:dyDescent="0.3">
      <c r="A831" s="22">
        <v>44995</v>
      </c>
      <c r="B831" s="23">
        <v>422.99400000000003</v>
      </c>
      <c r="C831" s="24">
        <f t="shared" si="12"/>
        <v>-5.4735000775882146E-3</v>
      </c>
    </row>
    <row r="832" spans="1:3" ht="14.25" customHeight="1" x14ac:dyDescent="0.3">
      <c r="A832" s="22">
        <v>44994</v>
      </c>
      <c r="B832" s="23">
        <v>425.322</v>
      </c>
      <c r="C832" s="24">
        <f t="shared" si="12"/>
        <v>-6.6422836002858563E-3</v>
      </c>
    </row>
    <row r="833" spans="1:3" ht="14.25" customHeight="1" x14ac:dyDescent="0.3">
      <c r="A833" s="22">
        <v>44993</v>
      </c>
      <c r="B833" s="23">
        <v>428.166</v>
      </c>
      <c r="C833" s="24">
        <f t="shared" si="12"/>
        <v>3.4003960488851385E-3</v>
      </c>
    </row>
    <row r="834" spans="1:3" ht="14.25" customHeight="1" x14ac:dyDescent="0.3">
      <c r="A834" s="22">
        <v>44991</v>
      </c>
      <c r="B834" s="23">
        <v>426.71499999999997</v>
      </c>
      <c r="C834" s="24">
        <f t="shared" ref="C834:C897" si="13">(B834-B835)/B835</f>
        <v>6.9162592263983143E-3</v>
      </c>
    </row>
    <row r="835" spans="1:3" ht="14.25" customHeight="1" x14ac:dyDescent="0.3">
      <c r="A835" s="22">
        <v>44988</v>
      </c>
      <c r="B835" s="23">
        <v>423.78399999999999</v>
      </c>
      <c r="C835" s="24">
        <f t="shared" si="13"/>
        <v>1.6385579155394372E-2</v>
      </c>
    </row>
    <row r="836" spans="1:3" ht="14.25" customHeight="1" x14ac:dyDescent="0.3">
      <c r="A836" s="22">
        <v>44987</v>
      </c>
      <c r="B836" s="23">
        <v>416.952</v>
      </c>
      <c r="C836" s="24">
        <f t="shared" si="13"/>
        <v>4.6789855959226403E-4</v>
      </c>
    </row>
    <row r="837" spans="1:3" ht="14.25" customHeight="1" x14ac:dyDescent="0.3">
      <c r="A837" s="22">
        <v>44986</v>
      </c>
      <c r="B837" s="23">
        <v>416.75700000000001</v>
      </c>
      <c r="C837" s="24">
        <f t="shared" si="13"/>
        <v>1.2617721666618032E-2</v>
      </c>
    </row>
    <row r="838" spans="1:3" ht="14.25" customHeight="1" x14ac:dyDescent="0.3">
      <c r="A838" s="22">
        <v>44985</v>
      </c>
      <c r="B838" s="23">
        <v>411.56400000000002</v>
      </c>
      <c r="C838" s="24">
        <f t="shared" si="13"/>
        <v>-6.3133765880568128E-4</v>
      </c>
    </row>
    <row r="839" spans="1:3" ht="14.25" customHeight="1" x14ac:dyDescent="0.3">
      <c r="A839" s="22">
        <v>44984</v>
      </c>
      <c r="B839" s="23">
        <v>411.82400000000001</v>
      </c>
      <c r="C839" s="24">
        <f t="shared" si="13"/>
        <v>-4.457681038900747E-3</v>
      </c>
    </row>
    <row r="840" spans="1:3" ht="14.25" customHeight="1" x14ac:dyDescent="0.3">
      <c r="A840" s="22">
        <v>44981</v>
      </c>
      <c r="B840" s="23">
        <v>413.66800000000001</v>
      </c>
      <c r="C840" s="24">
        <f t="shared" si="13"/>
        <v>-9.5532708579747286E-3</v>
      </c>
    </row>
    <row r="841" spans="1:3" ht="14.25" customHeight="1" x14ac:dyDescent="0.3">
      <c r="A841" s="22">
        <v>44980</v>
      </c>
      <c r="B841" s="23">
        <v>417.65800000000002</v>
      </c>
      <c r="C841" s="24">
        <f t="shared" si="13"/>
        <v>-5.5454097388728876E-3</v>
      </c>
    </row>
    <row r="842" spans="1:3" ht="14.25" customHeight="1" x14ac:dyDescent="0.3">
      <c r="A842" s="22">
        <v>44979</v>
      </c>
      <c r="B842" s="23">
        <v>419.98700000000002</v>
      </c>
      <c r="C842" s="24">
        <f t="shared" si="13"/>
        <v>-7.3317907107014729E-3</v>
      </c>
    </row>
    <row r="843" spans="1:3" ht="14.25" customHeight="1" x14ac:dyDescent="0.3">
      <c r="A843" s="22">
        <v>44978</v>
      </c>
      <c r="B843" s="23">
        <v>423.089</v>
      </c>
      <c r="C843" s="24">
        <f t="shared" si="13"/>
        <v>-8.5016141259045041E-4</v>
      </c>
    </row>
    <row r="844" spans="1:3" ht="14.25" customHeight="1" x14ac:dyDescent="0.3">
      <c r="A844" s="22">
        <v>44977</v>
      </c>
      <c r="B844" s="23">
        <v>423.44900000000001</v>
      </c>
      <c r="C844" s="24">
        <f t="shared" si="13"/>
        <v>-1.5185348496674206E-3</v>
      </c>
    </row>
    <row r="845" spans="1:3" ht="14.25" customHeight="1" x14ac:dyDescent="0.3">
      <c r="A845" s="22">
        <v>44974</v>
      </c>
      <c r="B845" s="23">
        <v>424.09300000000002</v>
      </c>
      <c r="C845" s="24">
        <f t="shared" si="13"/>
        <v>-6.6381371990996193E-3</v>
      </c>
    </row>
    <row r="846" spans="1:3" ht="14.25" customHeight="1" x14ac:dyDescent="0.3">
      <c r="A846" s="22">
        <v>44973</v>
      </c>
      <c r="B846" s="23">
        <v>426.92700000000002</v>
      </c>
      <c r="C846" s="24">
        <f t="shared" si="13"/>
        <v>4.9408231095879902E-3</v>
      </c>
    </row>
    <row r="847" spans="1:3" ht="14.25" customHeight="1" x14ac:dyDescent="0.3">
      <c r="A847" s="22">
        <v>44972</v>
      </c>
      <c r="B847" s="23">
        <v>424.82799999999997</v>
      </c>
      <c r="C847" s="24">
        <f t="shared" si="13"/>
        <v>5.1246622596779383E-3</v>
      </c>
    </row>
    <row r="848" spans="1:3" ht="14.25" customHeight="1" x14ac:dyDescent="0.3">
      <c r="A848" s="22">
        <v>44971</v>
      </c>
      <c r="B848" s="23">
        <v>422.66199999999998</v>
      </c>
      <c r="C848" s="24">
        <f t="shared" si="13"/>
        <v>4.2005825694829864E-3</v>
      </c>
    </row>
    <row r="849" spans="1:3" ht="14.25" customHeight="1" x14ac:dyDescent="0.3">
      <c r="A849" s="22">
        <v>44970</v>
      </c>
      <c r="B849" s="23">
        <v>420.89400000000001</v>
      </c>
      <c r="C849" s="24">
        <f t="shared" si="13"/>
        <v>-7.3488832810546583E-3</v>
      </c>
    </row>
    <row r="850" spans="1:3" ht="14.25" customHeight="1" x14ac:dyDescent="0.3">
      <c r="A850" s="22">
        <v>44967</v>
      </c>
      <c r="B850" s="23">
        <v>424.01</v>
      </c>
      <c r="C850" s="24">
        <f t="shared" si="13"/>
        <v>4.2585241537426736E-3</v>
      </c>
    </row>
    <row r="851" spans="1:3" ht="14.25" customHeight="1" x14ac:dyDescent="0.3">
      <c r="A851" s="22">
        <v>44966</v>
      </c>
      <c r="B851" s="23">
        <v>422.21199999999999</v>
      </c>
      <c r="C851" s="24">
        <f t="shared" si="13"/>
        <v>-2.6046476385320597E-4</v>
      </c>
    </row>
    <row r="852" spans="1:3" ht="14.25" customHeight="1" x14ac:dyDescent="0.3">
      <c r="A852" s="22">
        <v>44965</v>
      </c>
      <c r="B852" s="23">
        <v>422.322</v>
      </c>
      <c r="C852" s="24">
        <f t="shared" si="13"/>
        <v>4.9877922832000012E-3</v>
      </c>
    </row>
    <row r="853" spans="1:3" ht="14.25" customHeight="1" x14ac:dyDescent="0.3">
      <c r="A853" s="22">
        <v>44964</v>
      </c>
      <c r="B853" s="23">
        <v>420.226</v>
      </c>
      <c r="C853" s="24">
        <f t="shared" si="13"/>
        <v>-2.7812187053569914E-3</v>
      </c>
    </row>
    <row r="854" spans="1:3" ht="14.25" customHeight="1" x14ac:dyDescent="0.3">
      <c r="A854" s="22">
        <v>44963</v>
      </c>
      <c r="B854" s="23">
        <v>421.39800000000002</v>
      </c>
      <c r="C854" s="24">
        <f t="shared" si="13"/>
        <v>1.9115821909015118E-3</v>
      </c>
    </row>
    <row r="855" spans="1:3" ht="14.25" customHeight="1" x14ac:dyDescent="0.3">
      <c r="A855" s="22">
        <v>44960</v>
      </c>
      <c r="B855" s="23">
        <v>420.59399999999999</v>
      </c>
      <c r="C855" s="24">
        <f t="shared" si="13"/>
        <v>2.4549294029039019E-3</v>
      </c>
    </row>
    <row r="856" spans="1:3" ht="14.25" customHeight="1" x14ac:dyDescent="0.3">
      <c r="A856" s="22">
        <v>44959</v>
      </c>
      <c r="B856" s="23">
        <v>419.56400000000002</v>
      </c>
      <c r="C856" s="24">
        <f t="shared" si="13"/>
        <v>3.147113238856477E-4</v>
      </c>
    </row>
    <row r="857" spans="1:3" ht="14.25" customHeight="1" x14ac:dyDescent="0.3">
      <c r="A857" s="22">
        <v>44958</v>
      </c>
      <c r="B857" s="23">
        <v>419.43200000000002</v>
      </c>
      <c r="C857" s="24">
        <f t="shared" si="13"/>
        <v>-3.141987539199792E-2</v>
      </c>
    </row>
    <row r="858" spans="1:3" ht="14.25" customHeight="1" x14ac:dyDescent="0.3">
      <c r="A858" s="22">
        <v>44957</v>
      </c>
      <c r="B858" s="23">
        <v>433.03800000000001</v>
      </c>
      <c r="C858" s="24">
        <f t="shared" si="13"/>
        <v>2.1438899490268871E-2</v>
      </c>
    </row>
    <row r="859" spans="1:3" ht="14.25" customHeight="1" x14ac:dyDescent="0.3">
      <c r="A859" s="22">
        <v>44956</v>
      </c>
      <c r="B859" s="23">
        <v>423.94900000000001</v>
      </c>
      <c r="C859" s="24">
        <f t="shared" si="13"/>
        <v>-1.8928647943627795E-3</v>
      </c>
    </row>
    <row r="860" spans="1:3" ht="14.25" customHeight="1" x14ac:dyDescent="0.3">
      <c r="A860" s="22">
        <v>44953</v>
      </c>
      <c r="B860" s="23">
        <v>424.75299999999999</v>
      </c>
      <c r="C860" s="24">
        <f t="shared" si="13"/>
        <v>-3.9405034635451489E-2</v>
      </c>
    </row>
    <row r="861" spans="1:3" ht="14.25" customHeight="1" x14ac:dyDescent="0.3">
      <c r="A861" s="22">
        <v>44951</v>
      </c>
      <c r="B861" s="23">
        <v>442.17700000000002</v>
      </c>
      <c r="C861" s="24">
        <f t="shared" si="13"/>
        <v>-2.1223423682666796E-2</v>
      </c>
    </row>
    <row r="862" spans="1:3" ht="14.25" customHeight="1" x14ac:dyDescent="0.3">
      <c r="A862" s="22">
        <v>44950</v>
      </c>
      <c r="B862" s="23">
        <v>451.76499999999999</v>
      </c>
      <c r="C862" s="24">
        <f t="shared" si="13"/>
        <v>-8.4131185826101674E-3</v>
      </c>
    </row>
    <row r="863" spans="1:3" ht="14.25" customHeight="1" x14ac:dyDescent="0.3">
      <c r="A863" s="22">
        <v>44949</v>
      </c>
      <c r="B863" s="23">
        <v>455.59800000000001</v>
      </c>
      <c r="C863" s="24">
        <f t="shared" si="13"/>
        <v>-1.0086436374320362E-3</v>
      </c>
    </row>
    <row r="864" spans="1:3" ht="14.25" customHeight="1" x14ac:dyDescent="0.3">
      <c r="A864" s="22">
        <v>44946</v>
      </c>
      <c r="B864" s="23">
        <v>456.05799999999999</v>
      </c>
      <c r="C864" s="24">
        <f t="shared" si="13"/>
        <v>-1.60248691959112E-3</v>
      </c>
    </row>
    <row r="865" spans="1:3" ht="14.25" customHeight="1" x14ac:dyDescent="0.3">
      <c r="A865" s="22">
        <v>44945</v>
      </c>
      <c r="B865" s="23">
        <v>456.79</v>
      </c>
      <c r="C865" s="24">
        <f t="shared" si="13"/>
        <v>-4.5220271757488335E-3</v>
      </c>
    </row>
    <row r="866" spans="1:3" ht="14.25" customHeight="1" x14ac:dyDescent="0.3">
      <c r="A866" s="22">
        <v>44944</v>
      </c>
      <c r="B866" s="23">
        <v>458.86500000000001</v>
      </c>
      <c r="C866" s="24">
        <f t="shared" si="13"/>
        <v>2.5256221747879241E-3</v>
      </c>
    </row>
    <row r="867" spans="1:3" ht="14.25" customHeight="1" x14ac:dyDescent="0.3">
      <c r="A867" s="22">
        <v>44943</v>
      </c>
      <c r="B867" s="23">
        <v>457.709</v>
      </c>
      <c r="C867" s="24">
        <f t="shared" si="13"/>
        <v>-1.2786523963822707E-3</v>
      </c>
    </row>
    <row r="868" spans="1:3" ht="14.25" customHeight="1" x14ac:dyDescent="0.3">
      <c r="A868" s="22">
        <v>44942</v>
      </c>
      <c r="B868" s="23">
        <v>458.29500000000002</v>
      </c>
      <c r="C868" s="24">
        <f t="shared" si="13"/>
        <v>2.3862433399532991E-3</v>
      </c>
    </row>
    <row r="869" spans="1:3" ht="14.25" customHeight="1" x14ac:dyDescent="0.3">
      <c r="A869" s="22">
        <v>44939</v>
      </c>
      <c r="B869" s="23">
        <v>457.20400000000001</v>
      </c>
      <c r="C869" s="24">
        <f t="shared" si="13"/>
        <v>4.4245260221006831E-3</v>
      </c>
    </row>
    <row r="870" spans="1:3" ht="14.25" customHeight="1" x14ac:dyDescent="0.3">
      <c r="A870" s="22">
        <v>44938</v>
      </c>
      <c r="B870" s="23">
        <v>455.19</v>
      </c>
      <c r="C870" s="24">
        <f t="shared" si="13"/>
        <v>-3.2081111561243721E-3</v>
      </c>
    </row>
    <row r="871" spans="1:3" ht="14.25" customHeight="1" x14ac:dyDescent="0.3">
      <c r="A871" s="22">
        <v>44937</v>
      </c>
      <c r="B871" s="23">
        <v>456.65499999999997</v>
      </c>
      <c r="C871" s="24">
        <f t="shared" si="13"/>
        <v>5.6529731790520398E-4</v>
      </c>
    </row>
    <row r="872" spans="1:3" ht="14.25" customHeight="1" x14ac:dyDescent="0.3">
      <c r="A872" s="22">
        <v>44936</v>
      </c>
      <c r="B872" s="23">
        <v>456.39699999999999</v>
      </c>
      <c r="C872" s="24">
        <f t="shared" si="13"/>
        <v>-1.0173762925949126E-2</v>
      </c>
    </row>
    <row r="873" spans="1:3" ht="14.25" customHeight="1" x14ac:dyDescent="0.3">
      <c r="A873" s="22">
        <v>44935</v>
      </c>
      <c r="B873" s="23">
        <v>461.08800000000002</v>
      </c>
      <c r="C873" s="24">
        <f t="shared" si="13"/>
        <v>1.0289400340058603E-2</v>
      </c>
    </row>
    <row r="874" spans="1:3" ht="14.25" customHeight="1" x14ac:dyDescent="0.3">
      <c r="A874" s="22">
        <v>44932</v>
      </c>
      <c r="B874" s="23">
        <v>456.392</v>
      </c>
      <c r="C874" s="24">
        <f t="shared" si="13"/>
        <v>-6.7465810068510932E-3</v>
      </c>
    </row>
    <row r="875" spans="1:3" ht="14.25" customHeight="1" x14ac:dyDescent="0.3">
      <c r="A875" s="22">
        <v>44931</v>
      </c>
      <c r="B875" s="23">
        <v>459.49200000000002</v>
      </c>
      <c r="C875" s="24">
        <f t="shared" si="13"/>
        <v>2.8963364726681397E-3</v>
      </c>
    </row>
    <row r="876" spans="1:3" ht="14.25" customHeight="1" x14ac:dyDescent="0.3">
      <c r="A876" s="22">
        <v>44930</v>
      </c>
      <c r="B876" s="23">
        <v>458.16500000000002</v>
      </c>
      <c r="C876" s="24">
        <f t="shared" si="13"/>
        <v>-1.3404681410021676E-2</v>
      </c>
    </row>
    <row r="877" spans="1:3" ht="14.25" customHeight="1" x14ac:dyDescent="0.3">
      <c r="A877" s="22">
        <v>44929</v>
      </c>
      <c r="B877" s="23">
        <v>464.39</v>
      </c>
      <c r="C877" s="24">
        <f t="shared" si="13"/>
        <v>2.8895242866891092E-3</v>
      </c>
    </row>
    <row r="878" spans="1:3" ht="14.25" customHeight="1" x14ac:dyDescent="0.3">
      <c r="A878" s="22">
        <v>44928</v>
      </c>
      <c r="B878" s="23">
        <v>463.05200000000002</v>
      </c>
      <c r="C878" s="24">
        <f t="shared" si="13"/>
        <v>9.8465336494111561E-3</v>
      </c>
    </row>
    <row r="879" spans="1:3" ht="14.25" customHeight="1" x14ac:dyDescent="0.3">
      <c r="A879" s="22">
        <v>44925</v>
      </c>
      <c r="B879" s="23">
        <v>458.53699999999998</v>
      </c>
      <c r="C879" s="24">
        <f t="shared" si="13"/>
        <v>4.2730175695268029E-3</v>
      </c>
    </row>
    <row r="880" spans="1:3" ht="14.25" customHeight="1" x14ac:dyDescent="0.3">
      <c r="A880" s="22">
        <v>44924</v>
      </c>
      <c r="B880" s="23">
        <v>456.58600000000001</v>
      </c>
      <c r="C880" s="24">
        <f t="shared" si="13"/>
        <v>5.4657082958970366E-3</v>
      </c>
    </row>
    <row r="881" spans="1:3" ht="14.25" customHeight="1" x14ac:dyDescent="0.3">
      <c r="A881" s="22">
        <v>44923</v>
      </c>
      <c r="B881" s="23">
        <v>454.10399999999998</v>
      </c>
      <c r="C881" s="24">
        <f t="shared" si="13"/>
        <v>2.1450703106379158E-3</v>
      </c>
    </row>
    <row r="882" spans="1:3" ht="14.25" customHeight="1" x14ac:dyDescent="0.3">
      <c r="A882" s="22">
        <v>44922</v>
      </c>
      <c r="B882" s="23">
        <v>453.13200000000001</v>
      </c>
      <c r="C882" s="24">
        <f t="shared" si="13"/>
        <v>1.3545795345757729E-2</v>
      </c>
    </row>
    <row r="883" spans="1:3" ht="14.25" customHeight="1" x14ac:dyDescent="0.3">
      <c r="A883" s="22">
        <v>44921</v>
      </c>
      <c r="B883" s="23">
        <v>447.07600000000002</v>
      </c>
      <c r="C883" s="24">
        <f t="shared" si="13"/>
        <v>3.420628329659102E-2</v>
      </c>
    </row>
    <row r="884" spans="1:3" ht="14.25" customHeight="1" x14ac:dyDescent="0.3">
      <c r="A884" s="22">
        <v>44918</v>
      </c>
      <c r="B884" s="23">
        <v>432.28899999999999</v>
      </c>
      <c r="C884" s="24">
        <f t="shared" si="13"/>
        <v>-4.5359285734791768E-2</v>
      </c>
    </row>
    <row r="885" spans="1:3" ht="14.25" customHeight="1" x14ac:dyDescent="0.3">
      <c r="A885" s="22">
        <v>44917</v>
      </c>
      <c r="B885" s="23">
        <v>452.82900000000001</v>
      </c>
      <c r="C885" s="24">
        <f t="shared" si="13"/>
        <v>-1.059694676836815E-2</v>
      </c>
    </row>
    <row r="886" spans="1:3" ht="14.25" customHeight="1" x14ac:dyDescent="0.3">
      <c r="A886" s="22">
        <v>44916</v>
      </c>
      <c r="B886" s="23">
        <v>457.67899999999997</v>
      </c>
      <c r="C886" s="24">
        <f t="shared" si="13"/>
        <v>-2.5094789758445889E-2</v>
      </c>
    </row>
    <row r="887" spans="1:3" ht="14.25" customHeight="1" x14ac:dyDescent="0.3">
      <c r="A887" s="22">
        <v>44915</v>
      </c>
      <c r="B887" s="23">
        <v>469.46</v>
      </c>
      <c r="C887" s="24">
        <f t="shared" si="13"/>
        <v>-2.4076006230437726E-3</v>
      </c>
    </row>
    <row r="888" spans="1:3" ht="14.25" customHeight="1" x14ac:dyDescent="0.3">
      <c r="A888" s="22">
        <v>44914</v>
      </c>
      <c r="B888" s="23">
        <v>470.59300000000002</v>
      </c>
      <c r="C888" s="24">
        <f t="shared" si="13"/>
        <v>8.4884877162303765E-3</v>
      </c>
    </row>
    <row r="889" spans="1:3" ht="14.25" customHeight="1" x14ac:dyDescent="0.3">
      <c r="A889" s="22">
        <v>44911</v>
      </c>
      <c r="B889" s="23">
        <v>466.63200000000001</v>
      </c>
      <c r="C889" s="24">
        <f t="shared" si="13"/>
        <v>-1.2552797081453551E-2</v>
      </c>
    </row>
    <row r="890" spans="1:3" ht="14.25" customHeight="1" x14ac:dyDescent="0.3">
      <c r="A890" s="22">
        <v>44910</v>
      </c>
      <c r="B890" s="23">
        <v>472.56400000000002</v>
      </c>
      <c r="C890" s="24">
        <f t="shared" si="13"/>
        <v>-1.3874832277087643E-2</v>
      </c>
    </row>
    <row r="891" spans="1:3" ht="14.25" customHeight="1" x14ac:dyDescent="0.3">
      <c r="A891" s="22">
        <v>44909</v>
      </c>
      <c r="B891" s="23">
        <v>479.21300000000002</v>
      </c>
      <c r="C891" s="24">
        <f t="shared" si="13"/>
        <v>3.5096756900513354E-3</v>
      </c>
    </row>
    <row r="892" spans="1:3" ht="14.25" customHeight="1" x14ac:dyDescent="0.3">
      <c r="A892" s="22">
        <v>44908</v>
      </c>
      <c r="B892" s="23">
        <v>477.53699999999998</v>
      </c>
      <c r="C892" s="24">
        <f t="shared" si="13"/>
        <v>8.8902222344288424E-3</v>
      </c>
    </row>
    <row r="893" spans="1:3" ht="14.25" customHeight="1" x14ac:dyDescent="0.3">
      <c r="A893" s="22">
        <v>44907</v>
      </c>
      <c r="B893" s="23">
        <v>473.32900000000001</v>
      </c>
      <c r="C893" s="24">
        <f t="shared" si="13"/>
        <v>8.138306482530706E-3</v>
      </c>
    </row>
    <row r="894" spans="1:3" ht="14.25" customHeight="1" x14ac:dyDescent="0.3">
      <c r="A894" s="22">
        <v>44904</v>
      </c>
      <c r="B894" s="23">
        <v>469.50799999999998</v>
      </c>
      <c r="C894" s="24">
        <f t="shared" si="13"/>
        <v>-7.275625913153492E-3</v>
      </c>
    </row>
    <row r="895" spans="1:3" ht="14.25" customHeight="1" x14ac:dyDescent="0.3">
      <c r="A895" s="22">
        <v>44903</v>
      </c>
      <c r="B895" s="23">
        <v>472.94900000000001</v>
      </c>
      <c r="C895" s="24">
        <f t="shared" si="13"/>
        <v>5.2670621568598457E-3</v>
      </c>
    </row>
    <row r="896" spans="1:3" ht="14.25" customHeight="1" x14ac:dyDescent="0.3">
      <c r="A896" s="22">
        <v>44902</v>
      </c>
      <c r="B896" s="23">
        <v>470.471</v>
      </c>
      <c r="C896" s="24">
        <f t="shared" si="13"/>
        <v>-3.4336527625970807E-3</v>
      </c>
    </row>
    <row r="897" spans="1:3" ht="14.25" customHeight="1" x14ac:dyDescent="0.3">
      <c r="A897" s="22">
        <v>44901</v>
      </c>
      <c r="B897" s="23">
        <v>472.09199999999998</v>
      </c>
      <c r="C897" s="24">
        <f t="shared" si="13"/>
        <v>-1.6832738407402859E-3</v>
      </c>
    </row>
    <row r="898" spans="1:3" ht="14.25" customHeight="1" x14ac:dyDescent="0.3">
      <c r="A898" s="22">
        <v>44900</v>
      </c>
      <c r="B898" s="23">
        <v>472.88799999999998</v>
      </c>
      <c r="C898" s="24">
        <f t="shared" ref="C898:C961" si="14">(B898-B899)/B899</f>
        <v>4.6910852383784526E-3</v>
      </c>
    </row>
    <row r="899" spans="1:3" ht="14.25" customHeight="1" x14ac:dyDescent="0.3">
      <c r="A899" s="22">
        <v>44897</v>
      </c>
      <c r="B899" s="23">
        <v>470.68</v>
      </c>
      <c r="C899" s="24">
        <f t="shared" si="14"/>
        <v>7.1224314067329202E-4</v>
      </c>
    </row>
    <row r="900" spans="1:3" ht="14.25" customHeight="1" x14ac:dyDescent="0.3">
      <c r="A900" s="22">
        <v>44896</v>
      </c>
      <c r="B900" s="23">
        <v>470.34500000000003</v>
      </c>
      <c r="C900" s="24">
        <f t="shared" si="14"/>
        <v>8.4194863834586593E-3</v>
      </c>
    </row>
    <row r="901" spans="1:3" ht="14.25" customHeight="1" x14ac:dyDescent="0.3">
      <c r="A901" s="22">
        <v>44895</v>
      </c>
      <c r="B901" s="23">
        <v>466.41800000000001</v>
      </c>
      <c r="C901" s="24">
        <f t="shared" si="14"/>
        <v>2.3316635613635384E-3</v>
      </c>
    </row>
    <row r="902" spans="1:3" ht="14.25" customHeight="1" x14ac:dyDescent="0.3">
      <c r="A902" s="22">
        <v>44894</v>
      </c>
      <c r="B902" s="23">
        <v>465.33300000000003</v>
      </c>
      <c r="C902" s="24">
        <f t="shared" si="14"/>
        <v>-1.3284630176498252E-3</v>
      </c>
    </row>
    <row r="903" spans="1:3" ht="14.25" customHeight="1" x14ac:dyDescent="0.3">
      <c r="A903" s="22">
        <v>44893</v>
      </c>
      <c r="B903" s="23">
        <v>465.952</v>
      </c>
      <c r="C903" s="24">
        <f t="shared" si="14"/>
        <v>6.6562822038970194E-3</v>
      </c>
    </row>
    <row r="904" spans="1:3" ht="14.25" customHeight="1" x14ac:dyDescent="0.3">
      <c r="A904" s="22">
        <v>44890</v>
      </c>
      <c r="B904" s="23">
        <v>462.87099999999998</v>
      </c>
      <c r="C904" s="24">
        <f t="shared" si="14"/>
        <v>6.0422829396792645E-3</v>
      </c>
    </row>
    <row r="905" spans="1:3" ht="14.25" customHeight="1" x14ac:dyDescent="0.3">
      <c r="A905" s="22">
        <v>44889</v>
      </c>
      <c r="B905" s="23">
        <v>460.09100000000001</v>
      </c>
      <c r="C905" s="24">
        <f t="shared" si="14"/>
        <v>1.1698195355464604E-2</v>
      </c>
    </row>
    <row r="906" spans="1:3" ht="14.25" customHeight="1" x14ac:dyDescent="0.3">
      <c r="A906" s="22">
        <v>44888</v>
      </c>
      <c r="B906" s="23">
        <v>454.77100000000002</v>
      </c>
      <c r="C906" s="24">
        <f t="shared" si="14"/>
        <v>3.8895474482846929E-3</v>
      </c>
    </row>
    <row r="907" spans="1:3" ht="14.25" customHeight="1" x14ac:dyDescent="0.3">
      <c r="A907" s="22">
        <v>44887</v>
      </c>
      <c r="B907" s="23">
        <v>453.00900000000001</v>
      </c>
      <c r="C907" s="24">
        <f t="shared" si="14"/>
        <v>4.6157243816255121E-4</v>
      </c>
    </row>
    <row r="908" spans="1:3" ht="14.25" customHeight="1" x14ac:dyDescent="0.3">
      <c r="A908" s="22">
        <v>44883</v>
      </c>
      <c r="B908" s="23">
        <v>452.8</v>
      </c>
      <c r="C908" s="24">
        <f t="shared" si="14"/>
        <v>-5.9814024733433611E-4</v>
      </c>
    </row>
    <row r="909" spans="1:3" ht="14.25" customHeight="1" x14ac:dyDescent="0.3">
      <c r="A909" s="22">
        <v>44882</v>
      </c>
      <c r="B909" s="23">
        <v>453.07100000000003</v>
      </c>
      <c r="C909" s="24">
        <f t="shared" si="14"/>
        <v>-4.0338003895309792E-3</v>
      </c>
    </row>
    <row r="910" spans="1:3" ht="14.25" customHeight="1" x14ac:dyDescent="0.3">
      <c r="A910" s="22">
        <v>44881</v>
      </c>
      <c r="B910" s="23">
        <v>454.90600000000001</v>
      </c>
      <c r="C910" s="24">
        <f t="shared" si="14"/>
        <v>-7.0871521085751135E-3</v>
      </c>
    </row>
    <row r="911" spans="1:3" ht="14.25" customHeight="1" x14ac:dyDescent="0.3">
      <c r="A911" s="22">
        <v>44880</v>
      </c>
      <c r="B911" s="23">
        <v>458.15300000000002</v>
      </c>
      <c r="C911" s="24">
        <f t="shared" si="14"/>
        <v>3.2232564963290281E-3</v>
      </c>
    </row>
    <row r="912" spans="1:3" ht="14.25" customHeight="1" x14ac:dyDescent="0.3">
      <c r="A912" s="22">
        <v>44879</v>
      </c>
      <c r="B912" s="23">
        <v>456.68099999999998</v>
      </c>
      <c r="C912" s="24">
        <f t="shared" si="14"/>
        <v>7.5163584886632473E-4</v>
      </c>
    </row>
    <row r="913" spans="1:3" ht="14.25" customHeight="1" x14ac:dyDescent="0.3">
      <c r="A913" s="22">
        <v>44876</v>
      </c>
      <c r="B913" s="23">
        <v>456.33800000000002</v>
      </c>
      <c r="C913" s="24">
        <f t="shared" si="14"/>
        <v>2.3700794492805361E-3</v>
      </c>
    </row>
    <row r="914" spans="1:3" ht="14.25" customHeight="1" x14ac:dyDescent="0.3">
      <c r="A914" s="22">
        <v>44875</v>
      </c>
      <c r="B914" s="23">
        <v>455.25900000000001</v>
      </c>
      <c r="C914" s="24">
        <f t="shared" si="14"/>
        <v>-9.4236167018428608E-3</v>
      </c>
    </row>
    <row r="915" spans="1:3" ht="14.25" customHeight="1" x14ac:dyDescent="0.3">
      <c r="A915" s="22">
        <v>44874</v>
      </c>
      <c r="B915" s="23">
        <v>459.59</v>
      </c>
      <c r="C915" s="24">
        <f t="shared" si="14"/>
        <v>5.2824410783615982E-3</v>
      </c>
    </row>
    <row r="916" spans="1:3" ht="14.25" customHeight="1" x14ac:dyDescent="0.3">
      <c r="A916" s="22">
        <v>44872</v>
      </c>
      <c r="B916" s="23">
        <v>457.17500000000001</v>
      </c>
      <c r="C916" s="24">
        <f t="shared" si="14"/>
        <v>6.6807445264796435E-3</v>
      </c>
    </row>
    <row r="917" spans="1:3" ht="14.25" customHeight="1" x14ac:dyDescent="0.3">
      <c r="A917" s="22">
        <v>44869</v>
      </c>
      <c r="B917" s="23">
        <v>454.14100000000002</v>
      </c>
      <c r="C917" s="24">
        <f t="shared" si="14"/>
        <v>7.5319581316307602E-3</v>
      </c>
    </row>
    <row r="918" spans="1:3" ht="14.25" customHeight="1" x14ac:dyDescent="0.3">
      <c r="A918" s="22">
        <v>44868</v>
      </c>
      <c r="B918" s="23">
        <v>450.74599999999998</v>
      </c>
      <c r="C918" s="24">
        <f t="shared" si="14"/>
        <v>9.9934265460938716E-4</v>
      </c>
    </row>
    <row r="919" spans="1:3" ht="14.25" customHeight="1" x14ac:dyDescent="0.3">
      <c r="A919" s="22">
        <v>44867</v>
      </c>
      <c r="B919" s="23">
        <v>450.29599999999999</v>
      </c>
      <c r="C919" s="24">
        <f t="shared" si="14"/>
        <v>7.1114903905984586E-4</v>
      </c>
    </row>
    <row r="920" spans="1:3" ht="14.25" customHeight="1" x14ac:dyDescent="0.3">
      <c r="A920" s="22">
        <v>44866</v>
      </c>
      <c r="B920" s="23">
        <v>449.976</v>
      </c>
      <c r="C920" s="24">
        <f t="shared" si="14"/>
        <v>2.1357765964317679E-3</v>
      </c>
    </row>
    <row r="921" spans="1:3" ht="14.25" customHeight="1" x14ac:dyDescent="0.3">
      <c r="A921" s="22">
        <v>44865</v>
      </c>
      <c r="B921" s="23">
        <v>449.017</v>
      </c>
      <c r="C921" s="24">
        <f t="shared" si="14"/>
        <v>9.1448888409432494E-3</v>
      </c>
    </row>
    <row r="922" spans="1:3" ht="14.25" customHeight="1" x14ac:dyDescent="0.3">
      <c r="A922" s="22">
        <v>44862</v>
      </c>
      <c r="B922" s="23">
        <v>444.94799999999998</v>
      </c>
      <c r="C922" s="24">
        <f t="shared" si="14"/>
        <v>-3.4178921952902307E-3</v>
      </c>
    </row>
    <row r="923" spans="1:3" ht="14.25" customHeight="1" x14ac:dyDescent="0.3">
      <c r="A923" s="22">
        <v>44861</v>
      </c>
      <c r="B923" s="23">
        <v>446.47399999999999</v>
      </c>
      <c r="C923" s="24">
        <f t="shared" si="14"/>
        <v>7.3099085358975377E-3</v>
      </c>
    </row>
    <row r="924" spans="1:3" ht="14.25" customHeight="1" x14ac:dyDescent="0.3">
      <c r="A924" s="22">
        <v>44859</v>
      </c>
      <c r="B924" s="23">
        <v>443.23399999999998</v>
      </c>
      <c r="C924" s="24">
        <f t="shared" si="14"/>
        <v>4.5168060085078107E-3</v>
      </c>
    </row>
    <row r="925" spans="1:3" ht="14.25" customHeight="1" x14ac:dyDescent="0.3">
      <c r="A925" s="22">
        <v>44858</v>
      </c>
      <c r="B925" s="23">
        <v>441.24099999999999</v>
      </c>
      <c r="C925" s="24">
        <f t="shared" si="14"/>
        <v>0</v>
      </c>
    </row>
    <row r="926" spans="1:3" ht="14.25" customHeight="1" x14ac:dyDescent="0.3">
      <c r="A926" s="22">
        <v>44855</v>
      </c>
      <c r="B926" s="23">
        <v>441.24099999999999</v>
      </c>
      <c r="C926" s="24">
        <f t="shared" si="14"/>
        <v>-6.8045126321286996E-3</v>
      </c>
    </row>
    <row r="927" spans="1:3" ht="14.25" customHeight="1" x14ac:dyDescent="0.3">
      <c r="A927" s="22">
        <v>44854</v>
      </c>
      <c r="B927" s="23">
        <v>444.26400000000001</v>
      </c>
      <c r="C927" s="24">
        <f t="shared" si="14"/>
        <v>6.8693864692804165E-3</v>
      </c>
    </row>
    <row r="928" spans="1:3" ht="14.25" customHeight="1" x14ac:dyDescent="0.3">
      <c r="A928" s="22">
        <v>44853</v>
      </c>
      <c r="B928" s="23">
        <v>441.233</v>
      </c>
      <c r="C928" s="24">
        <f t="shared" si="14"/>
        <v>5.6010848416959745E-4</v>
      </c>
    </row>
    <row r="929" spans="1:3" ht="14.25" customHeight="1" x14ac:dyDescent="0.3">
      <c r="A929" s="22">
        <v>44852</v>
      </c>
      <c r="B929" s="23">
        <v>440.98599999999999</v>
      </c>
      <c r="C929" s="24">
        <f t="shared" si="14"/>
        <v>9.9347758377456557E-3</v>
      </c>
    </row>
    <row r="930" spans="1:3" ht="14.25" customHeight="1" x14ac:dyDescent="0.3">
      <c r="A930" s="22">
        <v>44851</v>
      </c>
      <c r="B930" s="23">
        <v>436.64800000000002</v>
      </c>
      <c r="C930" s="24">
        <f t="shared" si="14"/>
        <v>9.978396332465226E-3</v>
      </c>
    </row>
    <row r="931" spans="1:3" ht="14.25" customHeight="1" x14ac:dyDescent="0.3">
      <c r="A931" s="22">
        <v>44848</v>
      </c>
      <c r="B931" s="23">
        <v>432.334</v>
      </c>
      <c r="C931" s="24">
        <f t="shared" si="14"/>
        <v>2.8857083207683505E-3</v>
      </c>
    </row>
    <row r="932" spans="1:3" ht="14.25" customHeight="1" x14ac:dyDescent="0.3">
      <c r="A932" s="22">
        <v>44847</v>
      </c>
      <c r="B932" s="23">
        <v>431.09</v>
      </c>
      <c r="C932" s="24">
        <f t="shared" si="14"/>
        <v>-9.1684498677252462E-3</v>
      </c>
    </row>
    <row r="933" spans="1:3" ht="14.25" customHeight="1" x14ac:dyDescent="0.3">
      <c r="A933" s="22">
        <v>44846</v>
      </c>
      <c r="B933" s="23">
        <v>435.07900000000001</v>
      </c>
      <c r="C933" s="24">
        <f t="shared" si="14"/>
        <v>7.2392302848464868E-3</v>
      </c>
    </row>
    <row r="934" spans="1:3" ht="14.25" customHeight="1" x14ac:dyDescent="0.3">
      <c r="A934" s="22">
        <v>44845</v>
      </c>
      <c r="B934" s="23">
        <v>431.952</v>
      </c>
      <c r="C934" s="24">
        <f t="shared" si="14"/>
        <v>-1.9097923980725004E-2</v>
      </c>
    </row>
    <row r="935" spans="1:3" ht="14.25" customHeight="1" x14ac:dyDescent="0.3">
      <c r="A935" s="22">
        <v>44844</v>
      </c>
      <c r="B935" s="23">
        <v>440.36200000000002</v>
      </c>
      <c r="C935" s="24">
        <f t="shared" si="14"/>
        <v>-5.7820433800005386E-3</v>
      </c>
    </row>
    <row r="936" spans="1:3" ht="14.25" customHeight="1" x14ac:dyDescent="0.3">
      <c r="A936" s="22">
        <v>44841</v>
      </c>
      <c r="B936" s="23">
        <v>442.923</v>
      </c>
      <c r="C936" s="24">
        <f t="shared" si="14"/>
        <v>2.0323688613986532E-4</v>
      </c>
    </row>
    <row r="937" spans="1:3" ht="14.25" customHeight="1" x14ac:dyDescent="0.3">
      <c r="A937" s="22">
        <v>44840</v>
      </c>
      <c r="B937" s="23">
        <v>442.83300000000003</v>
      </c>
      <c r="C937" s="24">
        <f t="shared" si="14"/>
        <v>1.5117894360417999E-2</v>
      </c>
    </row>
    <row r="938" spans="1:3" ht="14.25" customHeight="1" x14ac:dyDescent="0.3">
      <c r="A938" s="22">
        <v>44838</v>
      </c>
      <c r="B938" s="23">
        <v>436.238</v>
      </c>
      <c r="C938" s="24">
        <f t="shared" si="14"/>
        <v>2.3453867647645382E-2</v>
      </c>
    </row>
    <row r="939" spans="1:3" ht="14.25" customHeight="1" x14ac:dyDescent="0.3">
      <c r="A939" s="22">
        <v>44837</v>
      </c>
      <c r="B939" s="23">
        <v>426.24099999999999</v>
      </c>
      <c r="C939" s="24">
        <f t="shared" si="14"/>
        <v>-2.1080795553718317E-2</v>
      </c>
    </row>
    <row r="940" spans="1:3" ht="14.25" customHeight="1" x14ac:dyDescent="0.3">
      <c r="A940" s="22">
        <v>44834</v>
      </c>
      <c r="B940" s="23">
        <v>435.42</v>
      </c>
      <c r="C940" s="24">
        <f t="shared" si="14"/>
        <v>1.5772443830643995E-2</v>
      </c>
    </row>
    <row r="941" spans="1:3" ht="14.25" customHeight="1" x14ac:dyDescent="0.3">
      <c r="A941" s="22">
        <v>44833</v>
      </c>
      <c r="B941" s="23">
        <v>428.65899999999999</v>
      </c>
      <c r="C941" s="24">
        <f t="shared" si="14"/>
        <v>6.3362757066391506E-3</v>
      </c>
    </row>
    <row r="942" spans="1:3" ht="14.25" customHeight="1" x14ac:dyDescent="0.3">
      <c r="A942" s="22">
        <v>44832</v>
      </c>
      <c r="B942" s="23">
        <v>425.96</v>
      </c>
      <c r="C942" s="24">
        <f t="shared" si="14"/>
        <v>-1.1762522330232219E-2</v>
      </c>
    </row>
    <row r="943" spans="1:3" ht="14.25" customHeight="1" x14ac:dyDescent="0.3">
      <c r="A943" s="22">
        <v>44831</v>
      </c>
      <c r="B943" s="23">
        <v>431.03</v>
      </c>
      <c r="C943" s="24">
        <f t="shared" si="14"/>
        <v>-6.9088953186438584E-4</v>
      </c>
    </row>
    <row r="944" spans="1:3" ht="14.25" customHeight="1" x14ac:dyDescent="0.3">
      <c r="A944" s="22">
        <v>44830</v>
      </c>
      <c r="B944" s="23">
        <v>431.32799999999997</v>
      </c>
      <c r="C944" s="24">
        <f t="shared" si="14"/>
        <v>-3.7167003736790723E-2</v>
      </c>
    </row>
    <row r="945" spans="1:3" ht="14.25" customHeight="1" x14ac:dyDescent="0.3">
      <c r="A945" s="22">
        <v>44827</v>
      </c>
      <c r="B945" s="23">
        <v>447.97800000000001</v>
      </c>
      <c r="C945" s="24">
        <f t="shared" si="14"/>
        <v>-1.713300291583562E-2</v>
      </c>
    </row>
    <row r="946" spans="1:3" ht="14.25" customHeight="1" x14ac:dyDescent="0.3">
      <c r="A946" s="22">
        <v>44826</v>
      </c>
      <c r="B946" s="23">
        <v>455.78699999999998</v>
      </c>
      <c r="C946" s="24">
        <f t="shared" si="14"/>
        <v>-1.8854785305093787E-3</v>
      </c>
    </row>
    <row r="947" spans="1:3" ht="14.25" customHeight="1" x14ac:dyDescent="0.3">
      <c r="A947" s="22">
        <v>44825</v>
      </c>
      <c r="B947" s="23">
        <v>456.64800000000002</v>
      </c>
      <c r="C947" s="24">
        <f t="shared" si="14"/>
        <v>-9.6637634893645703E-3</v>
      </c>
    </row>
    <row r="948" spans="1:3" ht="14.25" customHeight="1" x14ac:dyDescent="0.3">
      <c r="A948" s="22">
        <v>44824</v>
      </c>
      <c r="B948" s="23">
        <v>461.10399999999998</v>
      </c>
      <c r="C948" s="24">
        <f t="shared" si="14"/>
        <v>1.0441798750490285E-2</v>
      </c>
    </row>
    <row r="949" spans="1:3" ht="14.25" customHeight="1" x14ac:dyDescent="0.3">
      <c r="A949" s="22">
        <v>44823</v>
      </c>
      <c r="B949" s="23">
        <v>456.339</v>
      </c>
      <c r="C949" s="24">
        <f t="shared" si="14"/>
        <v>1.3892900467910545E-2</v>
      </c>
    </row>
    <row r="950" spans="1:3" ht="14.25" customHeight="1" x14ac:dyDescent="0.3">
      <c r="A950" s="22">
        <v>44820</v>
      </c>
      <c r="B950" s="23">
        <v>450.08600000000001</v>
      </c>
      <c r="C950" s="24">
        <f t="shared" si="14"/>
        <v>-2.5349074908183687E-2</v>
      </c>
    </row>
    <row r="951" spans="1:3" ht="14.25" customHeight="1" x14ac:dyDescent="0.3">
      <c r="A951" s="22">
        <v>44819</v>
      </c>
      <c r="B951" s="23">
        <v>461.79199999999997</v>
      </c>
      <c r="C951" s="24">
        <f t="shared" si="14"/>
        <v>6.8154168828733252E-3</v>
      </c>
    </row>
    <row r="952" spans="1:3" ht="14.25" customHeight="1" x14ac:dyDescent="0.3">
      <c r="A952" s="22">
        <v>44818</v>
      </c>
      <c r="B952" s="23">
        <v>458.666</v>
      </c>
      <c r="C952" s="24">
        <f t="shared" si="14"/>
        <v>1.38057557137173E-2</v>
      </c>
    </row>
    <row r="953" spans="1:3" ht="14.25" customHeight="1" x14ac:dyDescent="0.3">
      <c r="A953" s="22">
        <v>44817</v>
      </c>
      <c r="B953" s="23">
        <v>452.42</v>
      </c>
      <c r="C953" s="24">
        <f t="shared" si="14"/>
        <v>5.9522883068775304E-3</v>
      </c>
    </row>
    <row r="954" spans="1:3" ht="14.25" customHeight="1" x14ac:dyDescent="0.3">
      <c r="A954" s="22">
        <v>44816</v>
      </c>
      <c r="B954" s="23">
        <v>449.74299999999999</v>
      </c>
      <c r="C954" s="24">
        <f t="shared" si="14"/>
        <v>8.9579360628154678E-3</v>
      </c>
    </row>
    <row r="955" spans="1:3" ht="14.25" customHeight="1" x14ac:dyDescent="0.3">
      <c r="A955" s="22">
        <v>44813</v>
      </c>
      <c r="B955" s="23">
        <v>445.75</v>
      </c>
      <c r="C955" s="24">
        <f t="shared" si="14"/>
        <v>7.6281757890656412E-5</v>
      </c>
    </row>
    <row r="956" spans="1:3" ht="14.25" customHeight="1" x14ac:dyDescent="0.3">
      <c r="A956" s="22">
        <v>44812</v>
      </c>
      <c r="B956" s="23">
        <v>445.71600000000001</v>
      </c>
      <c r="C956" s="24">
        <f t="shared" si="14"/>
        <v>6.9856130711393512E-3</v>
      </c>
    </row>
    <row r="957" spans="1:3" ht="14.25" customHeight="1" x14ac:dyDescent="0.3">
      <c r="A957" s="22">
        <v>44811</v>
      </c>
      <c r="B957" s="23">
        <v>442.62400000000002</v>
      </c>
      <c r="C957" s="24">
        <f t="shared" si="14"/>
        <v>5.8767651884610254E-3</v>
      </c>
    </row>
    <row r="958" spans="1:3" ht="14.25" customHeight="1" x14ac:dyDescent="0.3">
      <c r="A958" s="22">
        <v>44810</v>
      </c>
      <c r="B958" s="23">
        <v>440.03800000000001</v>
      </c>
      <c r="C958" s="24">
        <f t="shared" si="14"/>
        <v>2.9813324823923433E-3</v>
      </c>
    </row>
    <row r="959" spans="1:3" ht="14.25" customHeight="1" x14ac:dyDescent="0.3">
      <c r="A959" s="22">
        <v>44809</v>
      </c>
      <c r="B959" s="23">
        <v>438.73</v>
      </c>
      <c r="C959" s="24">
        <f t="shared" si="14"/>
        <v>9.386862993213025E-3</v>
      </c>
    </row>
    <row r="960" spans="1:3" ht="14.25" customHeight="1" x14ac:dyDescent="0.3">
      <c r="A960" s="22">
        <v>44806</v>
      </c>
      <c r="B960" s="23">
        <v>434.65</v>
      </c>
      <c r="C960" s="24">
        <f t="shared" si="14"/>
        <v>5.8362337085307858E-3</v>
      </c>
    </row>
    <row r="961" spans="1:3" ht="14.25" customHeight="1" x14ac:dyDescent="0.3">
      <c r="A961" s="22">
        <v>44805</v>
      </c>
      <c r="B961" s="23">
        <v>432.12799999999999</v>
      </c>
      <c r="C961" s="24">
        <f t="shared" si="14"/>
        <v>-8.6242575161673727E-4</v>
      </c>
    </row>
    <row r="962" spans="1:3" ht="14.25" customHeight="1" x14ac:dyDescent="0.3">
      <c r="A962" s="22">
        <v>44803</v>
      </c>
      <c r="B962" s="23">
        <v>432.50099999999998</v>
      </c>
      <c r="C962" s="24">
        <f t="shared" ref="C962:C1025" si="15">(B962-B963)/B963</f>
        <v>1.6324602753117121E-2</v>
      </c>
    </row>
    <row r="963" spans="1:3" ht="14.25" customHeight="1" x14ac:dyDescent="0.3">
      <c r="A963" s="22">
        <v>44802</v>
      </c>
      <c r="B963" s="23">
        <v>425.55399999999997</v>
      </c>
      <c r="C963" s="24">
        <f t="shared" si="15"/>
        <v>-4.4868435827375977E-3</v>
      </c>
    </row>
    <row r="964" spans="1:3" ht="14.25" customHeight="1" x14ac:dyDescent="0.3">
      <c r="A964" s="22">
        <v>44799</v>
      </c>
      <c r="B964" s="23">
        <v>427.47199999999998</v>
      </c>
      <c r="C964" s="24">
        <f t="shared" si="15"/>
        <v>7.8511441922751914E-3</v>
      </c>
    </row>
    <row r="965" spans="1:3" ht="14.25" customHeight="1" x14ac:dyDescent="0.3">
      <c r="A965" s="22">
        <v>44798</v>
      </c>
      <c r="B965" s="23">
        <v>424.142</v>
      </c>
      <c r="C965" s="24">
        <f t="shared" si="15"/>
        <v>-5.3584787079617967E-3</v>
      </c>
    </row>
    <row r="966" spans="1:3" ht="14.25" customHeight="1" x14ac:dyDescent="0.3">
      <c r="A966" s="22">
        <v>44797</v>
      </c>
      <c r="B966" s="23">
        <v>426.42700000000002</v>
      </c>
      <c r="C966" s="24">
        <f t="shared" si="15"/>
        <v>8.2422843848197428E-3</v>
      </c>
    </row>
    <row r="967" spans="1:3" ht="14.25" customHeight="1" x14ac:dyDescent="0.3">
      <c r="A967" s="22">
        <v>44796</v>
      </c>
      <c r="B967" s="23">
        <v>422.94099999999997</v>
      </c>
      <c r="C967" s="24">
        <f t="shared" si="15"/>
        <v>8.4526318801322834E-3</v>
      </c>
    </row>
    <row r="968" spans="1:3" ht="14.25" customHeight="1" x14ac:dyDescent="0.3">
      <c r="A968" s="22">
        <v>44795</v>
      </c>
      <c r="B968" s="23">
        <v>419.39600000000002</v>
      </c>
      <c r="C968" s="24">
        <f t="shared" si="15"/>
        <v>-1.4634948604992622E-2</v>
      </c>
    </row>
    <row r="969" spans="1:3" ht="14.25" customHeight="1" x14ac:dyDescent="0.3">
      <c r="A969" s="22">
        <v>44792</v>
      </c>
      <c r="B969" s="23">
        <v>425.625</v>
      </c>
      <c r="C969" s="24">
        <f t="shared" si="15"/>
        <v>-1.9111715598911869E-3</v>
      </c>
    </row>
    <row r="970" spans="1:3" ht="14.25" customHeight="1" x14ac:dyDescent="0.3">
      <c r="A970" s="22">
        <v>44791</v>
      </c>
      <c r="B970" s="23">
        <v>426.44</v>
      </c>
      <c r="C970" s="24">
        <f t="shared" si="15"/>
        <v>3.1592789410417334E-3</v>
      </c>
    </row>
    <row r="971" spans="1:3" ht="14.25" customHeight="1" x14ac:dyDescent="0.3">
      <c r="A971" s="22">
        <v>44790</v>
      </c>
      <c r="B971" s="23">
        <v>425.09699999999998</v>
      </c>
      <c r="C971" s="24">
        <f t="shared" si="15"/>
        <v>3.4273979393123918E-3</v>
      </c>
    </row>
    <row r="972" spans="1:3" ht="14.25" customHeight="1" x14ac:dyDescent="0.3">
      <c r="A972" s="22">
        <v>44789</v>
      </c>
      <c r="B972" s="23">
        <v>423.64499999999998</v>
      </c>
      <c r="C972" s="24">
        <f t="shared" si="15"/>
        <v>7.4049237749416238E-3</v>
      </c>
    </row>
    <row r="973" spans="1:3" ht="14.25" customHeight="1" x14ac:dyDescent="0.3">
      <c r="A973" s="22">
        <v>44785</v>
      </c>
      <c r="B973" s="23">
        <v>420.53100000000001</v>
      </c>
      <c r="C973" s="24">
        <f t="shared" si="15"/>
        <v>4.8098289679297758E-3</v>
      </c>
    </row>
    <row r="974" spans="1:3" ht="14.25" customHeight="1" x14ac:dyDescent="0.3">
      <c r="A974" s="22">
        <v>44784</v>
      </c>
      <c r="B974" s="23">
        <v>418.51799999999997</v>
      </c>
      <c r="C974" s="24">
        <f t="shared" si="15"/>
        <v>3.7534206493297752E-3</v>
      </c>
    </row>
    <row r="975" spans="1:3" ht="14.25" customHeight="1" x14ac:dyDescent="0.3">
      <c r="A975" s="22">
        <v>44783</v>
      </c>
      <c r="B975" s="23">
        <v>416.95299999999997</v>
      </c>
      <c r="C975" s="24">
        <f t="shared" si="15"/>
        <v>-5.4456201280424759E-3</v>
      </c>
    </row>
    <row r="976" spans="1:3" ht="14.25" customHeight="1" x14ac:dyDescent="0.3">
      <c r="A976" s="22">
        <v>44781</v>
      </c>
      <c r="B976" s="23">
        <v>419.23599999999999</v>
      </c>
      <c r="C976" s="24">
        <f t="shared" si="15"/>
        <v>1.1364815149870365E-2</v>
      </c>
    </row>
    <row r="977" spans="1:3" ht="14.25" customHeight="1" x14ac:dyDescent="0.3">
      <c r="A977" s="22">
        <v>44778</v>
      </c>
      <c r="B977" s="23">
        <v>414.52499999999998</v>
      </c>
      <c r="C977" s="24">
        <f t="shared" si="15"/>
        <v>3.4106643170441035E-3</v>
      </c>
    </row>
    <row r="978" spans="1:3" ht="14.25" customHeight="1" x14ac:dyDescent="0.3">
      <c r="A978" s="22">
        <v>44777</v>
      </c>
      <c r="B978" s="23">
        <v>413.11599999999999</v>
      </c>
      <c r="C978" s="24">
        <f t="shared" si="15"/>
        <v>-3.8172264702833305E-3</v>
      </c>
    </row>
    <row r="979" spans="1:3" ht="14.25" customHeight="1" x14ac:dyDescent="0.3">
      <c r="A979" s="22">
        <v>44776</v>
      </c>
      <c r="B979" s="23">
        <v>414.69900000000001</v>
      </c>
      <c r="C979" s="24">
        <f t="shared" si="15"/>
        <v>-3.8409985154864773E-3</v>
      </c>
    </row>
    <row r="980" spans="1:3" ht="14.25" customHeight="1" x14ac:dyDescent="0.3">
      <c r="A980" s="22">
        <v>44775</v>
      </c>
      <c r="B980" s="23">
        <v>416.298</v>
      </c>
      <c r="C980" s="24">
        <f t="shared" si="15"/>
        <v>-1.7772568760630463E-4</v>
      </c>
    </row>
    <row r="981" spans="1:3" ht="14.25" customHeight="1" x14ac:dyDescent="0.3">
      <c r="A981" s="22">
        <v>44774</v>
      </c>
      <c r="B981" s="23">
        <v>416.37200000000001</v>
      </c>
      <c r="C981" s="24">
        <f t="shared" si="15"/>
        <v>1.3378764831153061E-2</v>
      </c>
    </row>
    <row r="982" spans="1:3" ht="14.25" customHeight="1" x14ac:dyDescent="0.3">
      <c r="A982" s="22">
        <v>44771</v>
      </c>
      <c r="B982" s="23">
        <v>410.875</v>
      </c>
      <c r="C982" s="24">
        <f t="shared" si="15"/>
        <v>1.0352501444678001E-2</v>
      </c>
    </row>
    <row r="983" spans="1:3" ht="14.25" customHeight="1" x14ac:dyDescent="0.3">
      <c r="A983" s="22">
        <v>44770</v>
      </c>
      <c r="B983" s="23">
        <v>406.66500000000002</v>
      </c>
      <c r="C983" s="24">
        <f t="shared" si="15"/>
        <v>3.1995618795761516E-3</v>
      </c>
    </row>
    <row r="984" spans="1:3" ht="14.25" customHeight="1" x14ac:dyDescent="0.3">
      <c r="A984" s="22">
        <v>44769</v>
      </c>
      <c r="B984" s="23">
        <v>405.36799999999999</v>
      </c>
      <c r="C984" s="24">
        <f t="shared" si="15"/>
        <v>9.254302864924983E-3</v>
      </c>
    </row>
    <row r="985" spans="1:3" ht="14.25" customHeight="1" x14ac:dyDescent="0.3">
      <c r="A985" s="22">
        <v>44768</v>
      </c>
      <c r="B985" s="23">
        <v>401.65100000000001</v>
      </c>
      <c r="C985" s="24">
        <f t="shared" si="15"/>
        <v>-6.0948148294787249E-3</v>
      </c>
    </row>
    <row r="986" spans="1:3" ht="14.25" customHeight="1" x14ac:dyDescent="0.3">
      <c r="A986" s="22">
        <v>44767</v>
      </c>
      <c r="B986" s="23">
        <v>404.11399999999998</v>
      </c>
      <c r="C986" s="24">
        <f t="shared" si="15"/>
        <v>-1.8080949299240396E-3</v>
      </c>
    </row>
    <row r="987" spans="1:3" ht="14.25" customHeight="1" x14ac:dyDescent="0.3">
      <c r="A987" s="22">
        <v>44764</v>
      </c>
      <c r="B987" s="23">
        <v>404.846</v>
      </c>
      <c r="C987" s="24">
        <f t="shared" si="15"/>
        <v>5.1617932948826682E-3</v>
      </c>
    </row>
    <row r="988" spans="1:3" ht="14.25" customHeight="1" x14ac:dyDescent="0.3">
      <c r="A988" s="22">
        <v>44763</v>
      </c>
      <c r="B988" s="23">
        <v>402.767</v>
      </c>
      <c r="C988" s="24">
        <f t="shared" si="15"/>
        <v>1.4431904331334407E-2</v>
      </c>
    </row>
    <row r="989" spans="1:3" ht="14.25" customHeight="1" x14ac:dyDescent="0.3">
      <c r="A989" s="22">
        <v>44762</v>
      </c>
      <c r="B989" s="23">
        <v>397.03699999999998</v>
      </c>
      <c r="C989" s="24">
        <f t="shared" si="15"/>
        <v>4.8110017816649295E-3</v>
      </c>
    </row>
    <row r="990" spans="1:3" ht="14.25" customHeight="1" x14ac:dyDescent="0.3">
      <c r="A990" s="22">
        <v>44761</v>
      </c>
      <c r="B990" s="23">
        <v>395.13600000000002</v>
      </c>
      <c r="C990" s="24">
        <f t="shared" si="15"/>
        <v>3.8029768391851775E-3</v>
      </c>
    </row>
    <row r="991" spans="1:3" ht="14.25" customHeight="1" x14ac:dyDescent="0.3">
      <c r="A991" s="22">
        <v>44760</v>
      </c>
      <c r="B991" s="23">
        <v>393.63900000000001</v>
      </c>
      <c r="C991" s="24">
        <f t="shared" si="15"/>
        <v>1.6480011981707249E-2</v>
      </c>
    </row>
    <row r="992" spans="1:3" ht="14.25" customHeight="1" x14ac:dyDescent="0.3">
      <c r="A992" s="22">
        <v>44757</v>
      </c>
      <c r="B992" s="23">
        <v>387.25700000000001</v>
      </c>
      <c r="C992" s="24">
        <f t="shared" si="15"/>
        <v>4.2008417242121593E-3</v>
      </c>
    </row>
    <row r="993" spans="1:3" ht="14.25" customHeight="1" x14ac:dyDescent="0.3">
      <c r="A993" s="22">
        <v>44756</v>
      </c>
      <c r="B993" s="23">
        <v>385.637</v>
      </c>
      <c r="C993" s="24">
        <f t="shared" si="15"/>
        <v>-1.9720547931024678E-3</v>
      </c>
    </row>
    <row r="994" spans="1:3" ht="14.25" customHeight="1" x14ac:dyDescent="0.3">
      <c r="A994" s="22">
        <v>44755</v>
      </c>
      <c r="B994" s="23">
        <v>386.399</v>
      </c>
      <c r="C994" s="24">
        <f t="shared" si="15"/>
        <v>-1.9011455952057811E-3</v>
      </c>
    </row>
    <row r="995" spans="1:3" ht="14.25" customHeight="1" x14ac:dyDescent="0.3">
      <c r="A995" s="22">
        <v>44754</v>
      </c>
      <c r="B995" s="23">
        <v>387.13499999999999</v>
      </c>
      <c r="C995" s="24">
        <f t="shared" si="15"/>
        <v>-3.6750797168026736E-3</v>
      </c>
    </row>
    <row r="996" spans="1:3" ht="14.25" customHeight="1" x14ac:dyDescent="0.3">
      <c r="A996" s="22">
        <v>44753</v>
      </c>
      <c r="B996" s="23">
        <v>388.56299999999999</v>
      </c>
      <c r="C996" s="24">
        <f t="shared" si="15"/>
        <v>8.6415010097758965E-3</v>
      </c>
    </row>
    <row r="997" spans="1:3" ht="14.25" customHeight="1" x14ac:dyDescent="0.3">
      <c r="A997" s="22">
        <v>44750</v>
      </c>
      <c r="B997" s="23">
        <v>385.23399999999998</v>
      </c>
      <c r="C997" s="24">
        <f t="shared" si="15"/>
        <v>4.5398481849733517E-3</v>
      </c>
    </row>
    <row r="998" spans="1:3" ht="14.25" customHeight="1" x14ac:dyDescent="0.3">
      <c r="A998" s="22">
        <v>44749</v>
      </c>
      <c r="B998" s="23">
        <v>383.49299999999999</v>
      </c>
      <c r="C998" s="24">
        <f t="shared" si="15"/>
        <v>1.5482753689963564E-2</v>
      </c>
    </row>
    <row r="999" spans="1:3" ht="14.25" customHeight="1" x14ac:dyDescent="0.3">
      <c r="A999" s="22">
        <v>44748</v>
      </c>
      <c r="B999" s="23">
        <v>377.64600000000002</v>
      </c>
      <c r="C999" s="24">
        <f t="shared" si="15"/>
        <v>8.4005340453938981E-3</v>
      </c>
    </row>
    <row r="1000" spans="1:3" ht="14.25" customHeight="1" x14ac:dyDescent="0.3">
      <c r="A1000" s="22">
        <v>44747</v>
      </c>
      <c r="B1000" s="23">
        <v>374.5</v>
      </c>
      <c r="C1000" s="24">
        <f t="shared" si="15"/>
        <v>-3.0958598531130583E-3</v>
      </c>
    </row>
    <row r="1001" spans="1:3" ht="14.25" customHeight="1" x14ac:dyDescent="0.3">
      <c r="A1001" s="22">
        <v>44746</v>
      </c>
      <c r="B1001" s="23">
        <v>375.66300000000001</v>
      </c>
      <c r="C1001" s="24">
        <f t="shared" si="15"/>
        <v>7.9609118423594142E-3</v>
      </c>
    </row>
    <row r="1002" spans="1:3" ht="14.25" customHeight="1" x14ac:dyDescent="0.3">
      <c r="A1002" s="22">
        <v>44743</v>
      </c>
      <c r="B1002" s="23">
        <v>372.69600000000003</v>
      </c>
      <c r="C1002" s="24">
        <f t="shared" si="15"/>
        <v>1.1174384871603462E-3</v>
      </c>
    </row>
    <row r="1003" spans="1:3" ht="14.25" customHeight="1" x14ac:dyDescent="0.3">
      <c r="A1003" s="22">
        <v>44742</v>
      </c>
      <c r="B1003" s="23">
        <v>372.28</v>
      </c>
      <c r="C1003" s="24">
        <f t="shared" si="15"/>
        <v>-6.7156353972952091E-3</v>
      </c>
    </row>
    <row r="1004" spans="1:3" ht="14.25" customHeight="1" x14ac:dyDescent="0.3">
      <c r="A1004" s="22">
        <v>44741</v>
      </c>
      <c r="B1004" s="23">
        <v>374.79700000000003</v>
      </c>
      <c r="C1004" s="24">
        <f t="shared" si="15"/>
        <v>-1.0687690232889131E-3</v>
      </c>
    </row>
    <row r="1005" spans="1:3" ht="14.25" customHeight="1" x14ac:dyDescent="0.3">
      <c r="A1005" s="22">
        <v>44740</v>
      </c>
      <c r="B1005" s="23">
        <v>375.19799999999998</v>
      </c>
      <c r="C1005" s="24">
        <f t="shared" si="15"/>
        <v>6.2893419122280643E-3</v>
      </c>
    </row>
    <row r="1006" spans="1:3" ht="14.25" customHeight="1" x14ac:dyDescent="0.3">
      <c r="A1006" s="22">
        <v>44739</v>
      </c>
      <c r="B1006" s="23">
        <v>372.85300000000001</v>
      </c>
      <c r="C1006" s="24">
        <f t="shared" si="15"/>
        <v>1.2351209870107399E-2</v>
      </c>
    </row>
    <row r="1007" spans="1:3" ht="14.25" customHeight="1" x14ac:dyDescent="0.3">
      <c r="A1007" s="22">
        <v>44736</v>
      </c>
      <c r="B1007" s="23">
        <v>368.30399999999997</v>
      </c>
      <c r="C1007" s="24">
        <f t="shared" si="15"/>
        <v>1.651859273181908E-2</v>
      </c>
    </row>
    <row r="1008" spans="1:3" ht="14.25" customHeight="1" x14ac:dyDescent="0.3">
      <c r="A1008" s="22">
        <v>44735</v>
      </c>
      <c r="B1008" s="23">
        <v>362.31900000000002</v>
      </c>
      <c r="C1008" s="24">
        <f t="shared" si="15"/>
        <v>9.1102025355941692E-3</v>
      </c>
    </row>
    <row r="1009" spans="1:3" ht="14.25" customHeight="1" x14ac:dyDescent="0.3">
      <c r="A1009" s="22">
        <v>44734</v>
      </c>
      <c r="B1009" s="23">
        <v>359.048</v>
      </c>
      <c r="C1009" s="24">
        <f t="shared" si="15"/>
        <v>-2.0415735640368766E-2</v>
      </c>
    </row>
    <row r="1010" spans="1:3" ht="14.25" customHeight="1" x14ac:dyDescent="0.3">
      <c r="A1010" s="22">
        <v>44733</v>
      </c>
      <c r="B1010" s="23">
        <v>366.53100000000001</v>
      </c>
      <c r="C1010" s="24">
        <f t="shared" si="15"/>
        <v>3.3285032870626223E-2</v>
      </c>
    </row>
    <row r="1011" spans="1:3" ht="14.25" customHeight="1" x14ac:dyDescent="0.3">
      <c r="A1011" s="22">
        <v>44732</v>
      </c>
      <c r="B1011" s="23">
        <v>354.72399999999999</v>
      </c>
      <c r="C1011" s="24">
        <f t="shared" si="15"/>
        <v>-2.6569266148197386E-2</v>
      </c>
    </row>
    <row r="1012" spans="1:3" ht="14.25" customHeight="1" x14ac:dyDescent="0.3">
      <c r="A1012" s="22">
        <v>44729</v>
      </c>
      <c r="B1012" s="23">
        <v>364.40600000000001</v>
      </c>
      <c r="C1012" s="24">
        <f t="shared" si="15"/>
        <v>-7.6386600619262682E-3</v>
      </c>
    </row>
    <row r="1013" spans="1:3" ht="14.25" customHeight="1" x14ac:dyDescent="0.3">
      <c r="A1013" s="22">
        <v>44728</v>
      </c>
      <c r="B1013" s="23">
        <v>367.21100000000001</v>
      </c>
      <c r="C1013" s="24">
        <f t="shared" si="15"/>
        <v>-3.0842154991989851E-2</v>
      </c>
    </row>
    <row r="1014" spans="1:3" ht="14.25" customHeight="1" x14ac:dyDescent="0.3">
      <c r="A1014" s="22">
        <v>44727</v>
      </c>
      <c r="B1014" s="23">
        <v>378.89699999999999</v>
      </c>
      <c r="C1014" s="24">
        <f t="shared" si="15"/>
        <v>-8.2013037699635934E-4</v>
      </c>
    </row>
    <row r="1015" spans="1:3" ht="14.25" customHeight="1" x14ac:dyDescent="0.3">
      <c r="A1015" s="22">
        <v>44726</v>
      </c>
      <c r="B1015" s="23">
        <v>379.20800000000003</v>
      </c>
      <c r="C1015" s="24">
        <f t="shared" si="15"/>
        <v>1.8758355394217047E-3</v>
      </c>
    </row>
    <row r="1016" spans="1:3" ht="14.25" customHeight="1" x14ac:dyDescent="0.3">
      <c r="A1016" s="22">
        <v>44725</v>
      </c>
      <c r="B1016" s="23">
        <v>378.49799999999999</v>
      </c>
      <c r="C1016" s="24">
        <f t="shared" si="15"/>
        <v>-3.4643351756397343E-2</v>
      </c>
    </row>
    <row r="1017" spans="1:3" ht="14.25" customHeight="1" x14ac:dyDescent="0.3">
      <c r="A1017" s="22">
        <v>44722</v>
      </c>
      <c r="B1017" s="23">
        <v>392.08100000000002</v>
      </c>
      <c r="C1017" s="24">
        <f t="shared" si="15"/>
        <v>-7.0580548436438954E-3</v>
      </c>
    </row>
    <row r="1018" spans="1:3" ht="14.25" customHeight="1" x14ac:dyDescent="0.3">
      <c r="A1018" s="22">
        <v>44721</v>
      </c>
      <c r="B1018" s="23">
        <v>394.86799999999999</v>
      </c>
      <c r="C1018" s="24">
        <f t="shared" si="15"/>
        <v>4.6637067945602042E-3</v>
      </c>
    </row>
    <row r="1019" spans="1:3" ht="14.25" customHeight="1" x14ac:dyDescent="0.3">
      <c r="A1019" s="22">
        <v>44720</v>
      </c>
      <c r="B1019" s="23">
        <v>393.03500000000003</v>
      </c>
      <c r="C1019" s="24">
        <f t="shared" si="15"/>
        <v>-9.4050660261040843E-4</v>
      </c>
    </row>
    <row r="1020" spans="1:3" ht="14.25" customHeight="1" x14ac:dyDescent="0.3">
      <c r="A1020" s="22">
        <v>44719</v>
      </c>
      <c r="B1020" s="23">
        <v>393.40499999999997</v>
      </c>
      <c r="C1020" s="24">
        <f t="shared" si="15"/>
        <v>-7.2775171655029905E-3</v>
      </c>
    </row>
    <row r="1021" spans="1:3" ht="14.25" customHeight="1" x14ac:dyDescent="0.3">
      <c r="A1021" s="22">
        <v>44718</v>
      </c>
      <c r="B1021" s="23">
        <v>396.28899999999999</v>
      </c>
      <c r="C1021" s="24">
        <f t="shared" si="15"/>
        <v>6.211446736843749E-4</v>
      </c>
    </row>
    <row r="1022" spans="1:3" ht="14.25" customHeight="1" x14ac:dyDescent="0.3">
      <c r="A1022" s="22">
        <v>44715</v>
      </c>
      <c r="B1022" s="23">
        <v>396.04300000000001</v>
      </c>
      <c r="C1022" s="24">
        <f t="shared" si="15"/>
        <v>-1.0085533321002326E-2</v>
      </c>
    </row>
    <row r="1023" spans="1:3" ht="14.25" customHeight="1" x14ac:dyDescent="0.3">
      <c r="A1023" s="22">
        <v>44714</v>
      </c>
      <c r="B1023" s="23">
        <v>400.07799999999997</v>
      </c>
      <c r="C1023" s="24">
        <f t="shared" si="15"/>
        <v>7.9435661648925189E-3</v>
      </c>
    </row>
    <row r="1024" spans="1:3" ht="14.25" customHeight="1" x14ac:dyDescent="0.3">
      <c r="A1024" s="22">
        <v>44713</v>
      </c>
      <c r="B1024" s="23">
        <v>396.92500000000001</v>
      </c>
      <c r="C1024" s="24">
        <f t="shared" si="15"/>
        <v>1.8829872355678565E-3</v>
      </c>
    </row>
    <row r="1025" spans="1:3" ht="14.25" customHeight="1" x14ac:dyDescent="0.3">
      <c r="A1025" s="22">
        <v>44712</v>
      </c>
      <c r="B1025" s="23">
        <v>396.17899999999997</v>
      </c>
      <c r="C1025" s="24">
        <f t="shared" si="15"/>
        <v>1.1359792393472681E-4</v>
      </c>
    </row>
    <row r="1026" spans="1:3" ht="14.25" customHeight="1" x14ac:dyDescent="0.3">
      <c r="A1026" s="22">
        <v>44711</v>
      </c>
      <c r="B1026" s="23">
        <v>396.13400000000001</v>
      </c>
      <c r="C1026" s="24">
        <f t="shared" ref="C1026:C1089" si="16">(B1026-B1027)/B1027</f>
        <v>1.715482997948415E-2</v>
      </c>
    </row>
    <row r="1027" spans="1:3" ht="14.25" customHeight="1" x14ac:dyDescent="0.3">
      <c r="A1027" s="22">
        <v>44708</v>
      </c>
      <c r="B1027" s="23">
        <v>389.45299999999997</v>
      </c>
      <c r="C1027" s="24">
        <f t="shared" si="16"/>
        <v>3.8586850055159789E-3</v>
      </c>
    </row>
    <row r="1028" spans="1:3" ht="14.25" customHeight="1" x14ac:dyDescent="0.3">
      <c r="A1028" s="22">
        <v>44707</v>
      </c>
      <c r="B1028" s="23">
        <v>387.95600000000002</v>
      </c>
      <c r="C1028" s="24">
        <f t="shared" si="16"/>
        <v>1.179606345828352E-2</v>
      </c>
    </row>
    <row r="1029" spans="1:3" ht="14.25" customHeight="1" x14ac:dyDescent="0.3">
      <c r="A1029" s="22">
        <v>44706</v>
      </c>
      <c r="B1029" s="23">
        <v>383.43299999999999</v>
      </c>
      <c r="C1029" s="24">
        <f t="shared" si="16"/>
        <v>-2.0134828474465436E-2</v>
      </c>
    </row>
    <row r="1030" spans="1:3" ht="14.25" customHeight="1" x14ac:dyDescent="0.3">
      <c r="A1030" s="22">
        <v>44705</v>
      </c>
      <c r="B1030" s="23">
        <v>391.31200000000001</v>
      </c>
      <c r="C1030" s="24">
        <f t="shared" si="16"/>
        <v>-1.0318873421819318E-2</v>
      </c>
    </row>
    <row r="1031" spans="1:3" ht="14.25" customHeight="1" x14ac:dyDescent="0.3">
      <c r="A1031" s="22">
        <v>44704</v>
      </c>
      <c r="B1031" s="23">
        <v>395.392</v>
      </c>
      <c r="C1031" s="24">
        <f t="shared" si="16"/>
        <v>-1.4619023172123635E-2</v>
      </c>
    </row>
    <row r="1032" spans="1:3" ht="14.25" customHeight="1" x14ac:dyDescent="0.3">
      <c r="A1032" s="22">
        <v>44701</v>
      </c>
      <c r="B1032" s="23">
        <v>401.25799999999998</v>
      </c>
      <c r="C1032" s="24">
        <f t="shared" si="16"/>
        <v>3.4458045022841374E-2</v>
      </c>
    </row>
    <row r="1033" spans="1:3" ht="14.25" customHeight="1" x14ac:dyDescent="0.3">
      <c r="A1033" s="22">
        <v>44700</v>
      </c>
      <c r="B1033" s="23">
        <v>387.892</v>
      </c>
      <c r="C1033" s="24">
        <f t="shared" si="16"/>
        <v>-2.1391575064775136E-2</v>
      </c>
    </row>
    <row r="1034" spans="1:3" ht="14.25" customHeight="1" x14ac:dyDescent="0.3">
      <c r="A1034" s="22">
        <v>44699</v>
      </c>
      <c r="B1034" s="23">
        <v>396.37099999999998</v>
      </c>
      <c r="C1034" s="24">
        <f t="shared" si="16"/>
        <v>4.0784170675420232E-3</v>
      </c>
    </row>
    <row r="1035" spans="1:3" ht="14.25" customHeight="1" x14ac:dyDescent="0.3">
      <c r="A1035" s="22">
        <v>44698</v>
      </c>
      <c r="B1035" s="23">
        <v>394.76100000000002</v>
      </c>
      <c r="C1035" s="24">
        <f t="shared" si="16"/>
        <v>3.6899186526333484E-2</v>
      </c>
    </row>
    <row r="1036" spans="1:3" ht="14.25" customHeight="1" x14ac:dyDescent="0.3">
      <c r="A1036" s="22">
        <v>44697</v>
      </c>
      <c r="B1036" s="23">
        <v>380.71300000000002</v>
      </c>
      <c r="C1036" s="24">
        <f t="shared" si="16"/>
        <v>1.3324212750893724E-2</v>
      </c>
    </row>
    <row r="1037" spans="1:3" ht="14.25" customHeight="1" x14ac:dyDescent="0.3">
      <c r="A1037" s="22">
        <v>44694</v>
      </c>
      <c r="B1037" s="23">
        <v>375.70699999999999</v>
      </c>
      <c r="C1037" s="24">
        <f t="shared" si="16"/>
        <v>-6.9686596501307408E-4</v>
      </c>
    </row>
    <row r="1038" spans="1:3" ht="14.25" customHeight="1" x14ac:dyDescent="0.3">
      <c r="A1038" s="22">
        <v>44693</v>
      </c>
      <c r="B1038" s="23">
        <v>375.96899999999999</v>
      </c>
      <c r="C1038" s="24">
        <f t="shared" si="16"/>
        <v>-1.9156718286930798E-2</v>
      </c>
    </row>
    <row r="1039" spans="1:3" ht="14.25" customHeight="1" x14ac:dyDescent="0.3">
      <c r="A1039" s="22">
        <v>44692</v>
      </c>
      <c r="B1039" s="23">
        <v>383.31200000000001</v>
      </c>
      <c r="C1039" s="24">
        <f t="shared" si="16"/>
        <v>-2.1256929248257925E-2</v>
      </c>
    </row>
    <row r="1040" spans="1:3" ht="14.25" customHeight="1" x14ac:dyDescent="0.3">
      <c r="A1040" s="22">
        <v>44691</v>
      </c>
      <c r="B1040" s="23">
        <v>391.637</v>
      </c>
      <c r="C1040" s="24">
        <f t="shared" si="16"/>
        <v>-2.4613966925682362E-2</v>
      </c>
    </row>
    <row r="1041" spans="1:3" ht="14.25" customHeight="1" x14ac:dyDescent="0.3">
      <c r="A1041" s="22">
        <v>44690</v>
      </c>
      <c r="B1041" s="23">
        <v>401.52</v>
      </c>
      <c r="C1041" s="24">
        <f t="shared" si="16"/>
        <v>-1.8036415216620406E-2</v>
      </c>
    </row>
    <row r="1042" spans="1:3" ht="14.25" customHeight="1" x14ac:dyDescent="0.3">
      <c r="A1042" s="22">
        <v>44687</v>
      </c>
      <c r="B1042" s="23">
        <v>408.89499999999998</v>
      </c>
      <c r="C1042" s="24">
        <f t="shared" si="16"/>
        <v>-1.0703596979572762E-2</v>
      </c>
    </row>
    <row r="1043" spans="1:3" ht="14.25" customHeight="1" x14ac:dyDescent="0.3">
      <c r="A1043" s="22">
        <v>44686</v>
      </c>
      <c r="B1043" s="23">
        <v>413.31900000000002</v>
      </c>
      <c r="C1043" s="24">
        <f t="shared" si="16"/>
        <v>4.6914234459356149E-3</v>
      </c>
    </row>
    <row r="1044" spans="1:3" ht="14.25" customHeight="1" x14ac:dyDescent="0.3">
      <c r="A1044" s="22">
        <v>44685</v>
      </c>
      <c r="B1044" s="23">
        <v>411.38900000000001</v>
      </c>
      <c r="C1044" s="24">
        <f t="shared" si="16"/>
        <v>-3.2897412449486629E-2</v>
      </c>
    </row>
    <row r="1045" spans="1:3" ht="14.25" customHeight="1" x14ac:dyDescent="0.3">
      <c r="A1045" s="22">
        <v>44683</v>
      </c>
      <c r="B1045" s="23">
        <v>425.38299999999998</v>
      </c>
      <c r="C1045" s="24">
        <f t="shared" si="16"/>
        <v>-1.9169404035664179E-3</v>
      </c>
    </row>
    <row r="1046" spans="1:3" ht="14.25" customHeight="1" x14ac:dyDescent="0.3">
      <c r="A1046" s="22">
        <v>44680</v>
      </c>
      <c r="B1046" s="23">
        <v>426.2</v>
      </c>
      <c r="C1046" s="24">
        <f t="shared" si="16"/>
        <v>-1.0549189309659658E-2</v>
      </c>
    </row>
    <row r="1047" spans="1:3" ht="14.25" customHeight="1" x14ac:dyDescent="0.3">
      <c r="A1047" s="22">
        <v>44679</v>
      </c>
      <c r="B1047" s="23">
        <v>430.74400000000003</v>
      </c>
      <c r="C1047" s="24">
        <f t="shared" si="16"/>
        <v>6.9230519043039502E-4</v>
      </c>
    </row>
    <row r="1048" spans="1:3" ht="14.25" customHeight="1" x14ac:dyDescent="0.3">
      <c r="A1048" s="22">
        <v>44678</v>
      </c>
      <c r="B1048" s="23">
        <v>430.44600000000003</v>
      </c>
      <c r="C1048" s="24">
        <f t="shared" si="16"/>
        <v>-5.4412998121537645E-3</v>
      </c>
    </row>
    <row r="1049" spans="1:3" ht="14.25" customHeight="1" x14ac:dyDescent="0.3">
      <c r="A1049" s="22">
        <v>44677</v>
      </c>
      <c r="B1049" s="23">
        <v>432.80099999999999</v>
      </c>
      <c r="C1049" s="24">
        <f t="shared" si="16"/>
        <v>1.9782990304072798E-2</v>
      </c>
    </row>
    <row r="1050" spans="1:3" ht="14.25" customHeight="1" x14ac:dyDescent="0.3">
      <c r="A1050" s="22">
        <v>44676</v>
      </c>
      <c r="B1050" s="23">
        <v>424.40499999999997</v>
      </c>
      <c r="C1050" s="24">
        <f t="shared" si="16"/>
        <v>-2.2923275977180441E-2</v>
      </c>
    </row>
    <row r="1051" spans="1:3" ht="14.25" customHeight="1" x14ac:dyDescent="0.3">
      <c r="A1051" s="22">
        <v>44673</v>
      </c>
      <c r="B1051" s="23">
        <v>434.36200000000002</v>
      </c>
      <c r="C1051" s="24">
        <f t="shared" si="16"/>
        <v>-1.2088419453371446E-2</v>
      </c>
    </row>
    <row r="1052" spans="1:3" ht="14.25" customHeight="1" x14ac:dyDescent="0.3">
      <c r="A1052" s="22">
        <v>44672</v>
      </c>
      <c r="B1052" s="23">
        <v>439.67700000000002</v>
      </c>
      <c r="C1052" s="24">
        <f t="shared" si="16"/>
        <v>1.58919036319401E-2</v>
      </c>
    </row>
    <row r="1053" spans="1:3" ht="14.25" customHeight="1" x14ac:dyDescent="0.3">
      <c r="A1053" s="22">
        <v>44671</v>
      </c>
      <c r="B1053" s="23">
        <v>432.79899999999998</v>
      </c>
      <c r="C1053" s="24">
        <f t="shared" si="16"/>
        <v>3.0037940229066578E-5</v>
      </c>
    </row>
    <row r="1054" spans="1:3" ht="14.25" customHeight="1" x14ac:dyDescent="0.3">
      <c r="A1054" s="22">
        <v>44670</v>
      </c>
      <c r="B1054" s="23">
        <v>432.786</v>
      </c>
      <c r="C1054" s="24">
        <f t="shared" si="16"/>
        <v>-1.2688548824221877E-2</v>
      </c>
    </row>
    <row r="1055" spans="1:3" ht="14.25" customHeight="1" x14ac:dyDescent="0.3">
      <c r="A1055" s="22">
        <v>44669</v>
      </c>
      <c r="B1055" s="23">
        <v>438.34800000000001</v>
      </c>
      <c r="C1055" s="24">
        <f t="shared" si="16"/>
        <v>-9.895443939746373E-3</v>
      </c>
    </row>
    <row r="1056" spans="1:3" ht="14.25" customHeight="1" x14ac:dyDescent="0.3">
      <c r="A1056" s="22">
        <v>44664</v>
      </c>
      <c r="B1056" s="23">
        <v>442.72899999999998</v>
      </c>
      <c r="C1056" s="24">
        <f t="shared" si="16"/>
        <v>2.2139168898316218E-3</v>
      </c>
    </row>
    <row r="1057" spans="1:3" ht="14.25" customHeight="1" x14ac:dyDescent="0.3">
      <c r="A1057" s="22">
        <v>44663</v>
      </c>
      <c r="B1057" s="23">
        <v>441.75099999999998</v>
      </c>
      <c r="C1057" s="24">
        <f t="shared" si="16"/>
        <v>-1.5280669451590078E-2</v>
      </c>
    </row>
    <row r="1058" spans="1:3" ht="14.25" customHeight="1" x14ac:dyDescent="0.3">
      <c r="A1058" s="22">
        <v>44662</v>
      </c>
      <c r="B1058" s="23">
        <v>448.60599999999999</v>
      </c>
      <c r="C1058" s="24">
        <f t="shared" si="16"/>
        <v>4.9102402702424375E-3</v>
      </c>
    </row>
    <row r="1059" spans="1:3" ht="14.25" customHeight="1" x14ac:dyDescent="0.3">
      <c r="A1059" s="22">
        <v>44659</v>
      </c>
      <c r="B1059" s="23">
        <v>446.41399999999999</v>
      </c>
      <c r="C1059" s="24">
        <f t="shared" si="16"/>
        <v>1.7627843467120766E-2</v>
      </c>
    </row>
    <row r="1060" spans="1:3" ht="14.25" customHeight="1" x14ac:dyDescent="0.3">
      <c r="A1060" s="22">
        <v>44658</v>
      </c>
      <c r="B1060" s="23">
        <v>438.68099999999998</v>
      </c>
      <c r="C1060" s="24">
        <f t="shared" si="16"/>
        <v>-8.5632924266052929E-3</v>
      </c>
    </row>
    <row r="1061" spans="1:3" ht="14.25" customHeight="1" x14ac:dyDescent="0.3">
      <c r="A1061" s="22">
        <v>44657</v>
      </c>
      <c r="B1061" s="23">
        <v>442.47</v>
      </c>
      <c r="C1061" s="24">
        <f t="shared" si="16"/>
        <v>5.2823501346148331E-3</v>
      </c>
    </row>
    <row r="1062" spans="1:3" ht="14.25" customHeight="1" x14ac:dyDescent="0.3">
      <c r="A1062" s="22">
        <v>44656</v>
      </c>
      <c r="B1062" s="23">
        <v>440.14499999999998</v>
      </c>
      <c r="C1062" s="24">
        <f t="shared" si="16"/>
        <v>1.2944291772070359E-3</v>
      </c>
    </row>
    <row r="1063" spans="1:3" ht="14.25" customHeight="1" x14ac:dyDescent="0.3">
      <c r="A1063" s="22">
        <v>44655</v>
      </c>
      <c r="B1063" s="23">
        <v>439.57600000000002</v>
      </c>
      <c r="C1063" s="24">
        <f t="shared" si="16"/>
        <v>1.3635011518160439E-2</v>
      </c>
    </row>
    <row r="1064" spans="1:3" ht="14.25" customHeight="1" x14ac:dyDescent="0.3">
      <c r="A1064" s="22">
        <v>44652</v>
      </c>
      <c r="B1064" s="23">
        <v>433.66300000000001</v>
      </c>
      <c r="C1064" s="24">
        <f t="shared" si="16"/>
        <v>1.6475480153949278E-2</v>
      </c>
    </row>
    <row r="1065" spans="1:3" ht="14.25" customHeight="1" x14ac:dyDescent="0.3">
      <c r="A1065" s="22">
        <v>44651</v>
      </c>
      <c r="B1065" s="23">
        <v>426.63400000000001</v>
      </c>
      <c r="C1065" s="24">
        <f t="shared" si="16"/>
        <v>6.5469885032523418E-3</v>
      </c>
    </row>
    <row r="1066" spans="1:3" ht="14.25" customHeight="1" x14ac:dyDescent="0.3">
      <c r="A1066" s="22">
        <v>44650</v>
      </c>
      <c r="B1066" s="23">
        <v>423.85899999999998</v>
      </c>
      <c r="C1066" s="24">
        <f t="shared" si="16"/>
        <v>6.4228287039894772E-3</v>
      </c>
    </row>
    <row r="1067" spans="1:3" ht="14.25" customHeight="1" x14ac:dyDescent="0.3">
      <c r="A1067" s="22">
        <v>44649</v>
      </c>
      <c r="B1067" s="23">
        <v>421.154</v>
      </c>
      <c r="C1067" s="24">
        <f t="shared" si="16"/>
        <v>9.8671826855522126E-3</v>
      </c>
    </row>
    <row r="1068" spans="1:3" ht="14.25" customHeight="1" x14ac:dyDescent="0.3">
      <c r="A1068" s="22">
        <v>44648</v>
      </c>
      <c r="B1068" s="23">
        <v>417.03899999999999</v>
      </c>
      <c r="C1068" s="24">
        <f t="shared" si="16"/>
        <v>3.3821222457282763E-4</v>
      </c>
    </row>
    <row r="1069" spans="1:3" ht="14.25" customHeight="1" x14ac:dyDescent="0.3">
      <c r="A1069" s="22">
        <v>44645</v>
      </c>
      <c r="B1069" s="23">
        <v>416.89800000000002</v>
      </c>
      <c r="C1069" s="24">
        <f t="shared" si="16"/>
        <v>-1.8466334912164561E-4</v>
      </c>
    </row>
    <row r="1070" spans="1:3" ht="14.25" customHeight="1" x14ac:dyDescent="0.3">
      <c r="A1070" s="22">
        <v>44644</v>
      </c>
      <c r="B1070" s="23">
        <v>416.97500000000002</v>
      </c>
      <c r="C1070" s="24">
        <f t="shared" si="16"/>
        <v>1.3674486447064543E-2</v>
      </c>
    </row>
    <row r="1071" spans="1:3" ht="14.25" customHeight="1" x14ac:dyDescent="0.3">
      <c r="A1071" s="22">
        <v>44643</v>
      </c>
      <c r="B1071" s="23">
        <v>411.35</v>
      </c>
      <c r="C1071" s="24">
        <f t="shared" si="16"/>
        <v>2.0877335301698876E-3</v>
      </c>
    </row>
    <row r="1072" spans="1:3" ht="14.25" customHeight="1" x14ac:dyDescent="0.3">
      <c r="A1072" s="22">
        <v>44642</v>
      </c>
      <c r="B1072" s="23">
        <v>410.49299999999999</v>
      </c>
      <c r="C1072" s="24">
        <f t="shared" si="16"/>
        <v>5.9007314652585012E-3</v>
      </c>
    </row>
    <row r="1073" spans="1:3" ht="14.25" customHeight="1" x14ac:dyDescent="0.3">
      <c r="A1073" s="22">
        <v>44641</v>
      </c>
      <c r="B1073" s="23">
        <v>408.08499999999998</v>
      </c>
      <c r="C1073" s="24">
        <f t="shared" si="16"/>
        <v>4.519395740050944E-3</v>
      </c>
    </row>
    <row r="1074" spans="1:3" ht="14.25" customHeight="1" x14ac:dyDescent="0.3">
      <c r="A1074" s="22">
        <v>44637</v>
      </c>
      <c r="B1074" s="23">
        <v>406.24900000000002</v>
      </c>
      <c r="C1074" s="24">
        <f t="shared" si="16"/>
        <v>1.4471075329501057E-2</v>
      </c>
    </row>
    <row r="1075" spans="1:3" ht="14.25" customHeight="1" x14ac:dyDescent="0.3">
      <c r="A1075" s="22">
        <v>44636</v>
      </c>
      <c r="B1075" s="23">
        <v>400.45400000000001</v>
      </c>
      <c r="C1075" s="24">
        <f t="shared" si="16"/>
        <v>1.7641139279107137E-2</v>
      </c>
    </row>
    <row r="1076" spans="1:3" ht="14.25" customHeight="1" x14ac:dyDescent="0.3">
      <c r="A1076" s="22">
        <v>44635</v>
      </c>
      <c r="B1076" s="23">
        <v>393.512</v>
      </c>
      <c r="C1076" s="24">
        <f t="shared" si="16"/>
        <v>-7.781178926772229E-3</v>
      </c>
    </row>
    <row r="1077" spans="1:3" ht="14.25" customHeight="1" x14ac:dyDescent="0.3">
      <c r="A1077" s="22">
        <v>44634</v>
      </c>
      <c r="B1077" s="23">
        <v>396.59800000000001</v>
      </c>
      <c r="C1077" s="24">
        <f t="shared" si="16"/>
        <v>2.1807522710905014E-3</v>
      </c>
    </row>
    <row r="1078" spans="1:3" ht="14.25" customHeight="1" x14ac:dyDescent="0.3">
      <c r="A1078" s="22">
        <v>44631</v>
      </c>
      <c r="B1078" s="23">
        <v>395.73500000000001</v>
      </c>
      <c r="C1078" s="24">
        <f t="shared" si="16"/>
        <v>4.0467854062009121E-3</v>
      </c>
    </row>
    <row r="1079" spans="1:3" ht="14.25" customHeight="1" x14ac:dyDescent="0.3">
      <c r="A1079" s="22">
        <v>44630</v>
      </c>
      <c r="B1079" s="23">
        <v>394.14</v>
      </c>
      <c r="C1079" s="24">
        <f t="shared" si="16"/>
        <v>9.5799180327869084E-3</v>
      </c>
    </row>
    <row r="1080" spans="1:3" ht="14.25" customHeight="1" x14ac:dyDescent="0.3">
      <c r="A1080" s="22">
        <v>44629</v>
      </c>
      <c r="B1080" s="23">
        <v>390.4</v>
      </c>
      <c r="C1080" s="24">
        <f t="shared" si="16"/>
        <v>2.3750272064781468E-2</v>
      </c>
    </row>
    <row r="1081" spans="1:3" ht="14.25" customHeight="1" x14ac:dyDescent="0.3">
      <c r="A1081" s="22">
        <v>44628</v>
      </c>
      <c r="B1081" s="23">
        <v>381.34300000000002</v>
      </c>
      <c r="C1081" s="24">
        <f t="shared" si="16"/>
        <v>1.0059727979446162E-2</v>
      </c>
    </row>
    <row r="1082" spans="1:3" ht="14.25" customHeight="1" x14ac:dyDescent="0.3">
      <c r="A1082" s="22">
        <v>44627</v>
      </c>
      <c r="B1082" s="23">
        <v>377.54500000000002</v>
      </c>
      <c r="C1082" s="24">
        <f t="shared" si="16"/>
        <v>-2.0045786309789437E-2</v>
      </c>
    </row>
    <row r="1083" spans="1:3" ht="14.25" customHeight="1" x14ac:dyDescent="0.3">
      <c r="A1083" s="22">
        <v>44624</v>
      </c>
      <c r="B1083" s="23">
        <v>385.26799999999997</v>
      </c>
      <c r="C1083" s="24">
        <f t="shared" si="16"/>
        <v>-1.9719198611768417E-2</v>
      </c>
    </row>
    <row r="1084" spans="1:3" ht="14.25" customHeight="1" x14ac:dyDescent="0.3">
      <c r="A1084" s="22">
        <v>44623</v>
      </c>
      <c r="B1084" s="23">
        <v>393.01799999999997</v>
      </c>
      <c r="C1084" s="24">
        <f t="shared" si="16"/>
        <v>5.4259817803666462E-3</v>
      </c>
    </row>
    <row r="1085" spans="1:3" ht="14.25" customHeight="1" x14ac:dyDescent="0.3">
      <c r="A1085" s="22">
        <v>44622</v>
      </c>
      <c r="B1085" s="23">
        <v>390.89699999999999</v>
      </c>
      <c r="C1085" s="24">
        <f t="shared" si="16"/>
        <v>-1.4433073963756322E-3</v>
      </c>
    </row>
    <row r="1086" spans="1:3" ht="14.25" customHeight="1" x14ac:dyDescent="0.3">
      <c r="A1086" s="22">
        <v>44620</v>
      </c>
      <c r="B1086" s="23">
        <v>391.46199999999999</v>
      </c>
      <c r="C1086" s="24">
        <f t="shared" si="16"/>
        <v>1.4158141125449096E-2</v>
      </c>
    </row>
    <row r="1087" spans="1:3" ht="14.25" customHeight="1" x14ac:dyDescent="0.3">
      <c r="A1087" s="22">
        <v>44617</v>
      </c>
      <c r="B1087" s="23">
        <v>385.99700000000001</v>
      </c>
      <c r="C1087" s="24">
        <f t="shared" si="16"/>
        <v>3.6912769706868506E-2</v>
      </c>
    </row>
    <row r="1088" spans="1:3" ht="14.25" customHeight="1" x14ac:dyDescent="0.3">
      <c r="A1088" s="22">
        <v>44616</v>
      </c>
      <c r="B1088" s="23">
        <v>372.25599999999997</v>
      </c>
      <c r="C1088" s="24">
        <f t="shared" si="16"/>
        <v>-5.4748779255339497E-2</v>
      </c>
    </row>
    <row r="1089" spans="1:3" ht="14.25" customHeight="1" x14ac:dyDescent="0.3">
      <c r="A1089" s="22">
        <v>44615</v>
      </c>
      <c r="B1089" s="23">
        <v>393.81700000000001</v>
      </c>
      <c r="C1089" s="24">
        <f t="shared" si="16"/>
        <v>4.8454013339525124E-3</v>
      </c>
    </row>
    <row r="1090" spans="1:3" ht="14.25" customHeight="1" x14ac:dyDescent="0.3">
      <c r="A1090" s="22">
        <v>44614</v>
      </c>
      <c r="B1090" s="23">
        <v>391.91800000000001</v>
      </c>
      <c r="C1090" s="24">
        <f t="shared" ref="C1090:C1153" si="17">(B1090-B1091)/B1091</f>
        <v>-1.633427537359505E-2</v>
      </c>
    </row>
    <row r="1091" spans="1:3" ht="14.25" customHeight="1" x14ac:dyDescent="0.3">
      <c r="A1091" s="22">
        <v>44613</v>
      </c>
      <c r="B1091" s="23">
        <v>398.42599999999999</v>
      </c>
      <c r="C1091" s="24">
        <f t="shared" si="17"/>
        <v>-1.9485952788770123E-2</v>
      </c>
    </row>
    <row r="1092" spans="1:3" ht="14.25" customHeight="1" x14ac:dyDescent="0.3">
      <c r="A1092" s="22">
        <v>44610</v>
      </c>
      <c r="B1092" s="23">
        <v>406.34399999999999</v>
      </c>
      <c r="C1092" s="24">
        <f t="shared" si="17"/>
        <v>-7.5009464724058138E-3</v>
      </c>
    </row>
    <row r="1093" spans="1:3" ht="14.25" customHeight="1" x14ac:dyDescent="0.3">
      <c r="A1093" s="22">
        <v>44609</v>
      </c>
      <c r="B1093" s="23">
        <v>409.41500000000002</v>
      </c>
      <c r="C1093" s="24">
        <f t="shared" si="17"/>
        <v>-5.8423441252388924E-3</v>
      </c>
    </row>
    <row r="1094" spans="1:3" ht="14.25" customHeight="1" x14ac:dyDescent="0.3">
      <c r="A1094" s="22">
        <v>44608</v>
      </c>
      <c r="B1094" s="23">
        <v>411.82100000000003</v>
      </c>
      <c r="C1094" s="24">
        <f t="shared" si="17"/>
        <v>-1.7380217095152072E-3</v>
      </c>
    </row>
    <row r="1095" spans="1:3" ht="14.25" customHeight="1" x14ac:dyDescent="0.3">
      <c r="A1095" s="22">
        <v>44607</v>
      </c>
      <c r="B1095" s="23">
        <v>412.53800000000001</v>
      </c>
      <c r="C1095" s="24">
        <f t="shared" si="17"/>
        <v>2.6510137253535838E-2</v>
      </c>
    </row>
    <row r="1096" spans="1:3" ht="14.25" customHeight="1" x14ac:dyDescent="0.3">
      <c r="A1096" s="22">
        <v>44606</v>
      </c>
      <c r="B1096" s="23">
        <v>401.88400000000001</v>
      </c>
      <c r="C1096" s="24">
        <f t="shared" si="17"/>
        <v>-4.202938624510151E-2</v>
      </c>
    </row>
    <row r="1097" spans="1:3" ht="14.25" customHeight="1" x14ac:dyDescent="0.3">
      <c r="A1097" s="22">
        <v>44603</v>
      </c>
      <c r="B1097" s="23">
        <v>419.51600000000002</v>
      </c>
      <c r="C1097" s="24">
        <f t="shared" si="17"/>
        <v>-1.5414800837393527E-2</v>
      </c>
    </row>
    <row r="1098" spans="1:3" ht="14.25" customHeight="1" x14ac:dyDescent="0.3">
      <c r="A1098" s="22">
        <v>44602</v>
      </c>
      <c r="B1098" s="23">
        <v>426.084</v>
      </c>
      <c r="C1098" s="24">
        <f t="shared" si="17"/>
        <v>3.703075531433747E-3</v>
      </c>
    </row>
    <row r="1099" spans="1:3" ht="14.25" customHeight="1" x14ac:dyDescent="0.3">
      <c r="A1099" s="22">
        <v>44601</v>
      </c>
      <c r="B1099" s="23">
        <v>424.512</v>
      </c>
      <c r="C1099" s="24">
        <f t="shared" si="17"/>
        <v>1.1050986967456716E-2</v>
      </c>
    </row>
    <row r="1100" spans="1:3" ht="14.25" customHeight="1" x14ac:dyDescent="0.3">
      <c r="A1100" s="22">
        <v>44600</v>
      </c>
      <c r="B1100" s="23">
        <v>419.87200000000001</v>
      </c>
      <c r="C1100" s="24">
        <f t="shared" si="17"/>
        <v>-9.0978389387505673E-3</v>
      </c>
    </row>
    <row r="1101" spans="1:3" ht="14.25" customHeight="1" x14ac:dyDescent="0.3">
      <c r="A1101" s="22">
        <v>44599</v>
      </c>
      <c r="B1101" s="23">
        <v>423.72699999999998</v>
      </c>
      <c r="C1101" s="24">
        <f t="shared" si="17"/>
        <v>-9.4374468164689744E-3</v>
      </c>
    </row>
    <row r="1102" spans="1:3" ht="14.25" customHeight="1" x14ac:dyDescent="0.3">
      <c r="A1102" s="22">
        <v>44596</v>
      </c>
      <c r="B1102" s="23">
        <v>427.76400000000001</v>
      </c>
      <c r="C1102" s="24">
        <f t="shared" si="17"/>
        <v>4.4670734588019104E-4</v>
      </c>
    </row>
    <row r="1103" spans="1:3" ht="14.25" customHeight="1" x14ac:dyDescent="0.3">
      <c r="A1103" s="22">
        <v>44595</v>
      </c>
      <c r="B1103" s="23">
        <v>427.57299999999998</v>
      </c>
      <c r="C1103" s="24">
        <f t="shared" si="17"/>
        <v>-2.0282792069872425E-3</v>
      </c>
    </row>
    <row r="1104" spans="1:3" ht="14.25" customHeight="1" x14ac:dyDescent="0.3">
      <c r="A1104" s="22">
        <v>44594</v>
      </c>
      <c r="B1104" s="23">
        <v>428.44200000000001</v>
      </c>
      <c r="C1104" s="24">
        <f t="shared" si="17"/>
        <v>1.3320403963955453E-2</v>
      </c>
    </row>
    <row r="1105" spans="1:3" ht="14.25" customHeight="1" x14ac:dyDescent="0.3">
      <c r="A1105" s="22">
        <v>44593</v>
      </c>
      <c r="B1105" s="23">
        <v>422.81</v>
      </c>
      <c r="C1105" s="24">
        <f t="shared" si="17"/>
        <v>1.5876905925488113E-2</v>
      </c>
    </row>
    <row r="1106" spans="1:3" ht="14.25" customHeight="1" x14ac:dyDescent="0.3">
      <c r="A1106" s="22">
        <v>44592</v>
      </c>
      <c r="B1106" s="23">
        <v>416.202</v>
      </c>
      <c r="C1106" s="24">
        <f t="shared" si="17"/>
        <v>9.1017534331601056E-3</v>
      </c>
    </row>
    <row r="1107" spans="1:3" ht="14.25" customHeight="1" x14ac:dyDescent="0.3">
      <c r="A1107" s="22">
        <v>44589</v>
      </c>
      <c r="B1107" s="23">
        <v>412.44799999999998</v>
      </c>
      <c r="C1107" s="24">
        <f t="shared" si="17"/>
        <v>6.8154744468529038E-3</v>
      </c>
    </row>
    <row r="1108" spans="1:3" ht="14.25" customHeight="1" x14ac:dyDescent="0.3">
      <c r="A1108" s="22">
        <v>44588</v>
      </c>
      <c r="B1108" s="23">
        <v>409.65600000000001</v>
      </c>
      <c r="C1108" s="24">
        <f t="shared" si="17"/>
        <v>-3.7257896631224217E-3</v>
      </c>
    </row>
    <row r="1109" spans="1:3" ht="14.25" customHeight="1" x14ac:dyDescent="0.3">
      <c r="A1109" s="22">
        <v>44586</v>
      </c>
      <c r="B1109" s="23">
        <v>411.18799999999999</v>
      </c>
      <c r="C1109" s="24">
        <f t="shared" si="17"/>
        <v>1.7860104511935142E-2</v>
      </c>
    </row>
    <row r="1110" spans="1:3" ht="14.25" customHeight="1" x14ac:dyDescent="0.3">
      <c r="A1110" s="22">
        <v>44585</v>
      </c>
      <c r="B1110" s="23">
        <v>403.97300000000001</v>
      </c>
      <c r="C1110" s="24">
        <f t="shared" si="17"/>
        <v>-4.197338215485024E-2</v>
      </c>
    </row>
    <row r="1111" spans="1:3" ht="14.25" customHeight="1" x14ac:dyDescent="0.3">
      <c r="A1111" s="22">
        <v>44582</v>
      </c>
      <c r="B1111" s="23">
        <v>421.67200000000003</v>
      </c>
      <c r="C1111" s="24">
        <f t="shared" si="17"/>
        <v>-1.307175774767875E-2</v>
      </c>
    </row>
    <row r="1112" spans="1:3" ht="14.25" customHeight="1" x14ac:dyDescent="0.3">
      <c r="A1112" s="22">
        <v>44581</v>
      </c>
      <c r="B1112" s="23">
        <v>427.25700000000001</v>
      </c>
      <c r="C1112" s="24">
        <f t="shared" si="17"/>
        <v>-1.8875638045623743E-3</v>
      </c>
    </row>
    <row r="1113" spans="1:3" ht="14.25" customHeight="1" x14ac:dyDescent="0.3">
      <c r="A1113" s="22">
        <v>44580</v>
      </c>
      <c r="B1113" s="23">
        <v>428.065</v>
      </c>
      <c r="C1113" s="24">
        <f t="shared" si="17"/>
        <v>-2.7699217712590244E-3</v>
      </c>
    </row>
    <row r="1114" spans="1:3" ht="14.25" customHeight="1" x14ac:dyDescent="0.3">
      <c r="A1114" s="22">
        <v>44579</v>
      </c>
      <c r="B1114" s="23">
        <v>429.25400000000002</v>
      </c>
      <c r="C1114" s="24">
        <f t="shared" si="17"/>
        <v>-1.6987578777663798E-2</v>
      </c>
    </row>
    <row r="1115" spans="1:3" ht="14.25" customHeight="1" x14ac:dyDescent="0.3">
      <c r="A1115" s="22">
        <v>44578</v>
      </c>
      <c r="B1115" s="23">
        <v>436.67200000000003</v>
      </c>
      <c r="C1115" s="24">
        <f t="shared" si="17"/>
        <v>1.3851050753553159E-3</v>
      </c>
    </row>
    <row r="1116" spans="1:3" ht="14.25" customHeight="1" x14ac:dyDescent="0.3">
      <c r="A1116" s="22">
        <v>44575</v>
      </c>
      <c r="B1116" s="23">
        <v>436.06799999999998</v>
      </c>
      <c r="C1116" s="24">
        <f t="shared" si="17"/>
        <v>5.5736064254434401E-3</v>
      </c>
    </row>
    <row r="1117" spans="1:3" ht="14.25" customHeight="1" x14ac:dyDescent="0.3">
      <c r="A1117" s="22">
        <v>44574</v>
      </c>
      <c r="B1117" s="23">
        <v>433.65100000000001</v>
      </c>
      <c r="C1117" s="24">
        <f t="shared" si="17"/>
        <v>5.8310931328093155E-3</v>
      </c>
    </row>
    <row r="1118" spans="1:3" ht="14.25" customHeight="1" x14ac:dyDescent="0.3">
      <c r="A1118" s="22">
        <v>44573</v>
      </c>
      <c r="B1118" s="23">
        <v>431.137</v>
      </c>
      <c r="C1118" s="24">
        <f t="shared" si="17"/>
        <v>9.6956184703873467E-3</v>
      </c>
    </row>
    <row r="1119" spans="1:3" ht="14.25" customHeight="1" x14ac:dyDescent="0.3">
      <c r="A1119" s="22">
        <v>44572</v>
      </c>
      <c r="B1119" s="23">
        <v>426.99700000000001</v>
      </c>
      <c r="C1119" s="24">
        <f t="shared" si="17"/>
        <v>-3.0166546420757321E-3</v>
      </c>
    </row>
    <row r="1120" spans="1:3" ht="14.25" customHeight="1" x14ac:dyDescent="0.3">
      <c r="A1120" s="22">
        <v>44571</v>
      </c>
      <c r="B1120" s="23">
        <v>428.28899999999999</v>
      </c>
      <c r="C1120" s="24">
        <f t="shared" si="17"/>
        <v>1.4076203284526342E-2</v>
      </c>
    </row>
    <row r="1121" spans="1:3" ht="14.25" customHeight="1" x14ac:dyDescent="0.3">
      <c r="A1121" s="22">
        <v>44568</v>
      </c>
      <c r="B1121" s="23">
        <v>422.34399999999999</v>
      </c>
      <c r="C1121" s="24">
        <f t="shared" si="17"/>
        <v>3.6572759354094823E-3</v>
      </c>
    </row>
    <row r="1122" spans="1:3" ht="14.25" customHeight="1" x14ac:dyDescent="0.3">
      <c r="A1122" s="22">
        <v>44567</v>
      </c>
      <c r="B1122" s="23">
        <v>420.80500000000001</v>
      </c>
      <c r="C1122" s="24">
        <f t="shared" si="17"/>
        <v>-2.143658304660314E-3</v>
      </c>
    </row>
    <row r="1123" spans="1:3" ht="14.25" customHeight="1" x14ac:dyDescent="0.3">
      <c r="A1123" s="22">
        <v>44566</v>
      </c>
      <c r="B1123" s="23">
        <v>421.709</v>
      </c>
      <c r="C1123" s="24">
        <f t="shared" si="17"/>
        <v>1.8482839230183096E-3</v>
      </c>
    </row>
    <row r="1124" spans="1:3" ht="14.25" customHeight="1" x14ac:dyDescent="0.3">
      <c r="A1124" s="22">
        <v>44565</v>
      </c>
      <c r="B1124" s="23">
        <v>420.93099999999998</v>
      </c>
      <c r="C1124" s="24">
        <f t="shared" si="17"/>
        <v>-1.0926962755683155E-4</v>
      </c>
    </row>
    <row r="1125" spans="1:3" ht="14.25" customHeight="1" x14ac:dyDescent="0.3">
      <c r="A1125" s="22">
        <v>44564</v>
      </c>
      <c r="B1125" s="23">
        <v>420.97699999999998</v>
      </c>
      <c r="C1125" s="24">
        <f t="shared" si="17"/>
        <v>1.3911334510273226E-2</v>
      </c>
    </row>
    <row r="1126" spans="1:3" ht="14.25" customHeight="1" x14ac:dyDescent="0.3">
      <c r="A1126" s="22">
        <v>44561</v>
      </c>
      <c r="B1126" s="23">
        <v>415.20100000000002</v>
      </c>
      <c r="C1126" s="24">
        <f t="shared" si="17"/>
        <v>9.5508336311890089E-3</v>
      </c>
    </row>
    <row r="1127" spans="1:3" ht="14.25" customHeight="1" x14ac:dyDescent="0.3">
      <c r="A1127" s="22">
        <v>44560</v>
      </c>
      <c r="B1127" s="23">
        <v>411.27300000000002</v>
      </c>
      <c r="C1127" s="24">
        <f t="shared" si="17"/>
        <v>-5.5372458367889867E-3</v>
      </c>
    </row>
    <row r="1128" spans="1:3" ht="14.25" customHeight="1" x14ac:dyDescent="0.3">
      <c r="A1128" s="22">
        <v>44559</v>
      </c>
      <c r="B1128" s="23">
        <v>413.56299999999999</v>
      </c>
      <c r="C1128" s="24">
        <f t="shared" si="17"/>
        <v>-2.3159149190757479E-3</v>
      </c>
    </row>
    <row r="1129" spans="1:3" ht="14.25" customHeight="1" x14ac:dyDescent="0.3">
      <c r="A1129" s="22">
        <v>44558</v>
      </c>
      <c r="B1129" s="23">
        <v>414.52300000000002</v>
      </c>
      <c r="C1129" s="24">
        <f t="shared" si="17"/>
        <v>1.33748276502743E-2</v>
      </c>
    </row>
    <row r="1130" spans="1:3" ht="14.25" customHeight="1" x14ac:dyDescent="0.3">
      <c r="A1130" s="22">
        <v>44557</v>
      </c>
      <c r="B1130" s="23">
        <v>409.05200000000002</v>
      </c>
      <c r="C1130" s="24">
        <f t="shared" si="17"/>
        <v>1.2385386223339077E-3</v>
      </c>
    </row>
    <row r="1131" spans="1:3" ht="14.25" customHeight="1" x14ac:dyDescent="0.3">
      <c r="A1131" s="22">
        <v>44554</v>
      </c>
      <c r="B1131" s="23">
        <v>408.54599999999999</v>
      </c>
      <c r="C1131" s="24">
        <f t="shared" si="17"/>
        <v>-5.8934028926827036E-3</v>
      </c>
    </row>
    <row r="1132" spans="1:3" ht="14.25" customHeight="1" x14ac:dyDescent="0.3">
      <c r="A1132" s="22">
        <v>44553</v>
      </c>
      <c r="B1132" s="23">
        <v>410.96800000000002</v>
      </c>
      <c r="C1132" s="24">
        <f t="shared" si="17"/>
        <v>9.7419429340816453E-3</v>
      </c>
    </row>
    <row r="1133" spans="1:3" ht="14.25" customHeight="1" x14ac:dyDescent="0.3">
      <c r="A1133" s="22">
        <v>44552</v>
      </c>
      <c r="B1133" s="23">
        <v>407.00299999999999</v>
      </c>
      <c r="C1133" s="24">
        <f t="shared" si="17"/>
        <v>1.5537357526398725E-2</v>
      </c>
    </row>
    <row r="1134" spans="1:3" ht="14.25" customHeight="1" x14ac:dyDescent="0.3">
      <c r="A1134" s="22">
        <v>44551</v>
      </c>
      <c r="B1134" s="23">
        <v>400.77600000000001</v>
      </c>
      <c r="C1134" s="24">
        <f t="shared" si="17"/>
        <v>1.6220437700790333E-2</v>
      </c>
    </row>
    <row r="1135" spans="1:3" ht="14.25" customHeight="1" x14ac:dyDescent="0.3">
      <c r="A1135" s="22">
        <v>44550</v>
      </c>
      <c r="B1135" s="23">
        <v>394.37900000000002</v>
      </c>
      <c r="C1135" s="24">
        <f t="shared" si="17"/>
        <v>-3.0757396275196944E-2</v>
      </c>
    </row>
    <row r="1136" spans="1:3" ht="14.25" customHeight="1" x14ac:dyDescent="0.3">
      <c r="A1136" s="22">
        <v>44547</v>
      </c>
      <c r="B1136" s="23">
        <v>406.89400000000001</v>
      </c>
      <c r="C1136" s="24">
        <f t="shared" si="17"/>
        <v>-2.9936750657406981E-2</v>
      </c>
    </row>
    <row r="1137" spans="1:3" ht="14.25" customHeight="1" x14ac:dyDescent="0.3">
      <c r="A1137" s="22">
        <v>44546</v>
      </c>
      <c r="B1137" s="23">
        <v>419.45100000000002</v>
      </c>
      <c r="C1137" s="24">
        <f t="shared" si="17"/>
        <v>-4.3013509375377261E-3</v>
      </c>
    </row>
    <row r="1138" spans="1:3" ht="14.25" customHeight="1" x14ac:dyDescent="0.3">
      <c r="A1138" s="22">
        <v>44545</v>
      </c>
      <c r="B1138" s="23">
        <v>421.26299999999998</v>
      </c>
      <c r="C1138" s="24">
        <f t="shared" si="17"/>
        <v>-8.9724920426182114E-3</v>
      </c>
    </row>
    <row r="1139" spans="1:3" ht="14.25" customHeight="1" x14ac:dyDescent="0.3">
      <c r="A1139" s="22">
        <v>44544</v>
      </c>
      <c r="B1139" s="23">
        <v>425.077</v>
      </c>
      <c r="C1139" s="24">
        <f t="shared" si="17"/>
        <v>-5.0557418950138329E-3</v>
      </c>
    </row>
    <row r="1140" spans="1:3" ht="14.25" customHeight="1" x14ac:dyDescent="0.3">
      <c r="A1140" s="22">
        <v>44543</v>
      </c>
      <c r="B1140" s="23">
        <v>427.23700000000002</v>
      </c>
      <c r="C1140" s="24">
        <f t="shared" si="17"/>
        <v>4.683434924843643E-4</v>
      </c>
    </row>
    <row r="1141" spans="1:3" ht="14.25" customHeight="1" x14ac:dyDescent="0.3">
      <c r="A1141" s="22">
        <v>44540</v>
      </c>
      <c r="B1141" s="23">
        <v>427.03699999999998</v>
      </c>
      <c r="C1141" s="24">
        <f t="shared" si="17"/>
        <v>7.5191695175178836E-3</v>
      </c>
    </row>
    <row r="1142" spans="1:3" ht="14.25" customHeight="1" x14ac:dyDescent="0.3">
      <c r="A1142" s="22">
        <v>44539</v>
      </c>
      <c r="B1142" s="23">
        <v>423.85</v>
      </c>
      <c r="C1142" s="24">
        <f t="shared" si="17"/>
        <v>9.8278634820418119E-3</v>
      </c>
    </row>
    <row r="1143" spans="1:3" ht="14.25" customHeight="1" x14ac:dyDescent="0.3">
      <c r="A1143" s="22">
        <v>44538</v>
      </c>
      <c r="B1143" s="23">
        <v>419.72500000000002</v>
      </c>
      <c r="C1143" s="24">
        <f t="shared" si="17"/>
        <v>2.962352415926452E-2</v>
      </c>
    </row>
    <row r="1144" spans="1:3" ht="14.25" customHeight="1" x14ac:dyDescent="0.3">
      <c r="A1144" s="22">
        <v>44536</v>
      </c>
      <c r="B1144" s="23">
        <v>407.649</v>
      </c>
      <c r="C1144" s="24">
        <f t="shared" si="17"/>
        <v>-1.8179322104928508E-2</v>
      </c>
    </row>
    <row r="1145" spans="1:3" ht="14.25" customHeight="1" x14ac:dyDescent="0.3">
      <c r="A1145" s="22">
        <v>44533</v>
      </c>
      <c r="B1145" s="23">
        <v>415.197</v>
      </c>
      <c r="C1145" s="24">
        <f t="shared" si="17"/>
        <v>-4.7056285358136494E-3</v>
      </c>
    </row>
    <row r="1146" spans="1:3" ht="14.25" customHeight="1" x14ac:dyDescent="0.3">
      <c r="A1146" s="22">
        <v>44532</v>
      </c>
      <c r="B1146" s="23">
        <v>417.16</v>
      </c>
      <c r="C1146" s="24">
        <f t="shared" si="17"/>
        <v>5.1297372967320969E-3</v>
      </c>
    </row>
    <row r="1147" spans="1:3" ht="14.25" customHeight="1" x14ac:dyDescent="0.3">
      <c r="A1147" s="22">
        <v>44531</v>
      </c>
      <c r="B1147" s="23">
        <v>415.03100000000001</v>
      </c>
      <c r="C1147" s="24">
        <f t="shared" si="17"/>
        <v>1.6831593415343467E-2</v>
      </c>
    </row>
    <row r="1148" spans="1:3" ht="14.25" customHeight="1" x14ac:dyDescent="0.3">
      <c r="A1148" s="22">
        <v>44530</v>
      </c>
      <c r="B1148" s="23">
        <v>408.161</v>
      </c>
      <c r="C1148" s="24">
        <f t="shared" si="17"/>
        <v>-4.3979471368217633E-3</v>
      </c>
    </row>
    <row r="1149" spans="1:3" ht="14.25" customHeight="1" x14ac:dyDescent="0.3">
      <c r="A1149" s="22">
        <v>44529</v>
      </c>
      <c r="B1149" s="23">
        <v>409.964</v>
      </c>
      <c r="C1149" s="24">
        <f t="shared" si="17"/>
        <v>-1.2625058404743714E-2</v>
      </c>
    </row>
    <row r="1150" spans="1:3" ht="14.25" customHeight="1" x14ac:dyDescent="0.3">
      <c r="A1150" s="22">
        <v>44526</v>
      </c>
      <c r="B1150" s="23">
        <v>415.20600000000002</v>
      </c>
      <c r="C1150" s="24">
        <f t="shared" si="17"/>
        <v>-2.829420354976404E-2</v>
      </c>
    </row>
    <row r="1151" spans="1:3" ht="14.25" customHeight="1" x14ac:dyDescent="0.3">
      <c r="A1151" s="22">
        <v>44525</v>
      </c>
      <c r="B1151" s="23">
        <v>427.29599999999999</v>
      </c>
      <c r="C1151" s="24">
        <f t="shared" si="17"/>
        <v>1.5060956489514284E-2</v>
      </c>
    </row>
    <row r="1152" spans="1:3" ht="14.25" customHeight="1" x14ac:dyDescent="0.3">
      <c r="A1152" s="22">
        <v>44524</v>
      </c>
      <c r="B1152" s="23">
        <v>420.95600000000002</v>
      </c>
      <c r="C1152" s="24">
        <f t="shared" si="17"/>
        <v>-1.4161920327929822E-3</v>
      </c>
    </row>
    <row r="1153" spans="1:3" ht="14.25" customHeight="1" x14ac:dyDescent="0.3">
      <c r="A1153" s="22">
        <v>44523</v>
      </c>
      <c r="B1153" s="23">
        <v>421.553</v>
      </c>
      <c r="C1153" s="24">
        <f t="shared" si="17"/>
        <v>2.1763368510861046E-2</v>
      </c>
    </row>
    <row r="1154" spans="1:3" ht="14.25" customHeight="1" x14ac:dyDescent="0.3">
      <c r="A1154" s="22">
        <v>44522</v>
      </c>
      <c r="B1154" s="23">
        <v>412.57400000000001</v>
      </c>
      <c r="C1154" s="24">
        <f t="shared" ref="C1154:C1205" si="18">(B1154-B1155)/B1155</f>
        <v>-2.0640018610436545E-2</v>
      </c>
    </row>
    <row r="1155" spans="1:3" ht="14.25" customHeight="1" x14ac:dyDescent="0.3">
      <c r="A1155" s="22">
        <v>44518</v>
      </c>
      <c r="B1155" s="23">
        <v>421.26900000000001</v>
      </c>
      <c r="C1155" s="24">
        <f t="shared" si="18"/>
        <v>-9.6829247651555091E-3</v>
      </c>
    </row>
    <row r="1156" spans="1:3" ht="14.25" customHeight="1" x14ac:dyDescent="0.3">
      <c r="A1156" s="22">
        <v>44517</v>
      </c>
      <c r="B1156" s="23">
        <v>425.38799999999998</v>
      </c>
      <c r="C1156" s="24">
        <f t="shared" si="18"/>
        <v>-1.1247643043486388E-3</v>
      </c>
    </row>
    <row r="1157" spans="1:3" ht="14.25" customHeight="1" x14ac:dyDescent="0.3">
      <c r="A1157" s="22">
        <v>44516</v>
      </c>
      <c r="B1157" s="23">
        <v>425.86700000000002</v>
      </c>
      <c r="C1157" s="24">
        <f t="shared" si="18"/>
        <v>-1.6386678732012291E-3</v>
      </c>
    </row>
    <row r="1158" spans="1:3" ht="14.25" customHeight="1" x14ac:dyDescent="0.3">
      <c r="A1158" s="22">
        <v>44515</v>
      </c>
      <c r="B1158" s="23">
        <v>426.56599999999997</v>
      </c>
      <c r="C1158" s="24">
        <f t="shared" si="18"/>
        <v>-2.1567856875515231E-3</v>
      </c>
    </row>
    <row r="1159" spans="1:3" ht="14.25" customHeight="1" x14ac:dyDescent="0.3">
      <c r="A1159" s="22">
        <v>44512</v>
      </c>
      <c r="B1159" s="23">
        <v>427.488</v>
      </c>
      <c r="C1159" s="24">
        <f t="shared" si="18"/>
        <v>8.9260005758709619E-3</v>
      </c>
    </row>
    <row r="1160" spans="1:3" ht="14.25" customHeight="1" x14ac:dyDescent="0.3">
      <c r="A1160" s="22">
        <v>44511</v>
      </c>
      <c r="B1160" s="23">
        <v>423.70600000000002</v>
      </c>
      <c r="C1160" s="24">
        <f t="shared" si="18"/>
        <v>-8.3645384759407308E-3</v>
      </c>
    </row>
    <row r="1161" spans="1:3" ht="14.25" customHeight="1" x14ac:dyDescent="0.3">
      <c r="A1161" s="22">
        <v>44510</v>
      </c>
      <c r="B1161" s="23">
        <v>427.28</v>
      </c>
      <c r="C1161" s="24">
        <f t="shared" si="18"/>
        <v>-3.6005447456300011E-3</v>
      </c>
    </row>
    <row r="1162" spans="1:3" ht="14.25" customHeight="1" x14ac:dyDescent="0.3">
      <c r="A1162" s="22">
        <v>44509</v>
      </c>
      <c r="B1162" s="23">
        <v>428.82400000000001</v>
      </c>
      <c r="C1162" s="24">
        <f t="shared" si="18"/>
        <v>1.1143650759965854E-2</v>
      </c>
    </row>
    <row r="1163" spans="1:3" ht="14.25" customHeight="1" x14ac:dyDescent="0.3">
      <c r="A1163" s="22">
        <v>44508</v>
      </c>
      <c r="B1163" s="23">
        <v>424.09800000000001</v>
      </c>
      <c r="C1163" s="24">
        <f t="shared" si="18"/>
        <v>1.8408767818035108E-2</v>
      </c>
    </row>
    <row r="1164" spans="1:3" ht="14.25" customHeight="1" x14ac:dyDescent="0.3">
      <c r="A1164" s="22">
        <v>44503</v>
      </c>
      <c r="B1164" s="23">
        <v>416.43200000000002</v>
      </c>
      <c r="C1164" s="24">
        <f t="shared" si="18"/>
        <v>-1.1513221015465166E-3</v>
      </c>
    </row>
    <row r="1165" spans="1:3" ht="14.25" customHeight="1" x14ac:dyDescent="0.3">
      <c r="A1165" s="22">
        <v>44502</v>
      </c>
      <c r="B1165" s="23">
        <v>416.91199999999998</v>
      </c>
      <c r="C1165" s="24">
        <f t="shared" si="18"/>
        <v>1.1168862037268253E-2</v>
      </c>
    </row>
    <row r="1166" spans="1:3" ht="14.25" customHeight="1" x14ac:dyDescent="0.3">
      <c r="A1166" s="22">
        <v>44501</v>
      </c>
      <c r="B1166" s="23">
        <v>412.30700000000002</v>
      </c>
      <c r="C1166" s="24">
        <f t="shared" si="18"/>
        <v>1.6673858634676793E-2</v>
      </c>
    </row>
    <row r="1167" spans="1:3" ht="14.25" customHeight="1" x14ac:dyDescent="0.3">
      <c r="A1167" s="22">
        <v>44498</v>
      </c>
      <c r="B1167" s="23">
        <v>405.54500000000002</v>
      </c>
      <c r="C1167" s="24">
        <f t="shared" si="18"/>
        <v>-1.0025815860002715E-3</v>
      </c>
    </row>
    <row r="1168" spans="1:3" ht="14.25" customHeight="1" x14ac:dyDescent="0.3">
      <c r="A1168" s="22">
        <v>44497</v>
      </c>
      <c r="B1168" s="23">
        <v>405.952</v>
      </c>
      <c r="C1168" s="24">
        <f t="shared" si="18"/>
        <v>-3.1593812918062257E-2</v>
      </c>
    </row>
    <row r="1169" spans="1:3" ht="14.25" customHeight="1" x14ac:dyDescent="0.3">
      <c r="A1169" s="22">
        <v>44496</v>
      </c>
      <c r="B1169" s="23">
        <v>419.19600000000003</v>
      </c>
      <c r="C1169" s="24">
        <f t="shared" si="18"/>
        <v>-4.8879234908830475E-4</v>
      </c>
    </row>
    <row r="1170" spans="1:3" ht="14.25" customHeight="1" x14ac:dyDescent="0.3">
      <c r="A1170" s="22">
        <v>44495</v>
      </c>
      <c r="B1170" s="23">
        <v>419.40100000000001</v>
      </c>
      <c r="C1170" s="24">
        <f t="shared" si="18"/>
        <v>2.0110280614788961E-2</v>
      </c>
    </row>
    <row r="1171" spans="1:3" ht="14.25" customHeight="1" x14ac:dyDescent="0.3">
      <c r="A1171" s="22">
        <v>44494</v>
      </c>
      <c r="B1171" s="23">
        <v>411.13299999999998</v>
      </c>
      <c r="C1171" s="24">
        <f t="shared" si="18"/>
        <v>-1.2698687145941273E-2</v>
      </c>
    </row>
    <row r="1172" spans="1:3" ht="14.25" customHeight="1" x14ac:dyDescent="0.3">
      <c r="A1172" s="22">
        <v>44491</v>
      </c>
      <c r="B1172" s="23">
        <v>416.42099999999999</v>
      </c>
      <c r="C1172" s="24">
        <f t="shared" si="18"/>
        <v>-1.1655891316111763E-2</v>
      </c>
    </row>
    <row r="1173" spans="1:3" ht="14.25" customHeight="1" x14ac:dyDescent="0.3">
      <c r="A1173" s="22">
        <v>44490</v>
      </c>
      <c r="B1173" s="23">
        <v>421.33199999999999</v>
      </c>
      <c r="C1173" s="24">
        <f t="shared" si="18"/>
        <v>-3.1891738430964633E-3</v>
      </c>
    </row>
    <row r="1174" spans="1:3" ht="14.25" customHeight="1" x14ac:dyDescent="0.3">
      <c r="A1174" s="22">
        <v>44489</v>
      </c>
      <c r="B1174" s="23">
        <v>422.68</v>
      </c>
      <c r="C1174" s="24">
        <f t="shared" si="18"/>
        <v>-1.3952750541803416E-2</v>
      </c>
    </row>
    <row r="1175" spans="1:3" ht="14.25" customHeight="1" x14ac:dyDescent="0.3">
      <c r="A1175" s="22">
        <v>44488</v>
      </c>
      <c r="B1175" s="23">
        <v>428.661</v>
      </c>
      <c r="C1175" s="24">
        <f t="shared" si="18"/>
        <v>-1.9782214986096905E-2</v>
      </c>
    </row>
    <row r="1176" spans="1:3" ht="14.25" customHeight="1" x14ac:dyDescent="0.3">
      <c r="A1176" s="22">
        <v>44487</v>
      </c>
      <c r="B1176" s="23">
        <v>437.31200000000001</v>
      </c>
      <c r="C1176" s="24">
        <f t="shared" si="18"/>
        <v>1.3203958175495205E-2</v>
      </c>
    </row>
    <row r="1177" spans="1:3" ht="14.25" customHeight="1" x14ac:dyDescent="0.3">
      <c r="A1177" s="22">
        <v>44483</v>
      </c>
      <c r="B1177" s="23">
        <v>431.613</v>
      </c>
      <c r="C1177" s="24">
        <f t="shared" si="18"/>
        <v>1.7000551369233535E-2</v>
      </c>
    </row>
    <row r="1178" spans="1:3" ht="14.25" customHeight="1" x14ac:dyDescent="0.3">
      <c r="A1178" s="22">
        <v>44482</v>
      </c>
      <c r="B1178" s="23">
        <v>424.39800000000002</v>
      </c>
      <c r="C1178" s="24">
        <f t="shared" si="18"/>
        <v>1.1044353705194906E-2</v>
      </c>
    </row>
    <row r="1179" spans="1:3" ht="14.25" customHeight="1" x14ac:dyDescent="0.3">
      <c r="A1179" s="22">
        <v>44481</v>
      </c>
      <c r="B1179" s="23">
        <v>419.762</v>
      </c>
      <c r="C1179" s="24">
        <f t="shared" si="18"/>
        <v>6.9253373313343343E-3</v>
      </c>
    </row>
    <row r="1180" spans="1:3" ht="14.25" customHeight="1" x14ac:dyDescent="0.3">
      <c r="A1180" s="22">
        <v>44480</v>
      </c>
      <c r="B1180" s="23">
        <v>416.875</v>
      </c>
      <c r="C1180" s="24">
        <f t="shared" si="18"/>
        <v>9.9156455465597287E-3</v>
      </c>
    </row>
    <row r="1181" spans="1:3" ht="14.25" customHeight="1" x14ac:dyDescent="0.3">
      <c r="A1181" s="22">
        <v>44477</v>
      </c>
      <c r="B1181" s="23">
        <v>412.78199999999998</v>
      </c>
      <c r="C1181" s="24">
        <f t="shared" si="18"/>
        <v>2.6135154697768917E-3</v>
      </c>
    </row>
    <row r="1182" spans="1:3" ht="14.25" customHeight="1" x14ac:dyDescent="0.3">
      <c r="A1182" s="22">
        <v>44476</v>
      </c>
      <c r="B1182" s="23">
        <v>411.70600000000002</v>
      </c>
      <c r="C1182" s="24">
        <f t="shared" si="18"/>
        <v>1.0889555111952489E-2</v>
      </c>
    </row>
    <row r="1183" spans="1:3" ht="14.25" customHeight="1" x14ac:dyDescent="0.3">
      <c r="A1183" s="22">
        <v>44475</v>
      </c>
      <c r="B1183" s="23">
        <v>407.27100000000002</v>
      </c>
      <c r="C1183" s="24">
        <f t="shared" si="18"/>
        <v>-1.6096769050138453E-2</v>
      </c>
    </row>
    <row r="1184" spans="1:3" ht="14.25" customHeight="1" x14ac:dyDescent="0.3">
      <c r="A1184" s="22">
        <v>44474</v>
      </c>
      <c r="B1184" s="23">
        <v>413.93400000000003</v>
      </c>
      <c r="C1184" s="24">
        <f t="shared" si="18"/>
        <v>3.6758822359839278E-3</v>
      </c>
    </row>
    <row r="1185" spans="1:3" ht="14.25" customHeight="1" x14ac:dyDescent="0.3">
      <c r="A1185" s="22">
        <v>44473</v>
      </c>
      <c r="B1185" s="23">
        <v>412.41800000000001</v>
      </c>
      <c r="C1185" s="24">
        <f t="shared" si="18"/>
        <v>1.9476490523781437E-2</v>
      </c>
    </row>
    <row r="1186" spans="1:3" ht="14.25" customHeight="1" x14ac:dyDescent="0.3">
      <c r="A1186" s="22">
        <v>44470</v>
      </c>
      <c r="B1186" s="23">
        <v>404.53899999999999</v>
      </c>
      <c r="C1186" s="24">
        <f t="shared" si="18"/>
        <v>1.1458240529008538E-3</v>
      </c>
    </row>
    <row r="1187" spans="1:3" ht="14.25" customHeight="1" x14ac:dyDescent="0.3">
      <c r="A1187" s="22">
        <v>44469</v>
      </c>
      <c r="B1187" s="23">
        <v>404.07600000000002</v>
      </c>
      <c r="C1187" s="24">
        <f t="shared" si="18"/>
        <v>-1.2482049330047517E-3</v>
      </c>
    </row>
    <row r="1188" spans="1:3" ht="14.25" customHeight="1" x14ac:dyDescent="0.3">
      <c r="A1188" s="22">
        <v>44468</v>
      </c>
      <c r="B1188" s="23">
        <v>404.58100000000002</v>
      </c>
      <c r="C1188" s="24">
        <f t="shared" si="18"/>
        <v>2.8555210458346913E-3</v>
      </c>
    </row>
    <row r="1189" spans="1:3" ht="14.25" customHeight="1" x14ac:dyDescent="0.3">
      <c r="A1189" s="22">
        <v>44467</v>
      </c>
      <c r="B1189" s="23">
        <v>403.42899999999997</v>
      </c>
      <c r="C1189" s="24">
        <f t="shared" si="18"/>
        <v>-7.1932708587628506E-3</v>
      </c>
    </row>
    <row r="1190" spans="1:3" ht="14.25" customHeight="1" x14ac:dyDescent="0.3">
      <c r="A1190" s="22">
        <v>44466</v>
      </c>
      <c r="B1190" s="23">
        <v>406.35199999999998</v>
      </c>
      <c r="C1190" s="24">
        <f t="shared" si="18"/>
        <v>-6.173097591508995E-4</v>
      </c>
    </row>
    <row r="1191" spans="1:3" ht="14.25" customHeight="1" x14ac:dyDescent="0.3">
      <c r="A1191" s="22">
        <v>44463</v>
      </c>
      <c r="B1191" s="23">
        <v>406.60300000000001</v>
      </c>
      <c r="C1191" s="24">
        <f t="shared" si="18"/>
        <v>-7.46470862493621E-3</v>
      </c>
    </row>
    <row r="1192" spans="1:3" ht="14.25" customHeight="1" x14ac:dyDescent="0.3">
      <c r="A1192" s="22">
        <v>44462</v>
      </c>
      <c r="B1192" s="23">
        <v>409.661</v>
      </c>
      <c r="C1192" s="24">
        <f t="shared" si="18"/>
        <v>1.6243584305145213E-2</v>
      </c>
    </row>
    <row r="1193" spans="1:3" ht="14.25" customHeight="1" x14ac:dyDescent="0.3">
      <c r="A1193" s="22">
        <v>44461</v>
      </c>
      <c r="B1193" s="23">
        <v>403.113</v>
      </c>
      <c r="C1193" s="24">
        <f t="shared" si="18"/>
        <v>1.3014721034141273E-2</v>
      </c>
    </row>
    <row r="1194" spans="1:3" ht="14.25" customHeight="1" x14ac:dyDescent="0.3">
      <c r="A1194" s="22">
        <v>44460</v>
      </c>
      <c r="B1194" s="23">
        <v>397.93400000000003</v>
      </c>
      <c r="C1194" s="24">
        <f t="shared" si="18"/>
        <v>1.1278386565556055E-2</v>
      </c>
    </row>
    <row r="1195" spans="1:3" ht="14.25" customHeight="1" x14ac:dyDescent="0.3">
      <c r="A1195" s="22">
        <v>44459</v>
      </c>
      <c r="B1195" s="23">
        <v>393.49599999999998</v>
      </c>
      <c r="C1195" s="24">
        <f t="shared" si="18"/>
        <v>-2.0886312174973266E-2</v>
      </c>
    </row>
    <row r="1196" spans="1:3" ht="14.25" customHeight="1" x14ac:dyDescent="0.3">
      <c r="A1196" s="22">
        <v>44456</v>
      </c>
      <c r="B1196" s="23">
        <v>401.89</v>
      </c>
      <c r="C1196" s="24">
        <f t="shared" si="18"/>
        <v>-1.4729172489200824E-2</v>
      </c>
    </row>
    <row r="1197" spans="1:3" ht="14.25" customHeight="1" x14ac:dyDescent="0.3">
      <c r="A1197" s="22">
        <v>44455</v>
      </c>
      <c r="B1197" s="23">
        <v>407.89800000000002</v>
      </c>
      <c r="C1197" s="24">
        <f t="shared" si="18"/>
        <v>8.4553424413689147E-3</v>
      </c>
    </row>
    <row r="1198" spans="1:3" ht="14.25" customHeight="1" x14ac:dyDescent="0.3">
      <c r="A1198" s="22">
        <v>44454</v>
      </c>
      <c r="B1198" s="23">
        <v>404.47800000000001</v>
      </c>
      <c r="C1198" s="24">
        <f t="shared" si="18"/>
        <v>4.5249543034252626E-3</v>
      </c>
    </row>
    <row r="1199" spans="1:3" ht="14.25" customHeight="1" x14ac:dyDescent="0.3">
      <c r="A1199" s="22">
        <v>44453</v>
      </c>
      <c r="B1199" s="23">
        <v>402.65600000000001</v>
      </c>
      <c r="C1199" s="24">
        <f t="shared" si="18"/>
        <v>6.8841694110821517E-3</v>
      </c>
    </row>
    <row r="1200" spans="1:3" ht="14.25" customHeight="1" x14ac:dyDescent="0.3">
      <c r="A1200" s="22">
        <v>44452</v>
      </c>
      <c r="B1200" s="23">
        <v>399.90300000000002</v>
      </c>
      <c r="C1200" s="24">
        <f t="shared" si="18"/>
        <v>6.9876714812353554E-3</v>
      </c>
    </row>
    <row r="1201" spans="1:3" ht="14.25" customHeight="1" x14ac:dyDescent="0.3">
      <c r="A1201" s="22">
        <v>44448</v>
      </c>
      <c r="B1201" s="23">
        <v>397.12799999999999</v>
      </c>
      <c r="C1201" s="24">
        <f t="shared" si="18"/>
        <v>4.9882850880502631E-4</v>
      </c>
    </row>
    <row r="1202" spans="1:3" ht="14.25" customHeight="1" x14ac:dyDescent="0.3">
      <c r="A1202" s="22">
        <v>44447</v>
      </c>
      <c r="B1202" s="23">
        <v>396.93</v>
      </c>
      <c r="C1202" s="24">
        <f t="shared" si="18"/>
        <v>4.4258200672603791E-3</v>
      </c>
    </row>
    <row r="1203" spans="1:3" ht="14.25" customHeight="1" x14ac:dyDescent="0.3">
      <c r="A1203" s="22">
        <v>44446</v>
      </c>
      <c r="B1203" s="23">
        <v>395.18099999999998</v>
      </c>
      <c r="C1203" s="24">
        <f t="shared" si="18"/>
        <v>-6.8608306882695334E-3</v>
      </c>
    </row>
    <row r="1204" spans="1:3" ht="14.25" customHeight="1" x14ac:dyDescent="0.3">
      <c r="A1204" s="22">
        <v>44445</v>
      </c>
      <c r="B1204" s="23">
        <v>397.911</v>
      </c>
      <c r="C1204" s="24">
        <f t="shared" si="18"/>
        <v>8.2170330505640047E-3</v>
      </c>
    </row>
    <row r="1205" spans="1:3" ht="14.25" customHeight="1" x14ac:dyDescent="0.3">
      <c r="A1205" s="22">
        <v>44442</v>
      </c>
      <c r="B1205" s="23">
        <v>394.66800000000001</v>
      </c>
      <c r="C1205" s="24">
        <f t="shared" si="18"/>
        <v>1.3538916681219097E-2</v>
      </c>
    </row>
    <row r="1206" spans="1:3" ht="14.25" customHeight="1" x14ac:dyDescent="0.3">
      <c r="A1206" s="22">
        <v>44441</v>
      </c>
      <c r="B1206" s="23">
        <v>389.39600000000002</v>
      </c>
      <c r="C1206" s="24" t="s">
        <v>31</v>
      </c>
    </row>
    <row r="1208" spans="1:3" ht="54.75" customHeight="1" x14ac:dyDescent="0.3">
      <c r="A1208" s="33" t="s">
        <v>52</v>
      </c>
      <c r="B1208" s="33"/>
      <c r="C1208" s="33"/>
    </row>
  </sheetData>
  <mergeCells count="1">
    <mergeCell ref="A1208:C1208"/>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17"/>
  <sheetViews>
    <sheetView zoomScaleNormal="100" workbookViewId="0">
      <selection activeCell="C1218" sqref="C1218"/>
    </sheetView>
  </sheetViews>
  <sheetFormatPr defaultColWidth="8.5546875" defaultRowHeight="14.4" x14ac:dyDescent="0.3"/>
  <cols>
    <col min="1" max="2" width="14" customWidth="1"/>
    <col min="3" max="3" width="12" customWidth="1"/>
    <col min="5" max="5" width="30" customWidth="1"/>
    <col min="6" max="6" width="14" customWidth="1"/>
  </cols>
  <sheetData>
    <row r="1" spans="1:6" ht="14.25" customHeight="1" x14ac:dyDescent="0.3">
      <c r="A1" s="19" t="s">
        <v>22</v>
      </c>
      <c r="B1" s="19" t="s">
        <v>45</v>
      </c>
      <c r="C1" s="19" t="s">
        <v>46</v>
      </c>
      <c r="E1" s="20" t="s">
        <v>53</v>
      </c>
      <c r="F1" s="21"/>
    </row>
    <row r="2" spans="1:6" ht="14.25" customHeight="1" x14ac:dyDescent="0.3">
      <c r="A2" s="22">
        <v>46265</v>
      </c>
      <c r="B2" s="23">
        <v>37712</v>
      </c>
      <c r="C2" s="24">
        <f t="shared" ref="C2:C65" si="0">(B2-B3)/B3</f>
        <v>-3.3220835304470699E-3</v>
      </c>
      <c r="E2" s="6" t="s">
        <v>4</v>
      </c>
      <c r="F2" s="25">
        <f>Assumptions!$B$5</f>
        <v>252</v>
      </c>
    </row>
    <row r="3" spans="1:6" ht="14.25" customHeight="1" x14ac:dyDescent="0.3">
      <c r="A3" s="22">
        <v>46262</v>
      </c>
      <c r="B3" s="23">
        <v>37837.699999999997</v>
      </c>
      <c r="C3" s="24">
        <f t="shared" si="0"/>
        <v>2.0025379957882444E-3</v>
      </c>
      <c r="E3" s="6" t="s">
        <v>48</v>
      </c>
      <c r="F3" s="26">
        <f>Assumptions!$B$4</f>
        <v>6.9500000000000006E-2</v>
      </c>
    </row>
    <row r="4" spans="1:6" ht="14.25" customHeight="1" x14ac:dyDescent="0.3">
      <c r="A4" s="22">
        <v>46261</v>
      </c>
      <c r="B4" s="23">
        <v>37762.080000000002</v>
      </c>
      <c r="C4" s="24">
        <f t="shared" si="0"/>
        <v>-3.2469237898074088E-3</v>
      </c>
      <c r="E4" s="6" t="s">
        <v>49</v>
      </c>
      <c r="F4" s="25">
        <f>COUNT('Raw Data'!I2:I1206)</f>
        <v>1204</v>
      </c>
    </row>
    <row r="5" spans="1:6" ht="14.25" customHeight="1" x14ac:dyDescent="0.3">
      <c r="A5" s="22">
        <v>46260</v>
      </c>
      <c r="B5" s="23">
        <v>37885.089999999997</v>
      </c>
      <c r="C5" s="24">
        <f t="shared" si="0"/>
        <v>-2.2194211332507074E-3</v>
      </c>
      <c r="E5" s="6" t="s">
        <v>8</v>
      </c>
      <c r="F5" s="26">
        <f>('Raw Data'!H2/'Raw Data'!H1206)^(F2/F4)-1</f>
        <v>0.11465384444946314</v>
      </c>
    </row>
    <row r="6" spans="1:6" ht="14.25" customHeight="1" x14ac:dyDescent="0.3">
      <c r="A6" s="22">
        <v>46259</v>
      </c>
      <c r="B6" s="23">
        <v>37969.360000000001</v>
      </c>
      <c r="C6" s="24">
        <f t="shared" si="0"/>
        <v>4.2503489941192593E-3</v>
      </c>
      <c r="E6" s="6" t="s">
        <v>50</v>
      </c>
      <c r="F6" s="27">
        <f>STDEV('Raw Data'!I2:I1206)</f>
        <v>9.061236851106054E-3</v>
      </c>
    </row>
    <row r="7" spans="1:6" ht="14.25" customHeight="1" x14ac:dyDescent="0.3">
      <c r="A7" s="22">
        <v>46258</v>
      </c>
      <c r="B7" s="23">
        <v>37808.660000000003</v>
      </c>
      <c r="C7" s="24">
        <f t="shared" si="0"/>
        <v>-7.7937214160834925E-4</v>
      </c>
      <c r="E7" s="6" t="s">
        <v>12</v>
      </c>
      <c r="F7" s="28">
        <f>F6*SQRT(F2)</f>
        <v>0.14384267567208375</v>
      </c>
    </row>
    <row r="8" spans="1:6" ht="14.25" customHeight="1" x14ac:dyDescent="0.3">
      <c r="A8" s="22">
        <v>46255</v>
      </c>
      <c r="B8" s="23">
        <v>37838.15</v>
      </c>
      <c r="C8" s="24">
        <f t="shared" si="0"/>
        <v>7.7150983708098577E-4</v>
      </c>
      <c r="E8" s="6" t="s">
        <v>54</v>
      </c>
      <c r="F8" s="29">
        <f>(F5-F3)/F7</f>
        <v>0.31391132178603071</v>
      </c>
    </row>
    <row r="9" spans="1:6" ht="14.25" customHeight="1" x14ac:dyDescent="0.3">
      <c r="A9" s="22">
        <v>46254</v>
      </c>
      <c r="B9" s="23">
        <v>37808.980000000003</v>
      </c>
      <c r="C9" s="24">
        <f t="shared" si="0"/>
        <v>5.4229418655207286E-3</v>
      </c>
    </row>
    <row r="10" spans="1:6" ht="14.25" customHeight="1" x14ac:dyDescent="0.3">
      <c r="A10" s="22">
        <v>46253</v>
      </c>
      <c r="B10" s="23">
        <v>37605.050000000003</v>
      </c>
      <c r="C10" s="24">
        <f t="shared" si="0"/>
        <v>-3.6671253774825155E-3</v>
      </c>
    </row>
    <row r="11" spans="1:6" ht="14.25" customHeight="1" x14ac:dyDescent="0.3">
      <c r="A11" s="22">
        <v>46252</v>
      </c>
      <c r="B11" s="23">
        <v>37743.46</v>
      </c>
      <c r="C11" s="24">
        <f t="shared" si="0"/>
        <v>-3.8953779598670125E-3</v>
      </c>
    </row>
    <row r="12" spans="1:6" ht="14.25" customHeight="1" x14ac:dyDescent="0.3">
      <c r="A12" s="22">
        <v>46251</v>
      </c>
      <c r="B12" s="23">
        <v>37891.06</v>
      </c>
      <c r="C12" s="24">
        <f t="shared" si="0"/>
        <v>-1.277032834636092E-3</v>
      </c>
    </row>
    <row r="13" spans="1:6" ht="14.25" customHeight="1" x14ac:dyDescent="0.3">
      <c r="A13" s="22">
        <v>46248</v>
      </c>
      <c r="B13" s="23">
        <v>37939.51</v>
      </c>
      <c r="C13" s="24">
        <f t="shared" si="0"/>
        <v>-2.5947593222708717E-3</v>
      </c>
    </row>
    <row r="14" spans="1:6" ht="14.25" customHeight="1" x14ac:dyDescent="0.3">
      <c r="A14" s="22">
        <v>46247</v>
      </c>
      <c r="B14" s="23">
        <v>38038.21</v>
      </c>
      <c r="C14" s="24">
        <f t="shared" si="0"/>
        <v>-5.5150922772937859E-4</v>
      </c>
    </row>
    <row r="15" spans="1:6" ht="14.25" customHeight="1" x14ac:dyDescent="0.3">
      <c r="A15" s="22">
        <v>46246</v>
      </c>
      <c r="B15" s="23">
        <v>38059.199999999997</v>
      </c>
      <c r="C15" s="24">
        <f t="shared" si="0"/>
        <v>-3.5563502915736753E-4</v>
      </c>
    </row>
    <row r="16" spans="1:6" ht="14.25" customHeight="1" x14ac:dyDescent="0.3">
      <c r="A16" s="22">
        <v>46245</v>
      </c>
      <c r="B16" s="23">
        <v>38072.74</v>
      </c>
      <c r="C16" s="24">
        <f t="shared" si="0"/>
        <v>-2.5940643030346014E-3</v>
      </c>
    </row>
    <row r="17" spans="1:3" ht="14.25" customHeight="1" x14ac:dyDescent="0.3">
      <c r="A17" s="22">
        <v>46244</v>
      </c>
      <c r="B17" s="23">
        <v>38171.760000000002</v>
      </c>
      <c r="C17" s="24">
        <f t="shared" si="0"/>
        <v>1.3220934405278682E-3</v>
      </c>
    </row>
    <row r="18" spans="1:3" ht="14.25" customHeight="1" x14ac:dyDescent="0.3">
      <c r="A18" s="22">
        <v>46241</v>
      </c>
      <c r="B18" s="23">
        <v>38121.360000000001</v>
      </c>
      <c r="C18" s="24">
        <f t="shared" si="0"/>
        <v>-5.5214115937052949E-4</v>
      </c>
    </row>
    <row r="19" spans="1:3" ht="14.25" customHeight="1" x14ac:dyDescent="0.3">
      <c r="A19" s="22">
        <v>46240</v>
      </c>
      <c r="B19" s="23">
        <v>38142.42</v>
      </c>
      <c r="C19" s="24">
        <f t="shared" si="0"/>
        <v>-2.5529354039208364E-4</v>
      </c>
    </row>
    <row r="20" spans="1:3" ht="14.25" customHeight="1" x14ac:dyDescent="0.3">
      <c r="A20" s="22">
        <v>46239</v>
      </c>
      <c r="B20" s="23">
        <v>38152.160000000003</v>
      </c>
      <c r="C20" s="24">
        <f t="shared" si="0"/>
        <v>1.9507388541590582E-3</v>
      </c>
    </row>
    <row r="21" spans="1:3" ht="14.25" customHeight="1" x14ac:dyDescent="0.3">
      <c r="A21" s="22">
        <v>46238</v>
      </c>
      <c r="B21" s="23">
        <v>38077.879999999997</v>
      </c>
      <c r="C21" s="24">
        <f t="shared" si="0"/>
        <v>-4.7145386942686251E-3</v>
      </c>
    </row>
    <row r="22" spans="1:3" ht="14.25" customHeight="1" x14ac:dyDescent="0.3">
      <c r="A22" s="22">
        <v>46237</v>
      </c>
      <c r="B22" s="23">
        <v>38258.25</v>
      </c>
      <c r="C22" s="24">
        <f t="shared" si="0"/>
        <v>1.5020658180536117E-2</v>
      </c>
    </row>
    <row r="23" spans="1:3" ht="14.25" customHeight="1" x14ac:dyDescent="0.3">
      <c r="A23" s="22">
        <v>46234</v>
      </c>
      <c r="B23" s="23">
        <v>37692.089999999997</v>
      </c>
      <c r="C23" s="24">
        <f t="shared" si="0"/>
        <v>4.8718519515800187E-3</v>
      </c>
    </row>
    <row r="24" spans="1:3" ht="14.25" customHeight="1" x14ac:dyDescent="0.3">
      <c r="A24" s="22">
        <v>46233</v>
      </c>
      <c r="B24" s="23">
        <v>37509.35</v>
      </c>
      <c r="C24" s="24">
        <f t="shared" si="0"/>
        <v>5.705569675802114E-5</v>
      </c>
    </row>
    <row r="25" spans="1:3" ht="14.25" customHeight="1" x14ac:dyDescent="0.3">
      <c r="A25" s="22">
        <v>46232</v>
      </c>
      <c r="B25" s="23">
        <v>37507.21</v>
      </c>
      <c r="C25" s="24">
        <f t="shared" si="0"/>
        <v>1.0291136870827396E-2</v>
      </c>
    </row>
    <row r="26" spans="1:3" ht="14.25" customHeight="1" x14ac:dyDescent="0.3">
      <c r="A26" s="22">
        <v>46231</v>
      </c>
      <c r="B26" s="23">
        <v>37125.15</v>
      </c>
      <c r="C26" s="24">
        <f t="shared" si="0"/>
        <v>-1.639321779019078E-3</v>
      </c>
    </row>
    <row r="27" spans="1:3" ht="14.25" customHeight="1" x14ac:dyDescent="0.3">
      <c r="A27" s="22">
        <v>46230</v>
      </c>
      <c r="B27" s="23">
        <v>37186.11</v>
      </c>
      <c r="C27" s="24">
        <f t="shared" si="0"/>
        <v>1.0540175144198449E-2</v>
      </c>
    </row>
    <row r="28" spans="1:3" ht="14.25" customHeight="1" x14ac:dyDescent="0.3">
      <c r="A28" s="22">
        <v>46227</v>
      </c>
      <c r="B28" s="23">
        <v>36798.25</v>
      </c>
      <c r="C28" s="24">
        <f t="shared" si="0"/>
        <v>-2.5165968259543568E-3</v>
      </c>
    </row>
    <row r="29" spans="1:3" ht="14.25" customHeight="1" x14ac:dyDescent="0.3">
      <c r="A29" s="22">
        <v>46226</v>
      </c>
      <c r="B29" s="23">
        <v>36891.089999999997</v>
      </c>
      <c r="C29" s="24">
        <f t="shared" si="0"/>
        <v>-7.0067346048871626E-3</v>
      </c>
    </row>
    <row r="30" spans="1:3" ht="14.25" customHeight="1" x14ac:dyDescent="0.3">
      <c r="A30" s="22">
        <v>46225</v>
      </c>
      <c r="B30" s="23">
        <v>37151.4</v>
      </c>
      <c r="C30" s="24">
        <f t="shared" si="0"/>
        <v>-8.8654511519803587E-3</v>
      </c>
    </row>
    <row r="31" spans="1:3" ht="14.25" customHeight="1" x14ac:dyDescent="0.3">
      <c r="A31" s="22">
        <v>46224</v>
      </c>
      <c r="B31" s="23">
        <v>37483.71</v>
      </c>
      <c r="C31" s="24">
        <f t="shared" si="0"/>
        <v>6.0836733321020613E-4</v>
      </c>
    </row>
    <row r="32" spans="1:3" ht="14.25" customHeight="1" x14ac:dyDescent="0.3">
      <c r="A32" s="22">
        <v>46223</v>
      </c>
      <c r="B32" s="23">
        <v>37460.92</v>
      </c>
      <c r="C32" s="24">
        <f t="shared" si="0"/>
        <v>7.9288909296989406E-5</v>
      </c>
    </row>
    <row r="33" spans="1:3" ht="14.25" customHeight="1" x14ac:dyDescent="0.3">
      <c r="A33" s="22">
        <v>46220</v>
      </c>
      <c r="B33" s="23">
        <v>37457.949999999997</v>
      </c>
      <c r="C33" s="24">
        <f t="shared" si="0"/>
        <v>4.7040748532088152E-3</v>
      </c>
    </row>
    <row r="34" spans="1:3" ht="14.25" customHeight="1" x14ac:dyDescent="0.3">
      <c r="A34" s="22">
        <v>46219</v>
      </c>
      <c r="B34" s="23">
        <v>37282.57</v>
      </c>
      <c r="C34" s="24">
        <f t="shared" si="0"/>
        <v>-1.3414531248117062E-3</v>
      </c>
    </row>
    <row r="35" spans="1:3" ht="14.25" customHeight="1" x14ac:dyDescent="0.3">
      <c r="A35" s="22">
        <v>46218</v>
      </c>
      <c r="B35" s="23">
        <v>37332.65</v>
      </c>
      <c r="C35" s="24">
        <f t="shared" si="0"/>
        <v>2.8493082093493335E-3</v>
      </c>
    </row>
    <row r="36" spans="1:3" ht="14.25" customHeight="1" x14ac:dyDescent="0.3">
      <c r="A36" s="22">
        <v>46217</v>
      </c>
      <c r="B36" s="23">
        <v>37226.58</v>
      </c>
      <c r="C36" s="24">
        <f t="shared" si="0"/>
        <v>-6.3062507557490981E-3</v>
      </c>
    </row>
    <row r="37" spans="1:3" ht="14.25" customHeight="1" x14ac:dyDescent="0.3">
      <c r="A37" s="22">
        <v>46216</v>
      </c>
      <c r="B37" s="23">
        <v>37462.83</v>
      </c>
      <c r="C37" s="24">
        <f t="shared" si="0"/>
        <v>-5.8187626267824055E-5</v>
      </c>
    </row>
    <row r="38" spans="1:3" ht="14.25" customHeight="1" x14ac:dyDescent="0.3">
      <c r="A38" s="22">
        <v>46213</v>
      </c>
      <c r="B38" s="23">
        <v>37465.01</v>
      </c>
      <c r="C38" s="24">
        <f t="shared" si="0"/>
        <v>1.1727830298735776E-2</v>
      </c>
    </row>
    <row r="39" spans="1:3" ht="14.25" customHeight="1" x14ac:dyDescent="0.3">
      <c r="A39" s="22">
        <v>46212</v>
      </c>
      <c r="B39" s="23">
        <v>37030.720000000001</v>
      </c>
      <c r="C39" s="24">
        <f t="shared" si="0"/>
        <v>7.5865465458928574E-3</v>
      </c>
    </row>
    <row r="40" spans="1:3" ht="14.25" customHeight="1" x14ac:dyDescent="0.3">
      <c r="A40" s="22">
        <v>46211</v>
      </c>
      <c r="B40" s="23">
        <v>36751.9</v>
      </c>
      <c r="C40" s="24">
        <f t="shared" si="0"/>
        <v>-1.9701775355002914E-2</v>
      </c>
    </row>
    <row r="41" spans="1:3" ht="14.25" customHeight="1" x14ac:dyDescent="0.3">
      <c r="A41" s="22">
        <v>46210</v>
      </c>
      <c r="B41" s="23">
        <v>37490.53</v>
      </c>
      <c r="C41" s="24">
        <f t="shared" si="0"/>
        <v>-2.7172843223734369E-3</v>
      </c>
    </row>
    <row r="42" spans="1:3" ht="14.25" customHeight="1" x14ac:dyDescent="0.3">
      <c r="A42" s="22">
        <v>46209</v>
      </c>
      <c r="B42" s="23">
        <v>37592.68</v>
      </c>
      <c r="C42" s="24">
        <f t="shared" si="0"/>
        <v>5.7076999507481418E-3</v>
      </c>
    </row>
    <row r="43" spans="1:3" ht="14.25" customHeight="1" x14ac:dyDescent="0.3">
      <c r="A43" s="22">
        <v>46206</v>
      </c>
      <c r="B43" s="23">
        <v>37379.33</v>
      </c>
      <c r="C43" s="24">
        <f t="shared" si="0"/>
        <v>1.7921627252666433E-3</v>
      </c>
    </row>
    <row r="44" spans="1:3" ht="14.25" customHeight="1" x14ac:dyDescent="0.3">
      <c r="A44" s="22">
        <v>46205</v>
      </c>
      <c r="B44" s="23">
        <v>37312.46</v>
      </c>
      <c r="C44" s="24">
        <f t="shared" si="0"/>
        <v>6.6264078621215789E-3</v>
      </c>
    </row>
    <row r="45" spans="1:3" ht="14.25" customHeight="1" x14ac:dyDescent="0.3">
      <c r="A45" s="22">
        <v>46204</v>
      </c>
      <c r="B45" s="23">
        <v>37066.839999999997</v>
      </c>
      <c r="C45" s="24">
        <f t="shared" si="0"/>
        <v>5.0457216840762865E-3</v>
      </c>
    </row>
    <row r="46" spans="1:3" ht="14.25" customHeight="1" x14ac:dyDescent="0.3">
      <c r="A46" s="22">
        <v>46203</v>
      </c>
      <c r="B46" s="23">
        <v>36880.75</v>
      </c>
      <c r="C46" s="24">
        <f t="shared" si="0"/>
        <v>-7.1034723779378592E-5</v>
      </c>
    </row>
    <row r="47" spans="1:3" ht="14.25" customHeight="1" x14ac:dyDescent="0.3">
      <c r="A47" s="22">
        <v>46202</v>
      </c>
      <c r="B47" s="23">
        <v>36883.370000000003</v>
      </c>
      <c r="C47" s="24">
        <f t="shared" si="0"/>
        <v>-4.911854523203904E-3</v>
      </c>
    </row>
    <row r="48" spans="1:3" ht="14.25" customHeight="1" x14ac:dyDescent="0.3">
      <c r="A48" s="22">
        <v>46198</v>
      </c>
      <c r="B48" s="23">
        <v>37065.43</v>
      </c>
      <c r="C48" s="24">
        <f t="shared" si="0"/>
        <v>-5.1180536511173289E-4</v>
      </c>
    </row>
    <row r="49" spans="1:3" ht="14.25" customHeight="1" x14ac:dyDescent="0.3">
      <c r="A49" s="22">
        <v>46197</v>
      </c>
      <c r="B49" s="23">
        <v>37084.410000000003</v>
      </c>
      <c r="C49" s="24">
        <f t="shared" si="0"/>
        <v>5.0128132025852199E-3</v>
      </c>
    </row>
    <row r="50" spans="1:3" ht="14.25" customHeight="1" x14ac:dyDescent="0.3">
      <c r="A50" s="22">
        <v>46196</v>
      </c>
      <c r="B50" s="23">
        <v>36899.440000000002</v>
      </c>
      <c r="C50" s="24">
        <f t="shared" si="0"/>
        <v>-1.0596697005253224E-2</v>
      </c>
    </row>
    <row r="51" spans="1:3" ht="14.25" customHeight="1" x14ac:dyDescent="0.3">
      <c r="A51" s="22">
        <v>46195</v>
      </c>
      <c r="B51" s="23">
        <v>37294.639999999999</v>
      </c>
      <c r="C51" s="24">
        <f t="shared" si="0"/>
        <v>5.0824595989062832E-3</v>
      </c>
    </row>
    <row r="52" spans="1:3" ht="14.25" customHeight="1" x14ac:dyDescent="0.3">
      <c r="A52" s="22">
        <v>46192</v>
      </c>
      <c r="B52" s="23">
        <v>37106.050000000003</v>
      </c>
      <c r="C52" s="24">
        <f t="shared" si="0"/>
        <v>-1.6028254069217654E-3</v>
      </c>
    </row>
    <row r="53" spans="1:3" ht="14.25" customHeight="1" x14ac:dyDescent="0.3">
      <c r="A53" s="22">
        <v>46191</v>
      </c>
      <c r="B53" s="23">
        <v>37165.620000000003</v>
      </c>
      <c r="C53" s="24">
        <f t="shared" si="0"/>
        <v>4.1996542033423843E-3</v>
      </c>
    </row>
    <row r="54" spans="1:3" ht="14.25" customHeight="1" x14ac:dyDescent="0.3">
      <c r="A54" s="22">
        <v>46190</v>
      </c>
      <c r="B54" s="23">
        <v>37010.19</v>
      </c>
      <c r="C54" s="24">
        <f t="shared" si="0"/>
        <v>4.8897505029854328E-3</v>
      </c>
    </row>
    <row r="55" spans="1:3" ht="14.25" customHeight="1" x14ac:dyDescent="0.3">
      <c r="A55" s="22">
        <v>46189</v>
      </c>
      <c r="B55" s="23">
        <v>36830.1</v>
      </c>
      <c r="C55" s="24">
        <f t="shared" si="0"/>
        <v>4.6297950620791855E-3</v>
      </c>
    </row>
    <row r="56" spans="1:3" ht="14.25" customHeight="1" x14ac:dyDescent="0.3">
      <c r="A56" s="22">
        <v>46188</v>
      </c>
      <c r="B56" s="23">
        <v>36660.370000000003</v>
      </c>
      <c r="C56" s="24">
        <f t="shared" si="0"/>
        <v>1.2898437925231493E-2</v>
      </c>
    </row>
    <row r="57" spans="1:3" ht="14.25" customHeight="1" x14ac:dyDescent="0.3">
      <c r="A57" s="22">
        <v>46185</v>
      </c>
      <c r="B57" s="23">
        <v>36193.53</v>
      </c>
      <c r="C57" s="24">
        <f t="shared" si="0"/>
        <v>2.2246593573325445E-2</v>
      </c>
    </row>
    <row r="58" spans="1:3" ht="14.25" customHeight="1" x14ac:dyDescent="0.3">
      <c r="A58" s="22">
        <v>46184</v>
      </c>
      <c r="B58" s="23">
        <v>35405.870000000003</v>
      </c>
      <c r="C58" s="24">
        <f t="shared" si="0"/>
        <v>-5.3706697605560086E-3</v>
      </c>
    </row>
    <row r="59" spans="1:3" ht="14.25" customHeight="1" x14ac:dyDescent="0.3">
      <c r="A59" s="22">
        <v>46183</v>
      </c>
      <c r="B59" s="23">
        <v>35597.050000000003</v>
      </c>
      <c r="C59" s="24">
        <f t="shared" si="0"/>
        <v>-6.0671228340378079E-3</v>
      </c>
    </row>
    <row r="60" spans="1:3" ht="14.25" customHeight="1" x14ac:dyDescent="0.3">
      <c r="A60" s="22">
        <v>46182</v>
      </c>
      <c r="B60" s="23">
        <v>35814.339999999997</v>
      </c>
      <c r="C60" s="24">
        <f t="shared" si="0"/>
        <v>8.8597632326022167E-3</v>
      </c>
    </row>
    <row r="61" spans="1:3" ht="14.25" customHeight="1" x14ac:dyDescent="0.3">
      <c r="A61" s="22">
        <v>46181</v>
      </c>
      <c r="B61" s="23">
        <v>35499.82</v>
      </c>
      <c r="C61" s="24">
        <f t="shared" si="0"/>
        <v>-1.2983091619544456E-2</v>
      </c>
    </row>
    <row r="62" spans="1:3" ht="14.25" customHeight="1" x14ac:dyDescent="0.3">
      <c r="A62" s="22">
        <v>46178</v>
      </c>
      <c r="B62" s="23">
        <v>35966.78</v>
      </c>
      <c r="C62" s="24">
        <f t="shared" si="0"/>
        <v>-1.1674917423009383E-3</v>
      </c>
    </row>
    <row r="63" spans="1:3" ht="14.25" customHeight="1" x14ac:dyDescent="0.3">
      <c r="A63" s="22">
        <v>46177</v>
      </c>
      <c r="B63" s="23">
        <v>36008.82</v>
      </c>
      <c r="C63" s="24">
        <f t="shared" si="0"/>
        <v>2.0439472308201386E-3</v>
      </c>
    </row>
    <row r="64" spans="1:3" ht="14.25" customHeight="1" x14ac:dyDescent="0.3">
      <c r="A64" s="22">
        <v>46176</v>
      </c>
      <c r="B64" s="23">
        <v>35935.370000000003</v>
      </c>
      <c r="C64" s="24">
        <f t="shared" si="0"/>
        <v>-3.0389866419419792E-3</v>
      </c>
    </row>
    <row r="65" spans="1:3" ht="14.25" customHeight="1" x14ac:dyDescent="0.3">
      <c r="A65" s="22">
        <v>46175</v>
      </c>
      <c r="B65" s="23">
        <v>36044.910000000003</v>
      </c>
      <c r="C65" s="24">
        <f t="shared" si="0"/>
        <v>3.7063016316917982E-3</v>
      </c>
    </row>
    <row r="66" spans="1:3" ht="14.25" customHeight="1" x14ac:dyDescent="0.3">
      <c r="A66" s="22">
        <v>46174</v>
      </c>
      <c r="B66" s="23">
        <v>35911.81</v>
      </c>
      <c r="C66" s="24">
        <f t="shared" ref="C66:C129" si="1">(B66-B67)/B67</f>
        <v>-9.651754739147124E-3</v>
      </c>
    </row>
    <row r="67" spans="1:3" ht="14.25" customHeight="1" x14ac:dyDescent="0.3">
      <c r="A67" s="22">
        <v>46171</v>
      </c>
      <c r="B67" s="23">
        <v>36261.800000000003</v>
      </c>
      <c r="C67" s="24">
        <f t="shared" si="1"/>
        <v>-1.3405429701008097E-2</v>
      </c>
    </row>
    <row r="68" spans="1:3" ht="14.25" customHeight="1" x14ac:dyDescent="0.3">
      <c r="A68" s="22">
        <v>46169</v>
      </c>
      <c r="B68" s="23">
        <v>36754.51</v>
      </c>
      <c r="C68" s="24">
        <f t="shared" si="1"/>
        <v>3.0705201681131499E-3</v>
      </c>
    </row>
    <row r="69" spans="1:3" ht="14.25" customHeight="1" x14ac:dyDescent="0.3">
      <c r="A69" s="22">
        <v>46168</v>
      </c>
      <c r="B69" s="23">
        <v>36642</v>
      </c>
      <c r="C69" s="24">
        <f t="shared" si="1"/>
        <v>-1.4056954922360191E-3</v>
      </c>
    </row>
    <row r="70" spans="1:3" ht="14.25" customHeight="1" x14ac:dyDescent="0.3">
      <c r="A70" s="22">
        <v>46167</v>
      </c>
      <c r="B70" s="23">
        <v>36693.58</v>
      </c>
      <c r="C70" s="24">
        <f t="shared" si="1"/>
        <v>1.2500638097379835E-2</v>
      </c>
    </row>
    <row r="71" spans="1:3" ht="14.25" customHeight="1" x14ac:dyDescent="0.3">
      <c r="A71" s="22">
        <v>46164</v>
      </c>
      <c r="B71" s="23">
        <v>36240.550000000003</v>
      </c>
      <c r="C71" s="24">
        <f t="shared" si="1"/>
        <v>2.4050163745796926E-3</v>
      </c>
    </row>
    <row r="72" spans="1:3" ht="14.25" customHeight="1" x14ac:dyDescent="0.3">
      <c r="A72" s="22">
        <v>46163</v>
      </c>
      <c r="B72" s="23">
        <v>36153.599999999999</v>
      </c>
      <c r="C72" s="24">
        <f t="shared" si="1"/>
        <v>1.0984680980441136E-3</v>
      </c>
    </row>
    <row r="73" spans="1:3" ht="14.25" customHeight="1" x14ac:dyDescent="0.3">
      <c r="A73" s="22">
        <v>46162</v>
      </c>
      <c r="B73" s="23">
        <v>36113.93</v>
      </c>
      <c r="C73" s="24">
        <f t="shared" si="1"/>
        <v>2.5105840661191442E-3</v>
      </c>
    </row>
    <row r="74" spans="1:3" ht="14.25" customHeight="1" x14ac:dyDescent="0.3">
      <c r="A74" s="22">
        <v>46161</v>
      </c>
      <c r="B74" s="23">
        <v>36023.49</v>
      </c>
      <c r="C74" s="24">
        <f t="shared" si="1"/>
        <v>2.7030276916293985E-3</v>
      </c>
    </row>
    <row r="75" spans="1:3" ht="14.25" customHeight="1" x14ac:dyDescent="0.3">
      <c r="A75" s="22">
        <v>46160</v>
      </c>
      <c r="B75" s="23">
        <v>35926.379999999997</v>
      </c>
      <c r="C75" s="24">
        <f t="shared" si="1"/>
        <v>-3.1105640415468637E-3</v>
      </c>
    </row>
    <row r="76" spans="1:3" ht="14.25" customHeight="1" x14ac:dyDescent="0.3">
      <c r="A76" s="22">
        <v>46157</v>
      </c>
      <c r="B76" s="23">
        <v>36038.480000000003</v>
      </c>
      <c r="C76" s="24">
        <f t="shared" si="1"/>
        <v>-3.2332670822432011E-3</v>
      </c>
    </row>
    <row r="77" spans="1:3" ht="14.25" customHeight="1" x14ac:dyDescent="0.3">
      <c r="A77" s="22">
        <v>46156</v>
      </c>
      <c r="B77" s="23">
        <v>36155.379999999997</v>
      </c>
      <c r="C77" s="24">
        <f t="shared" si="1"/>
        <v>1.053652483062395E-2</v>
      </c>
    </row>
    <row r="78" spans="1:3" ht="14.25" customHeight="1" x14ac:dyDescent="0.3">
      <c r="A78" s="22">
        <v>46155</v>
      </c>
      <c r="B78" s="23">
        <v>35778.400000000001</v>
      </c>
      <c r="C78" s="24">
        <f t="shared" si="1"/>
        <v>3.4738914034510215E-3</v>
      </c>
    </row>
    <row r="79" spans="1:3" ht="14.25" customHeight="1" x14ac:dyDescent="0.3">
      <c r="A79" s="22">
        <v>46154</v>
      </c>
      <c r="B79" s="23">
        <v>35654.54</v>
      </c>
      <c r="C79" s="24">
        <f t="shared" si="1"/>
        <v>-3.527834155023616E-2</v>
      </c>
    </row>
    <row r="80" spans="1:3" ht="14.25" customHeight="1" x14ac:dyDescent="0.3">
      <c r="A80" s="22">
        <v>46150</v>
      </c>
      <c r="B80" s="23">
        <v>36958.370000000003</v>
      </c>
      <c r="C80" s="24">
        <f t="shared" si="1"/>
        <v>-4.222272995235336E-3</v>
      </c>
    </row>
    <row r="81" spans="1:3" ht="14.25" customHeight="1" x14ac:dyDescent="0.3">
      <c r="A81" s="22">
        <v>46149</v>
      </c>
      <c r="B81" s="23">
        <v>37115.08</v>
      </c>
      <c r="C81" s="24">
        <f t="shared" si="1"/>
        <v>3.4850855103176768E-3</v>
      </c>
    </row>
    <row r="82" spans="1:3" ht="14.25" customHeight="1" x14ac:dyDescent="0.3">
      <c r="A82" s="22">
        <v>46148</v>
      </c>
      <c r="B82" s="23">
        <v>36986.18</v>
      </c>
      <c r="C82" s="24">
        <f t="shared" si="1"/>
        <v>1.425589420594128E-2</v>
      </c>
    </row>
    <row r="83" spans="1:3" ht="14.25" customHeight="1" x14ac:dyDescent="0.3">
      <c r="A83" s="22">
        <v>46147</v>
      </c>
      <c r="B83" s="23">
        <v>36466.32</v>
      </c>
      <c r="C83" s="24">
        <f t="shared" si="1"/>
        <v>-9.7994388814439943E-4</v>
      </c>
    </row>
    <row r="84" spans="1:3" ht="14.25" customHeight="1" x14ac:dyDescent="0.3">
      <c r="A84" s="22">
        <v>46146</v>
      </c>
      <c r="B84" s="23">
        <v>36502.089999999997</v>
      </c>
      <c r="C84" s="24">
        <f t="shared" si="1"/>
        <v>6.4930248512335706E-3</v>
      </c>
    </row>
    <row r="85" spans="1:3" ht="14.25" customHeight="1" x14ac:dyDescent="0.3">
      <c r="A85" s="22">
        <v>46142</v>
      </c>
      <c r="B85" s="23">
        <v>36266.61</v>
      </c>
      <c r="C85" s="24">
        <f t="shared" si="1"/>
        <v>-8.1613497924108973E-3</v>
      </c>
    </row>
    <row r="86" spans="1:3" ht="14.25" customHeight="1" x14ac:dyDescent="0.3">
      <c r="A86" s="22">
        <v>46141</v>
      </c>
      <c r="B86" s="23">
        <v>36565.03</v>
      </c>
      <c r="C86" s="24">
        <f t="shared" si="1"/>
        <v>4.6306663087567201E-3</v>
      </c>
    </row>
    <row r="87" spans="1:3" ht="14.25" customHeight="1" x14ac:dyDescent="0.3">
      <c r="A87" s="22">
        <v>46140</v>
      </c>
      <c r="B87" s="23">
        <v>36396.49</v>
      </c>
      <c r="C87" s="24">
        <f t="shared" si="1"/>
        <v>-2.4445206996279727E-3</v>
      </c>
    </row>
    <row r="88" spans="1:3" ht="14.25" customHeight="1" x14ac:dyDescent="0.3">
      <c r="A88" s="22">
        <v>46139</v>
      </c>
      <c r="B88" s="23">
        <v>36485.68</v>
      </c>
      <c r="C88" s="24">
        <f t="shared" si="1"/>
        <v>1.1143853005675452E-2</v>
      </c>
    </row>
    <row r="89" spans="1:3" ht="14.25" customHeight="1" x14ac:dyDescent="0.3">
      <c r="A89" s="22">
        <v>46136</v>
      </c>
      <c r="B89" s="23">
        <v>36083.57</v>
      </c>
      <c r="C89" s="24">
        <f t="shared" si="1"/>
        <v>-1.0423531379881107E-2</v>
      </c>
    </row>
    <row r="90" spans="1:3" ht="14.25" customHeight="1" x14ac:dyDescent="0.3">
      <c r="A90" s="22">
        <v>46135</v>
      </c>
      <c r="B90" s="23">
        <v>36463.65</v>
      </c>
      <c r="C90" s="24">
        <f t="shared" si="1"/>
        <v>-7.8477212303959543E-3</v>
      </c>
    </row>
    <row r="91" spans="1:3" ht="14.25" customHeight="1" x14ac:dyDescent="0.3">
      <c r="A91" s="22">
        <v>46134</v>
      </c>
      <c r="B91" s="23">
        <v>36752.07</v>
      </c>
      <c r="C91" s="24">
        <f t="shared" si="1"/>
        <v>-2.2080503021714463E-3</v>
      </c>
    </row>
    <row r="92" spans="1:3" ht="14.25" customHeight="1" x14ac:dyDescent="0.3">
      <c r="A92" s="22">
        <v>46133</v>
      </c>
      <c r="B92" s="23">
        <v>36833.4</v>
      </c>
      <c r="C92" s="24">
        <f t="shared" si="1"/>
        <v>7.7223309587608497E-3</v>
      </c>
    </row>
    <row r="93" spans="1:3" ht="14.25" customHeight="1" x14ac:dyDescent="0.3">
      <c r="A93" s="22">
        <v>46132</v>
      </c>
      <c r="B93" s="23">
        <v>36551.14</v>
      </c>
      <c r="C93" s="24">
        <f t="shared" si="1"/>
        <v>-1.5865660528487641E-4</v>
      </c>
    </row>
    <row r="94" spans="1:3" ht="14.25" customHeight="1" x14ac:dyDescent="0.3">
      <c r="A94" s="22">
        <v>46129</v>
      </c>
      <c r="B94" s="23">
        <v>36556.94</v>
      </c>
      <c r="C94" s="24">
        <f t="shared" si="1"/>
        <v>9.4227115374579361E-3</v>
      </c>
    </row>
    <row r="95" spans="1:3" ht="14.25" customHeight="1" x14ac:dyDescent="0.3">
      <c r="A95" s="22">
        <v>46128</v>
      </c>
      <c r="B95" s="23">
        <v>36215.69</v>
      </c>
      <c r="C95" s="24">
        <f t="shared" si="1"/>
        <v>2.6891991264326336E-3</v>
      </c>
    </row>
    <row r="96" spans="1:3" ht="14.25" customHeight="1" x14ac:dyDescent="0.3">
      <c r="A96" s="22">
        <v>46127</v>
      </c>
      <c r="B96" s="23">
        <v>36118.559999999998</v>
      </c>
      <c r="C96" s="24">
        <f t="shared" si="1"/>
        <v>1.8779345371505388E-2</v>
      </c>
    </row>
    <row r="97" spans="1:3" ht="14.25" customHeight="1" x14ac:dyDescent="0.3">
      <c r="A97" s="22">
        <v>46125</v>
      </c>
      <c r="B97" s="23">
        <v>35452.78</v>
      </c>
      <c r="C97" s="24">
        <f t="shared" si="1"/>
        <v>-7.5062477411690972E-3</v>
      </c>
    </row>
    <row r="98" spans="1:3" ht="14.25" customHeight="1" x14ac:dyDescent="0.3">
      <c r="A98" s="22">
        <v>46122</v>
      </c>
      <c r="B98" s="23">
        <v>35720.910000000003</v>
      </c>
      <c r="C98" s="24">
        <f t="shared" si="1"/>
        <v>1.4034884523048165E-2</v>
      </c>
    </row>
    <row r="99" spans="1:3" ht="14.25" customHeight="1" x14ac:dyDescent="0.3">
      <c r="A99" s="22">
        <v>46121</v>
      </c>
      <c r="B99" s="23">
        <v>35226.51</v>
      </c>
      <c r="C99" s="24">
        <f t="shared" si="1"/>
        <v>-4.5003979001722724E-3</v>
      </c>
    </row>
    <row r="100" spans="1:3" ht="14.25" customHeight="1" x14ac:dyDescent="0.3">
      <c r="A100" s="22">
        <v>46120</v>
      </c>
      <c r="B100" s="23">
        <v>35385.760000000002</v>
      </c>
      <c r="C100" s="24">
        <f t="shared" si="1"/>
        <v>3.9478477074094867E-2</v>
      </c>
    </row>
    <row r="101" spans="1:3" ht="14.25" customHeight="1" x14ac:dyDescent="0.3">
      <c r="A101" s="22">
        <v>46119</v>
      </c>
      <c r="B101" s="23">
        <v>34041.839999999997</v>
      </c>
      <c r="C101" s="24">
        <f t="shared" si="1"/>
        <v>4.8311346214980995E-3</v>
      </c>
    </row>
    <row r="102" spans="1:3" ht="14.25" customHeight="1" x14ac:dyDescent="0.3">
      <c r="A102" s="22">
        <v>46118</v>
      </c>
      <c r="B102" s="23">
        <v>33878.17</v>
      </c>
      <c r="C102" s="24">
        <f t="shared" si="1"/>
        <v>1.2211733386715384E-2</v>
      </c>
    </row>
    <row r="103" spans="1:3" ht="14.25" customHeight="1" x14ac:dyDescent="0.3">
      <c r="A103" s="22">
        <v>46114</v>
      </c>
      <c r="B103" s="23">
        <v>33469.449999999997</v>
      </c>
      <c r="C103" s="24">
        <f t="shared" si="1"/>
        <v>1.6644812257274736E-4</v>
      </c>
    </row>
    <row r="104" spans="1:3" ht="14.25" customHeight="1" x14ac:dyDescent="0.3">
      <c r="A104" s="22">
        <v>46113</v>
      </c>
      <c r="B104" s="23">
        <v>33463.879999999997</v>
      </c>
      <c r="C104" s="24">
        <f t="shared" si="1"/>
        <v>1.983168937809664E-2</v>
      </c>
    </row>
    <row r="105" spans="1:3" ht="14.25" customHeight="1" x14ac:dyDescent="0.3">
      <c r="A105" s="22">
        <v>46111</v>
      </c>
      <c r="B105" s="23">
        <v>32813.14</v>
      </c>
      <c r="C105" s="24">
        <f t="shared" si="1"/>
        <v>-2.33957812115877E-2</v>
      </c>
    </row>
    <row r="106" spans="1:3" ht="14.25" customHeight="1" x14ac:dyDescent="0.3">
      <c r="A106" s="22">
        <v>46108</v>
      </c>
      <c r="B106" s="23">
        <v>33599.22</v>
      </c>
      <c r="C106" s="24">
        <f t="shared" si="1"/>
        <v>-2.1206234012299794E-2</v>
      </c>
    </row>
    <row r="107" spans="1:3" ht="14.25" customHeight="1" x14ac:dyDescent="0.3">
      <c r="A107" s="22">
        <v>46106</v>
      </c>
      <c r="B107" s="23">
        <v>34327.17</v>
      </c>
      <c r="C107" s="24">
        <f t="shared" si="1"/>
        <v>1.9519785304042594E-2</v>
      </c>
    </row>
    <row r="108" spans="1:3" ht="14.25" customHeight="1" x14ac:dyDescent="0.3">
      <c r="A108" s="22">
        <v>46105</v>
      </c>
      <c r="B108" s="23">
        <v>33669.94</v>
      </c>
      <c r="C108" s="24">
        <f t="shared" si="1"/>
        <v>1.949118003816365E-2</v>
      </c>
    </row>
    <row r="109" spans="1:3" ht="14.25" customHeight="1" x14ac:dyDescent="0.3">
      <c r="A109" s="22">
        <v>46104</v>
      </c>
      <c r="B109" s="23">
        <v>33026.22</v>
      </c>
      <c r="C109" s="24">
        <f t="shared" si="1"/>
        <v>-3.1091072901212401E-2</v>
      </c>
    </row>
    <row r="110" spans="1:3" ht="14.25" customHeight="1" x14ac:dyDescent="0.3">
      <c r="A110" s="22">
        <v>46101</v>
      </c>
      <c r="B110" s="23">
        <v>34085.99</v>
      </c>
      <c r="C110" s="24">
        <f t="shared" si="1"/>
        <v>4.8325484949911738E-3</v>
      </c>
    </row>
    <row r="111" spans="1:3" ht="14.25" customHeight="1" x14ac:dyDescent="0.3">
      <c r="A111" s="22">
        <v>46100</v>
      </c>
      <c r="B111" s="23">
        <v>33922.06</v>
      </c>
      <c r="C111" s="24">
        <f t="shared" si="1"/>
        <v>-3.1555332745602377E-2</v>
      </c>
    </row>
    <row r="112" spans="1:3" ht="14.25" customHeight="1" x14ac:dyDescent="0.3">
      <c r="A112" s="22">
        <v>46099</v>
      </c>
      <c r="B112" s="23">
        <v>35027.360000000001</v>
      </c>
      <c r="C112" s="24">
        <f t="shared" si="1"/>
        <v>1.1448741701048407E-2</v>
      </c>
    </row>
    <row r="113" spans="1:3" ht="14.25" customHeight="1" x14ac:dyDescent="0.3">
      <c r="A113" s="22">
        <v>46098</v>
      </c>
      <c r="B113" s="23">
        <v>34630.879999999997</v>
      </c>
      <c r="C113" s="24">
        <f t="shared" si="1"/>
        <v>7.9325741384984553E-3</v>
      </c>
    </row>
    <row r="114" spans="1:3" ht="14.25" customHeight="1" x14ac:dyDescent="0.3">
      <c r="A114" s="22">
        <v>46097</v>
      </c>
      <c r="B114" s="23">
        <v>34358.33</v>
      </c>
      <c r="C114" s="24">
        <f t="shared" si="1"/>
        <v>5.0297808659473271E-3</v>
      </c>
    </row>
    <row r="115" spans="1:3" ht="14.25" customHeight="1" x14ac:dyDescent="0.3">
      <c r="A115" s="22">
        <v>46094</v>
      </c>
      <c r="B115" s="23">
        <v>34186.379999999997</v>
      </c>
      <c r="C115" s="24">
        <f t="shared" si="1"/>
        <v>-2.3110637648542112E-2</v>
      </c>
    </row>
    <row r="116" spans="1:3" ht="14.25" customHeight="1" x14ac:dyDescent="0.3">
      <c r="A116" s="22">
        <v>46093</v>
      </c>
      <c r="B116" s="23">
        <v>34995.14</v>
      </c>
      <c r="C116" s="24">
        <f t="shared" si="1"/>
        <v>-6.5297095966944645E-3</v>
      </c>
    </row>
    <row r="117" spans="1:3" ht="14.25" customHeight="1" x14ac:dyDescent="0.3">
      <c r="A117" s="22">
        <v>46092</v>
      </c>
      <c r="B117" s="23">
        <v>35225.15</v>
      </c>
      <c r="C117" s="24">
        <f t="shared" si="1"/>
        <v>-1.3452280560933652E-2</v>
      </c>
    </row>
    <row r="118" spans="1:3" ht="14.25" customHeight="1" x14ac:dyDescent="0.3">
      <c r="A118" s="22">
        <v>46091</v>
      </c>
      <c r="B118" s="23">
        <v>35705.47</v>
      </c>
      <c r="C118" s="24">
        <f t="shared" si="1"/>
        <v>1.2986655590772963E-2</v>
      </c>
    </row>
    <row r="119" spans="1:3" ht="14.25" customHeight="1" x14ac:dyDescent="0.3">
      <c r="A119" s="22">
        <v>46090</v>
      </c>
      <c r="B119" s="23">
        <v>35247.72</v>
      </c>
      <c r="C119" s="24">
        <f t="shared" si="1"/>
        <v>-1.8894393641690353E-2</v>
      </c>
    </row>
    <row r="120" spans="1:3" ht="14.25" customHeight="1" x14ac:dyDescent="0.3">
      <c r="A120" s="22">
        <v>46087</v>
      </c>
      <c r="B120" s="23">
        <v>35926.53</v>
      </c>
      <c r="C120" s="24">
        <f t="shared" si="1"/>
        <v>-9.4927495475703814E-3</v>
      </c>
    </row>
    <row r="121" spans="1:3" ht="14.25" customHeight="1" x14ac:dyDescent="0.3">
      <c r="A121" s="22">
        <v>46086</v>
      </c>
      <c r="B121" s="23">
        <v>36270.839999999997</v>
      </c>
      <c r="C121" s="24">
        <f t="shared" si="1"/>
        <v>1.2851494891738648E-2</v>
      </c>
    </row>
    <row r="122" spans="1:3" ht="14.25" customHeight="1" x14ac:dyDescent="0.3">
      <c r="A122" s="22">
        <v>46085</v>
      </c>
      <c r="B122" s="23">
        <v>35810.620000000003</v>
      </c>
      <c r="C122" s="24">
        <f t="shared" si="1"/>
        <v>-1.8661012030443014E-2</v>
      </c>
    </row>
    <row r="123" spans="1:3" ht="14.25" customHeight="1" x14ac:dyDescent="0.3">
      <c r="A123" s="22">
        <v>46083</v>
      </c>
      <c r="B123" s="23">
        <v>36491.589999999997</v>
      </c>
      <c r="C123" s="24">
        <f t="shared" si="1"/>
        <v>-1.4283753975512972E-2</v>
      </c>
    </row>
    <row r="124" spans="1:3" ht="14.25" customHeight="1" x14ac:dyDescent="0.3">
      <c r="A124" s="22">
        <v>46080</v>
      </c>
      <c r="B124" s="23">
        <v>37020.379999999997</v>
      </c>
      <c r="C124" s="24">
        <f t="shared" si="1"/>
        <v>-1.2012122609585086E-2</v>
      </c>
    </row>
    <row r="125" spans="1:3" ht="14.25" customHeight="1" x14ac:dyDescent="0.3">
      <c r="A125" s="22">
        <v>46079</v>
      </c>
      <c r="B125" s="23">
        <v>37470.480000000003</v>
      </c>
      <c r="C125" s="24">
        <f t="shared" si="1"/>
        <v>1.9107452548223565E-3</v>
      </c>
    </row>
    <row r="126" spans="1:3" ht="14.25" customHeight="1" x14ac:dyDescent="0.3">
      <c r="A126" s="22">
        <v>46078</v>
      </c>
      <c r="B126" s="23">
        <v>37399.019999999997</v>
      </c>
      <c r="C126" s="24">
        <f t="shared" si="1"/>
        <v>4.2563863921303647E-3</v>
      </c>
    </row>
    <row r="127" spans="1:3" ht="14.25" customHeight="1" x14ac:dyDescent="0.3">
      <c r="A127" s="22">
        <v>46077</v>
      </c>
      <c r="B127" s="23">
        <v>37240.51</v>
      </c>
      <c r="C127" s="24">
        <f t="shared" si="1"/>
        <v>-7.6789251103622398E-3</v>
      </c>
    </row>
    <row r="128" spans="1:3" ht="14.25" customHeight="1" x14ac:dyDescent="0.3">
      <c r="A128" s="22">
        <v>46076</v>
      </c>
      <c r="B128" s="23">
        <v>37528.69</v>
      </c>
      <c r="C128" s="24">
        <f t="shared" si="1"/>
        <v>3.8470108362019099E-3</v>
      </c>
    </row>
    <row r="129" spans="1:3" ht="14.25" customHeight="1" x14ac:dyDescent="0.3">
      <c r="A129" s="22">
        <v>46073</v>
      </c>
      <c r="B129" s="23">
        <v>37384.870000000003</v>
      </c>
      <c r="C129" s="24">
        <f t="shared" si="1"/>
        <v>4.2555763442392583E-3</v>
      </c>
    </row>
    <row r="130" spans="1:3" ht="14.25" customHeight="1" x14ac:dyDescent="0.3">
      <c r="A130" s="22">
        <v>46072</v>
      </c>
      <c r="B130" s="23">
        <v>37226.449999999997</v>
      </c>
      <c r="C130" s="24">
        <f t="shared" ref="C130:C193" si="2">(B130-B131)/B131</f>
        <v>-1.4731212734602716E-2</v>
      </c>
    </row>
    <row r="131" spans="1:3" ht="14.25" customHeight="1" x14ac:dyDescent="0.3">
      <c r="A131" s="22">
        <v>46071</v>
      </c>
      <c r="B131" s="23">
        <v>37783.040000000001</v>
      </c>
      <c r="C131" s="24">
        <f t="shared" si="2"/>
        <v>4.6388350743367373E-3</v>
      </c>
    </row>
    <row r="132" spans="1:3" ht="14.25" customHeight="1" x14ac:dyDescent="0.3">
      <c r="A132" s="22">
        <v>46070</v>
      </c>
      <c r="B132" s="23">
        <v>37608.58</v>
      </c>
      <c r="C132" s="24">
        <f t="shared" si="2"/>
        <v>2.8866412642235412E-3</v>
      </c>
    </row>
    <row r="133" spans="1:3" ht="14.25" customHeight="1" x14ac:dyDescent="0.3">
      <c r="A133" s="22">
        <v>46069</v>
      </c>
      <c r="B133" s="23">
        <v>37500.33</v>
      </c>
      <c r="C133" s="24">
        <f t="shared" si="2"/>
        <v>-7.5370939671489954E-3</v>
      </c>
    </row>
    <row r="134" spans="1:3" ht="14.25" customHeight="1" x14ac:dyDescent="0.3">
      <c r="A134" s="22">
        <v>46065</v>
      </c>
      <c r="B134" s="23">
        <v>37785.120000000003</v>
      </c>
      <c r="C134" s="24">
        <f t="shared" si="2"/>
        <v>-5.5283342593281104E-3</v>
      </c>
    </row>
    <row r="135" spans="1:3" ht="14.25" customHeight="1" x14ac:dyDescent="0.3">
      <c r="A135" s="22">
        <v>46064</v>
      </c>
      <c r="B135" s="23">
        <v>37995.17</v>
      </c>
      <c r="C135" s="24">
        <f t="shared" si="2"/>
        <v>1.3329963507314679E-3</v>
      </c>
    </row>
    <row r="136" spans="1:3" ht="14.25" customHeight="1" x14ac:dyDescent="0.3">
      <c r="A136" s="22">
        <v>46063</v>
      </c>
      <c r="B136" s="23">
        <v>37944.589999999997</v>
      </c>
      <c r="C136" s="24">
        <f t="shared" si="2"/>
        <v>3.0070712167825754E-3</v>
      </c>
    </row>
    <row r="137" spans="1:3" ht="14.25" customHeight="1" x14ac:dyDescent="0.3">
      <c r="A137" s="22">
        <v>46062</v>
      </c>
      <c r="B137" s="23">
        <v>37830.83</v>
      </c>
      <c r="C137" s="24">
        <f t="shared" si="2"/>
        <v>1.0727691941874382E-2</v>
      </c>
    </row>
    <row r="138" spans="1:3" ht="14.25" customHeight="1" x14ac:dyDescent="0.3">
      <c r="A138" s="22">
        <v>46059</v>
      </c>
      <c r="B138" s="23">
        <v>37429.300000000003</v>
      </c>
      <c r="C138" s="24">
        <f t="shared" si="2"/>
        <v>1.1046325024072674E-3</v>
      </c>
    </row>
    <row r="139" spans="1:3" ht="14.25" customHeight="1" x14ac:dyDescent="0.3">
      <c r="A139" s="22">
        <v>46058</v>
      </c>
      <c r="B139" s="23">
        <v>37388</v>
      </c>
      <c r="C139" s="24">
        <f t="shared" si="2"/>
        <v>-5.1646927659709952E-3</v>
      </c>
    </row>
    <row r="140" spans="1:3" ht="14.25" customHeight="1" x14ac:dyDescent="0.3">
      <c r="A140" s="22">
        <v>46057</v>
      </c>
      <c r="B140" s="23">
        <v>37582.1</v>
      </c>
      <c r="C140" s="24">
        <f t="shared" si="2"/>
        <v>3.7988913957232202E-3</v>
      </c>
    </row>
    <row r="141" spans="1:3" ht="14.25" customHeight="1" x14ac:dyDescent="0.3">
      <c r="A141" s="22">
        <v>46056</v>
      </c>
      <c r="B141" s="23">
        <v>37439.870000000003</v>
      </c>
      <c r="C141" s="24">
        <f t="shared" si="2"/>
        <v>2.6684849435485922E-2</v>
      </c>
    </row>
    <row r="142" spans="1:3" ht="14.25" customHeight="1" x14ac:dyDescent="0.3">
      <c r="A142" s="22">
        <v>46055</v>
      </c>
      <c r="B142" s="23">
        <v>36466.76</v>
      </c>
      <c r="C142" s="24">
        <f t="shared" si="2"/>
        <v>-1.0505259684722717E-2</v>
      </c>
    </row>
    <row r="143" spans="1:3" ht="14.25" customHeight="1" x14ac:dyDescent="0.3">
      <c r="A143" s="22">
        <v>46052</v>
      </c>
      <c r="B143" s="23">
        <v>36853.919999999998</v>
      </c>
      <c r="C143" s="24">
        <f t="shared" si="2"/>
        <v>-2.3545717619225088E-3</v>
      </c>
    </row>
    <row r="144" spans="1:3" ht="14.25" customHeight="1" x14ac:dyDescent="0.3">
      <c r="A144" s="22">
        <v>46051</v>
      </c>
      <c r="B144" s="23">
        <v>36940.9</v>
      </c>
      <c r="C144" s="24">
        <f t="shared" si="2"/>
        <v>2.2910501985269971E-3</v>
      </c>
    </row>
    <row r="145" spans="1:3" ht="14.25" customHeight="1" x14ac:dyDescent="0.3">
      <c r="A145" s="22">
        <v>46050</v>
      </c>
      <c r="B145" s="23">
        <v>36856.46</v>
      </c>
      <c r="C145" s="24">
        <f t="shared" si="2"/>
        <v>1.1519420101639085E-2</v>
      </c>
    </row>
    <row r="146" spans="1:3" ht="14.25" customHeight="1" x14ac:dyDescent="0.3">
      <c r="A146" s="22">
        <v>46049</v>
      </c>
      <c r="B146" s="23">
        <v>36436.730000000003</v>
      </c>
      <c r="C146" s="24">
        <f t="shared" si="2"/>
        <v>5.0061742816139903E-3</v>
      </c>
    </row>
    <row r="147" spans="1:3" ht="14.25" customHeight="1" x14ac:dyDescent="0.3">
      <c r="A147" s="22">
        <v>46045</v>
      </c>
      <c r="B147" s="23">
        <v>36255.230000000003</v>
      </c>
      <c r="C147" s="24">
        <f t="shared" si="2"/>
        <v>-1.3141695403917839E-2</v>
      </c>
    </row>
    <row r="148" spans="1:3" ht="14.25" customHeight="1" x14ac:dyDescent="0.3">
      <c r="A148" s="22">
        <v>46044</v>
      </c>
      <c r="B148" s="23">
        <v>36738.03</v>
      </c>
      <c r="C148" s="24">
        <f t="shared" si="2"/>
        <v>2.7146255981060157E-3</v>
      </c>
    </row>
    <row r="149" spans="1:3" ht="14.25" customHeight="1" x14ac:dyDescent="0.3">
      <c r="A149" s="22">
        <v>46042</v>
      </c>
      <c r="B149" s="23">
        <v>36638.57</v>
      </c>
      <c r="C149" s="24">
        <f t="shared" si="2"/>
        <v>-1.8257268971297657E-2</v>
      </c>
    </row>
    <row r="150" spans="1:3" ht="14.25" customHeight="1" x14ac:dyDescent="0.3">
      <c r="A150" s="22">
        <v>46041</v>
      </c>
      <c r="B150" s="23">
        <v>37319.93</v>
      </c>
      <c r="C150" s="24">
        <f t="shared" si="2"/>
        <v>-4.7493174306269112E-3</v>
      </c>
    </row>
    <row r="151" spans="1:3" ht="14.25" customHeight="1" x14ac:dyDescent="0.3">
      <c r="A151" s="22">
        <v>46038</v>
      </c>
      <c r="B151" s="23">
        <v>37498.019999999997</v>
      </c>
      <c r="C151" s="24">
        <f t="shared" si="2"/>
        <v>7.6115240395513146E-4</v>
      </c>
    </row>
    <row r="152" spans="1:3" ht="14.25" customHeight="1" x14ac:dyDescent="0.3">
      <c r="A152" s="22">
        <v>46036</v>
      </c>
      <c r="B152" s="23">
        <v>37469.5</v>
      </c>
      <c r="C152" s="24">
        <f t="shared" si="2"/>
        <v>-2.0572502595575089E-4</v>
      </c>
    </row>
    <row r="153" spans="1:3" ht="14.25" customHeight="1" x14ac:dyDescent="0.3">
      <c r="A153" s="22">
        <v>46035</v>
      </c>
      <c r="B153" s="23">
        <v>37477.21</v>
      </c>
      <c r="C153" s="24">
        <f t="shared" si="2"/>
        <v>-1.2658325673935921E-3</v>
      </c>
    </row>
    <row r="154" spans="1:3" ht="14.25" customHeight="1" x14ac:dyDescent="0.3">
      <c r="A154" s="22">
        <v>46034</v>
      </c>
      <c r="B154" s="23">
        <v>37524.71</v>
      </c>
      <c r="C154" s="24">
        <f t="shared" si="2"/>
        <v>1.8365588136668616E-3</v>
      </c>
    </row>
    <row r="155" spans="1:3" ht="14.25" customHeight="1" x14ac:dyDescent="0.3">
      <c r="A155" s="22">
        <v>46031</v>
      </c>
      <c r="B155" s="23">
        <v>37455.919999999998</v>
      </c>
      <c r="C155" s="24">
        <f t="shared" si="2"/>
        <v>-8.9859785080519967E-3</v>
      </c>
    </row>
    <row r="156" spans="1:3" ht="14.25" customHeight="1" x14ac:dyDescent="0.3">
      <c r="A156" s="22">
        <v>46030</v>
      </c>
      <c r="B156" s="23">
        <v>37795.550000000003</v>
      </c>
      <c r="C156" s="24">
        <f t="shared" si="2"/>
        <v>-1.4011039680814869E-2</v>
      </c>
    </row>
    <row r="157" spans="1:3" ht="14.25" customHeight="1" x14ac:dyDescent="0.3">
      <c r="A157" s="22">
        <v>46029</v>
      </c>
      <c r="B157" s="23">
        <v>38332.629999999997</v>
      </c>
      <c r="C157" s="24">
        <f t="shared" si="2"/>
        <v>2.5572224180718474E-4</v>
      </c>
    </row>
    <row r="158" spans="1:3" ht="14.25" customHeight="1" x14ac:dyDescent="0.3">
      <c r="A158" s="22">
        <v>46028</v>
      </c>
      <c r="B158" s="23">
        <v>38322.83</v>
      </c>
      <c r="C158" s="24">
        <f t="shared" si="2"/>
        <v>-1.9932618686192213E-3</v>
      </c>
    </row>
    <row r="159" spans="1:3" ht="14.25" customHeight="1" x14ac:dyDescent="0.3">
      <c r="A159" s="22">
        <v>46027</v>
      </c>
      <c r="B159" s="23">
        <v>38399.370000000003</v>
      </c>
      <c r="C159" s="24">
        <f t="shared" si="2"/>
        <v>-1.6828679209963558E-3</v>
      </c>
    </row>
    <row r="160" spans="1:3" ht="14.25" customHeight="1" x14ac:dyDescent="0.3">
      <c r="A160" s="22">
        <v>46024</v>
      </c>
      <c r="B160" s="23">
        <v>38464.1</v>
      </c>
      <c r="C160" s="24">
        <f t="shared" si="2"/>
        <v>7.9223264539354903E-3</v>
      </c>
    </row>
    <row r="161" spans="1:3" ht="14.25" customHeight="1" x14ac:dyDescent="0.3">
      <c r="A161" s="22">
        <v>46023</v>
      </c>
      <c r="B161" s="23">
        <v>38161.769999999997</v>
      </c>
      <c r="C161" s="24">
        <f t="shared" si="2"/>
        <v>1.5933939895635221E-3</v>
      </c>
    </row>
    <row r="162" spans="1:3" ht="14.25" customHeight="1" x14ac:dyDescent="0.3">
      <c r="A162" s="22">
        <v>46022</v>
      </c>
      <c r="B162" s="23">
        <v>38101.06</v>
      </c>
      <c r="C162" s="24">
        <f t="shared" si="2"/>
        <v>8.5662213833914303E-3</v>
      </c>
    </row>
    <row r="163" spans="1:3" ht="14.25" customHeight="1" x14ac:dyDescent="0.3">
      <c r="A163" s="22">
        <v>46021</v>
      </c>
      <c r="B163" s="23">
        <v>37777.449999999997</v>
      </c>
      <c r="C163" s="24">
        <f t="shared" si="2"/>
        <v>-5.6324628810380643E-4</v>
      </c>
    </row>
    <row r="164" spans="1:3" ht="14.25" customHeight="1" x14ac:dyDescent="0.3">
      <c r="A164" s="22">
        <v>46020</v>
      </c>
      <c r="B164" s="23">
        <v>37798.74</v>
      </c>
      <c r="C164" s="24">
        <f t="shared" si="2"/>
        <v>-4.1269511726664161E-3</v>
      </c>
    </row>
    <row r="165" spans="1:3" ht="14.25" customHeight="1" x14ac:dyDescent="0.3">
      <c r="A165" s="22">
        <v>46017</v>
      </c>
      <c r="B165" s="23">
        <v>37955.379999999997</v>
      </c>
      <c r="C165" s="24">
        <f t="shared" si="2"/>
        <v>-2.9353415756171002E-3</v>
      </c>
    </row>
    <row r="166" spans="1:3" ht="14.25" customHeight="1" x14ac:dyDescent="0.3">
      <c r="A166" s="22">
        <v>46015</v>
      </c>
      <c r="B166" s="23">
        <v>38067.120000000003</v>
      </c>
      <c r="C166" s="24">
        <f t="shared" si="2"/>
        <v>-1.8773571845095624E-3</v>
      </c>
    </row>
    <row r="167" spans="1:3" ht="14.25" customHeight="1" x14ac:dyDescent="0.3">
      <c r="A167" s="22">
        <v>46014</v>
      </c>
      <c r="B167" s="23">
        <v>38138.720000000001</v>
      </c>
      <c r="C167" s="24">
        <f t="shared" si="2"/>
        <v>1.152124842137356E-3</v>
      </c>
    </row>
    <row r="168" spans="1:3" ht="14.25" customHeight="1" x14ac:dyDescent="0.3">
      <c r="A168" s="22">
        <v>46013</v>
      </c>
      <c r="B168" s="23">
        <v>38094.83</v>
      </c>
      <c r="C168" s="24">
        <f t="shared" si="2"/>
        <v>8.0285419283002198E-3</v>
      </c>
    </row>
    <row r="169" spans="1:3" ht="14.25" customHeight="1" x14ac:dyDescent="0.3">
      <c r="A169" s="22">
        <v>46010</v>
      </c>
      <c r="B169" s="23">
        <v>37791.42</v>
      </c>
      <c r="C169" s="24">
        <f t="shared" si="2"/>
        <v>7.9230604077680962E-3</v>
      </c>
    </row>
    <row r="170" spans="1:3" ht="14.25" customHeight="1" x14ac:dyDescent="0.3">
      <c r="A170" s="22">
        <v>46009</v>
      </c>
      <c r="B170" s="23">
        <v>37494.35</v>
      </c>
      <c r="C170" s="24">
        <f t="shared" si="2"/>
        <v>-1.9492470466653868E-4</v>
      </c>
    </row>
    <row r="171" spans="1:3" ht="14.25" customHeight="1" x14ac:dyDescent="0.3">
      <c r="A171" s="22">
        <v>46008</v>
      </c>
      <c r="B171" s="23">
        <v>37501.660000000003</v>
      </c>
      <c r="C171" s="24">
        <f t="shared" si="2"/>
        <v>-3.1424874295184857E-3</v>
      </c>
    </row>
    <row r="172" spans="1:3" ht="14.25" customHeight="1" x14ac:dyDescent="0.3">
      <c r="A172" s="22">
        <v>46007</v>
      </c>
      <c r="B172" s="23">
        <v>37619.879999999997</v>
      </c>
      <c r="C172" s="24">
        <f t="shared" si="2"/>
        <v>-6.5357060709525169E-3</v>
      </c>
    </row>
    <row r="173" spans="1:3" ht="14.25" customHeight="1" x14ac:dyDescent="0.3">
      <c r="A173" s="22">
        <v>46006</v>
      </c>
      <c r="B173" s="23">
        <v>37867.370000000003</v>
      </c>
      <c r="C173" s="24">
        <f t="shared" si="2"/>
        <v>-4.3043122342744213E-5</v>
      </c>
    </row>
    <row r="174" spans="1:3" ht="14.25" customHeight="1" x14ac:dyDescent="0.3">
      <c r="A174" s="22">
        <v>46003</v>
      </c>
      <c r="B174" s="23">
        <v>37869</v>
      </c>
      <c r="C174" s="24">
        <f t="shared" si="2"/>
        <v>7.4463075732061016E-3</v>
      </c>
    </row>
    <row r="175" spans="1:3" ht="14.25" customHeight="1" x14ac:dyDescent="0.3">
      <c r="A175" s="22">
        <v>46002</v>
      </c>
      <c r="B175" s="23">
        <v>37589.1</v>
      </c>
      <c r="C175" s="24">
        <f t="shared" si="2"/>
        <v>6.0686744627480157E-3</v>
      </c>
    </row>
    <row r="176" spans="1:3" ht="14.25" customHeight="1" x14ac:dyDescent="0.3">
      <c r="A176" s="22">
        <v>46001</v>
      </c>
      <c r="B176" s="23">
        <v>37362.36</v>
      </c>
      <c r="C176" s="24">
        <f t="shared" si="2"/>
        <v>-4.5700032690456239E-3</v>
      </c>
    </row>
    <row r="177" spans="1:3" ht="14.25" customHeight="1" x14ac:dyDescent="0.3">
      <c r="A177" s="22">
        <v>46000</v>
      </c>
      <c r="B177" s="23">
        <v>37533.89</v>
      </c>
      <c r="C177" s="24">
        <f t="shared" si="2"/>
        <v>-4.2290538663745161E-4</v>
      </c>
    </row>
    <row r="178" spans="1:3" ht="14.25" customHeight="1" x14ac:dyDescent="0.3">
      <c r="A178" s="22">
        <v>45999</v>
      </c>
      <c r="B178" s="23">
        <v>37549.769999999997</v>
      </c>
      <c r="C178" s="24">
        <f t="shared" si="2"/>
        <v>-1.2966363107059136E-2</v>
      </c>
    </row>
    <row r="179" spans="1:3" ht="14.25" customHeight="1" x14ac:dyDescent="0.3">
      <c r="A179" s="22">
        <v>45996</v>
      </c>
      <c r="B179" s="23">
        <v>38043.050000000003</v>
      </c>
      <c r="C179" s="24">
        <f t="shared" si="2"/>
        <v>3.9669878628433393E-3</v>
      </c>
    </row>
    <row r="180" spans="1:3" ht="14.25" customHeight="1" x14ac:dyDescent="0.3">
      <c r="A180" s="22">
        <v>45995</v>
      </c>
      <c r="B180" s="23">
        <v>37892.730000000003</v>
      </c>
      <c r="C180" s="24">
        <f t="shared" si="2"/>
        <v>1.0461486276037363E-3</v>
      </c>
    </row>
    <row r="181" spans="1:3" ht="14.25" customHeight="1" x14ac:dyDescent="0.3">
      <c r="A181" s="22">
        <v>45994</v>
      </c>
      <c r="B181" s="23">
        <v>37853.129999999997</v>
      </c>
      <c r="C181" s="24">
        <f t="shared" si="2"/>
        <v>-4.4466127683300731E-3</v>
      </c>
    </row>
    <row r="182" spans="1:3" ht="14.25" customHeight="1" x14ac:dyDescent="0.3">
      <c r="A182" s="22">
        <v>45993</v>
      </c>
      <c r="B182" s="23">
        <v>38022.199999999997</v>
      </c>
      <c r="C182" s="24">
        <f t="shared" si="2"/>
        <v>-4.1893910664039542E-3</v>
      </c>
    </row>
    <row r="183" spans="1:3" ht="14.25" customHeight="1" x14ac:dyDescent="0.3">
      <c r="A183" s="22">
        <v>45992</v>
      </c>
      <c r="B183" s="23">
        <v>38182.160000000003</v>
      </c>
      <c r="C183" s="24">
        <f t="shared" si="2"/>
        <v>-4.5000765719822595E-4</v>
      </c>
    </row>
    <row r="184" spans="1:3" ht="14.25" customHeight="1" x14ac:dyDescent="0.3">
      <c r="A184" s="22">
        <v>45989</v>
      </c>
      <c r="B184" s="23">
        <v>38199.35</v>
      </c>
      <c r="C184" s="24">
        <f t="shared" si="2"/>
        <v>-6.0671007211981012E-4</v>
      </c>
    </row>
    <row r="185" spans="1:3" ht="14.25" customHeight="1" x14ac:dyDescent="0.3">
      <c r="A185" s="22">
        <v>45988</v>
      </c>
      <c r="B185" s="23">
        <v>38222.54</v>
      </c>
      <c r="C185" s="24">
        <f t="shared" si="2"/>
        <v>-3.1202210989194544E-4</v>
      </c>
    </row>
    <row r="186" spans="1:3" ht="14.25" customHeight="1" x14ac:dyDescent="0.3">
      <c r="A186" s="22">
        <v>45987</v>
      </c>
      <c r="B186" s="23">
        <v>38234.47</v>
      </c>
      <c r="C186" s="24">
        <f t="shared" si="2"/>
        <v>1.2716676961283428E-2</v>
      </c>
    </row>
    <row r="187" spans="1:3" ht="14.25" customHeight="1" x14ac:dyDescent="0.3">
      <c r="A187" s="22">
        <v>45986</v>
      </c>
      <c r="B187" s="23">
        <v>37754.36</v>
      </c>
      <c r="C187" s="24">
        <f t="shared" si="2"/>
        <v>-8.2412565666722471E-4</v>
      </c>
    </row>
    <row r="188" spans="1:3" ht="14.25" customHeight="1" x14ac:dyDescent="0.3">
      <c r="A188" s="22">
        <v>45985</v>
      </c>
      <c r="B188" s="23">
        <v>37785.5</v>
      </c>
      <c r="C188" s="24">
        <f t="shared" si="2"/>
        <v>-4.8632926487537443E-3</v>
      </c>
    </row>
    <row r="189" spans="1:3" ht="14.25" customHeight="1" x14ac:dyDescent="0.3">
      <c r="A189" s="22">
        <v>45982</v>
      </c>
      <c r="B189" s="23">
        <v>37970.160000000003</v>
      </c>
      <c r="C189" s="24">
        <f t="shared" si="2"/>
        <v>-7.7021017706051581E-3</v>
      </c>
    </row>
    <row r="190" spans="1:3" ht="14.25" customHeight="1" x14ac:dyDescent="0.3">
      <c r="A190" s="22">
        <v>45981</v>
      </c>
      <c r="B190" s="23">
        <v>38264.879999999997</v>
      </c>
      <c r="C190" s="24">
        <f t="shared" si="2"/>
        <v>2.8995459221449085E-3</v>
      </c>
    </row>
    <row r="191" spans="1:3" ht="14.25" customHeight="1" x14ac:dyDescent="0.3">
      <c r="A191" s="22">
        <v>45980</v>
      </c>
      <c r="B191" s="23">
        <v>38154.25</v>
      </c>
      <c r="C191" s="24">
        <f t="shared" si="2"/>
        <v>3.4370795370029092E-3</v>
      </c>
    </row>
    <row r="192" spans="1:3" ht="14.25" customHeight="1" x14ac:dyDescent="0.3">
      <c r="A192" s="22">
        <v>45979</v>
      </c>
      <c r="B192" s="23">
        <v>38023.56</v>
      </c>
      <c r="C192" s="24">
        <f t="shared" si="2"/>
        <v>-5.3947444140436318E-3</v>
      </c>
    </row>
    <row r="193" spans="1:3" ht="14.25" customHeight="1" x14ac:dyDescent="0.3">
      <c r="A193" s="22">
        <v>45978</v>
      </c>
      <c r="B193" s="23">
        <v>38229.800000000003</v>
      </c>
      <c r="C193" s="24">
        <f t="shared" si="2"/>
        <v>4.9591034971340625E-3</v>
      </c>
    </row>
    <row r="194" spans="1:3" ht="14.25" customHeight="1" x14ac:dyDescent="0.3">
      <c r="A194" s="22">
        <v>45975</v>
      </c>
      <c r="B194" s="23">
        <v>38041.15</v>
      </c>
      <c r="C194" s="24">
        <f t="shared" ref="C194:C257" si="3">(B194-B195)/B195</f>
        <v>8.9061838120567741E-4</v>
      </c>
    </row>
    <row r="195" spans="1:3" ht="14.25" customHeight="1" x14ac:dyDescent="0.3">
      <c r="A195" s="22">
        <v>45974</v>
      </c>
      <c r="B195" s="23">
        <v>38007.300000000003</v>
      </c>
      <c r="C195" s="24">
        <f t="shared" si="3"/>
        <v>-8.6539983207242896E-4</v>
      </c>
    </row>
    <row r="196" spans="1:3" ht="14.25" customHeight="1" x14ac:dyDescent="0.3">
      <c r="A196" s="22">
        <v>45973</v>
      </c>
      <c r="B196" s="23">
        <v>38040.22</v>
      </c>
      <c r="C196" s="24">
        <f t="shared" si="3"/>
        <v>6.5118612397540403E-3</v>
      </c>
    </row>
    <row r="197" spans="1:3" ht="14.25" customHeight="1" x14ac:dyDescent="0.3">
      <c r="A197" s="22">
        <v>45972</v>
      </c>
      <c r="B197" s="23">
        <v>37794.11</v>
      </c>
      <c r="C197" s="24">
        <f t="shared" si="3"/>
        <v>3.6492851602198239E-3</v>
      </c>
    </row>
    <row r="198" spans="1:3" ht="14.25" customHeight="1" x14ac:dyDescent="0.3">
      <c r="A198" s="22">
        <v>45971</v>
      </c>
      <c r="B198" s="23">
        <v>37656.69</v>
      </c>
      <c r="C198" s="24">
        <f t="shared" si="3"/>
        <v>3.3168852345454103E-3</v>
      </c>
    </row>
    <row r="199" spans="1:3" ht="14.25" customHeight="1" x14ac:dyDescent="0.3">
      <c r="A199" s="22">
        <v>45968</v>
      </c>
      <c r="B199" s="23">
        <v>37532.199999999997</v>
      </c>
      <c r="C199" s="24">
        <f t="shared" si="3"/>
        <v>5.6996887831290755E-4</v>
      </c>
    </row>
    <row r="200" spans="1:3" ht="14.25" customHeight="1" x14ac:dyDescent="0.3">
      <c r="A200" s="22">
        <v>45967</v>
      </c>
      <c r="B200" s="23">
        <v>37510.82</v>
      </c>
      <c r="C200" s="24">
        <f t="shared" si="3"/>
        <v>-6.8223537663273876E-3</v>
      </c>
    </row>
    <row r="201" spans="1:3" ht="14.25" customHeight="1" x14ac:dyDescent="0.3">
      <c r="A201" s="22">
        <v>45965</v>
      </c>
      <c r="B201" s="23">
        <v>37768.49</v>
      </c>
      <c r="C201" s="24">
        <f t="shared" si="3"/>
        <v>-5.6734429426713731E-3</v>
      </c>
    </row>
    <row r="202" spans="1:3" ht="14.25" customHeight="1" x14ac:dyDescent="0.3">
      <c r="A202" s="22">
        <v>45964</v>
      </c>
      <c r="B202" s="23">
        <v>37983.99</v>
      </c>
      <c r="C202" s="24">
        <f t="shared" si="3"/>
        <v>4.2710083561482894E-3</v>
      </c>
    </row>
    <row r="203" spans="1:3" ht="14.25" customHeight="1" x14ac:dyDescent="0.3">
      <c r="A203" s="22">
        <v>45961</v>
      </c>
      <c r="B203" s="23">
        <v>37822.449999999997</v>
      </c>
      <c r="C203" s="24">
        <f t="shared" si="3"/>
        <v>-5.4828998576687384E-3</v>
      </c>
    </row>
    <row r="204" spans="1:3" ht="14.25" customHeight="1" x14ac:dyDescent="0.3">
      <c r="A204" s="22">
        <v>45960</v>
      </c>
      <c r="B204" s="23">
        <v>38030.97</v>
      </c>
      <c r="C204" s="24">
        <f t="shared" si="3"/>
        <v>-4.6380120696667346E-3</v>
      </c>
    </row>
    <row r="205" spans="1:3" ht="14.25" customHeight="1" x14ac:dyDescent="0.3">
      <c r="A205" s="22">
        <v>45959</v>
      </c>
      <c r="B205" s="23">
        <v>38208.18</v>
      </c>
      <c r="C205" s="24">
        <f t="shared" si="3"/>
        <v>5.8717698552644762E-3</v>
      </c>
    </row>
    <row r="206" spans="1:3" ht="14.25" customHeight="1" x14ac:dyDescent="0.3">
      <c r="A206" s="22">
        <v>45958</v>
      </c>
      <c r="B206" s="23">
        <v>37985.14</v>
      </c>
      <c r="C206" s="24">
        <f t="shared" si="3"/>
        <v>-1.1879994698966586E-3</v>
      </c>
    </row>
    <row r="207" spans="1:3" ht="14.25" customHeight="1" x14ac:dyDescent="0.3">
      <c r="A207" s="22">
        <v>45957</v>
      </c>
      <c r="B207" s="23">
        <v>38030.32</v>
      </c>
      <c r="C207" s="24">
        <f t="shared" si="3"/>
        <v>6.9751573401993202E-3</v>
      </c>
    </row>
    <row r="208" spans="1:3" ht="14.25" customHeight="1" x14ac:dyDescent="0.3">
      <c r="A208" s="22">
        <v>45954</v>
      </c>
      <c r="B208" s="23">
        <v>37766.89</v>
      </c>
      <c r="C208" s="24">
        <f t="shared" si="3"/>
        <v>-2.8841383742213888E-3</v>
      </c>
    </row>
    <row r="209" spans="1:3" ht="14.25" customHeight="1" x14ac:dyDescent="0.3">
      <c r="A209" s="22">
        <v>45953</v>
      </c>
      <c r="B209" s="23">
        <v>37876.129999999997</v>
      </c>
      <c r="C209" s="24">
        <f t="shared" si="3"/>
        <v>1.6856908542411089E-3</v>
      </c>
    </row>
    <row r="210" spans="1:3" ht="14.25" customHeight="1" x14ac:dyDescent="0.3">
      <c r="A210" s="22">
        <v>45950</v>
      </c>
      <c r="B210" s="23">
        <v>37812.39</v>
      </c>
      <c r="C210" s="24">
        <f t="shared" si="3"/>
        <v>5.052321348689162E-3</v>
      </c>
    </row>
    <row r="211" spans="1:3" ht="14.25" customHeight="1" x14ac:dyDescent="0.3">
      <c r="A211" s="22">
        <v>45947</v>
      </c>
      <c r="B211" s="23">
        <v>37622.31</v>
      </c>
      <c r="C211" s="24">
        <f t="shared" si="3"/>
        <v>1.5178905846326967E-3</v>
      </c>
    </row>
    <row r="212" spans="1:3" ht="14.25" customHeight="1" x14ac:dyDescent="0.3">
      <c r="A212" s="22">
        <v>45946</v>
      </c>
      <c r="B212" s="23">
        <v>37565.29</v>
      </c>
      <c r="C212" s="24">
        <f t="shared" si="3"/>
        <v>7.9762734976869462E-3</v>
      </c>
    </row>
    <row r="213" spans="1:3" ht="14.25" customHeight="1" x14ac:dyDescent="0.3">
      <c r="A213" s="22">
        <v>45945</v>
      </c>
      <c r="B213" s="23">
        <v>37268.03</v>
      </c>
      <c r="C213" s="24">
        <f t="shared" si="3"/>
        <v>8.3949870352026668E-3</v>
      </c>
    </row>
    <row r="214" spans="1:3" ht="14.25" customHeight="1" x14ac:dyDescent="0.3">
      <c r="A214" s="22">
        <v>45944</v>
      </c>
      <c r="B214" s="23">
        <v>36957.769999999997</v>
      </c>
      <c r="C214" s="24">
        <f t="shared" si="3"/>
        <v>-6.5767191614314949E-3</v>
      </c>
    </row>
    <row r="215" spans="1:3" ht="14.25" customHeight="1" x14ac:dyDescent="0.3">
      <c r="A215" s="22">
        <v>45940</v>
      </c>
      <c r="B215" s="23">
        <v>37202.44</v>
      </c>
      <c r="C215" s="24">
        <f t="shared" si="3"/>
        <v>4.1258227488678838E-3</v>
      </c>
    </row>
    <row r="216" spans="1:3" ht="14.25" customHeight="1" x14ac:dyDescent="0.3">
      <c r="A216" s="22">
        <v>45939</v>
      </c>
      <c r="B216" s="23">
        <v>37049.58</v>
      </c>
      <c r="C216" s="24">
        <f t="shared" si="3"/>
        <v>5.7298749949102638E-3</v>
      </c>
    </row>
    <row r="217" spans="1:3" ht="14.25" customHeight="1" x14ac:dyDescent="0.3">
      <c r="A217" s="22">
        <v>45938</v>
      </c>
      <c r="B217" s="23">
        <v>36838.5</v>
      </c>
      <c r="C217" s="24">
        <f t="shared" si="3"/>
        <v>-4.3148115013349163E-3</v>
      </c>
    </row>
    <row r="218" spans="1:3" ht="14.25" customHeight="1" x14ac:dyDescent="0.3">
      <c r="A218" s="22">
        <v>45937</v>
      </c>
      <c r="B218" s="23">
        <v>36998.14</v>
      </c>
      <c r="C218" s="24">
        <f t="shared" si="3"/>
        <v>1.7187108260911545E-3</v>
      </c>
    </row>
    <row r="219" spans="1:3" ht="14.25" customHeight="1" x14ac:dyDescent="0.3">
      <c r="A219" s="22">
        <v>45936</v>
      </c>
      <c r="B219" s="23">
        <v>36934.660000000003</v>
      </c>
      <c r="C219" s="24">
        <f t="shared" si="3"/>
        <v>6.163985944357791E-3</v>
      </c>
    </row>
    <row r="220" spans="1:3" ht="14.25" customHeight="1" x14ac:dyDescent="0.3">
      <c r="A220" s="22">
        <v>45933</v>
      </c>
      <c r="B220" s="23">
        <v>36708.39</v>
      </c>
      <c r="C220" s="24">
        <f t="shared" si="3"/>
        <v>4.3390114309790062E-3</v>
      </c>
    </row>
    <row r="221" spans="1:3" ht="14.25" customHeight="1" x14ac:dyDescent="0.3">
      <c r="A221" s="22">
        <v>45931</v>
      </c>
      <c r="B221" s="23">
        <v>36549.800000000003</v>
      </c>
      <c r="C221" s="24">
        <f t="shared" si="3"/>
        <v>8.3198568095206264E-3</v>
      </c>
    </row>
    <row r="222" spans="1:3" ht="14.25" customHeight="1" x14ac:dyDescent="0.3">
      <c r="A222" s="22">
        <v>45930</v>
      </c>
      <c r="B222" s="23">
        <v>36248.22</v>
      </c>
      <c r="C222" s="24">
        <f t="shared" si="3"/>
        <v>0</v>
      </c>
    </row>
    <row r="223" spans="1:3" ht="14.25" customHeight="1" x14ac:dyDescent="0.3">
      <c r="A223" s="22">
        <v>45929</v>
      </c>
      <c r="B223" s="23">
        <v>36248.22</v>
      </c>
      <c r="C223" s="24">
        <f t="shared" si="3"/>
        <v>1.1428779755428716E-3</v>
      </c>
    </row>
    <row r="224" spans="1:3" ht="14.25" customHeight="1" x14ac:dyDescent="0.3">
      <c r="A224" s="22">
        <v>45926</v>
      </c>
      <c r="B224" s="23">
        <v>36206.839999999997</v>
      </c>
      <c r="C224" s="24">
        <f t="shared" si="3"/>
        <v>-1.343276343044743E-2</v>
      </c>
    </row>
    <row r="225" spans="1:3" ht="14.25" customHeight="1" x14ac:dyDescent="0.3">
      <c r="A225" s="22">
        <v>45925</v>
      </c>
      <c r="B225" s="23">
        <v>36699.82</v>
      </c>
      <c r="C225" s="24">
        <f t="shared" si="3"/>
        <v>-6.7237284580460585E-3</v>
      </c>
    </row>
    <row r="226" spans="1:3" ht="14.25" customHeight="1" x14ac:dyDescent="0.3">
      <c r="A226" s="22">
        <v>45924</v>
      </c>
      <c r="B226" s="23">
        <v>36948.25</v>
      </c>
      <c r="C226" s="24">
        <f t="shared" si="3"/>
        <v>-6.3034809533375506E-3</v>
      </c>
    </row>
    <row r="227" spans="1:3" ht="14.25" customHeight="1" x14ac:dyDescent="0.3">
      <c r="A227" s="22">
        <v>45923</v>
      </c>
      <c r="B227" s="23">
        <v>37182.629999999997</v>
      </c>
      <c r="C227" s="24">
        <f t="shared" si="3"/>
        <v>-2.4025962527548135E-3</v>
      </c>
    </row>
    <row r="228" spans="1:3" ht="14.25" customHeight="1" x14ac:dyDescent="0.3">
      <c r="A228" s="22">
        <v>45922</v>
      </c>
      <c r="B228" s="23">
        <v>37272.18</v>
      </c>
      <c r="C228" s="24">
        <f t="shared" si="3"/>
        <v>-4.463758670701712E-3</v>
      </c>
    </row>
    <row r="229" spans="1:3" ht="14.25" customHeight="1" x14ac:dyDescent="0.3">
      <c r="A229" s="22">
        <v>45919</v>
      </c>
      <c r="B229" s="23">
        <v>37439.300000000003</v>
      </c>
      <c r="C229" s="24">
        <f t="shared" si="3"/>
        <v>-1.3550243931063303E-3</v>
      </c>
    </row>
    <row r="230" spans="1:3" ht="14.25" customHeight="1" x14ac:dyDescent="0.3">
      <c r="A230" s="22">
        <v>45918</v>
      </c>
      <c r="B230" s="23">
        <v>37490.1</v>
      </c>
      <c r="C230" s="24">
        <f t="shared" si="3"/>
        <v>3.1483092888769425E-3</v>
      </c>
    </row>
    <row r="231" spans="1:3" ht="14.25" customHeight="1" x14ac:dyDescent="0.3">
      <c r="A231" s="22">
        <v>45917</v>
      </c>
      <c r="B231" s="23">
        <v>37372.44</v>
      </c>
      <c r="C231" s="24">
        <f t="shared" si="3"/>
        <v>3.2500818090717121E-3</v>
      </c>
    </row>
    <row r="232" spans="1:3" ht="14.25" customHeight="1" x14ac:dyDescent="0.3">
      <c r="A232" s="22">
        <v>45916</v>
      </c>
      <c r="B232" s="23">
        <v>37251.370000000003</v>
      </c>
      <c r="C232" s="24">
        <f t="shared" si="3"/>
        <v>6.6104174536855903E-3</v>
      </c>
    </row>
    <row r="233" spans="1:3" ht="14.25" customHeight="1" x14ac:dyDescent="0.3">
      <c r="A233" s="22">
        <v>45915</v>
      </c>
      <c r="B233" s="23">
        <v>37006.74</v>
      </c>
      <c r="C233" s="24">
        <f t="shared" si="3"/>
        <v>1.1150932003662108E-3</v>
      </c>
    </row>
    <row r="234" spans="1:3" ht="14.25" customHeight="1" x14ac:dyDescent="0.3">
      <c r="A234" s="22">
        <v>45912</v>
      </c>
      <c r="B234" s="23">
        <v>36965.519999999997</v>
      </c>
      <c r="C234" s="24">
        <f t="shared" si="3"/>
        <v>3.8036195077045826E-3</v>
      </c>
    </row>
    <row r="235" spans="1:3" ht="14.25" customHeight="1" x14ac:dyDescent="0.3">
      <c r="A235" s="22">
        <v>45911</v>
      </c>
      <c r="B235" s="23">
        <v>36825.449999999997</v>
      </c>
      <c r="C235" s="24">
        <f t="shared" si="3"/>
        <v>1.2357259380097088E-3</v>
      </c>
    </row>
    <row r="236" spans="1:3" ht="14.25" customHeight="1" x14ac:dyDescent="0.3">
      <c r="A236" s="22">
        <v>45910</v>
      </c>
      <c r="B236" s="23">
        <v>36780</v>
      </c>
      <c r="C236" s="24">
        <f t="shared" si="3"/>
        <v>5.4586728601608812E-3</v>
      </c>
    </row>
    <row r="237" spans="1:3" ht="14.25" customHeight="1" x14ac:dyDescent="0.3">
      <c r="A237" s="22">
        <v>45909</v>
      </c>
      <c r="B237" s="23">
        <v>36580.32</v>
      </c>
      <c r="C237" s="24">
        <f t="shared" si="3"/>
        <v>3.0802355709761285E-3</v>
      </c>
    </row>
    <row r="238" spans="1:3" ht="14.25" customHeight="1" x14ac:dyDescent="0.3">
      <c r="A238" s="22">
        <v>45908</v>
      </c>
      <c r="B238" s="23">
        <v>36467.99</v>
      </c>
      <c r="C238" s="24">
        <f t="shared" si="3"/>
        <v>2.1877863207980294E-3</v>
      </c>
    </row>
    <row r="239" spans="1:3" ht="14.25" customHeight="1" x14ac:dyDescent="0.3">
      <c r="A239" s="22">
        <v>45905</v>
      </c>
      <c r="B239" s="23">
        <v>36388.379999999997</v>
      </c>
      <c r="C239" s="24">
        <f t="shared" si="3"/>
        <v>4.1458982275445092E-4</v>
      </c>
    </row>
    <row r="240" spans="1:3" ht="14.25" customHeight="1" x14ac:dyDescent="0.3">
      <c r="A240" s="22">
        <v>45904</v>
      </c>
      <c r="B240" s="23">
        <v>36373.300000000003</v>
      </c>
      <c r="C240" s="24">
        <f t="shared" si="3"/>
        <v>-1.8298583039837093E-3</v>
      </c>
    </row>
    <row r="241" spans="1:3" ht="14.25" customHeight="1" x14ac:dyDescent="0.3">
      <c r="A241" s="22">
        <v>45903</v>
      </c>
      <c r="B241" s="23">
        <v>36439.980000000003</v>
      </c>
      <c r="C241" s="24">
        <f t="shared" si="3"/>
        <v>6.1762245176895563E-3</v>
      </c>
    </row>
    <row r="242" spans="1:3" ht="14.25" customHeight="1" x14ac:dyDescent="0.3">
      <c r="A242" s="22">
        <v>45902</v>
      </c>
      <c r="B242" s="23">
        <v>36216.300000000003</v>
      </c>
      <c r="C242" s="24">
        <f t="shared" si="3"/>
        <v>4.8123035850848231E-4</v>
      </c>
    </row>
    <row r="243" spans="1:3" ht="14.25" customHeight="1" x14ac:dyDescent="0.3">
      <c r="A243" s="22">
        <v>45901</v>
      </c>
      <c r="B243" s="23">
        <v>36198.879999999997</v>
      </c>
      <c r="C243" s="24">
        <f t="shared" si="3"/>
        <v>1.1159411140639867E-2</v>
      </c>
    </row>
    <row r="244" spans="1:3" ht="14.25" customHeight="1" x14ac:dyDescent="0.3">
      <c r="A244" s="22">
        <v>45898</v>
      </c>
      <c r="B244" s="23">
        <v>35799.379999999997</v>
      </c>
      <c r="C244" s="24">
        <f t="shared" si="3"/>
        <v>-3.4828598867069163E-3</v>
      </c>
    </row>
    <row r="245" spans="1:3" ht="14.25" customHeight="1" x14ac:dyDescent="0.3">
      <c r="A245" s="22">
        <v>45897</v>
      </c>
      <c r="B245" s="23">
        <v>35924.5</v>
      </c>
      <c r="C245" s="24">
        <f t="shared" si="3"/>
        <v>-9.9647027179569064E-3</v>
      </c>
    </row>
    <row r="246" spans="1:3" ht="14.25" customHeight="1" x14ac:dyDescent="0.3">
      <c r="A246" s="22">
        <v>45895</v>
      </c>
      <c r="B246" s="23">
        <v>36286.080000000002</v>
      </c>
      <c r="C246" s="24">
        <f t="shared" si="3"/>
        <v>-1.2288254623610823E-2</v>
      </c>
    </row>
    <row r="247" spans="1:3" ht="14.25" customHeight="1" x14ac:dyDescent="0.3">
      <c r="A247" s="22">
        <v>45894</v>
      </c>
      <c r="B247" s="23">
        <v>36737.519999999997</v>
      </c>
      <c r="C247" s="24">
        <f t="shared" si="3"/>
        <v>2.6875696831657448E-3</v>
      </c>
    </row>
    <row r="248" spans="1:3" ht="14.25" customHeight="1" x14ac:dyDescent="0.3">
      <c r="A248" s="22">
        <v>45891</v>
      </c>
      <c r="B248" s="23">
        <v>36639.050000000003</v>
      </c>
      <c r="C248" s="24">
        <f t="shared" si="3"/>
        <v>-6.2393728730487687E-3</v>
      </c>
    </row>
    <row r="249" spans="1:3" ht="14.25" customHeight="1" x14ac:dyDescent="0.3">
      <c r="A249" s="22">
        <v>45890</v>
      </c>
      <c r="B249" s="23">
        <v>36869.089999999997</v>
      </c>
      <c r="C249" s="24">
        <f t="shared" si="3"/>
        <v>-1.7843743584867059E-4</v>
      </c>
    </row>
    <row r="250" spans="1:3" ht="14.25" customHeight="1" x14ac:dyDescent="0.3">
      <c r="A250" s="22">
        <v>45889</v>
      </c>
      <c r="B250" s="23">
        <v>36875.67</v>
      </c>
      <c r="C250" s="24">
        <f t="shared" si="3"/>
        <v>3.3193964031347075E-3</v>
      </c>
    </row>
    <row r="251" spans="1:3" ht="14.25" customHeight="1" x14ac:dyDescent="0.3">
      <c r="A251" s="22">
        <v>45888</v>
      </c>
      <c r="B251" s="23">
        <v>36753.67</v>
      </c>
      <c r="C251" s="24">
        <f t="shared" si="3"/>
        <v>5.9287764064147302E-3</v>
      </c>
    </row>
    <row r="252" spans="1:3" ht="14.25" customHeight="1" x14ac:dyDescent="0.3">
      <c r="A252" s="22">
        <v>45887</v>
      </c>
      <c r="B252" s="23">
        <v>36537.050000000003</v>
      </c>
      <c r="C252" s="24">
        <f t="shared" si="3"/>
        <v>1.1108143896678252E-2</v>
      </c>
    </row>
    <row r="253" spans="1:3" ht="14.25" customHeight="1" x14ac:dyDescent="0.3">
      <c r="A253" s="22">
        <v>45883</v>
      </c>
      <c r="B253" s="23">
        <v>36135.65</v>
      </c>
      <c r="C253" s="24">
        <f t="shared" si="3"/>
        <v>5.2910715289219371E-3</v>
      </c>
    </row>
    <row r="254" spans="1:3" ht="14.25" customHeight="1" x14ac:dyDescent="0.3">
      <c r="A254" s="22">
        <v>45881</v>
      </c>
      <c r="B254" s="23">
        <v>35945.46</v>
      </c>
      <c r="C254" s="24">
        <f t="shared" si="3"/>
        <v>-2.4286091321365413E-3</v>
      </c>
    </row>
    <row r="255" spans="1:3" ht="14.25" customHeight="1" x14ac:dyDescent="0.3">
      <c r="A255" s="22">
        <v>45880</v>
      </c>
      <c r="B255" s="23">
        <v>36032.97</v>
      </c>
      <c r="C255" s="24">
        <f t="shared" si="3"/>
        <v>8.49664659822073E-3</v>
      </c>
    </row>
    <row r="256" spans="1:3" ht="14.25" customHeight="1" x14ac:dyDescent="0.3">
      <c r="A256" s="22">
        <v>45877</v>
      </c>
      <c r="B256" s="23">
        <v>35729.39</v>
      </c>
      <c r="C256" s="24">
        <f t="shared" si="3"/>
        <v>-1.0990839122028256E-2</v>
      </c>
    </row>
    <row r="257" spans="1:3" ht="14.25" customHeight="1" x14ac:dyDescent="0.3">
      <c r="A257" s="22">
        <v>45876</v>
      </c>
      <c r="B257" s="23">
        <v>36126.449999999997</v>
      </c>
      <c r="C257" s="24">
        <f t="shared" si="3"/>
        <v>1.2391309288299049E-3</v>
      </c>
    </row>
    <row r="258" spans="1:3" ht="14.25" customHeight="1" x14ac:dyDescent="0.3">
      <c r="A258" s="22">
        <v>45875</v>
      </c>
      <c r="B258" s="23">
        <v>36081.74</v>
      </c>
      <c r="C258" s="24">
        <f t="shared" ref="C258:C321" si="4">(B258-B259)/B259</f>
        <v>-5.7015087917321088E-3</v>
      </c>
    </row>
    <row r="259" spans="1:3" ht="14.25" customHeight="1" x14ac:dyDescent="0.3">
      <c r="A259" s="22">
        <v>45874</v>
      </c>
      <c r="B259" s="23">
        <v>36288.639999999999</v>
      </c>
      <c r="C259" s="24">
        <f t="shared" si="4"/>
        <v>5.6018194066533335E-3</v>
      </c>
    </row>
    <row r="260" spans="1:3" ht="14.25" customHeight="1" x14ac:dyDescent="0.3">
      <c r="A260" s="22">
        <v>45870</v>
      </c>
      <c r="B260" s="23">
        <v>36086.49</v>
      </c>
      <c r="C260" s="24">
        <f t="shared" si="4"/>
        <v>-1.029079546735469E-2</v>
      </c>
    </row>
    <row r="261" spans="1:3" ht="14.25" customHeight="1" x14ac:dyDescent="0.3">
      <c r="A261" s="22">
        <v>45869</v>
      </c>
      <c r="B261" s="23">
        <v>36461.71</v>
      </c>
      <c r="C261" s="24">
        <f t="shared" si="4"/>
        <v>-5.0742652943556611E-3</v>
      </c>
    </row>
    <row r="262" spans="1:3" ht="14.25" customHeight="1" x14ac:dyDescent="0.3">
      <c r="A262" s="22">
        <v>45868</v>
      </c>
      <c r="B262" s="23">
        <v>36647.67</v>
      </c>
      <c r="C262" s="24">
        <f t="shared" si="4"/>
        <v>1.1454487738808256E-3</v>
      </c>
    </row>
    <row r="263" spans="1:3" ht="14.25" customHeight="1" x14ac:dyDescent="0.3">
      <c r="A263" s="22">
        <v>45867</v>
      </c>
      <c r="B263" s="23">
        <v>36605.74</v>
      </c>
      <c r="C263" s="24">
        <f t="shared" si="4"/>
        <v>7.0543272886534952E-3</v>
      </c>
    </row>
    <row r="264" spans="1:3" ht="14.25" customHeight="1" x14ac:dyDescent="0.3">
      <c r="A264" s="22">
        <v>45866</v>
      </c>
      <c r="B264" s="23">
        <v>36349.32</v>
      </c>
      <c r="C264" s="24">
        <f t="shared" si="4"/>
        <v>-7.1915093757289944E-3</v>
      </c>
    </row>
    <row r="265" spans="1:3" ht="14.25" customHeight="1" x14ac:dyDescent="0.3">
      <c r="A265" s="22">
        <v>45863</v>
      </c>
      <c r="B265" s="23">
        <v>36612.620000000003</v>
      </c>
      <c r="C265" s="24">
        <f t="shared" si="4"/>
        <v>-1.192727052904119E-2</v>
      </c>
    </row>
    <row r="266" spans="1:3" ht="14.25" customHeight="1" x14ac:dyDescent="0.3">
      <c r="A266" s="22">
        <v>45862</v>
      </c>
      <c r="B266" s="23">
        <v>37054.58</v>
      </c>
      <c r="C266" s="24">
        <f t="shared" si="4"/>
        <v>-5.3775447645571786E-3</v>
      </c>
    </row>
    <row r="267" spans="1:3" ht="14.25" customHeight="1" x14ac:dyDescent="0.3">
      <c r="A267" s="22">
        <v>45861</v>
      </c>
      <c r="B267" s="23">
        <v>37254.92</v>
      </c>
      <c r="C267" s="24">
        <f t="shared" si="4"/>
        <v>4.6320228998884072E-3</v>
      </c>
    </row>
    <row r="268" spans="1:3" ht="14.25" customHeight="1" x14ac:dyDescent="0.3">
      <c r="A268" s="22">
        <v>45860</v>
      </c>
      <c r="B268" s="23">
        <v>37083.15</v>
      </c>
      <c r="C268" s="24">
        <f t="shared" si="4"/>
        <v>-2.4621597280729472E-3</v>
      </c>
    </row>
    <row r="269" spans="1:3" ht="14.25" customHeight="1" x14ac:dyDescent="0.3">
      <c r="A269" s="22">
        <v>45859</v>
      </c>
      <c r="B269" s="23">
        <v>37174.68</v>
      </c>
      <c r="C269" s="24">
        <f t="shared" si="4"/>
        <v>4.4420090850434378E-3</v>
      </c>
    </row>
    <row r="270" spans="1:3" ht="14.25" customHeight="1" x14ac:dyDescent="0.3">
      <c r="A270" s="22">
        <v>45856</v>
      </c>
      <c r="B270" s="23">
        <v>37010.28</v>
      </c>
      <c r="C270" s="24">
        <f t="shared" si="4"/>
        <v>-5.7863281476658443E-3</v>
      </c>
    </row>
    <row r="271" spans="1:3" ht="14.25" customHeight="1" x14ac:dyDescent="0.3">
      <c r="A271" s="22">
        <v>45855</v>
      </c>
      <c r="B271" s="23">
        <v>37225.68</v>
      </c>
      <c r="C271" s="24">
        <f t="shared" si="4"/>
        <v>-2.2439385248757995E-3</v>
      </c>
    </row>
    <row r="272" spans="1:3" ht="14.25" customHeight="1" x14ac:dyDescent="0.3">
      <c r="A272" s="22">
        <v>45854</v>
      </c>
      <c r="B272" s="23">
        <v>37309.4</v>
      </c>
      <c r="C272" s="24">
        <f t="shared" si="4"/>
        <v>1.0547331653882497E-3</v>
      </c>
    </row>
    <row r="273" spans="1:3" ht="14.25" customHeight="1" x14ac:dyDescent="0.3">
      <c r="A273" s="22">
        <v>45853</v>
      </c>
      <c r="B273" s="23">
        <v>37270.089999999997</v>
      </c>
      <c r="C273" s="24">
        <f t="shared" si="4"/>
        <v>6.0163791055734151E-3</v>
      </c>
    </row>
    <row r="274" spans="1:3" ht="14.25" customHeight="1" x14ac:dyDescent="0.3">
      <c r="A274" s="22">
        <v>45852</v>
      </c>
      <c r="B274" s="23">
        <v>37047.199999999997</v>
      </c>
      <c r="C274" s="24">
        <f t="shared" si="4"/>
        <v>1.1395748091542759E-3</v>
      </c>
    </row>
    <row r="275" spans="1:3" ht="14.25" customHeight="1" x14ac:dyDescent="0.3">
      <c r="A275" s="22">
        <v>45849</v>
      </c>
      <c r="B275" s="23">
        <v>37005.03</v>
      </c>
      <c r="C275" s="24">
        <f t="shared" si="4"/>
        <v>-7.9726709493188903E-3</v>
      </c>
    </row>
    <row r="276" spans="1:3" ht="14.25" customHeight="1" x14ac:dyDescent="0.3">
      <c r="A276" s="22">
        <v>45848</v>
      </c>
      <c r="B276" s="23">
        <v>37302.43</v>
      </c>
      <c r="C276" s="24">
        <f t="shared" si="4"/>
        <v>-3.6262436832550406E-3</v>
      </c>
    </row>
    <row r="277" spans="1:3" ht="14.25" customHeight="1" x14ac:dyDescent="0.3">
      <c r="A277" s="22">
        <v>45847</v>
      </c>
      <c r="B277" s="23">
        <v>37438.19</v>
      </c>
      <c r="C277" s="24">
        <f t="shared" si="4"/>
        <v>-6.3477708193132489E-4</v>
      </c>
    </row>
    <row r="278" spans="1:3" ht="14.25" customHeight="1" x14ac:dyDescent="0.3">
      <c r="A278" s="22">
        <v>45846</v>
      </c>
      <c r="B278" s="23">
        <v>37461.97</v>
      </c>
      <c r="C278" s="24">
        <f t="shared" si="4"/>
        <v>9.4799164976473087E-4</v>
      </c>
    </row>
    <row r="279" spans="1:3" ht="14.25" customHeight="1" x14ac:dyDescent="0.3">
      <c r="A279" s="22">
        <v>45845</v>
      </c>
      <c r="B279" s="23">
        <v>37426.49</v>
      </c>
      <c r="C279" s="24">
        <f t="shared" si="4"/>
        <v>-4.4627595931969296E-4</v>
      </c>
    </row>
    <row r="280" spans="1:3" ht="14.25" customHeight="1" x14ac:dyDescent="0.3">
      <c r="A280" s="22">
        <v>45842</v>
      </c>
      <c r="B280" s="23">
        <v>37443.199999999997</v>
      </c>
      <c r="C280" s="24">
        <f t="shared" si="4"/>
        <v>1.9319793422706668E-3</v>
      </c>
    </row>
    <row r="281" spans="1:3" ht="14.25" customHeight="1" x14ac:dyDescent="0.3">
      <c r="A281" s="22">
        <v>45841</v>
      </c>
      <c r="B281" s="23">
        <v>37371</v>
      </c>
      <c r="C281" s="24">
        <f t="shared" si="4"/>
        <v>-1.0804187598331808E-3</v>
      </c>
    </row>
    <row r="282" spans="1:3" ht="14.25" customHeight="1" x14ac:dyDescent="0.3">
      <c r="A282" s="22">
        <v>45840</v>
      </c>
      <c r="B282" s="23">
        <v>37411.42</v>
      </c>
      <c r="C282" s="24">
        <f t="shared" si="4"/>
        <v>-2.8862163380260902E-3</v>
      </c>
    </row>
    <row r="283" spans="1:3" ht="14.25" customHeight="1" x14ac:dyDescent="0.3">
      <c r="A283" s="22">
        <v>45839</v>
      </c>
      <c r="B283" s="23">
        <v>37519.71</v>
      </c>
      <c r="C283" s="24">
        <f t="shared" si="4"/>
        <v>-7.1157533184149145E-5</v>
      </c>
    </row>
    <row r="284" spans="1:3" ht="14.25" customHeight="1" x14ac:dyDescent="0.3">
      <c r="A284" s="22">
        <v>45838</v>
      </c>
      <c r="B284" s="23">
        <v>37522.379999999997</v>
      </c>
      <c r="C284" s="24">
        <f t="shared" si="4"/>
        <v>-1.1591737409589965E-4</v>
      </c>
    </row>
    <row r="285" spans="1:3" ht="14.25" customHeight="1" x14ac:dyDescent="0.3">
      <c r="A285" s="22">
        <v>45835</v>
      </c>
      <c r="B285" s="23">
        <v>37526.730000000003</v>
      </c>
      <c r="C285" s="24">
        <f t="shared" si="4"/>
        <v>5.2826810302729335E-3</v>
      </c>
    </row>
    <row r="286" spans="1:3" ht="14.25" customHeight="1" x14ac:dyDescent="0.3">
      <c r="A286" s="22">
        <v>45834</v>
      </c>
      <c r="B286" s="23">
        <v>37329.53</v>
      </c>
      <c r="C286" s="24">
        <f t="shared" si="4"/>
        <v>9.4728851844669455E-3</v>
      </c>
    </row>
    <row r="287" spans="1:3" ht="14.25" customHeight="1" x14ac:dyDescent="0.3">
      <c r="A287" s="22">
        <v>45833</v>
      </c>
      <c r="B287" s="23">
        <v>36979.230000000003</v>
      </c>
      <c r="C287" s="24">
        <f t="shared" si="4"/>
        <v>7.9476336042238124E-3</v>
      </c>
    </row>
    <row r="288" spans="1:3" ht="14.25" customHeight="1" x14ac:dyDescent="0.3">
      <c r="A288" s="22">
        <v>45832</v>
      </c>
      <c r="B288" s="23">
        <v>36687.65</v>
      </c>
      <c r="C288" s="24">
        <f t="shared" si="4"/>
        <v>4.9279960906920975E-3</v>
      </c>
    </row>
    <row r="289" spans="1:3" ht="14.25" customHeight="1" x14ac:dyDescent="0.3">
      <c r="A289" s="22">
        <v>45831</v>
      </c>
      <c r="B289" s="23">
        <v>36507.74</v>
      </c>
      <c r="C289" s="24">
        <f t="shared" si="4"/>
        <v>-1.588368591214466E-3</v>
      </c>
    </row>
    <row r="290" spans="1:3" ht="14.25" customHeight="1" x14ac:dyDescent="0.3">
      <c r="A290" s="22">
        <v>45828</v>
      </c>
      <c r="B290" s="23">
        <v>36565.82</v>
      </c>
      <c r="C290" s="24">
        <f t="shared" si="4"/>
        <v>1.2247743082805913E-2</v>
      </c>
    </row>
    <row r="291" spans="1:3" ht="14.25" customHeight="1" x14ac:dyDescent="0.3">
      <c r="A291" s="22">
        <v>45827</v>
      </c>
      <c r="B291" s="23">
        <v>36123.39</v>
      </c>
      <c r="C291" s="24">
        <f t="shared" si="4"/>
        <v>-7.0372243632385919E-3</v>
      </c>
    </row>
    <row r="292" spans="1:3" ht="14.25" customHeight="1" x14ac:dyDescent="0.3">
      <c r="A292" s="22">
        <v>45826</v>
      </c>
      <c r="B292" s="23">
        <v>36379.4</v>
      </c>
      <c r="C292" s="24">
        <f t="shared" si="4"/>
        <v>-2.4484016289041603E-3</v>
      </c>
    </row>
    <row r="293" spans="1:3" ht="14.25" customHeight="1" x14ac:dyDescent="0.3">
      <c r="A293" s="22">
        <v>45825</v>
      </c>
      <c r="B293" s="23">
        <v>36468.69</v>
      </c>
      <c r="C293" s="24">
        <f t="shared" si="4"/>
        <v>-4.8979226532060655E-3</v>
      </c>
    </row>
    <row r="294" spans="1:3" ht="14.25" customHeight="1" x14ac:dyDescent="0.3">
      <c r="A294" s="22">
        <v>45824</v>
      </c>
      <c r="B294" s="23">
        <v>36648.19</v>
      </c>
      <c r="C294" s="24">
        <f t="shared" si="4"/>
        <v>8.2537832705792159E-3</v>
      </c>
    </row>
    <row r="295" spans="1:3" ht="14.25" customHeight="1" x14ac:dyDescent="0.3">
      <c r="A295" s="22">
        <v>45821</v>
      </c>
      <c r="B295" s="23">
        <v>36348.18</v>
      </c>
      <c r="C295" s="24">
        <f t="shared" si="4"/>
        <v>-6.0226829597778073E-3</v>
      </c>
    </row>
    <row r="296" spans="1:3" ht="14.25" customHeight="1" x14ac:dyDescent="0.3">
      <c r="A296" s="22">
        <v>45820</v>
      </c>
      <c r="B296" s="23">
        <v>36568.42</v>
      </c>
      <c r="C296" s="24">
        <f t="shared" si="4"/>
        <v>-1.2469028615871207E-2</v>
      </c>
    </row>
    <row r="297" spans="1:3" ht="14.25" customHeight="1" x14ac:dyDescent="0.3">
      <c r="A297" s="22">
        <v>45819</v>
      </c>
      <c r="B297" s="23">
        <v>37030.15</v>
      </c>
      <c r="C297" s="24">
        <f t="shared" si="4"/>
        <v>-7.587835268900114E-5</v>
      </c>
    </row>
    <row r="298" spans="1:3" ht="14.25" customHeight="1" x14ac:dyDescent="0.3">
      <c r="A298" s="22">
        <v>45818</v>
      </c>
      <c r="B298" s="23">
        <v>37032.959999999999</v>
      </c>
      <c r="C298" s="24">
        <f t="shared" si="4"/>
        <v>4.5142336136154058E-4</v>
      </c>
    </row>
    <row r="299" spans="1:3" ht="14.25" customHeight="1" x14ac:dyDescent="0.3">
      <c r="A299" s="22">
        <v>45817</v>
      </c>
      <c r="B299" s="23">
        <v>37016.25</v>
      </c>
      <c r="C299" s="24">
        <f t="shared" si="4"/>
        <v>7.1421283542495665E-3</v>
      </c>
    </row>
    <row r="300" spans="1:3" ht="14.25" customHeight="1" x14ac:dyDescent="0.3">
      <c r="A300" s="22">
        <v>45814</v>
      </c>
      <c r="B300" s="23">
        <v>36753.75</v>
      </c>
      <c r="C300" s="24">
        <f t="shared" si="4"/>
        <v>1.0084145852811548E-2</v>
      </c>
    </row>
    <row r="301" spans="1:3" ht="14.25" customHeight="1" x14ac:dyDescent="0.3">
      <c r="A301" s="22">
        <v>45813</v>
      </c>
      <c r="B301" s="23">
        <v>36386.82</v>
      </c>
      <c r="C301" s="24">
        <f t="shared" si="4"/>
        <v>5.555495679381294E-3</v>
      </c>
    </row>
    <row r="302" spans="1:3" ht="14.25" customHeight="1" x14ac:dyDescent="0.3">
      <c r="A302" s="22">
        <v>45812</v>
      </c>
      <c r="B302" s="23">
        <v>36185.79</v>
      </c>
      <c r="C302" s="24">
        <f t="shared" si="4"/>
        <v>4.4802979314847932E-3</v>
      </c>
    </row>
    <row r="303" spans="1:3" ht="14.25" customHeight="1" x14ac:dyDescent="0.3">
      <c r="A303" s="22">
        <v>45811</v>
      </c>
      <c r="B303" s="23">
        <v>36024.39</v>
      </c>
      <c r="C303" s="24">
        <f t="shared" si="4"/>
        <v>-5.1781320505138373E-3</v>
      </c>
    </row>
    <row r="304" spans="1:3" ht="14.25" customHeight="1" x14ac:dyDescent="0.3">
      <c r="A304" s="22">
        <v>45810</v>
      </c>
      <c r="B304" s="23">
        <v>36211.9</v>
      </c>
      <c r="C304" s="24">
        <f t="shared" si="4"/>
        <v>1.4280870768075067E-3</v>
      </c>
    </row>
    <row r="305" spans="1:3" ht="14.25" customHeight="1" x14ac:dyDescent="0.3">
      <c r="A305" s="22">
        <v>45807</v>
      </c>
      <c r="B305" s="23">
        <v>36160.26</v>
      </c>
      <c r="C305" s="24">
        <f t="shared" si="4"/>
        <v>-2.1001005619769356E-3</v>
      </c>
    </row>
    <row r="306" spans="1:3" ht="14.25" customHeight="1" x14ac:dyDescent="0.3">
      <c r="A306" s="22">
        <v>45806</v>
      </c>
      <c r="B306" s="23">
        <v>36236.36</v>
      </c>
      <c r="C306" s="24">
        <f t="shared" si="4"/>
        <v>3.6263243506586208E-3</v>
      </c>
    </row>
    <row r="307" spans="1:3" ht="14.25" customHeight="1" x14ac:dyDescent="0.3">
      <c r="A307" s="22">
        <v>45805</v>
      </c>
      <c r="B307" s="23">
        <v>36105.43</v>
      </c>
      <c r="C307" s="24">
        <f t="shared" si="4"/>
        <v>-1.2207617464776164E-3</v>
      </c>
    </row>
    <row r="308" spans="1:3" ht="14.25" customHeight="1" x14ac:dyDescent="0.3">
      <c r="A308" s="22">
        <v>45804</v>
      </c>
      <c r="B308" s="23">
        <v>36149.56</v>
      </c>
      <c r="C308" s="24">
        <f t="shared" si="4"/>
        <v>-3.9942658025879157E-3</v>
      </c>
    </row>
    <row r="309" spans="1:3" ht="14.25" customHeight="1" x14ac:dyDescent="0.3">
      <c r="A309" s="22">
        <v>45803</v>
      </c>
      <c r="B309" s="23">
        <v>36294.53</v>
      </c>
      <c r="C309" s="24">
        <f t="shared" si="4"/>
        <v>5.5869744946926226E-3</v>
      </c>
    </row>
    <row r="310" spans="1:3" ht="14.25" customHeight="1" x14ac:dyDescent="0.3">
      <c r="A310" s="22">
        <v>45800</v>
      </c>
      <c r="B310" s="23">
        <v>36092.879999999997</v>
      </c>
      <c r="C310" s="24">
        <f t="shared" si="4"/>
        <v>8.2646521233744399E-3</v>
      </c>
    </row>
    <row r="311" spans="1:3" ht="14.25" customHeight="1" x14ac:dyDescent="0.3">
      <c r="A311" s="22">
        <v>45799</v>
      </c>
      <c r="B311" s="23">
        <v>35797.03</v>
      </c>
      <c r="C311" s="24">
        <f t="shared" si="4"/>
        <v>-5.9335142054999842E-3</v>
      </c>
    </row>
    <row r="312" spans="1:3" ht="14.25" customHeight="1" x14ac:dyDescent="0.3">
      <c r="A312" s="22">
        <v>45798</v>
      </c>
      <c r="B312" s="23">
        <v>36010.699999999997</v>
      </c>
      <c r="C312" s="24">
        <f t="shared" si="4"/>
        <v>6.4302966242618057E-3</v>
      </c>
    </row>
    <row r="313" spans="1:3" ht="14.25" customHeight="1" x14ac:dyDescent="0.3">
      <c r="A313" s="22">
        <v>45797</v>
      </c>
      <c r="B313" s="23">
        <v>35780.620000000003</v>
      </c>
      <c r="C313" s="24">
        <f t="shared" si="4"/>
        <v>-1.2254130627541627E-2</v>
      </c>
    </row>
    <row r="314" spans="1:3" ht="14.25" customHeight="1" x14ac:dyDescent="0.3">
      <c r="A314" s="22">
        <v>45796</v>
      </c>
      <c r="B314" s="23">
        <v>36224.519999999997</v>
      </c>
      <c r="C314" s="24">
        <f t="shared" si="4"/>
        <v>-2.2327952637151403E-4</v>
      </c>
    </row>
    <row r="315" spans="1:3" ht="14.25" customHeight="1" x14ac:dyDescent="0.3">
      <c r="A315" s="22">
        <v>45793</v>
      </c>
      <c r="B315" s="23">
        <v>36232.61</v>
      </c>
      <c r="C315" s="24">
        <f t="shared" si="4"/>
        <v>3.9339850814464365E-3</v>
      </c>
    </row>
    <row r="316" spans="1:3" ht="14.25" customHeight="1" x14ac:dyDescent="0.3">
      <c r="A316" s="22">
        <v>45792</v>
      </c>
      <c r="B316" s="23">
        <v>36090.629999999997</v>
      </c>
      <c r="C316" s="24">
        <f t="shared" si="4"/>
        <v>1.2863620532736214E-2</v>
      </c>
    </row>
    <row r="317" spans="1:3" ht="14.25" customHeight="1" x14ac:dyDescent="0.3">
      <c r="A317" s="22">
        <v>45791</v>
      </c>
      <c r="B317" s="23">
        <v>35632.269999999997</v>
      </c>
      <c r="C317" s="24">
        <f t="shared" si="4"/>
        <v>6.7336385833279494E-3</v>
      </c>
    </row>
    <row r="318" spans="1:3" ht="14.25" customHeight="1" x14ac:dyDescent="0.3">
      <c r="A318" s="22">
        <v>45790</v>
      </c>
      <c r="B318" s="23">
        <v>35393.94</v>
      </c>
      <c r="C318" s="24">
        <f t="shared" si="4"/>
        <v>-7.1826086956521089E-3</v>
      </c>
    </row>
    <row r="319" spans="1:3" ht="14.25" customHeight="1" x14ac:dyDescent="0.3">
      <c r="A319" s="22">
        <v>45789</v>
      </c>
      <c r="B319" s="23">
        <v>35650</v>
      </c>
      <c r="C319" s="24">
        <f t="shared" si="4"/>
        <v>3.8560150694640805E-2</v>
      </c>
    </row>
    <row r="320" spans="1:3" ht="14.25" customHeight="1" x14ac:dyDescent="0.3">
      <c r="A320" s="22">
        <v>45786</v>
      </c>
      <c r="B320" s="23">
        <v>34326.370000000003</v>
      </c>
      <c r="C320" s="24">
        <f t="shared" si="4"/>
        <v>-7.6387804779331943E-3</v>
      </c>
    </row>
    <row r="321" spans="1:3" ht="14.25" customHeight="1" x14ac:dyDescent="0.3">
      <c r="A321" s="22">
        <v>45785</v>
      </c>
      <c r="B321" s="23">
        <v>34590.6</v>
      </c>
      <c r="C321" s="24">
        <f t="shared" si="4"/>
        <v>-1.0391991266195588E-2</v>
      </c>
    </row>
    <row r="322" spans="1:3" ht="14.25" customHeight="1" x14ac:dyDescent="0.3">
      <c r="A322" s="22">
        <v>45784</v>
      </c>
      <c r="B322" s="23">
        <v>34953.839999999997</v>
      </c>
      <c r="C322" s="24">
        <f t="shared" ref="C322:C385" si="5">(B322-B323)/B323</f>
        <v>5.2844254114885478E-3</v>
      </c>
    </row>
    <row r="323" spans="1:3" ht="14.25" customHeight="1" x14ac:dyDescent="0.3">
      <c r="A323" s="22">
        <v>45783</v>
      </c>
      <c r="B323" s="23">
        <v>34770.1</v>
      </c>
      <c r="C323" s="24">
        <f t="shared" si="5"/>
        <v>-1.0747738269129387E-2</v>
      </c>
    </row>
    <row r="324" spans="1:3" ht="14.25" customHeight="1" x14ac:dyDescent="0.3">
      <c r="A324" s="22">
        <v>45782</v>
      </c>
      <c r="B324" s="23">
        <v>35147.86</v>
      </c>
      <c r="C324" s="24">
        <f t="shared" si="5"/>
        <v>8.5966940118709367E-3</v>
      </c>
    </row>
    <row r="325" spans="1:3" ht="14.25" customHeight="1" x14ac:dyDescent="0.3">
      <c r="A325" s="22">
        <v>45779</v>
      </c>
      <c r="B325" s="23">
        <v>34848.28</v>
      </c>
      <c r="C325" s="24">
        <f t="shared" si="5"/>
        <v>-1.0835267246994476E-3</v>
      </c>
    </row>
    <row r="326" spans="1:3" ht="14.25" customHeight="1" x14ac:dyDescent="0.3">
      <c r="A326" s="22">
        <v>45777</v>
      </c>
      <c r="B326" s="23">
        <v>34886.080000000002</v>
      </c>
      <c r="C326" s="24">
        <f t="shared" si="5"/>
        <v>-3.7208311426912858E-3</v>
      </c>
    </row>
    <row r="327" spans="1:3" ht="14.25" customHeight="1" x14ac:dyDescent="0.3">
      <c r="A327" s="22">
        <v>45776</v>
      </c>
      <c r="B327" s="23">
        <v>35016.370000000003</v>
      </c>
      <c r="C327" s="24">
        <f t="shared" si="5"/>
        <v>4.8172102980871962E-4</v>
      </c>
    </row>
    <row r="328" spans="1:3" ht="14.25" customHeight="1" x14ac:dyDescent="0.3">
      <c r="A328" s="22">
        <v>45775</v>
      </c>
      <c r="B328" s="23">
        <v>34999.51</v>
      </c>
      <c r="C328" s="24">
        <f t="shared" si="5"/>
        <v>1.1717588089315695E-2</v>
      </c>
    </row>
    <row r="329" spans="1:3" ht="14.25" customHeight="1" x14ac:dyDescent="0.3">
      <c r="A329" s="22">
        <v>45772</v>
      </c>
      <c r="B329" s="23">
        <v>34594.15</v>
      </c>
      <c r="C329" s="24">
        <f t="shared" si="5"/>
        <v>-1.497575462484438E-2</v>
      </c>
    </row>
    <row r="330" spans="1:3" ht="14.25" customHeight="1" x14ac:dyDescent="0.3">
      <c r="A330" s="22">
        <v>45771</v>
      </c>
      <c r="B330" s="23">
        <v>35120.1</v>
      </c>
      <c r="C330" s="24">
        <f t="shared" si="5"/>
        <v>-2.5609005554344871E-3</v>
      </c>
    </row>
    <row r="331" spans="1:3" ht="14.25" customHeight="1" x14ac:dyDescent="0.3">
      <c r="A331" s="22">
        <v>45770</v>
      </c>
      <c r="B331" s="23">
        <v>35210.269999999997</v>
      </c>
      <c r="C331" s="24">
        <f t="shared" si="5"/>
        <v>6.9084658304327225E-3</v>
      </c>
    </row>
    <row r="332" spans="1:3" ht="14.25" customHeight="1" x14ac:dyDescent="0.3">
      <c r="A332" s="22">
        <v>45769</v>
      </c>
      <c r="B332" s="23">
        <v>34968.69</v>
      </c>
      <c r="C332" s="24">
        <f t="shared" si="5"/>
        <v>3.6099166229226786E-3</v>
      </c>
    </row>
    <row r="333" spans="1:3" ht="14.25" customHeight="1" x14ac:dyDescent="0.3">
      <c r="A333" s="22">
        <v>45768</v>
      </c>
      <c r="B333" s="23">
        <v>34842.910000000003</v>
      </c>
      <c r="C333" s="24">
        <f t="shared" si="5"/>
        <v>1.4952993890400107E-2</v>
      </c>
    </row>
    <row r="334" spans="1:3" ht="14.25" customHeight="1" x14ac:dyDescent="0.3">
      <c r="A334" s="22">
        <v>45764</v>
      </c>
      <c r="B334" s="23">
        <v>34329.58</v>
      </c>
      <c r="C334" s="24">
        <f t="shared" si="5"/>
        <v>1.2948669754629253E-2</v>
      </c>
    </row>
    <row r="335" spans="1:3" ht="14.25" customHeight="1" x14ac:dyDescent="0.3">
      <c r="A335" s="22">
        <v>45763</v>
      </c>
      <c r="B335" s="23">
        <v>33890.74</v>
      </c>
      <c r="C335" s="24">
        <f t="shared" si="5"/>
        <v>5.8748456643554423E-3</v>
      </c>
    </row>
    <row r="336" spans="1:3" ht="14.25" customHeight="1" x14ac:dyDescent="0.3">
      <c r="A336" s="22">
        <v>45762</v>
      </c>
      <c r="B336" s="23">
        <v>33692.800000000003</v>
      </c>
      <c r="C336" s="24">
        <f t="shared" si="5"/>
        <v>2.5371030821570918E-2</v>
      </c>
    </row>
    <row r="337" spans="1:3" ht="14.25" customHeight="1" x14ac:dyDescent="0.3">
      <c r="A337" s="22">
        <v>45758</v>
      </c>
      <c r="B337" s="23">
        <v>32859.129999999997</v>
      </c>
      <c r="C337" s="24">
        <f t="shared" si="5"/>
        <v>1.9461179094225303E-2</v>
      </c>
    </row>
    <row r="338" spans="1:3" ht="14.25" customHeight="1" x14ac:dyDescent="0.3">
      <c r="A338" s="22">
        <v>45756</v>
      </c>
      <c r="B338" s="23">
        <v>32231.86</v>
      </c>
      <c r="C338" s="24">
        <f t="shared" si="5"/>
        <v>-6.0564458284224259E-3</v>
      </c>
    </row>
    <row r="339" spans="1:3" ht="14.25" customHeight="1" x14ac:dyDescent="0.3">
      <c r="A339" s="22">
        <v>45755</v>
      </c>
      <c r="B339" s="23">
        <v>32428.26</v>
      </c>
      <c r="C339" s="24">
        <f t="shared" si="5"/>
        <v>1.865690278388132E-2</v>
      </c>
    </row>
    <row r="340" spans="1:3" ht="14.25" customHeight="1" x14ac:dyDescent="0.3">
      <c r="A340" s="22">
        <v>45754</v>
      </c>
      <c r="B340" s="23">
        <v>31834.33</v>
      </c>
      <c r="C340" s="24">
        <f t="shared" si="5"/>
        <v>-3.3627496008905168E-2</v>
      </c>
    </row>
    <row r="341" spans="1:3" ht="14.25" customHeight="1" x14ac:dyDescent="0.3">
      <c r="A341" s="22">
        <v>45751</v>
      </c>
      <c r="B341" s="23">
        <v>32942.089999999997</v>
      </c>
      <c r="C341" s="24">
        <f t="shared" si="5"/>
        <v>-2.0617168258830868E-2</v>
      </c>
    </row>
    <row r="342" spans="1:3" ht="14.25" customHeight="1" x14ac:dyDescent="0.3">
      <c r="A342" s="22">
        <v>45750</v>
      </c>
      <c r="B342" s="23">
        <v>33635.56</v>
      </c>
      <c r="C342" s="24">
        <f t="shared" si="5"/>
        <v>-1.0409671817648361E-3</v>
      </c>
    </row>
    <row r="343" spans="1:3" ht="14.25" customHeight="1" x14ac:dyDescent="0.3">
      <c r="A343" s="22">
        <v>45749</v>
      </c>
      <c r="B343" s="23">
        <v>33670.61</v>
      </c>
      <c r="C343" s="24">
        <f t="shared" si="5"/>
        <v>9.2515547647680618E-3</v>
      </c>
    </row>
    <row r="344" spans="1:3" ht="14.25" customHeight="1" x14ac:dyDescent="0.3">
      <c r="A344" s="22">
        <v>45748</v>
      </c>
      <c r="B344" s="23">
        <v>33361.96</v>
      </c>
      <c r="C344" s="24">
        <f t="shared" si="5"/>
        <v>-1.2596352030155435E-2</v>
      </c>
    </row>
    <row r="345" spans="1:3" ht="14.25" customHeight="1" x14ac:dyDescent="0.3">
      <c r="A345" s="22">
        <v>45744</v>
      </c>
      <c r="B345" s="23">
        <v>33787.56</v>
      </c>
      <c r="C345" s="24">
        <f t="shared" si="5"/>
        <v>-3.1833171758106089E-3</v>
      </c>
    </row>
    <row r="346" spans="1:3" ht="14.25" customHeight="1" x14ac:dyDescent="0.3">
      <c r="A346" s="22">
        <v>45743</v>
      </c>
      <c r="B346" s="23">
        <v>33895.46</v>
      </c>
      <c r="C346" s="24">
        <f t="shared" si="5"/>
        <v>6.2287669167039638E-3</v>
      </c>
    </row>
    <row r="347" spans="1:3" ht="14.25" customHeight="1" x14ac:dyDescent="0.3">
      <c r="A347" s="22">
        <v>45742</v>
      </c>
      <c r="B347" s="23">
        <v>33685.64</v>
      </c>
      <c r="C347" s="24">
        <f t="shared" si="5"/>
        <v>-7.531246630207677E-3</v>
      </c>
    </row>
    <row r="348" spans="1:3" ht="14.25" customHeight="1" x14ac:dyDescent="0.3">
      <c r="A348" s="22">
        <v>45741</v>
      </c>
      <c r="B348" s="23">
        <v>33941.26</v>
      </c>
      <c r="C348" s="24">
        <f t="shared" si="5"/>
        <v>-4.658634632370812E-3</v>
      </c>
    </row>
    <row r="349" spans="1:3" ht="14.25" customHeight="1" x14ac:dyDescent="0.3">
      <c r="A349" s="22">
        <v>45740</v>
      </c>
      <c r="B349" s="23">
        <v>34100.120000000003</v>
      </c>
      <c r="C349" s="24">
        <f t="shared" si="5"/>
        <v>1.2418561456262666E-2</v>
      </c>
    </row>
    <row r="350" spans="1:3" ht="14.25" customHeight="1" x14ac:dyDescent="0.3">
      <c r="A350" s="22">
        <v>45737</v>
      </c>
      <c r="B350" s="23">
        <v>33681.839999999997</v>
      </c>
      <c r="C350" s="24">
        <f t="shared" si="5"/>
        <v>9.6868283236456899E-3</v>
      </c>
    </row>
    <row r="351" spans="1:3" ht="14.25" customHeight="1" x14ac:dyDescent="0.3">
      <c r="A351" s="22">
        <v>45736</v>
      </c>
      <c r="B351" s="23">
        <v>33358.699999999997</v>
      </c>
      <c r="C351" s="24">
        <f t="shared" si="5"/>
        <v>9.8555571768229634E-3</v>
      </c>
    </row>
    <row r="352" spans="1:3" ht="14.25" customHeight="1" x14ac:dyDescent="0.3">
      <c r="A352" s="22">
        <v>45735</v>
      </c>
      <c r="B352" s="23">
        <v>33033.14</v>
      </c>
      <c r="C352" s="24">
        <f t="shared" si="5"/>
        <v>1.0065138880692413E-2</v>
      </c>
    </row>
    <row r="353" spans="1:3" ht="14.25" customHeight="1" x14ac:dyDescent="0.3">
      <c r="A353" s="22">
        <v>45734</v>
      </c>
      <c r="B353" s="23">
        <v>32703.97</v>
      </c>
      <c r="C353" s="24">
        <f t="shared" si="5"/>
        <v>1.8182152157101131E-2</v>
      </c>
    </row>
    <row r="354" spans="1:3" ht="14.25" customHeight="1" x14ac:dyDescent="0.3">
      <c r="A354" s="22">
        <v>45733</v>
      </c>
      <c r="B354" s="23">
        <v>32119.96</v>
      </c>
      <c r="C354" s="24">
        <f t="shared" si="5"/>
        <v>5.5634778389123847E-3</v>
      </c>
    </row>
    <row r="355" spans="1:3" ht="14.25" customHeight="1" x14ac:dyDescent="0.3">
      <c r="A355" s="22">
        <v>45729</v>
      </c>
      <c r="B355" s="23">
        <v>31942.25</v>
      </c>
      <c r="C355" s="24">
        <f t="shared" si="5"/>
        <v>-4.3504389713551073E-3</v>
      </c>
    </row>
    <row r="356" spans="1:3" ht="14.25" customHeight="1" x14ac:dyDescent="0.3">
      <c r="A356" s="22">
        <v>45728</v>
      </c>
      <c r="B356" s="23">
        <v>32081.82</v>
      </c>
      <c r="C356" s="24">
        <f t="shared" si="5"/>
        <v>-1.8775956943790214E-3</v>
      </c>
    </row>
    <row r="357" spans="1:3" ht="14.25" customHeight="1" x14ac:dyDescent="0.3">
      <c r="A357" s="22">
        <v>45727</v>
      </c>
      <c r="B357" s="23">
        <v>32142.17</v>
      </c>
      <c r="C357" s="24">
        <f t="shared" si="5"/>
        <v>-6.8612786400294801E-3</v>
      </c>
    </row>
    <row r="358" spans="1:3" ht="14.25" customHeight="1" x14ac:dyDescent="0.3">
      <c r="A358" s="22">
        <v>45723</v>
      </c>
      <c r="B358" s="23">
        <v>32364.23</v>
      </c>
      <c r="C358" s="24">
        <f t="shared" si="5"/>
        <v>-1.6898519294281886E-4</v>
      </c>
    </row>
    <row r="359" spans="1:3" ht="14.25" customHeight="1" x14ac:dyDescent="0.3">
      <c r="A359" s="22">
        <v>45722</v>
      </c>
      <c r="B359" s="23">
        <v>32369.7</v>
      </c>
      <c r="C359" s="24">
        <f t="shared" si="5"/>
        <v>9.4081327179743272E-3</v>
      </c>
    </row>
    <row r="360" spans="1:3" ht="14.25" customHeight="1" x14ac:dyDescent="0.3">
      <c r="A360" s="22">
        <v>45721</v>
      </c>
      <c r="B360" s="23">
        <v>32068</v>
      </c>
      <c r="C360" s="24">
        <f t="shared" si="5"/>
        <v>1.7002474955505317E-2</v>
      </c>
    </row>
    <row r="361" spans="1:3" ht="14.25" customHeight="1" x14ac:dyDescent="0.3">
      <c r="A361" s="22">
        <v>45720</v>
      </c>
      <c r="B361" s="23">
        <v>31531.88</v>
      </c>
      <c r="C361" s="24">
        <f t="shared" si="5"/>
        <v>1.0514699626271834E-3</v>
      </c>
    </row>
    <row r="362" spans="1:3" ht="14.25" customHeight="1" x14ac:dyDescent="0.3">
      <c r="A362" s="22">
        <v>45719</v>
      </c>
      <c r="B362" s="23">
        <v>31498.76</v>
      </c>
      <c r="C362" s="24">
        <f t="shared" si="5"/>
        <v>8.0671373926590698E-4</v>
      </c>
    </row>
    <row r="363" spans="1:3" ht="14.25" customHeight="1" x14ac:dyDescent="0.3">
      <c r="A363" s="22">
        <v>45716</v>
      </c>
      <c r="B363" s="23">
        <v>31473.37</v>
      </c>
      <c r="C363" s="24">
        <f t="shared" si="5"/>
        <v>-2.1365346112574856E-2</v>
      </c>
    </row>
    <row r="364" spans="1:3" ht="14.25" customHeight="1" x14ac:dyDescent="0.3">
      <c r="A364" s="22">
        <v>45715</v>
      </c>
      <c r="B364" s="23">
        <v>32160.49</v>
      </c>
      <c r="C364" s="24">
        <f t="shared" si="5"/>
        <v>-5.0529300064162622E-3</v>
      </c>
    </row>
    <row r="365" spans="1:3" ht="14.25" customHeight="1" x14ac:dyDescent="0.3">
      <c r="A365" s="22">
        <v>45713</v>
      </c>
      <c r="B365" s="23">
        <v>32323.82</v>
      </c>
      <c r="C365" s="24">
        <f t="shared" si="5"/>
        <v>-2.4245132610629621E-3</v>
      </c>
    </row>
    <row r="366" spans="1:3" ht="14.25" customHeight="1" x14ac:dyDescent="0.3">
      <c r="A366" s="22">
        <v>45712</v>
      </c>
      <c r="B366" s="23">
        <v>32402.38</v>
      </c>
      <c r="C366" s="24">
        <f t="shared" si="5"/>
        <v>-1.0720075717098905E-2</v>
      </c>
    </row>
    <row r="367" spans="1:3" ht="14.25" customHeight="1" x14ac:dyDescent="0.3">
      <c r="A367" s="22">
        <v>45709</v>
      </c>
      <c r="B367" s="23">
        <v>32753.5</v>
      </c>
      <c r="C367" s="24">
        <f t="shared" si="5"/>
        <v>-6.7428133012492038E-3</v>
      </c>
    </row>
    <row r="368" spans="1:3" ht="14.25" customHeight="1" x14ac:dyDescent="0.3">
      <c r="A368" s="22">
        <v>45708</v>
      </c>
      <c r="B368" s="23">
        <v>32975.85</v>
      </c>
      <c r="C368" s="24">
        <f t="shared" si="5"/>
        <v>4.8178210931039307E-3</v>
      </c>
    </row>
    <row r="369" spans="1:3" ht="14.25" customHeight="1" x14ac:dyDescent="0.3">
      <c r="A369" s="22">
        <v>45707</v>
      </c>
      <c r="B369" s="23">
        <v>32817.74</v>
      </c>
      <c r="C369" s="24">
        <f t="shared" si="5"/>
        <v>5.8229574518622327E-3</v>
      </c>
    </row>
    <row r="370" spans="1:3" ht="14.25" customHeight="1" x14ac:dyDescent="0.3">
      <c r="A370" s="22">
        <v>45706</v>
      </c>
      <c r="B370" s="23">
        <v>32627.75</v>
      </c>
      <c r="C370" s="24">
        <f t="shared" si="5"/>
        <v>-1.9421104858672108E-3</v>
      </c>
    </row>
    <row r="371" spans="1:3" ht="14.25" customHeight="1" x14ac:dyDescent="0.3">
      <c r="A371" s="22">
        <v>45705</v>
      </c>
      <c r="B371" s="23">
        <v>32691.24</v>
      </c>
      <c r="C371" s="24">
        <f t="shared" si="5"/>
        <v>9.5958652659684025E-4</v>
      </c>
    </row>
    <row r="372" spans="1:3" ht="14.25" customHeight="1" x14ac:dyDescent="0.3">
      <c r="A372" s="22">
        <v>45702</v>
      </c>
      <c r="B372" s="23">
        <v>32659.9</v>
      </c>
      <c r="C372" s="24">
        <f t="shared" si="5"/>
        <v>-1.2901233000753189E-2</v>
      </c>
    </row>
    <row r="373" spans="1:3" ht="14.25" customHeight="1" x14ac:dyDescent="0.3">
      <c r="A373" s="22">
        <v>45701</v>
      </c>
      <c r="B373" s="23">
        <v>33086.76</v>
      </c>
      <c r="C373" s="24">
        <f t="shared" si="5"/>
        <v>-1.3236171373961068E-4</v>
      </c>
    </row>
    <row r="374" spans="1:3" ht="14.25" customHeight="1" x14ac:dyDescent="0.3">
      <c r="A374" s="22">
        <v>45700</v>
      </c>
      <c r="B374" s="23">
        <v>33091.14</v>
      </c>
      <c r="C374" s="24">
        <f t="shared" si="5"/>
        <v>-1.6647398564908651E-3</v>
      </c>
    </row>
    <row r="375" spans="1:3" ht="14.25" customHeight="1" x14ac:dyDescent="0.3">
      <c r="A375" s="22">
        <v>45699</v>
      </c>
      <c r="B375" s="23">
        <v>33146.32</v>
      </c>
      <c r="C375" s="24">
        <f t="shared" si="5"/>
        <v>-1.9694353197053358E-2</v>
      </c>
    </row>
    <row r="376" spans="1:3" ht="14.25" customHeight="1" x14ac:dyDescent="0.3">
      <c r="A376" s="22">
        <v>45698</v>
      </c>
      <c r="B376" s="23">
        <v>33812.230000000003</v>
      </c>
      <c r="C376" s="24">
        <f t="shared" si="5"/>
        <v>-1.2690513927708173E-2</v>
      </c>
    </row>
    <row r="377" spans="1:3" ht="14.25" customHeight="1" x14ac:dyDescent="0.3">
      <c r="A377" s="22">
        <v>45695</v>
      </c>
      <c r="B377" s="23">
        <v>34246.839999999997</v>
      </c>
      <c r="C377" s="24">
        <f t="shared" si="5"/>
        <v>-9.5654474683655791E-4</v>
      </c>
    </row>
    <row r="378" spans="1:3" ht="14.25" customHeight="1" x14ac:dyDescent="0.3">
      <c r="A378" s="22">
        <v>45694</v>
      </c>
      <c r="B378" s="23">
        <v>34279.629999999997</v>
      </c>
      <c r="C378" s="24">
        <f t="shared" si="5"/>
        <v>-5.0600845127572753E-3</v>
      </c>
    </row>
    <row r="379" spans="1:3" ht="14.25" customHeight="1" x14ac:dyDescent="0.3">
      <c r="A379" s="22">
        <v>45693</v>
      </c>
      <c r="B379" s="23">
        <v>34453.97</v>
      </c>
      <c r="C379" s="24">
        <f t="shared" si="5"/>
        <v>2.6263163592300251E-3</v>
      </c>
    </row>
    <row r="380" spans="1:3" ht="14.25" customHeight="1" x14ac:dyDescent="0.3">
      <c r="A380" s="22">
        <v>45692</v>
      </c>
      <c r="B380" s="23">
        <v>34363.72</v>
      </c>
      <c r="C380" s="24">
        <f t="shared" si="5"/>
        <v>1.5191061849935171E-2</v>
      </c>
    </row>
    <row r="381" spans="1:3" ht="14.25" customHeight="1" x14ac:dyDescent="0.3">
      <c r="A381" s="22">
        <v>45691</v>
      </c>
      <c r="B381" s="23">
        <v>33849.51</v>
      </c>
      <c r="C381" s="24">
        <f t="shared" si="5"/>
        <v>-8.2453071158623062E-3</v>
      </c>
    </row>
    <row r="382" spans="1:3" ht="14.25" customHeight="1" x14ac:dyDescent="0.3">
      <c r="A382" s="22">
        <v>45688</v>
      </c>
      <c r="B382" s="23">
        <v>34130.93</v>
      </c>
      <c r="C382" s="24">
        <f t="shared" si="5"/>
        <v>1.3505716663830819E-2</v>
      </c>
    </row>
    <row r="383" spans="1:3" ht="14.25" customHeight="1" x14ac:dyDescent="0.3">
      <c r="A383" s="22">
        <v>45687</v>
      </c>
      <c r="B383" s="23">
        <v>33676.11</v>
      </c>
      <c r="C383" s="24">
        <f t="shared" si="5"/>
        <v>2.4680590119429973E-3</v>
      </c>
    </row>
    <row r="384" spans="1:3" ht="14.25" customHeight="1" x14ac:dyDescent="0.3">
      <c r="A384" s="22">
        <v>45686</v>
      </c>
      <c r="B384" s="23">
        <v>33593.199999999997</v>
      </c>
      <c r="C384" s="24">
        <f t="shared" si="5"/>
        <v>1.5384373577493921E-2</v>
      </c>
    </row>
    <row r="385" spans="1:3" ht="14.25" customHeight="1" x14ac:dyDescent="0.3">
      <c r="A385" s="22">
        <v>45685</v>
      </c>
      <c r="B385" s="23">
        <v>33084.22</v>
      </c>
      <c r="C385" s="24">
        <f t="shared" si="5"/>
        <v>6.6178014018380602E-4</v>
      </c>
    </row>
    <row r="386" spans="1:3" ht="14.25" customHeight="1" x14ac:dyDescent="0.3">
      <c r="A386" s="22">
        <v>45684</v>
      </c>
      <c r="B386" s="23">
        <v>33062.339999999997</v>
      </c>
      <c r="C386" s="24">
        <f t="shared" ref="C386:C449" si="6">(B386-B387)/B387</f>
        <v>-1.9132679171394981E-2</v>
      </c>
    </row>
    <row r="387" spans="1:3" ht="14.25" customHeight="1" x14ac:dyDescent="0.3">
      <c r="A387" s="22">
        <v>45681</v>
      </c>
      <c r="B387" s="23">
        <v>33707.25</v>
      </c>
      <c r="C387" s="24">
        <f t="shared" si="6"/>
        <v>-1.0172474852923399E-2</v>
      </c>
    </row>
    <row r="388" spans="1:3" ht="14.25" customHeight="1" x14ac:dyDescent="0.3">
      <c r="A388" s="22">
        <v>45680</v>
      </c>
      <c r="B388" s="23">
        <v>34053.660000000003</v>
      </c>
      <c r="C388" s="24">
        <f t="shared" si="6"/>
        <v>6.6136721576641406E-3</v>
      </c>
    </row>
    <row r="389" spans="1:3" ht="14.25" customHeight="1" x14ac:dyDescent="0.3">
      <c r="A389" s="22">
        <v>45679</v>
      </c>
      <c r="B389" s="23">
        <v>33829.919999999998</v>
      </c>
      <c r="C389" s="24">
        <f t="shared" si="6"/>
        <v>-1.7047488335736095E-3</v>
      </c>
    </row>
    <row r="390" spans="1:3" ht="14.25" customHeight="1" x14ac:dyDescent="0.3">
      <c r="A390" s="22">
        <v>45678</v>
      </c>
      <c r="B390" s="23">
        <v>33887.69</v>
      </c>
      <c r="C390" s="24">
        <f t="shared" si="6"/>
        <v>-1.7227103876228785E-2</v>
      </c>
    </row>
    <row r="391" spans="1:3" ht="14.25" customHeight="1" x14ac:dyDescent="0.3">
      <c r="A391" s="22">
        <v>45677</v>
      </c>
      <c r="B391" s="23">
        <v>34481.71</v>
      </c>
      <c r="C391" s="24">
        <f t="shared" si="6"/>
        <v>5.9390637703982613E-3</v>
      </c>
    </row>
    <row r="392" spans="1:3" ht="14.25" customHeight="1" x14ac:dyDescent="0.3">
      <c r="A392" s="22">
        <v>45674</v>
      </c>
      <c r="B392" s="23">
        <v>34278.129999999997</v>
      </c>
      <c r="C392" s="24">
        <f t="shared" si="6"/>
        <v>-1.0395234570349402E-3</v>
      </c>
    </row>
    <row r="393" spans="1:3" ht="14.25" customHeight="1" x14ac:dyDescent="0.3">
      <c r="A393" s="22">
        <v>45673</v>
      </c>
      <c r="B393" s="23">
        <v>34313.800000000003</v>
      </c>
      <c r="C393" s="24">
        <f t="shared" si="6"/>
        <v>7.5855655493816919E-3</v>
      </c>
    </row>
    <row r="394" spans="1:3" ht="14.25" customHeight="1" x14ac:dyDescent="0.3">
      <c r="A394" s="22">
        <v>45672</v>
      </c>
      <c r="B394" s="23">
        <v>34055.47</v>
      </c>
      <c r="C394" s="24">
        <f t="shared" si="6"/>
        <v>3.2638398712257965E-3</v>
      </c>
    </row>
    <row r="395" spans="1:3" ht="14.25" customHeight="1" x14ac:dyDescent="0.3">
      <c r="A395" s="22">
        <v>45671</v>
      </c>
      <c r="B395" s="23">
        <v>33944.68</v>
      </c>
      <c r="C395" s="24">
        <f t="shared" si="6"/>
        <v>1.1184650700850335E-2</v>
      </c>
    </row>
    <row r="396" spans="1:3" ht="14.25" customHeight="1" x14ac:dyDescent="0.3">
      <c r="A396" s="22">
        <v>45670</v>
      </c>
      <c r="B396" s="23">
        <v>33569.22</v>
      </c>
      <c r="C396" s="24">
        <f t="shared" si="6"/>
        <v>-2.5483742299052418E-2</v>
      </c>
    </row>
    <row r="397" spans="1:3" ht="14.25" customHeight="1" x14ac:dyDescent="0.3">
      <c r="A397" s="22">
        <v>45667</v>
      </c>
      <c r="B397" s="23">
        <v>34447.06</v>
      </c>
      <c r="C397" s="24">
        <f t="shared" si="6"/>
        <v>-1.1229885278525531E-2</v>
      </c>
    </row>
    <row r="398" spans="1:3" ht="14.25" customHeight="1" x14ac:dyDescent="0.3">
      <c r="A398" s="22">
        <v>45666</v>
      </c>
      <c r="B398" s="23">
        <v>34838.29</v>
      </c>
      <c r="C398" s="24">
        <f t="shared" si="6"/>
        <v>-8.3322398075091255E-3</v>
      </c>
    </row>
    <row r="399" spans="1:3" ht="14.25" customHeight="1" x14ac:dyDescent="0.3">
      <c r="A399" s="22">
        <v>45665</v>
      </c>
      <c r="B399" s="23">
        <v>35131.01</v>
      </c>
      <c r="C399" s="24">
        <f t="shared" si="6"/>
        <v>-4.9155137227354789E-3</v>
      </c>
    </row>
    <row r="400" spans="1:3" ht="14.25" customHeight="1" x14ac:dyDescent="0.3">
      <c r="A400" s="22">
        <v>45664</v>
      </c>
      <c r="B400" s="23">
        <v>35304.550000000003</v>
      </c>
      <c r="C400" s="24">
        <f t="shared" si="6"/>
        <v>5.2299387799903665E-3</v>
      </c>
    </row>
    <row r="401" spans="1:3" ht="14.25" customHeight="1" x14ac:dyDescent="0.3">
      <c r="A401" s="22">
        <v>45663</v>
      </c>
      <c r="B401" s="23">
        <v>35120.870000000003</v>
      </c>
      <c r="C401" s="24">
        <f t="shared" si="6"/>
        <v>-2.1258944167438565E-2</v>
      </c>
    </row>
    <row r="402" spans="1:3" ht="14.25" customHeight="1" x14ac:dyDescent="0.3">
      <c r="A402" s="22">
        <v>45660</v>
      </c>
      <c r="B402" s="23">
        <v>35883.72</v>
      </c>
      <c r="C402" s="24">
        <f t="shared" si="6"/>
        <v>-4.8898989324751832E-3</v>
      </c>
    </row>
    <row r="403" spans="1:3" ht="14.25" customHeight="1" x14ac:dyDescent="0.3">
      <c r="A403" s="22">
        <v>45659</v>
      </c>
      <c r="B403" s="23">
        <v>36060.050000000003</v>
      </c>
      <c r="C403" s="24">
        <f t="shared" si="6"/>
        <v>1.5030366423765333E-2</v>
      </c>
    </row>
    <row r="404" spans="1:3" ht="14.25" customHeight="1" x14ac:dyDescent="0.3">
      <c r="A404" s="22">
        <v>45658</v>
      </c>
      <c r="B404" s="23">
        <v>35526.080000000002</v>
      </c>
      <c r="C404" s="24">
        <f t="shared" si="6"/>
        <v>4.7565042041524041E-3</v>
      </c>
    </row>
    <row r="405" spans="1:3" ht="14.25" customHeight="1" x14ac:dyDescent="0.3">
      <c r="A405" s="22">
        <v>45657</v>
      </c>
      <c r="B405" s="23">
        <v>35357.9</v>
      </c>
      <c r="C405" s="24">
        <f t="shared" si="6"/>
        <v>8.1689171287984558E-4</v>
      </c>
    </row>
    <row r="406" spans="1:3" ht="14.25" customHeight="1" x14ac:dyDescent="0.3">
      <c r="A406" s="22">
        <v>45656</v>
      </c>
      <c r="B406" s="23">
        <v>35329.040000000001</v>
      </c>
      <c r="C406" s="24">
        <f t="shared" si="6"/>
        <v>-3.9249187653746416E-3</v>
      </c>
    </row>
    <row r="407" spans="1:3" ht="14.25" customHeight="1" x14ac:dyDescent="0.3">
      <c r="A407" s="22">
        <v>45653</v>
      </c>
      <c r="B407" s="23">
        <v>35468.25</v>
      </c>
      <c r="C407" s="24">
        <f t="shared" si="6"/>
        <v>6.6272137263725191E-4</v>
      </c>
    </row>
    <row r="408" spans="1:3" ht="14.25" customHeight="1" x14ac:dyDescent="0.3">
      <c r="A408" s="22">
        <v>45652</v>
      </c>
      <c r="B408" s="23">
        <v>35444.76</v>
      </c>
      <c r="C408" s="24">
        <f t="shared" si="6"/>
        <v>1.2355576195263651E-3</v>
      </c>
    </row>
    <row r="409" spans="1:3" ht="14.25" customHeight="1" x14ac:dyDescent="0.3">
      <c r="A409" s="22">
        <v>45650</v>
      </c>
      <c r="B409" s="23">
        <v>35401.019999999997</v>
      </c>
      <c r="C409" s="24">
        <f t="shared" si="6"/>
        <v>-3.4986746546030709E-4</v>
      </c>
    </row>
    <row r="410" spans="1:3" ht="14.25" customHeight="1" x14ac:dyDescent="0.3">
      <c r="A410" s="22">
        <v>45649</v>
      </c>
      <c r="B410" s="23">
        <v>35413.410000000003</v>
      </c>
      <c r="C410" s="24">
        <f t="shared" si="6"/>
        <v>4.1622928423535018E-3</v>
      </c>
    </row>
    <row r="411" spans="1:3" ht="14.25" customHeight="1" x14ac:dyDescent="0.3">
      <c r="A411" s="22">
        <v>45646</v>
      </c>
      <c r="B411" s="23">
        <v>35266.620000000003</v>
      </c>
      <c r="C411" s="24">
        <f t="shared" si="6"/>
        <v>-1.9021458702185773E-2</v>
      </c>
    </row>
    <row r="412" spans="1:3" ht="14.25" customHeight="1" x14ac:dyDescent="0.3">
      <c r="A412" s="22">
        <v>45645</v>
      </c>
      <c r="B412" s="23">
        <v>35950.449999999997</v>
      </c>
      <c r="C412" s="24">
        <f t="shared" si="6"/>
        <v>-7.9457172352304373E-3</v>
      </c>
    </row>
    <row r="413" spans="1:3" ht="14.25" customHeight="1" x14ac:dyDescent="0.3">
      <c r="A413" s="22">
        <v>45644</v>
      </c>
      <c r="B413" s="23">
        <v>36238.39</v>
      </c>
      <c r="C413" s="24">
        <f t="shared" si="6"/>
        <v>-6.9862062502362657E-3</v>
      </c>
    </row>
    <row r="414" spans="1:3" ht="14.25" customHeight="1" x14ac:dyDescent="0.3">
      <c r="A414" s="22">
        <v>45643</v>
      </c>
      <c r="B414" s="23">
        <v>36493.339999999997</v>
      </c>
      <c r="C414" s="24">
        <f t="shared" si="6"/>
        <v>-1.0993257808210597E-2</v>
      </c>
    </row>
    <row r="415" spans="1:3" ht="14.25" customHeight="1" x14ac:dyDescent="0.3">
      <c r="A415" s="22">
        <v>45642</v>
      </c>
      <c r="B415" s="23">
        <v>36898.980000000003</v>
      </c>
      <c r="C415" s="24">
        <f t="shared" si="6"/>
        <v>-2.7770831306965765E-4</v>
      </c>
    </row>
    <row r="416" spans="1:3" ht="14.25" customHeight="1" x14ac:dyDescent="0.3">
      <c r="A416" s="22">
        <v>45639</v>
      </c>
      <c r="B416" s="23">
        <v>36909.230000000003</v>
      </c>
      <c r="C416" s="24">
        <f t="shared" si="6"/>
        <v>4.4093155396875442E-3</v>
      </c>
    </row>
    <row r="417" spans="1:3" ht="14.25" customHeight="1" x14ac:dyDescent="0.3">
      <c r="A417" s="22">
        <v>45638</v>
      </c>
      <c r="B417" s="23">
        <v>36747.199999999997</v>
      </c>
      <c r="C417" s="24">
        <f t="shared" si="6"/>
        <v>-4.3554301986428404E-3</v>
      </c>
    </row>
    <row r="418" spans="1:3" ht="14.25" customHeight="1" x14ac:dyDescent="0.3">
      <c r="A418" s="22">
        <v>45637</v>
      </c>
      <c r="B418" s="23">
        <v>36907.949999999997</v>
      </c>
      <c r="C418" s="24">
        <f t="shared" si="6"/>
        <v>1.8553404488647692E-3</v>
      </c>
    </row>
    <row r="419" spans="1:3" ht="14.25" customHeight="1" x14ac:dyDescent="0.3">
      <c r="A419" s="22">
        <v>45636</v>
      </c>
      <c r="B419" s="23">
        <v>36839.599999999999</v>
      </c>
      <c r="C419" s="24">
        <f t="shared" si="6"/>
        <v>9.8224487106511648E-4</v>
      </c>
    </row>
    <row r="420" spans="1:3" ht="14.25" customHeight="1" x14ac:dyDescent="0.3">
      <c r="A420" s="22">
        <v>45635</v>
      </c>
      <c r="B420" s="23">
        <v>36803.449999999997</v>
      </c>
      <c r="C420" s="24">
        <f t="shared" si="6"/>
        <v>-8.6113353080768094E-4</v>
      </c>
    </row>
    <row r="421" spans="1:3" ht="14.25" customHeight="1" x14ac:dyDescent="0.3">
      <c r="A421" s="22">
        <v>45632</v>
      </c>
      <c r="B421" s="23">
        <v>36835.17</v>
      </c>
      <c r="C421" s="24">
        <f t="shared" si="6"/>
        <v>1.465692039913701E-3</v>
      </c>
    </row>
    <row r="422" spans="1:3" ht="14.25" customHeight="1" x14ac:dyDescent="0.3">
      <c r="A422" s="22">
        <v>45631</v>
      </c>
      <c r="B422" s="23">
        <v>36781.26</v>
      </c>
      <c r="C422" s="24">
        <f t="shared" si="6"/>
        <v>7.7261840377037773E-3</v>
      </c>
    </row>
    <row r="423" spans="1:3" ht="14.25" customHeight="1" x14ac:dyDescent="0.3">
      <c r="A423" s="22">
        <v>45630</v>
      </c>
      <c r="B423" s="23">
        <v>36499.26</v>
      </c>
      <c r="C423" s="24">
        <f t="shared" si="6"/>
        <v>3.4193927237699388E-3</v>
      </c>
    </row>
    <row r="424" spans="1:3" ht="14.25" customHeight="1" x14ac:dyDescent="0.3">
      <c r="A424" s="22">
        <v>45629</v>
      </c>
      <c r="B424" s="23">
        <v>36374.879999999997</v>
      </c>
      <c r="C424" s="24">
        <f t="shared" si="6"/>
        <v>8.1000238064817594E-3</v>
      </c>
    </row>
    <row r="425" spans="1:3" ht="14.25" customHeight="1" x14ac:dyDescent="0.3">
      <c r="A425" s="22">
        <v>45628</v>
      </c>
      <c r="B425" s="23">
        <v>36082.61</v>
      </c>
      <c r="C425" s="24">
        <f t="shared" si="6"/>
        <v>6.5614242594999673E-3</v>
      </c>
    </row>
    <row r="426" spans="1:3" ht="14.25" customHeight="1" x14ac:dyDescent="0.3">
      <c r="A426" s="22">
        <v>45625</v>
      </c>
      <c r="B426" s="23">
        <v>35847.4</v>
      </c>
      <c r="C426" s="24">
        <f t="shared" si="6"/>
        <v>7.6910535281583224E-3</v>
      </c>
    </row>
    <row r="427" spans="1:3" ht="14.25" customHeight="1" x14ac:dyDescent="0.3">
      <c r="A427" s="22">
        <v>45624</v>
      </c>
      <c r="B427" s="23">
        <v>35573.800000000003</v>
      </c>
      <c r="C427" s="24">
        <f t="shared" si="6"/>
        <v>-7.8103231928080994E-3</v>
      </c>
    </row>
    <row r="428" spans="1:3" ht="14.25" customHeight="1" x14ac:dyDescent="0.3">
      <c r="A428" s="22">
        <v>45623</v>
      </c>
      <c r="B428" s="23">
        <v>35853.83</v>
      </c>
      <c r="C428" s="24">
        <f t="shared" si="6"/>
        <v>5.7313550733235803E-3</v>
      </c>
    </row>
    <row r="429" spans="1:3" ht="14.25" customHeight="1" x14ac:dyDescent="0.3">
      <c r="A429" s="22">
        <v>45622</v>
      </c>
      <c r="B429" s="23">
        <v>35649.51</v>
      </c>
      <c r="C429" s="24">
        <f t="shared" si="6"/>
        <v>4.021307034229025E-4</v>
      </c>
    </row>
    <row r="430" spans="1:3" ht="14.25" customHeight="1" x14ac:dyDescent="0.3">
      <c r="A430" s="22">
        <v>45621</v>
      </c>
      <c r="B430" s="23">
        <v>35635.18</v>
      </c>
      <c r="C430" s="24">
        <f t="shared" si="6"/>
        <v>1.4784713520902161E-2</v>
      </c>
    </row>
    <row r="431" spans="1:3" ht="14.25" customHeight="1" x14ac:dyDescent="0.3">
      <c r="A431" s="22">
        <v>45618</v>
      </c>
      <c r="B431" s="23">
        <v>35116</v>
      </c>
      <c r="C431" s="24">
        <f t="shared" si="6"/>
        <v>1.8546207731101119E-2</v>
      </c>
    </row>
    <row r="432" spans="1:3" ht="14.25" customHeight="1" x14ac:dyDescent="0.3">
      <c r="A432" s="22">
        <v>45617</v>
      </c>
      <c r="B432" s="23">
        <v>34476.589999999997</v>
      </c>
      <c r="C432" s="24">
        <f t="shared" si="6"/>
        <v>-3.5405555464030993E-3</v>
      </c>
    </row>
    <row r="433" spans="1:3" ht="14.25" customHeight="1" x14ac:dyDescent="0.3">
      <c r="A433" s="22">
        <v>45614</v>
      </c>
      <c r="B433" s="23">
        <v>34599.089999999997</v>
      </c>
      <c r="C433" s="24">
        <f t="shared" si="6"/>
        <v>-2.890253370521343E-3</v>
      </c>
    </row>
    <row r="434" spans="1:3" ht="14.25" customHeight="1" x14ac:dyDescent="0.3">
      <c r="A434" s="22">
        <v>45610</v>
      </c>
      <c r="B434" s="23">
        <v>34699.379999999997</v>
      </c>
      <c r="C434" s="24">
        <f t="shared" si="6"/>
        <v>2.3484837980614647E-3</v>
      </c>
    </row>
    <row r="435" spans="1:3" ht="14.25" customHeight="1" x14ac:dyDescent="0.3">
      <c r="A435" s="22">
        <v>45609</v>
      </c>
      <c r="B435" s="23">
        <v>34618.080000000002</v>
      </c>
      <c r="C435" s="24">
        <f t="shared" si="6"/>
        <v>-1.8633670669551711E-2</v>
      </c>
    </row>
    <row r="436" spans="1:3" ht="14.25" customHeight="1" x14ac:dyDescent="0.3">
      <c r="A436" s="22">
        <v>45608</v>
      </c>
      <c r="B436" s="23">
        <v>35275.39</v>
      </c>
      <c r="C436" s="24">
        <f t="shared" si="6"/>
        <v>-1.1504807914599379E-2</v>
      </c>
    </row>
    <row r="437" spans="1:3" ht="14.25" customHeight="1" x14ac:dyDescent="0.3">
      <c r="A437" s="22">
        <v>45607</v>
      </c>
      <c r="B437" s="23">
        <v>35685.949999999997</v>
      </c>
      <c r="C437" s="24">
        <f t="shared" si="6"/>
        <v>-2.395751943228908E-3</v>
      </c>
    </row>
    <row r="438" spans="1:3" ht="14.25" customHeight="1" x14ac:dyDescent="0.3">
      <c r="A438" s="22">
        <v>45604</v>
      </c>
      <c r="B438" s="23">
        <v>35771.65</v>
      </c>
      <c r="C438" s="24">
        <f t="shared" si="6"/>
        <v>-6.9959557146730697E-3</v>
      </c>
    </row>
    <row r="439" spans="1:3" ht="14.25" customHeight="1" x14ac:dyDescent="0.3">
      <c r="A439" s="22">
        <v>45603</v>
      </c>
      <c r="B439" s="23">
        <v>36023.67</v>
      </c>
      <c r="C439" s="24">
        <f t="shared" si="6"/>
        <v>-9.7279778324819745E-3</v>
      </c>
    </row>
    <row r="440" spans="1:3" ht="14.25" customHeight="1" x14ac:dyDescent="0.3">
      <c r="A440" s="22">
        <v>45602</v>
      </c>
      <c r="B440" s="23">
        <v>36377.550000000003</v>
      </c>
      <c r="C440" s="24">
        <f t="shared" si="6"/>
        <v>1.5653225153489034E-2</v>
      </c>
    </row>
    <row r="441" spans="1:3" ht="14.25" customHeight="1" x14ac:dyDescent="0.3">
      <c r="A441" s="22">
        <v>45601</v>
      </c>
      <c r="B441" s="23">
        <v>35816.9</v>
      </c>
      <c r="C441" s="24">
        <f t="shared" si="6"/>
        <v>7.1745605391858955E-3</v>
      </c>
    </row>
    <row r="442" spans="1:3" ht="14.25" customHeight="1" x14ac:dyDescent="0.3">
      <c r="A442" s="22">
        <v>45600</v>
      </c>
      <c r="B442" s="23">
        <v>35561.760000000002</v>
      </c>
      <c r="C442" s="24">
        <f t="shared" si="6"/>
        <v>-1.3348818588076522E-2</v>
      </c>
    </row>
    <row r="443" spans="1:3" ht="14.25" customHeight="1" x14ac:dyDescent="0.3">
      <c r="A443" s="22">
        <v>45597</v>
      </c>
      <c r="B443" s="23">
        <v>36042.89</v>
      </c>
      <c r="C443" s="24">
        <f t="shared" si="6"/>
        <v>5.9141558506073848E-3</v>
      </c>
    </row>
    <row r="444" spans="1:3" ht="14.25" customHeight="1" x14ac:dyDescent="0.3">
      <c r="A444" s="22">
        <v>45596</v>
      </c>
      <c r="B444" s="23">
        <v>35830.980000000003</v>
      </c>
      <c r="C444" s="24">
        <f t="shared" si="6"/>
        <v>-2.5274367048169844E-3</v>
      </c>
    </row>
    <row r="445" spans="1:3" ht="14.25" customHeight="1" x14ac:dyDescent="0.3">
      <c r="A445" s="22">
        <v>45595</v>
      </c>
      <c r="B445" s="23">
        <v>35921.769999999997</v>
      </c>
      <c r="C445" s="24">
        <f t="shared" si="6"/>
        <v>-1.9762230884425723E-3</v>
      </c>
    </row>
    <row r="446" spans="1:3" ht="14.25" customHeight="1" x14ac:dyDescent="0.3">
      <c r="A446" s="22">
        <v>45594</v>
      </c>
      <c r="B446" s="23">
        <v>35992.9</v>
      </c>
      <c r="C446" s="24">
        <f t="shared" si="6"/>
        <v>6.8138378055409687E-3</v>
      </c>
    </row>
    <row r="447" spans="1:3" ht="14.25" customHeight="1" x14ac:dyDescent="0.3">
      <c r="A447" s="22">
        <v>45593</v>
      </c>
      <c r="B447" s="23">
        <v>35749.31</v>
      </c>
      <c r="C447" s="24">
        <f t="shared" si="6"/>
        <v>6.7142802431254959E-3</v>
      </c>
    </row>
    <row r="448" spans="1:3" ht="14.25" customHeight="1" x14ac:dyDescent="0.3">
      <c r="A448" s="22">
        <v>45590</v>
      </c>
      <c r="B448" s="23">
        <v>35510.879999999997</v>
      </c>
      <c r="C448" s="24">
        <f t="shared" si="6"/>
        <v>-1.265829119880788E-2</v>
      </c>
    </row>
    <row r="449" spans="1:3" ht="14.25" customHeight="1" x14ac:dyDescent="0.3">
      <c r="A449" s="22">
        <v>45589</v>
      </c>
      <c r="B449" s="23">
        <v>35966.15</v>
      </c>
      <c r="C449" s="24">
        <f t="shared" si="6"/>
        <v>-2.3323013473146147E-3</v>
      </c>
    </row>
    <row r="450" spans="1:3" ht="14.25" customHeight="1" x14ac:dyDescent="0.3">
      <c r="A450" s="22">
        <v>45588</v>
      </c>
      <c r="B450" s="23">
        <v>36050.230000000003</v>
      </c>
      <c r="C450" s="24">
        <f t="shared" ref="C450:C513" si="7">(B450-B451)/B451</f>
        <v>1.1686243253263983E-3</v>
      </c>
    </row>
    <row r="451" spans="1:3" ht="14.25" customHeight="1" x14ac:dyDescent="0.3">
      <c r="A451" s="22">
        <v>45587</v>
      </c>
      <c r="B451" s="23">
        <v>36008.15</v>
      </c>
      <c r="C451" s="24">
        <f t="shared" si="7"/>
        <v>-1.9224834579316803E-2</v>
      </c>
    </row>
    <row r="452" spans="1:3" ht="14.25" customHeight="1" x14ac:dyDescent="0.3">
      <c r="A452" s="22">
        <v>45586</v>
      </c>
      <c r="B452" s="23">
        <v>36713.97</v>
      </c>
      <c r="C452" s="24">
        <f t="shared" si="7"/>
        <v>-7.5706789526096552E-3</v>
      </c>
    </row>
    <row r="453" spans="1:3" ht="14.25" customHeight="1" x14ac:dyDescent="0.3">
      <c r="A453" s="22">
        <v>45583</v>
      </c>
      <c r="B453" s="23">
        <v>36994.04</v>
      </c>
      <c r="C453" s="24">
        <f t="shared" si="7"/>
        <v>2.7795020533185389E-3</v>
      </c>
    </row>
    <row r="454" spans="1:3" ht="14.25" customHeight="1" x14ac:dyDescent="0.3">
      <c r="A454" s="22">
        <v>45582</v>
      </c>
      <c r="B454" s="23">
        <v>36891.5</v>
      </c>
      <c r="C454" s="24">
        <f t="shared" si="7"/>
        <v>-1.2511075004885085E-2</v>
      </c>
    </row>
    <row r="455" spans="1:3" ht="14.25" customHeight="1" x14ac:dyDescent="0.3">
      <c r="A455" s="22">
        <v>45581</v>
      </c>
      <c r="B455" s="23">
        <v>37358.9</v>
      </c>
      <c r="C455" s="24">
        <f t="shared" si="7"/>
        <v>-2.6349792832428423E-3</v>
      </c>
    </row>
    <row r="456" spans="1:3" ht="14.25" customHeight="1" x14ac:dyDescent="0.3">
      <c r="A456" s="22">
        <v>45580</v>
      </c>
      <c r="B456" s="23">
        <v>37457.599999999999</v>
      </c>
      <c r="C456" s="24">
        <f t="shared" si="7"/>
        <v>3.6401054695849239E-4</v>
      </c>
    </row>
    <row r="457" spans="1:3" ht="14.25" customHeight="1" x14ac:dyDescent="0.3">
      <c r="A457" s="22">
        <v>45579</v>
      </c>
      <c r="B457" s="23">
        <v>37443.97</v>
      </c>
      <c r="C457" s="24">
        <f t="shared" si="7"/>
        <v>4.9059114354166261E-3</v>
      </c>
    </row>
    <row r="458" spans="1:3" ht="14.25" customHeight="1" x14ac:dyDescent="0.3">
      <c r="A458" s="22">
        <v>45576</v>
      </c>
      <c r="B458" s="23">
        <v>37261.17</v>
      </c>
      <c r="C458" s="24">
        <f t="shared" si="7"/>
        <v>5.6068306664629577E-4</v>
      </c>
    </row>
    <row r="459" spans="1:3" ht="14.25" customHeight="1" x14ac:dyDescent="0.3">
      <c r="A459" s="22">
        <v>45575</v>
      </c>
      <c r="B459" s="23">
        <v>37240.29</v>
      </c>
      <c r="C459" s="24">
        <f t="shared" si="7"/>
        <v>-6.0414783739240127E-5</v>
      </c>
    </row>
    <row r="460" spans="1:3" ht="14.25" customHeight="1" x14ac:dyDescent="0.3">
      <c r="A460" s="22">
        <v>45574</v>
      </c>
      <c r="B460" s="23">
        <v>37242.54</v>
      </c>
      <c r="C460" s="24">
        <f t="shared" si="7"/>
        <v>3.7021795075996857E-3</v>
      </c>
    </row>
    <row r="461" spans="1:3" ht="14.25" customHeight="1" x14ac:dyDescent="0.3">
      <c r="A461" s="22">
        <v>45573</v>
      </c>
      <c r="B461" s="23">
        <v>37105.17</v>
      </c>
      <c r="C461" s="24">
        <f t="shared" si="7"/>
        <v>1.4260538981129922E-2</v>
      </c>
    </row>
    <row r="462" spans="1:3" ht="14.25" customHeight="1" x14ac:dyDescent="0.3">
      <c r="A462" s="22">
        <v>45572</v>
      </c>
      <c r="B462" s="23">
        <v>36583.47</v>
      </c>
      <c r="C462" s="24">
        <f t="shared" si="7"/>
        <v>-1.499764811934352E-2</v>
      </c>
    </row>
    <row r="463" spans="1:3" ht="14.25" customHeight="1" x14ac:dyDescent="0.3">
      <c r="A463" s="22">
        <v>45569</v>
      </c>
      <c r="B463" s="23">
        <v>37140.49</v>
      </c>
      <c r="C463" s="24">
        <f t="shared" si="7"/>
        <v>-9.2833777602791909E-3</v>
      </c>
    </row>
    <row r="464" spans="1:3" ht="14.25" customHeight="1" x14ac:dyDescent="0.3">
      <c r="A464" s="22">
        <v>45568</v>
      </c>
      <c r="B464" s="23">
        <v>37488.51</v>
      </c>
      <c r="C464" s="24">
        <f t="shared" si="7"/>
        <v>-2.0199997961391297E-2</v>
      </c>
    </row>
    <row r="465" spans="1:3" ht="14.25" customHeight="1" x14ac:dyDescent="0.3">
      <c r="A465" s="22">
        <v>45565</v>
      </c>
      <c r="B465" s="23">
        <v>38261.39</v>
      </c>
      <c r="C465" s="24">
        <f t="shared" si="7"/>
        <v>-9.9764664481931352E-3</v>
      </c>
    </row>
    <row r="466" spans="1:3" ht="14.25" customHeight="1" x14ac:dyDescent="0.3">
      <c r="A466" s="22">
        <v>45562</v>
      </c>
      <c r="B466" s="23">
        <v>38646.949999999997</v>
      </c>
      <c r="C466" s="24">
        <f t="shared" si="7"/>
        <v>-3.0083877886887353E-4</v>
      </c>
    </row>
    <row r="467" spans="1:3" ht="14.25" customHeight="1" x14ac:dyDescent="0.3">
      <c r="A467" s="22">
        <v>45561</v>
      </c>
      <c r="B467" s="23">
        <v>38658.58</v>
      </c>
      <c r="C467" s="24">
        <f t="shared" si="7"/>
        <v>5.1551846565980382E-3</v>
      </c>
    </row>
    <row r="468" spans="1:3" ht="14.25" customHeight="1" x14ac:dyDescent="0.3">
      <c r="A468" s="22">
        <v>45560</v>
      </c>
      <c r="B468" s="23">
        <v>38460.31</v>
      </c>
      <c r="C468" s="24">
        <f t="shared" si="7"/>
        <v>-7.4203269672518178E-4</v>
      </c>
    </row>
    <row r="469" spans="1:3" ht="14.25" customHeight="1" x14ac:dyDescent="0.3">
      <c r="A469" s="22">
        <v>45559</v>
      </c>
      <c r="B469" s="23">
        <v>38488.870000000003</v>
      </c>
      <c r="C469" s="24">
        <f t="shared" si="7"/>
        <v>4.3095952957314854E-4</v>
      </c>
    </row>
    <row r="470" spans="1:3" ht="14.25" customHeight="1" x14ac:dyDescent="0.3">
      <c r="A470" s="22">
        <v>45558</v>
      </c>
      <c r="B470" s="23">
        <v>38472.29</v>
      </c>
      <c r="C470" s="24">
        <f t="shared" si="7"/>
        <v>7.6743176732726043E-3</v>
      </c>
    </row>
    <row r="471" spans="1:3" ht="14.25" customHeight="1" x14ac:dyDescent="0.3">
      <c r="A471" s="22">
        <v>45555</v>
      </c>
      <c r="B471" s="23">
        <v>38179.29</v>
      </c>
      <c r="C471" s="24">
        <f t="shared" si="7"/>
        <v>1.4266139033023558E-2</v>
      </c>
    </row>
    <row r="472" spans="1:3" ht="14.25" customHeight="1" x14ac:dyDescent="0.3">
      <c r="A472" s="22">
        <v>45554</v>
      </c>
      <c r="B472" s="23">
        <v>37642.28</v>
      </c>
      <c r="C472" s="24">
        <f t="shared" si="7"/>
        <v>-1.8524538782471794E-3</v>
      </c>
    </row>
    <row r="473" spans="1:3" ht="14.25" customHeight="1" x14ac:dyDescent="0.3">
      <c r="A473" s="22">
        <v>45553</v>
      </c>
      <c r="B473" s="23">
        <v>37712.14</v>
      </c>
      <c r="C473" s="24">
        <f t="shared" si="7"/>
        <v>-2.9710885954401375E-3</v>
      </c>
    </row>
    <row r="474" spans="1:3" ht="14.25" customHeight="1" x14ac:dyDescent="0.3">
      <c r="A474" s="22">
        <v>45552</v>
      </c>
      <c r="B474" s="23">
        <v>37824.519999999997</v>
      </c>
      <c r="C474" s="24">
        <f t="shared" si="7"/>
        <v>9.2276704256810633E-5</v>
      </c>
    </row>
    <row r="475" spans="1:3" ht="14.25" customHeight="1" x14ac:dyDescent="0.3">
      <c r="A475" s="22">
        <v>45551</v>
      </c>
      <c r="B475" s="23">
        <v>37821.03</v>
      </c>
      <c r="C475" s="24">
        <f t="shared" si="7"/>
        <v>1.6714374096878373E-3</v>
      </c>
    </row>
    <row r="476" spans="1:3" ht="14.25" customHeight="1" x14ac:dyDescent="0.3">
      <c r="A476" s="22">
        <v>45548</v>
      </c>
      <c r="B476" s="23">
        <v>37757.919999999998</v>
      </c>
      <c r="C476" s="24">
        <f t="shared" si="7"/>
        <v>8.9359061462119757E-4</v>
      </c>
    </row>
    <row r="477" spans="1:3" ht="14.25" customHeight="1" x14ac:dyDescent="0.3">
      <c r="A477" s="22">
        <v>45547</v>
      </c>
      <c r="B477" s="23">
        <v>37724.21</v>
      </c>
      <c r="C477" s="24">
        <f t="shared" si="7"/>
        <v>1.5984073560672555E-2</v>
      </c>
    </row>
    <row r="478" spans="1:3" ht="14.25" customHeight="1" x14ac:dyDescent="0.3">
      <c r="A478" s="22">
        <v>45546</v>
      </c>
      <c r="B478" s="23">
        <v>37130.71</v>
      </c>
      <c r="C478" s="24">
        <f t="shared" si="7"/>
        <v>-4.7488627067525215E-3</v>
      </c>
    </row>
    <row r="479" spans="1:3" ht="14.25" customHeight="1" x14ac:dyDescent="0.3">
      <c r="A479" s="22">
        <v>45545</v>
      </c>
      <c r="B479" s="23">
        <v>37307.879999999997</v>
      </c>
      <c r="C479" s="24">
        <f t="shared" si="7"/>
        <v>6.0210993299373381E-3</v>
      </c>
    </row>
    <row r="480" spans="1:3" ht="14.25" customHeight="1" x14ac:dyDescent="0.3">
      <c r="A480" s="22">
        <v>45544</v>
      </c>
      <c r="B480" s="23">
        <v>37084.589999999997</v>
      </c>
      <c r="C480" s="24">
        <f t="shared" si="7"/>
        <v>1.0505951167841816E-3</v>
      </c>
    </row>
    <row r="481" spans="1:3" ht="14.25" customHeight="1" x14ac:dyDescent="0.3">
      <c r="A481" s="22">
        <v>45541</v>
      </c>
      <c r="B481" s="23">
        <v>37045.67</v>
      </c>
      <c r="C481" s="24">
        <f t="shared" si="7"/>
        <v>-1.1977143466752058E-2</v>
      </c>
    </row>
    <row r="482" spans="1:3" ht="14.25" customHeight="1" x14ac:dyDescent="0.3">
      <c r="A482" s="22">
        <v>45540</v>
      </c>
      <c r="B482" s="23">
        <v>37494.75</v>
      </c>
      <c r="C482" s="24">
        <f t="shared" si="7"/>
        <v>5.8842837585770206E-4</v>
      </c>
    </row>
    <row r="483" spans="1:3" ht="14.25" customHeight="1" x14ac:dyDescent="0.3">
      <c r="A483" s="22">
        <v>45539</v>
      </c>
      <c r="B483" s="23">
        <v>37472.699999999997</v>
      </c>
      <c r="C483" s="24">
        <f t="shared" si="7"/>
        <v>-1.6629759009696924E-3</v>
      </c>
    </row>
    <row r="484" spans="1:3" ht="14.25" customHeight="1" x14ac:dyDescent="0.3">
      <c r="A484" s="22">
        <v>45538</v>
      </c>
      <c r="B484" s="23">
        <v>37535.120000000003</v>
      </c>
      <c r="C484" s="24">
        <f t="shared" si="7"/>
        <v>1.1704067403480029E-3</v>
      </c>
    </row>
    <row r="485" spans="1:3" ht="14.25" customHeight="1" x14ac:dyDescent="0.3">
      <c r="A485" s="22">
        <v>45537</v>
      </c>
      <c r="B485" s="23">
        <v>37491.24</v>
      </c>
      <c r="C485" s="24">
        <f t="shared" si="7"/>
        <v>1.1033401406464877E-3</v>
      </c>
    </row>
    <row r="486" spans="1:3" ht="14.25" customHeight="1" x14ac:dyDescent="0.3">
      <c r="A486" s="22">
        <v>45534</v>
      </c>
      <c r="B486" s="23">
        <v>37449.919999999998</v>
      </c>
      <c r="C486" s="24">
        <f t="shared" si="7"/>
        <v>4.4078714634106049E-3</v>
      </c>
    </row>
    <row r="487" spans="1:3" ht="14.25" customHeight="1" x14ac:dyDescent="0.3">
      <c r="A487" s="22">
        <v>45533</v>
      </c>
      <c r="B487" s="23">
        <v>37285.57</v>
      </c>
      <c r="C487" s="24">
        <f t="shared" si="7"/>
        <v>6.5537429735792519E-4</v>
      </c>
    </row>
    <row r="488" spans="1:3" ht="14.25" customHeight="1" x14ac:dyDescent="0.3">
      <c r="A488" s="22">
        <v>45532</v>
      </c>
      <c r="B488" s="23">
        <v>37261.15</v>
      </c>
      <c r="C488" s="24">
        <f t="shared" si="7"/>
        <v>4.7122190121263546E-4</v>
      </c>
    </row>
    <row r="489" spans="1:3" ht="14.25" customHeight="1" x14ac:dyDescent="0.3">
      <c r="A489" s="22">
        <v>45531</v>
      </c>
      <c r="B489" s="23">
        <v>37243.599999999999</v>
      </c>
      <c r="C489" s="24">
        <f t="shared" si="7"/>
        <v>1.8302347025841944E-3</v>
      </c>
    </row>
    <row r="490" spans="1:3" ht="14.25" customHeight="1" x14ac:dyDescent="0.3">
      <c r="A490" s="22">
        <v>45530</v>
      </c>
      <c r="B490" s="23">
        <v>37175.56</v>
      </c>
      <c r="C490" s="24">
        <f t="shared" si="7"/>
        <v>6.1115450338757385E-3</v>
      </c>
    </row>
    <row r="491" spans="1:3" ht="14.25" customHeight="1" x14ac:dyDescent="0.3">
      <c r="A491" s="22">
        <v>45527</v>
      </c>
      <c r="B491" s="23">
        <v>36949.74</v>
      </c>
      <c r="C491" s="24">
        <f t="shared" si="7"/>
        <v>-8.3260028993637663E-4</v>
      </c>
    </row>
    <row r="492" spans="1:3" ht="14.25" customHeight="1" x14ac:dyDescent="0.3">
      <c r="A492" s="22">
        <v>45526</v>
      </c>
      <c r="B492" s="23">
        <v>36980.53</v>
      </c>
      <c r="C492" s="24">
        <f t="shared" si="7"/>
        <v>3.0949565770268112E-3</v>
      </c>
    </row>
    <row r="493" spans="1:3" ht="14.25" customHeight="1" x14ac:dyDescent="0.3">
      <c r="A493" s="22">
        <v>45525</v>
      </c>
      <c r="B493" s="23">
        <v>36866.43</v>
      </c>
      <c r="C493" s="24">
        <f t="shared" si="7"/>
        <v>3.8086888095940777E-3</v>
      </c>
    </row>
    <row r="494" spans="1:3" ht="14.25" customHeight="1" x14ac:dyDescent="0.3">
      <c r="A494" s="22">
        <v>45524</v>
      </c>
      <c r="B494" s="23">
        <v>36726.550000000003</v>
      </c>
      <c r="C494" s="24">
        <f t="shared" si="7"/>
        <v>6.1004507468525879E-3</v>
      </c>
    </row>
    <row r="495" spans="1:3" ht="14.25" customHeight="1" x14ac:dyDescent="0.3">
      <c r="A495" s="22">
        <v>45523</v>
      </c>
      <c r="B495" s="23">
        <v>36503.86</v>
      </c>
      <c r="C495" s="24">
        <f t="shared" si="7"/>
        <v>3.7917316656203427E-3</v>
      </c>
    </row>
    <row r="496" spans="1:3" ht="14.25" customHeight="1" x14ac:dyDescent="0.3">
      <c r="A496" s="22">
        <v>45520</v>
      </c>
      <c r="B496" s="23">
        <v>36365.97</v>
      </c>
      <c r="C496" s="24">
        <f t="shared" si="7"/>
        <v>1.7107592653191315E-2</v>
      </c>
    </row>
    <row r="497" spans="1:3" ht="14.25" customHeight="1" x14ac:dyDescent="0.3">
      <c r="A497" s="22">
        <v>45518</v>
      </c>
      <c r="B497" s="23">
        <v>35754.300000000003</v>
      </c>
      <c r="C497" s="24">
        <f t="shared" si="7"/>
        <v>-1.4065208271772606E-3</v>
      </c>
    </row>
    <row r="498" spans="1:3" ht="14.25" customHeight="1" x14ac:dyDescent="0.3">
      <c r="A498" s="22">
        <v>45517</v>
      </c>
      <c r="B498" s="23">
        <v>35804.660000000003</v>
      </c>
      <c r="C498" s="24">
        <f t="shared" si="7"/>
        <v>-9.1552653637737985E-3</v>
      </c>
    </row>
    <row r="499" spans="1:3" ht="14.25" customHeight="1" x14ac:dyDescent="0.3">
      <c r="A499" s="22">
        <v>45516</v>
      </c>
      <c r="B499" s="23">
        <v>36135.49</v>
      </c>
      <c r="C499" s="24">
        <f t="shared" si="7"/>
        <v>5.8948295979044867E-5</v>
      </c>
    </row>
    <row r="500" spans="1:3" ht="14.25" customHeight="1" x14ac:dyDescent="0.3">
      <c r="A500" s="22">
        <v>45513</v>
      </c>
      <c r="B500" s="23">
        <v>36133.360000000001</v>
      </c>
      <c r="C500" s="24">
        <f t="shared" si="7"/>
        <v>9.6885318096362541E-3</v>
      </c>
    </row>
    <row r="501" spans="1:3" ht="14.25" customHeight="1" x14ac:dyDescent="0.3">
      <c r="A501" s="22">
        <v>45512</v>
      </c>
      <c r="B501" s="23">
        <v>35786.639999999999</v>
      </c>
      <c r="C501" s="24">
        <f t="shared" si="7"/>
        <v>-6.2667442697388089E-3</v>
      </c>
    </row>
    <row r="502" spans="1:3" ht="14.25" customHeight="1" x14ac:dyDescent="0.3">
      <c r="A502" s="22">
        <v>45511</v>
      </c>
      <c r="B502" s="23">
        <v>36012.32</v>
      </c>
      <c r="C502" s="24">
        <f t="shared" si="7"/>
        <v>1.8328736397944367E-2</v>
      </c>
    </row>
    <row r="503" spans="1:3" ht="14.25" customHeight="1" x14ac:dyDescent="0.3">
      <c r="A503" s="22">
        <v>45510</v>
      </c>
      <c r="B503" s="23">
        <v>35364.14</v>
      </c>
      <c r="C503" s="24">
        <f t="shared" si="7"/>
        <v>-4.3739354439111073E-3</v>
      </c>
    </row>
    <row r="504" spans="1:3" ht="14.25" customHeight="1" x14ac:dyDescent="0.3">
      <c r="A504" s="22">
        <v>45509</v>
      </c>
      <c r="B504" s="23">
        <v>35519.5</v>
      </c>
      <c r="C504" s="24">
        <f t="shared" si="7"/>
        <v>-3.0772056044648395E-2</v>
      </c>
    </row>
    <row r="505" spans="1:3" ht="14.25" customHeight="1" x14ac:dyDescent="0.3">
      <c r="A505" s="22">
        <v>45506</v>
      </c>
      <c r="B505" s="23">
        <v>36647.21</v>
      </c>
      <c r="C505" s="24">
        <f t="shared" si="7"/>
        <v>-1.0324732720075025E-2</v>
      </c>
    </row>
    <row r="506" spans="1:3" ht="14.25" customHeight="1" x14ac:dyDescent="0.3">
      <c r="A506" s="22">
        <v>45505</v>
      </c>
      <c r="B506" s="23">
        <v>37029.53</v>
      </c>
      <c r="C506" s="24">
        <f t="shared" si="7"/>
        <v>-9.8607675804948647E-4</v>
      </c>
    </row>
    <row r="507" spans="1:3" ht="14.25" customHeight="1" x14ac:dyDescent="0.3">
      <c r="A507" s="22">
        <v>45504</v>
      </c>
      <c r="B507" s="23">
        <v>37066.080000000002</v>
      </c>
      <c r="C507" s="24">
        <f t="shared" si="7"/>
        <v>3.8688381271085584E-3</v>
      </c>
    </row>
    <row r="508" spans="1:3" ht="14.25" customHeight="1" x14ac:dyDescent="0.3">
      <c r="A508" s="22">
        <v>45503</v>
      </c>
      <c r="B508" s="23">
        <v>36923.230000000003</v>
      </c>
      <c r="C508" s="24">
        <f t="shared" si="7"/>
        <v>2.0410866038394035E-3</v>
      </c>
    </row>
    <row r="509" spans="1:3" ht="14.25" customHeight="1" x14ac:dyDescent="0.3">
      <c r="A509" s="22">
        <v>45502</v>
      </c>
      <c r="B509" s="23">
        <v>36848.019999999997</v>
      </c>
      <c r="C509" s="24">
        <f t="shared" si="7"/>
        <v>4.3953174400471889E-3</v>
      </c>
    </row>
    <row r="510" spans="1:3" ht="14.25" customHeight="1" x14ac:dyDescent="0.3">
      <c r="A510" s="22">
        <v>45499</v>
      </c>
      <c r="B510" s="23">
        <v>36686.769999999997</v>
      </c>
      <c r="C510" s="24">
        <f t="shared" si="7"/>
        <v>1.6399578554601727E-2</v>
      </c>
    </row>
    <row r="511" spans="1:3" ht="14.25" customHeight="1" x14ac:dyDescent="0.3">
      <c r="A511" s="22">
        <v>45498</v>
      </c>
      <c r="B511" s="23">
        <v>36094.83</v>
      </c>
      <c r="C511" s="24">
        <f t="shared" si="7"/>
        <v>-1.7534062617383336E-4</v>
      </c>
    </row>
    <row r="512" spans="1:3" ht="14.25" customHeight="1" x14ac:dyDescent="0.3">
      <c r="A512" s="22">
        <v>45497</v>
      </c>
      <c r="B512" s="23">
        <v>36101.160000000003</v>
      </c>
      <c r="C512" s="24">
        <f t="shared" si="7"/>
        <v>2.4805737447944672E-3</v>
      </c>
    </row>
    <row r="513" spans="1:3" ht="14.25" customHeight="1" x14ac:dyDescent="0.3">
      <c r="A513" s="22">
        <v>45496</v>
      </c>
      <c r="B513" s="23">
        <v>36011.83</v>
      </c>
      <c r="C513" s="24">
        <f t="shared" si="7"/>
        <v>-3.278689432052694E-3</v>
      </c>
    </row>
    <row r="514" spans="1:3" ht="14.25" customHeight="1" x14ac:dyDescent="0.3">
      <c r="A514" s="22">
        <v>45495</v>
      </c>
      <c r="B514" s="23">
        <v>36130.29</v>
      </c>
      <c r="C514" s="24">
        <f t="shared" ref="C514:C577" si="8">(B514-B515)/B515</f>
        <v>3.9030481397239877E-3</v>
      </c>
    </row>
    <row r="515" spans="1:3" ht="14.25" customHeight="1" x14ac:dyDescent="0.3">
      <c r="A515" s="22">
        <v>45492</v>
      </c>
      <c r="B515" s="23">
        <v>35989.82</v>
      </c>
      <c r="C515" s="24">
        <f t="shared" si="8"/>
        <v>-1.522401781854194E-2</v>
      </c>
    </row>
    <row r="516" spans="1:3" ht="14.25" customHeight="1" x14ac:dyDescent="0.3">
      <c r="A516" s="22">
        <v>45491</v>
      </c>
      <c r="B516" s="23">
        <v>36546.199999999997</v>
      </c>
      <c r="C516" s="24">
        <f t="shared" si="8"/>
        <v>2.6110761082139407E-4</v>
      </c>
    </row>
    <row r="517" spans="1:3" ht="14.25" customHeight="1" x14ac:dyDescent="0.3">
      <c r="A517" s="22">
        <v>45489</v>
      </c>
      <c r="B517" s="23">
        <v>36536.660000000003</v>
      </c>
      <c r="C517" s="24">
        <f t="shared" si="8"/>
        <v>-1.6145557399356201E-4</v>
      </c>
    </row>
    <row r="518" spans="1:3" ht="14.25" customHeight="1" x14ac:dyDescent="0.3">
      <c r="A518" s="22">
        <v>45488</v>
      </c>
      <c r="B518" s="23">
        <v>36542.559999999998</v>
      </c>
      <c r="C518" s="24">
        <f t="shared" si="8"/>
        <v>4.9573321819575428E-3</v>
      </c>
    </row>
    <row r="519" spans="1:3" ht="14.25" customHeight="1" x14ac:dyDescent="0.3">
      <c r="A519" s="22">
        <v>45485</v>
      </c>
      <c r="B519" s="23">
        <v>36362.300000000003</v>
      </c>
      <c r="C519" s="24">
        <f t="shared" si="8"/>
        <v>3.9980672326914591E-3</v>
      </c>
    </row>
    <row r="520" spans="1:3" ht="14.25" customHeight="1" x14ac:dyDescent="0.3">
      <c r="A520" s="22">
        <v>45484</v>
      </c>
      <c r="B520" s="23">
        <v>36217.5</v>
      </c>
      <c r="C520" s="24">
        <f t="shared" si="8"/>
        <v>1.2033514706845513E-3</v>
      </c>
    </row>
    <row r="521" spans="1:3" ht="14.25" customHeight="1" x14ac:dyDescent="0.3">
      <c r="A521" s="22">
        <v>45483</v>
      </c>
      <c r="B521" s="23">
        <v>36173.97</v>
      </c>
      <c r="C521" s="24">
        <f t="shared" si="8"/>
        <v>-3.8774845944267783E-3</v>
      </c>
    </row>
    <row r="522" spans="1:3" ht="14.25" customHeight="1" x14ac:dyDescent="0.3">
      <c r="A522" s="22">
        <v>45482</v>
      </c>
      <c r="B522" s="23">
        <v>36314.78</v>
      </c>
      <c r="C522" s="24">
        <f t="shared" si="8"/>
        <v>4.2470935699037019E-3</v>
      </c>
    </row>
    <row r="523" spans="1:3" ht="14.25" customHeight="1" x14ac:dyDescent="0.3">
      <c r="A523" s="22">
        <v>45481</v>
      </c>
      <c r="B523" s="23">
        <v>36161.199999999997</v>
      </c>
      <c r="C523" s="24">
        <f t="shared" si="8"/>
        <v>-7.1406779885848032E-4</v>
      </c>
    </row>
    <row r="524" spans="1:3" ht="14.25" customHeight="1" x14ac:dyDescent="0.3">
      <c r="A524" s="22">
        <v>45478</v>
      </c>
      <c r="B524" s="23">
        <v>36187.040000000001</v>
      </c>
      <c r="C524" s="24">
        <f t="shared" si="8"/>
        <v>1.3836824758581121E-2</v>
      </c>
    </row>
    <row r="525" spans="1:3" ht="14.25" customHeight="1" x14ac:dyDescent="0.3">
      <c r="A525" s="22">
        <v>45475</v>
      </c>
      <c r="B525" s="23">
        <v>35693.160000000003</v>
      </c>
      <c r="C525" s="24">
        <f t="shared" si="8"/>
        <v>-2.1930799312638457E-3</v>
      </c>
    </row>
    <row r="526" spans="1:3" ht="14.25" customHeight="1" x14ac:dyDescent="0.3">
      <c r="A526" s="22">
        <v>45474</v>
      </c>
      <c r="B526" s="23">
        <v>35771.61</v>
      </c>
      <c r="C526" s="24">
        <f t="shared" si="8"/>
        <v>7.4531845437670243E-3</v>
      </c>
    </row>
    <row r="527" spans="1:3" ht="14.25" customHeight="1" x14ac:dyDescent="0.3">
      <c r="A527" s="22">
        <v>45471</v>
      </c>
      <c r="B527" s="23">
        <v>35506.97</v>
      </c>
      <c r="C527" s="24">
        <f t="shared" si="8"/>
        <v>5.6235893941414426E-3</v>
      </c>
    </row>
    <row r="528" spans="1:3" ht="14.25" customHeight="1" x14ac:dyDescent="0.3">
      <c r="A528" s="22">
        <v>45469</v>
      </c>
      <c r="B528" s="23">
        <v>35308.410000000003</v>
      </c>
      <c r="C528" s="24">
        <f t="shared" si="8"/>
        <v>2.9584487786421714E-3</v>
      </c>
    </row>
    <row r="529" spans="1:3" ht="14.25" customHeight="1" x14ac:dyDescent="0.3">
      <c r="A529" s="22">
        <v>45468</v>
      </c>
      <c r="B529" s="23">
        <v>35204.26</v>
      </c>
      <c r="C529" s="24">
        <f t="shared" si="8"/>
        <v>3.6812397612668865E-3</v>
      </c>
    </row>
    <row r="530" spans="1:3" ht="14.25" customHeight="1" x14ac:dyDescent="0.3">
      <c r="A530" s="22">
        <v>45467</v>
      </c>
      <c r="B530" s="23">
        <v>35075.14</v>
      </c>
      <c r="C530" s="24">
        <f t="shared" si="8"/>
        <v>2.3802685482476886E-3</v>
      </c>
    </row>
    <row r="531" spans="1:3" ht="14.25" customHeight="1" x14ac:dyDescent="0.3">
      <c r="A531" s="22">
        <v>45464</v>
      </c>
      <c r="B531" s="23">
        <v>34991.85</v>
      </c>
      <c r="C531" s="24">
        <f t="shared" si="8"/>
        <v>-2.9684269132434723E-3</v>
      </c>
    </row>
    <row r="532" spans="1:3" ht="14.25" customHeight="1" x14ac:dyDescent="0.3">
      <c r="A532" s="22">
        <v>45463</v>
      </c>
      <c r="B532" s="23">
        <v>35096.03</v>
      </c>
      <c r="C532" s="24">
        <f t="shared" si="8"/>
        <v>3.7931082809141135E-3</v>
      </c>
    </row>
    <row r="533" spans="1:3" ht="14.25" customHeight="1" x14ac:dyDescent="0.3">
      <c r="A533" s="22">
        <v>45462</v>
      </c>
      <c r="B533" s="23">
        <v>34963.410000000003</v>
      </c>
      <c r="C533" s="24">
        <f t="shared" si="8"/>
        <v>-4.6599349220401076E-3</v>
      </c>
    </row>
    <row r="534" spans="1:3" ht="14.25" customHeight="1" x14ac:dyDescent="0.3">
      <c r="A534" s="22">
        <v>45461</v>
      </c>
      <c r="B534" s="23">
        <v>35127.1</v>
      </c>
      <c r="C534" s="24">
        <f t="shared" si="8"/>
        <v>5.2421136495275945E-3</v>
      </c>
    </row>
    <row r="535" spans="1:3" ht="14.25" customHeight="1" x14ac:dyDescent="0.3">
      <c r="A535" s="22">
        <v>45457</v>
      </c>
      <c r="B535" s="23">
        <v>34943.919999999998</v>
      </c>
      <c r="C535" s="24">
        <f t="shared" si="8"/>
        <v>6.5771602902327678E-3</v>
      </c>
    </row>
    <row r="536" spans="1:3" ht="14.25" customHeight="1" x14ac:dyDescent="0.3">
      <c r="A536" s="22">
        <v>45456</v>
      </c>
      <c r="B536" s="23">
        <v>34715.589999999997</v>
      </c>
      <c r="C536" s="24">
        <f t="shared" si="8"/>
        <v>5.1724312656444603E-3</v>
      </c>
    </row>
    <row r="537" spans="1:3" ht="14.25" customHeight="1" x14ac:dyDescent="0.3">
      <c r="A537" s="22">
        <v>45455</v>
      </c>
      <c r="B537" s="23">
        <v>34536.949999999997</v>
      </c>
      <c r="C537" s="24">
        <f t="shared" si="8"/>
        <v>7.1680302352063324E-3</v>
      </c>
    </row>
    <row r="538" spans="1:3" ht="14.25" customHeight="1" x14ac:dyDescent="0.3">
      <c r="A538" s="22">
        <v>45453</v>
      </c>
      <c r="B538" s="23">
        <v>34291.15</v>
      </c>
      <c r="C538" s="24">
        <f t="shared" si="8"/>
        <v>2.0261932375874856E-3</v>
      </c>
    </row>
    <row r="539" spans="1:3" ht="14.25" customHeight="1" x14ac:dyDescent="0.3">
      <c r="A539" s="22">
        <v>45450</v>
      </c>
      <c r="B539" s="23">
        <v>34221.81</v>
      </c>
      <c r="C539" s="24">
        <f t="shared" si="8"/>
        <v>3.3735699663404214E-2</v>
      </c>
    </row>
    <row r="540" spans="1:3" ht="14.25" customHeight="1" x14ac:dyDescent="0.3">
      <c r="A540" s="22">
        <v>45449</v>
      </c>
      <c r="B540" s="23">
        <v>33104.99</v>
      </c>
      <c r="C540" s="24">
        <f t="shared" si="8"/>
        <v>0</v>
      </c>
    </row>
    <row r="541" spans="1:3" ht="14.25" customHeight="1" x14ac:dyDescent="0.3">
      <c r="A541" s="22">
        <v>45448</v>
      </c>
      <c r="B541" s="23">
        <v>33104.99</v>
      </c>
      <c r="C541" s="24">
        <f t="shared" si="8"/>
        <v>3.5948244191584509E-2</v>
      </c>
    </row>
    <row r="542" spans="1:3" ht="14.25" customHeight="1" x14ac:dyDescent="0.3">
      <c r="A542" s="22">
        <v>45447</v>
      </c>
      <c r="B542" s="23">
        <v>31956.22</v>
      </c>
      <c r="C542" s="24">
        <f t="shared" si="8"/>
        <v>-3.6540421246856809E-2</v>
      </c>
    </row>
    <row r="543" spans="1:3" ht="14.25" customHeight="1" x14ac:dyDescent="0.3">
      <c r="A543" s="22">
        <v>45443</v>
      </c>
      <c r="B543" s="23">
        <v>33168.199999999997</v>
      </c>
      <c r="C543" s="24">
        <f t="shared" si="8"/>
        <v>3.7188333230948486E-3</v>
      </c>
    </row>
    <row r="544" spans="1:3" ht="14.25" customHeight="1" x14ac:dyDescent="0.3">
      <c r="A544" s="22">
        <v>45442</v>
      </c>
      <c r="B544" s="23">
        <v>33045.31</v>
      </c>
      <c r="C544" s="24">
        <f t="shared" si="8"/>
        <v>-1.0245191520027033E-2</v>
      </c>
    </row>
    <row r="545" spans="1:3" ht="14.25" customHeight="1" x14ac:dyDescent="0.3">
      <c r="A545" s="22">
        <v>45441</v>
      </c>
      <c r="B545" s="23">
        <v>33387.370000000003</v>
      </c>
      <c r="C545" s="24">
        <f t="shared" si="8"/>
        <v>-6.1262453052211398E-3</v>
      </c>
    </row>
    <row r="546" spans="1:3" ht="14.25" customHeight="1" x14ac:dyDescent="0.3">
      <c r="A546" s="22">
        <v>45440</v>
      </c>
      <c r="B546" s="23">
        <v>33593.17</v>
      </c>
      <c r="C546" s="24">
        <f t="shared" si="8"/>
        <v>-4.9130558549816327E-3</v>
      </c>
    </row>
    <row r="547" spans="1:3" ht="14.25" customHeight="1" x14ac:dyDescent="0.3">
      <c r="A547" s="22">
        <v>45439</v>
      </c>
      <c r="B547" s="23">
        <v>33759.03</v>
      </c>
      <c r="C547" s="24">
        <f t="shared" si="8"/>
        <v>4.3118163326255534E-4</v>
      </c>
    </row>
    <row r="548" spans="1:3" ht="14.25" customHeight="1" x14ac:dyDescent="0.3">
      <c r="A548" s="22">
        <v>45436</v>
      </c>
      <c r="B548" s="23">
        <v>33744.480000000003</v>
      </c>
      <c r="C548" s="24">
        <f t="shared" si="8"/>
        <v>-2.4264747055551612E-4</v>
      </c>
    </row>
    <row r="549" spans="1:3" ht="14.25" customHeight="1" x14ac:dyDescent="0.3">
      <c r="A549" s="22">
        <v>45435</v>
      </c>
      <c r="B549" s="23">
        <v>33752.67</v>
      </c>
      <c r="C549" s="24">
        <f t="shared" si="8"/>
        <v>1.1856218061598671E-2</v>
      </c>
    </row>
    <row r="550" spans="1:3" ht="14.25" customHeight="1" x14ac:dyDescent="0.3">
      <c r="A550" s="22">
        <v>45434</v>
      </c>
      <c r="B550" s="23">
        <v>33357.18</v>
      </c>
      <c r="C550" s="24">
        <f t="shared" si="8"/>
        <v>2.7135072058089189E-3</v>
      </c>
    </row>
    <row r="551" spans="1:3" ht="14.25" customHeight="1" x14ac:dyDescent="0.3">
      <c r="A551" s="22">
        <v>45433</v>
      </c>
      <c r="B551" s="23">
        <v>33266.910000000003</v>
      </c>
      <c r="C551" s="24">
        <f t="shared" si="8"/>
        <v>5.8439306480723803E-3</v>
      </c>
    </row>
    <row r="552" spans="1:3" ht="14.25" customHeight="1" x14ac:dyDescent="0.3">
      <c r="A552" s="22">
        <v>45429</v>
      </c>
      <c r="B552" s="23">
        <v>33073.629999999997</v>
      </c>
      <c r="C552" s="24">
        <f t="shared" si="8"/>
        <v>6.4742636228853276E-3</v>
      </c>
    </row>
    <row r="553" spans="1:3" ht="14.25" customHeight="1" x14ac:dyDescent="0.3">
      <c r="A553" s="22">
        <v>45428</v>
      </c>
      <c r="B553" s="23">
        <v>32860.879999999997</v>
      </c>
      <c r="C553" s="24">
        <f t="shared" si="8"/>
        <v>1.2039747520399527E-2</v>
      </c>
    </row>
    <row r="554" spans="1:3" ht="14.25" customHeight="1" x14ac:dyDescent="0.3">
      <c r="A554" s="22">
        <v>45426</v>
      </c>
      <c r="B554" s="23">
        <v>32469.95</v>
      </c>
      <c r="C554" s="24">
        <f t="shared" si="8"/>
        <v>8.4471163865299445E-3</v>
      </c>
    </row>
    <row r="555" spans="1:3" ht="14.25" customHeight="1" x14ac:dyDescent="0.3">
      <c r="A555" s="22">
        <v>45425</v>
      </c>
      <c r="B555" s="23">
        <v>32197.97</v>
      </c>
      <c r="C555" s="24">
        <f t="shared" si="8"/>
        <v>9.0709286827065465E-3</v>
      </c>
    </row>
    <row r="556" spans="1:3" ht="14.25" customHeight="1" x14ac:dyDescent="0.3">
      <c r="A556" s="22">
        <v>45421</v>
      </c>
      <c r="B556" s="23">
        <v>31908.53</v>
      </c>
      <c r="C556" s="24">
        <f t="shared" si="8"/>
        <v>-1.7393642049975788E-2</v>
      </c>
    </row>
    <row r="557" spans="1:3" ht="14.25" customHeight="1" x14ac:dyDescent="0.3">
      <c r="A557" s="22">
        <v>45420</v>
      </c>
      <c r="B557" s="23">
        <v>32473.360000000001</v>
      </c>
      <c r="C557" s="24">
        <f t="shared" si="8"/>
        <v>3.3375209406111732E-3</v>
      </c>
    </row>
    <row r="558" spans="1:3" ht="14.25" customHeight="1" x14ac:dyDescent="0.3">
      <c r="A558" s="22">
        <v>45419</v>
      </c>
      <c r="B558" s="23">
        <v>32365.34</v>
      </c>
      <c r="C558" s="24">
        <f t="shared" si="8"/>
        <v>-1.5321455453081303E-2</v>
      </c>
    </row>
    <row r="559" spans="1:3" ht="14.25" customHeight="1" x14ac:dyDescent="0.3">
      <c r="A559" s="22">
        <v>45415</v>
      </c>
      <c r="B559" s="23">
        <v>32868.94</v>
      </c>
      <c r="C559" s="24">
        <f t="shared" si="8"/>
        <v>-5.8694008408189721E-3</v>
      </c>
    </row>
    <row r="560" spans="1:3" ht="14.25" customHeight="1" x14ac:dyDescent="0.3">
      <c r="A560" s="22">
        <v>45414</v>
      </c>
      <c r="B560" s="23">
        <v>33063</v>
      </c>
      <c r="C560" s="24">
        <f t="shared" si="8"/>
        <v>4.1187607395426736E-3</v>
      </c>
    </row>
    <row r="561" spans="1:3" ht="14.25" customHeight="1" x14ac:dyDescent="0.3">
      <c r="A561" s="22">
        <v>45412</v>
      </c>
      <c r="B561" s="23">
        <v>32927.379999999997</v>
      </c>
      <c r="C561" s="24">
        <f t="shared" si="8"/>
        <v>2.3724489718418776E-4</v>
      </c>
    </row>
    <row r="562" spans="1:3" ht="14.25" customHeight="1" x14ac:dyDescent="0.3">
      <c r="A562" s="22">
        <v>45408</v>
      </c>
      <c r="B562" s="23">
        <v>32919.57</v>
      </c>
      <c r="C562" s="24">
        <f t="shared" si="8"/>
        <v>5.9575958277271789E-3</v>
      </c>
    </row>
    <row r="563" spans="1:3" ht="14.25" customHeight="1" x14ac:dyDescent="0.3">
      <c r="A563" s="22">
        <v>45407</v>
      </c>
      <c r="B563" s="23">
        <v>32724.61</v>
      </c>
      <c r="C563" s="24">
        <f t="shared" si="8"/>
        <v>6.6190025478761174E-3</v>
      </c>
    </row>
    <row r="564" spans="1:3" ht="14.25" customHeight="1" x14ac:dyDescent="0.3">
      <c r="A564" s="22">
        <v>45406</v>
      </c>
      <c r="B564" s="23">
        <v>32509.43</v>
      </c>
      <c r="C564" s="24">
        <f t="shared" si="8"/>
        <v>3.7777410004235807E-3</v>
      </c>
    </row>
    <row r="565" spans="1:3" ht="14.25" customHeight="1" x14ac:dyDescent="0.3">
      <c r="A565" s="22">
        <v>45405</v>
      </c>
      <c r="B565" s="23">
        <v>32387.08</v>
      </c>
      <c r="C565" s="24">
        <f t="shared" si="8"/>
        <v>3.7808665650708429E-3</v>
      </c>
    </row>
    <row r="566" spans="1:3" ht="14.25" customHeight="1" x14ac:dyDescent="0.3">
      <c r="A566" s="22">
        <v>45404</v>
      </c>
      <c r="B566" s="23">
        <v>32265.09</v>
      </c>
      <c r="C566" s="24">
        <f t="shared" si="8"/>
        <v>9.3056690819238452E-3</v>
      </c>
    </row>
    <row r="567" spans="1:3" ht="14.25" customHeight="1" x14ac:dyDescent="0.3">
      <c r="A567" s="22">
        <v>45401</v>
      </c>
      <c r="B567" s="23">
        <v>31967.61</v>
      </c>
      <c r="C567" s="24">
        <f t="shared" si="8"/>
        <v>2.9828184386936122E-3</v>
      </c>
    </row>
    <row r="568" spans="1:3" ht="14.25" customHeight="1" x14ac:dyDescent="0.3">
      <c r="A568" s="22">
        <v>45400</v>
      </c>
      <c r="B568" s="23">
        <v>31872.54</v>
      </c>
      <c r="C568" s="24">
        <f t="shared" si="8"/>
        <v>-4.8137944859149833E-3</v>
      </c>
    </row>
    <row r="569" spans="1:3" ht="14.25" customHeight="1" x14ac:dyDescent="0.3">
      <c r="A569" s="22">
        <v>45398</v>
      </c>
      <c r="B569" s="23">
        <v>32026.71</v>
      </c>
      <c r="C569" s="24">
        <f t="shared" si="8"/>
        <v>-2.722166224026679E-3</v>
      </c>
    </row>
    <row r="570" spans="1:3" ht="14.25" customHeight="1" x14ac:dyDescent="0.3">
      <c r="A570" s="22">
        <v>45397</v>
      </c>
      <c r="B570" s="23">
        <v>32114.13</v>
      </c>
      <c r="C570" s="24">
        <f t="shared" si="8"/>
        <v>-1.2857938985805834E-2</v>
      </c>
    </row>
    <row r="571" spans="1:3" ht="14.25" customHeight="1" x14ac:dyDescent="0.3">
      <c r="A571" s="22">
        <v>45394</v>
      </c>
      <c r="B571" s="23">
        <v>32532.43</v>
      </c>
      <c r="C571" s="24">
        <f t="shared" si="8"/>
        <v>-8.1137733222963384E-3</v>
      </c>
    </row>
    <row r="572" spans="1:3" ht="14.25" customHeight="1" x14ac:dyDescent="0.3">
      <c r="A572" s="22">
        <v>45392</v>
      </c>
      <c r="B572" s="23">
        <v>32798.550000000003</v>
      </c>
      <c r="C572" s="24">
        <f t="shared" si="8"/>
        <v>5.9880404817669857E-3</v>
      </c>
    </row>
    <row r="573" spans="1:3" ht="14.25" customHeight="1" x14ac:dyDescent="0.3">
      <c r="A573" s="22">
        <v>45391</v>
      </c>
      <c r="B573" s="23">
        <v>32603.32</v>
      </c>
      <c r="C573" s="24">
        <f t="shared" si="8"/>
        <v>-1.364866570203067E-3</v>
      </c>
    </row>
    <row r="574" spans="1:3" ht="14.25" customHeight="1" x14ac:dyDescent="0.3">
      <c r="A574" s="22">
        <v>45390</v>
      </c>
      <c r="B574" s="23">
        <v>32647.88</v>
      </c>
      <c r="C574" s="24">
        <f t="shared" si="8"/>
        <v>5.0229785028095336E-3</v>
      </c>
    </row>
    <row r="575" spans="1:3" ht="14.25" customHeight="1" x14ac:dyDescent="0.3">
      <c r="A575" s="22">
        <v>45387</v>
      </c>
      <c r="B575" s="23">
        <v>32484.71</v>
      </c>
      <c r="C575" s="24">
        <f t="shared" si="8"/>
        <v>2.4415540652090884E-3</v>
      </c>
    </row>
    <row r="576" spans="1:3" ht="14.25" customHeight="1" x14ac:dyDescent="0.3">
      <c r="A576" s="22">
        <v>45386</v>
      </c>
      <c r="B576" s="23">
        <v>32405.59</v>
      </c>
      <c r="C576" s="24">
        <f t="shared" si="8"/>
        <v>2.8644791280793324E-3</v>
      </c>
    </row>
    <row r="577" spans="1:3" ht="14.25" customHeight="1" x14ac:dyDescent="0.3">
      <c r="A577" s="22">
        <v>45385</v>
      </c>
      <c r="B577" s="23">
        <v>32313.03</v>
      </c>
      <c r="C577" s="24">
        <f t="shared" si="8"/>
        <v>1.7475460881566467E-3</v>
      </c>
    </row>
    <row r="578" spans="1:3" ht="14.25" customHeight="1" x14ac:dyDescent="0.3">
      <c r="A578" s="22">
        <v>45384</v>
      </c>
      <c r="B578" s="23">
        <v>32256.66</v>
      </c>
      <c r="C578" s="24">
        <f t="shared" ref="C578:C641" si="9">(B578-B579)/B579</f>
        <v>2.4043058707299083E-2</v>
      </c>
    </row>
    <row r="579" spans="1:3" ht="14.25" customHeight="1" x14ac:dyDescent="0.3">
      <c r="A579" s="22">
        <v>45378</v>
      </c>
      <c r="B579" s="23">
        <v>31499.32</v>
      </c>
      <c r="C579" s="24">
        <f t="shared" si="9"/>
        <v>4.6601288990824408E-3</v>
      </c>
    </row>
    <row r="580" spans="1:3" ht="14.25" customHeight="1" x14ac:dyDescent="0.3">
      <c r="A580" s="22">
        <v>45373</v>
      </c>
      <c r="B580" s="23">
        <v>31353.21</v>
      </c>
      <c r="C580" s="24">
        <f t="shared" si="9"/>
        <v>4.9292583003145854E-3</v>
      </c>
    </row>
    <row r="581" spans="1:3" ht="14.25" customHeight="1" x14ac:dyDescent="0.3">
      <c r="A581" s="22">
        <v>45372</v>
      </c>
      <c r="B581" s="23">
        <v>31199.42</v>
      </c>
      <c r="C581" s="24">
        <f t="shared" si="9"/>
        <v>1.3521340705755303E-2</v>
      </c>
    </row>
    <row r="582" spans="1:3" ht="14.25" customHeight="1" x14ac:dyDescent="0.3">
      <c r="A582" s="22">
        <v>45371</v>
      </c>
      <c r="B582" s="23">
        <v>30783.19</v>
      </c>
      <c r="C582" s="24">
        <f t="shared" si="9"/>
        <v>1.096278701298335E-3</v>
      </c>
    </row>
    <row r="583" spans="1:3" ht="14.25" customHeight="1" x14ac:dyDescent="0.3">
      <c r="A583" s="22">
        <v>45370</v>
      </c>
      <c r="B583" s="23">
        <v>30749.48</v>
      </c>
      <c r="C583" s="24">
        <f t="shared" si="9"/>
        <v>-1.1707685508818462E-2</v>
      </c>
    </row>
    <row r="584" spans="1:3" ht="14.25" customHeight="1" x14ac:dyDescent="0.3">
      <c r="A584" s="22">
        <v>45369</v>
      </c>
      <c r="B584" s="23">
        <v>31113.75</v>
      </c>
      <c r="C584" s="24">
        <f t="shared" si="9"/>
        <v>9.2262941662992208E-4</v>
      </c>
    </row>
    <row r="585" spans="1:3" ht="14.25" customHeight="1" x14ac:dyDescent="0.3">
      <c r="A585" s="22">
        <v>45366</v>
      </c>
      <c r="B585" s="23">
        <v>31085.07</v>
      </c>
      <c r="C585" s="24">
        <f t="shared" si="9"/>
        <v>-4.5693319021280652E-3</v>
      </c>
    </row>
    <row r="586" spans="1:3" ht="14.25" customHeight="1" x14ac:dyDescent="0.3">
      <c r="A586" s="22">
        <v>45365</v>
      </c>
      <c r="B586" s="23">
        <v>31227.759999999998</v>
      </c>
      <c r="C586" s="24">
        <f t="shared" si="9"/>
        <v>1.3745136644662195E-2</v>
      </c>
    </row>
    <row r="587" spans="1:3" ht="14.25" customHeight="1" x14ac:dyDescent="0.3">
      <c r="A587" s="22">
        <v>45364</v>
      </c>
      <c r="B587" s="23">
        <v>30804.35</v>
      </c>
      <c r="C587" s="24">
        <f t="shared" si="9"/>
        <v>-2.6031636222333159E-2</v>
      </c>
    </row>
    <row r="588" spans="1:3" ht="14.25" customHeight="1" x14ac:dyDescent="0.3">
      <c r="A588" s="22">
        <v>45363</v>
      </c>
      <c r="B588" s="23">
        <v>31627.67</v>
      </c>
      <c r="C588" s="24">
        <f t="shared" si="9"/>
        <v>-5.7834158240771287E-3</v>
      </c>
    </row>
    <row r="589" spans="1:3" ht="14.25" customHeight="1" x14ac:dyDescent="0.3">
      <c r="A589" s="22">
        <v>45362</v>
      </c>
      <c r="B589" s="23">
        <v>31811.65</v>
      </c>
      <c r="C589" s="24">
        <f t="shared" si="9"/>
        <v>-7.1462412400258649E-3</v>
      </c>
    </row>
    <row r="590" spans="1:3" ht="14.25" customHeight="1" x14ac:dyDescent="0.3">
      <c r="A590" s="22">
        <v>45358</v>
      </c>
      <c r="B590" s="23">
        <v>32040.62</v>
      </c>
      <c r="C590" s="24">
        <f t="shared" si="9"/>
        <v>2.7135959261323302E-3</v>
      </c>
    </row>
    <row r="591" spans="1:3" ht="14.25" customHeight="1" x14ac:dyDescent="0.3">
      <c r="A591" s="22">
        <v>45357</v>
      </c>
      <c r="B591" s="23">
        <v>31953.91</v>
      </c>
      <c r="C591" s="24">
        <f t="shared" si="9"/>
        <v>-9.9821322961053739E-5</v>
      </c>
    </row>
    <row r="592" spans="1:3" ht="14.25" customHeight="1" x14ac:dyDescent="0.3">
      <c r="A592" s="22">
        <v>45356</v>
      </c>
      <c r="B592" s="23">
        <v>31957.1</v>
      </c>
      <c r="C592" s="24">
        <f t="shared" si="9"/>
        <v>-2.4475964328334356E-3</v>
      </c>
    </row>
    <row r="593" spans="1:3" ht="14.25" customHeight="1" x14ac:dyDescent="0.3">
      <c r="A593" s="22">
        <v>45355</v>
      </c>
      <c r="B593" s="23">
        <v>32035.51</v>
      </c>
      <c r="C593" s="24">
        <f t="shared" si="9"/>
        <v>4.0408592835708699E-3</v>
      </c>
    </row>
    <row r="594" spans="1:3" ht="14.25" customHeight="1" x14ac:dyDescent="0.3">
      <c r="A594" s="22">
        <v>45352</v>
      </c>
      <c r="B594" s="23">
        <v>31906.58</v>
      </c>
      <c r="C594" s="24">
        <f t="shared" si="9"/>
        <v>1.2929489566596869E-2</v>
      </c>
    </row>
    <row r="595" spans="1:3" ht="14.25" customHeight="1" x14ac:dyDescent="0.3">
      <c r="A595" s="22">
        <v>45351</v>
      </c>
      <c r="B595" s="23">
        <v>31499.31</v>
      </c>
      <c r="C595" s="24">
        <f t="shared" si="9"/>
        <v>3.4794420786943003E-3</v>
      </c>
    </row>
    <row r="596" spans="1:3" ht="14.25" customHeight="1" x14ac:dyDescent="0.3">
      <c r="A596" s="22">
        <v>45350</v>
      </c>
      <c r="B596" s="23">
        <v>31390.09</v>
      </c>
      <c r="C596" s="24">
        <f t="shared" si="9"/>
        <v>-1.3426972118941555E-2</v>
      </c>
    </row>
    <row r="597" spans="1:3" ht="14.25" customHeight="1" x14ac:dyDescent="0.3">
      <c r="A597" s="22">
        <v>45349</v>
      </c>
      <c r="B597" s="23">
        <v>31817.3</v>
      </c>
      <c r="C597" s="24">
        <f t="shared" si="9"/>
        <v>1.828444833202811E-3</v>
      </c>
    </row>
    <row r="598" spans="1:3" ht="14.25" customHeight="1" x14ac:dyDescent="0.3">
      <c r="A598" s="22">
        <v>45348</v>
      </c>
      <c r="B598" s="23">
        <v>31759.23</v>
      </c>
      <c r="C598" s="24">
        <f t="shared" si="9"/>
        <v>-2.8380244411079134E-3</v>
      </c>
    </row>
    <row r="599" spans="1:3" ht="14.25" customHeight="1" x14ac:dyDescent="0.3">
      <c r="A599" s="22">
        <v>45345</v>
      </c>
      <c r="B599" s="23">
        <v>31849.62</v>
      </c>
      <c r="C599" s="24">
        <f t="shared" si="9"/>
        <v>1.4851085091403371E-3</v>
      </c>
    </row>
    <row r="600" spans="1:3" ht="14.25" customHeight="1" x14ac:dyDescent="0.3">
      <c r="A600" s="22">
        <v>45344</v>
      </c>
      <c r="B600" s="23">
        <v>31802.39</v>
      </c>
      <c r="C600" s="24">
        <f t="shared" si="9"/>
        <v>7.7588430530389418E-3</v>
      </c>
    </row>
    <row r="601" spans="1:3" ht="14.25" customHeight="1" x14ac:dyDescent="0.3">
      <c r="A601" s="22">
        <v>45343</v>
      </c>
      <c r="B601" s="23">
        <v>31557.54</v>
      </c>
      <c r="C601" s="24">
        <f t="shared" si="9"/>
        <v>-7.0515533334487221E-3</v>
      </c>
    </row>
    <row r="602" spans="1:3" ht="14.25" customHeight="1" x14ac:dyDescent="0.3">
      <c r="A602" s="22">
        <v>45342</v>
      </c>
      <c r="B602" s="23">
        <v>31781.65</v>
      </c>
      <c r="C602" s="24">
        <f t="shared" si="9"/>
        <v>1.6688361010694017E-3</v>
      </c>
    </row>
    <row r="603" spans="1:3" ht="14.25" customHeight="1" x14ac:dyDescent="0.3">
      <c r="A603" s="22">
        <v>45341</v>
      </c>
      <c r="B603" s="23">
        <v>31728.7</v>
      </c>
      <c r="C603" s="24">
        <f t="shared" si="9"/>
        <v>3.7783219922510164E-3</v>
      </c>
    </row>
    <row r="604" spans="1:3" ht="14.25" customHeight="1" x14ac:dyDescent="0.3">
      <c r="A604" s="22">
        <v>45338</v>
      </c>
      <c r="B604" s="23">
        <v>31609.27</v>
      </c>
      <c r="C604" s="24">
        <f t="shared" si="9"/>
        <v>6.5450823835258064E-3</v>
      </c>
    </row>
    <row r="605" spans="1:3" ht="14.25" customHeight="1" x14ac:dyDescent="0.3">
      <c r="A605" s="22">
        <v>45337</v>
      </c>
      <c r="B605" s="23">
        <v>31403.73</v>
      </c>
      <c r="C605" s="24">
        <f t="shared" si="9"/>
        <v>5.9056303524479357E-3</v>
      </c>
    </row>
    <row r="606" spans="1:3" ht="14.25" customHeight="1" x14ac:dyDescent="0.3">
      <c r="A606" s="22">
        <v>45336</v>
      </c>
      <c r="B606" s="23">
        <v>31219.360000000001</v>
      </c>
      <c r="C606" s="24">
        <f t="shared" si="9"/>
        <v>7.0514400292122576E-3</v>
      </c>
    </row>
    <row r="607" spans="1:3" ht="14.25" customHeight="1" x14ac:dyDescent="0.3">
      <c r="A607" s="22">
        <v>45335</v>
      </c>
      <c r="B607" s="23">
        <v>31000.76</v>
      </c>
      <c r="C607" s="24">
        <f t="shared" si="9"/>
        <v>5.4797301877508031E-3</v>
      </c>
    </row>
    <row r="608" spans="1:3" ht="14.25" customHeight="1" x14ac:dyDescent="0.3">
      <c r="A608" s="22">
        <v>45334</v>
      </c>
      <c r="B608" s="23">
        <v>30831.81</v>
      </c>
      <c r="C608" s="24">
        <f t="shared" si="9"/>
        <v>-1.4318241107325873E-2</v>
      </c>
    </row>
    <row r="609" spans="1:3" ht="14.25" customHeight="1" x14ac:dyDescent="0.3">
      <c r="A609" s="22">
        <v>45331</v>
      </c>
      <c r="B609" s="23">
        <v>31279.68</v>
      </c>
      <c r="C609" s="24">
        <f t="shared" si="9"/>
        <v>-1.2101829068530024E-3</v>
      </c>
    </row>
    <row r="610" spans="1:3" ht="14.25" customHeight="1" x14ac:dyDescent="0.3">
      <c r="A610" s="22">
        <v>45330</v>
      </c>
      <c r="B610" s="23">
        <v>31317.58</v>
      </c>
      <c r="C610" s="24">
        <f t="shared" si="9"/>
        <v>-5.7008350599450511E-3</v>
      </c>
    </row>
    <row r="611" spans="1:3" ht="14.25" customHeight="1" x14ac:dyDescent="0.3">
      <c r="A611" s="22">
        <v>45329</v>
      </c>
      <c r="B611" s="23">
        <v>31497.14</v>
      </c>
      <c r="C611" s="24">
        <f t="shared" si="9"/>
        <v>3.7962879748307567E-3</v>
      </c>
    </row>
    <row r="612" spans="1:3" ht="14.25" customHeight="1" x14ac:dyDescent="0.3">
      <c r="A612" s="22">
        <v>45328</v>
      </c>
      <c r="B612" s="23">
        <v>31378.02</v>
      </c>
      <c r="C612" s="24">
        <f t="shared" si="9"/>
        <v>9.1702636840770031E-3</v>
      </c>
    </row>
    <row r="613" spans="1:3" ht="14.25" customHeight="1" x14ac:dyDescent="0.3">
      <c r="A613" s="22">
        <v>45327</v>
      </c>
      <c r="B613" s="23">
        <v>31092.89</v>
      </c>
      <c r="C613" s="24">
        <f t="shared" si="9"/>
        <v>-2.8558197469432394E-3</v>
      </c>
    </row>
    <row r="614" spans="1:3" ht="14.25" customHeight="1" x14ac:dyDescent="0.3">
      <c r="A614" s="22">
        <v>45324</v>
      </c>
      <c r="B614" s="23">
        <v>31181.94</v>
      </c>
      <c r="C614" s="24">
        <f t="shared" si="9"/>
        <v>6.7601773957334287E-3</v>
      </c>
    </row>
    <row r="615" spans="1:3" ht="14.25" customHeight="1" x14ac:dyDescent="0.3">
      <c r="A615" s="22">
        <v>45323</v>
      </c>
      <c r="B615" s="23">
        <v>30972.560000000001</v>
      </c>
      <c r="C615" s="24">
        <f t="shared" si="9"/>
        <v>-1.2450352566509726E-3</v>
      </c>
    </row>
    <row r="616" spans="1:3" ht="14.25" customHeight="1" x14ac:dyDescent="0.3">
      <c r="A616" s="22">
        <v>45322</v>
      </c>
      <c r="B616" s="23">
        <v>31011.17</v>
      </c>
      <c r="C616" s="24">
        <f t="shared" si="9"/>
        <v>1.164704017140911E-2</v>
      </c>
    </row>
    <row r="617" spans="1:3" ht="14.25" customHeight="1" x14ac:dyDescent="0.3">
      <c r="A617" s="22">
        <v>45321</v>
      </c>
      <c r="B617" s="23">
        <v>30654.14</v>
      </c>
      <c r="C617" s="24">
        <f t="shared" si="9"/>
        <v>-6.9561989149586482E-3</v>
      </c>
    </row>
    <row r="618" spans="1:3" ht="14.25" customHeight="1" x14ac:dyDescent="0.3">
      <c r="A618" s="22">
        <v>45320</v>
      </c>
      <c r="B618" s="23">
        <v>30868.87</v>
      </c>
      <c r="C618" s="24">
        <f t="shared" si="9"/>
        <v>1.6440129748211907E-2</v>
      </c>
    </row>
    <row r="619" spans="1:3" ht="14.25" customHeight="1" x14ac:dyDescent="0.3">
      <c r="A619" s="22">
        <v>45316</v>
      </c>
      <c r="B619" s="23">
        <v>30369.59</v>
      </c>
      <c r="C619" s="24">
        <f t="shared" si="9"/>
        <v>-2.9756833746823128E-3</v>
      </c>
    </row>
    <row r="620" spans="1:3" ht="14.25" customHeight="1" x14ac:dyDescent="0.3">
      <c r="A620" s="22">
        <v>45315</v>
      </c>
      <c r="B620" s="23">
        <v>30460.23</v>
      </c>
      <c r="C620" s="24">
        <f t="shared" si="9"/>
        <v>-7.9125380213182772E-3</v>
      </c>
    </row>
    <row r="621" spans="1:3" ht="14.25" customHeight="1" x14ac:dyDescent="0.3">
      <c r="A621" s="22">
        <v>45310</v>
      </c>
      <c r="B621" s="23">
        <v>30703.17</v>
      </c>
      <c r="C621" s="24">
        <f t="shared" si="9"/>
        <v>1.0129200938697982E-2</v>
      </c>
    </row>
    <row r="622" spans="1:3" ht="14.25" customHeight="1" x14ac:dyDescent="0.3">
      <c r="A622" s="22">
        <v>45309</v>
      </c>
      <c r="B622" s="23">
        <v>30395.29</v>
      </c>
      <c r="C622" s="24">
        <f t="shared" si="9"/>
        <v>-3.7365667965396769E-3</v>
      </c>
    </row>
    <row r="623" spans="1:3" ht="14.25" customHeight="1" x14ac:dyDescent="0.3">
      <c r="A623" s="22">
        <v>45308</v>
      </c>
      <c r="B623" s="23">
        <v>30509.29</v>
      </c>
      <c r="C623" s="24">
        <f t="shared" si="9"/>
        <v>-1.7145428814513131E-2</v>
      </c>
    </row>
    <row r="624" spans="1:3" ht="14.25" customHeight="1" x14ac:dyDescent="0.3">
      <c r="A624" s="22">
        <v>45307</v>
      </c>
      <c r="B624" s="23">
        <v>31041.51</v>
      </c>
      <c r="C624" s="24">
        <f t="shared" si="9"/>
        <v>-2.9165840890060168E-3</v>
      </c>
    </row>
    <row r="625" spans="1:3" ht="14.25" customHeight="1" x14ac:dyDescent="0.3">
      <c r="A625" s="22">
        <v>45306</v>
      </c>
      <c r="B625" s="23">
        <v>31132.31</v>
      </c>
      <c r="C625" s="24">
        <f t="shared" si="9"/>
        <v>7.0882364453491416E-3</v>
      </c>
    </row>
    <row r="626" spans="1:3" ht="14.25" customHeight="1" x14ac:dyDescent="0.3">
      <c r="A626" s="22">
        <v>45303</v>
      </c>
      <c r="B626" s="23">
        <v>30913.19</v>
      </c>
      <c r="C626" s="24">
        <f t="shared" si="9"/>
        <v>8.2323411211325959E-3</v>
      </c>
    </row>
    <row r="627" spans="1:3" ht="14.25" customHeight="1" x14ac:dyDescent="0.3">
      <c r="A627" s="22">
        <v>45302</v>
      </c>
      <c r="B627" s="23">
        <v>30660.78</v>
      </c>
      <c r="C627" s="24">
        <f t="shared" si="9"/>
        <v>3.4077688490065953E-3</v>
      </c>
    </row>
    <row r="628" spans="1:3" ht="14.25" customHeight="1" x14ac:dyDescent="0.3">
      <c r="A628" s="22">
        <v>45301</v>
      </c>
      <c r="B628" s="23">
        <v>30556.65</v>
      </c>
      <c r="C628" s="24">
        <f t="shared" si="9"/>
        <v>2.9955303378687106E-3</v>
      </c>
    </row>
    <row r="629" spans="1:3" ht="14.25" customHeight="1" x14ac:dyDescent="0.3">
      <c r="A629" s="22">
        <v>45300</v>
      </c>
      <c r="B629" s="23">
        <v>30465.39</v>
      </c>
      <c r="C629" s="24">
        <f t="shared" si="9"/>
        <v>2.1556020323777424E-3</v>
      </c>
    </row>
    <row r="630" spans="1:3" ht="14.25" customHeight="1" x14ac:dyDescent="0.3">
      <c r="A630" s="22">
        <v>45299</v>
      </c>
      <c r="B630" s="23">
        <v>30399.86</v>
      </c>
      <c r="C630" s="24">
        <f t="shared" si="9"/>
        <v>-8.8244375460335631E-3</v>
      </c>
    </row>
    <row r="631" spans="1:3" ht="14.25" customHeight="1" x14ac:dyDescent="0.3">
      <c r="A631" s="22">
        <v>45296</v>
      </c>
      <c r="B631" s="23">
        <v>30670.51</v>
      </c>
      <c r="C631" s="24">
        <f t="shared" si="9"/>
        <v>2.5247382839427746E-3</v>
      </c>
    </row>
    <row r="632" spans="1:3" ht="14.25" customHeight="1" x14ac:dyDescent="0.3">
      <c r="A632" s="22">
        <v>45295</v>
      </c>
      <c r="B632" s="23">
        <v>30593.27</v>
      </c>
      <c r="C632" s="24">
        <f t="shared" si="9"/>
        <v>8.9895681827926038E-3</v>
      </c>
    </row>
    <row r="633" spans="1:3" ht="14.25" customHeight="1" x14ac:dyDescent="0.3">
      <c r="A633" s="22">
        <v>45294</v>
      </c>
      <c r="B633" s="23">
        <v>30320.7</v>
      </c>
      <c r="C633" s="24">
        <f t="shared" si="9"/>
        <v>-2.6387359329914204E-3</v>
      </c>
    </row>
    <row r="634" spans="1:3" ht="14.25" customHeight="1" x14ac:dyDescent="0.3">
      <c r="A634" s="22">
        <v>45293</v>
      </c>
      <c r="B634" s="23">
        <v>30400.92</v>
      </c>
      <c r="C634" s="24">
        <f t="shared" si="9"/>
        <v>-5.5493822695924821E-4</v>
      </c>
    </row>
    <row r="635" spans="1:3" ht="14.25" customHeight="1" x14ac:dyDescent="0.3">
      <c r="A635" s="22">
        <v>45289</v>
      </c>
      <c r="B635" s="23">
        <v>30417.8</v>
      </c>
      <c r="C635" s="24">
        <f t="shared" si="9"/>
        <v>1.5429222803113958E-3</v>
      </c>
    </row>
    <row r="636" spans="1:3" ht="14.25" customHeight="1" x14ac:dyDescent="0.3">
      <c r="A636" s="22">
        <v>45288</v>
      </c>
      <c r="B636" s="23">
        <v>30370.94</v>
      </c>
      <c r="C636" s="24">
        <f t="shared" si="9"/>
        <v>5.3014188974928773E-3</v>
      </c>
    </row>
    <row r="637" spans="1:3" ht="14.25" customHeight="1" x14ac:dyDescent="0.3">
      <c r="A637" s="22">
        <v>45287</v>
      </c>
      <c r="B637" s="23">
        <v>30210.78</v>
      </c>
      <c r="C637" s="24">
        <f t="shared" si="9"/>
        <v>7.7347734573315688E-3</v>
      </c>
    </row>
    <row r="638" spans="1:3" ht="14.25" customHeight="1" x14ac:dyDescent="0.3">
      <c r="A638" s="22">
        <v>45286</v>
      </c>
      <c r="B638" s="23">
        <v>29978.9</v>
      </c>
      <c r="C638" s="24">
        <f t="shared" si="9"/>
        <v>4.9414226376221851E-3</v>
      </c>
    </row>
    <row r="639" spans="1:3" ht="14.25" customHeight="1" x14ac:dyDescent="0.3">
      <c r="A639" s="22">
        <v>45282</v>
      </c>
      <c r="B639" s="23">
        <v>29831.49</v>
      </c>
      <c r="C639" s="24">
        <f t="shared" si="9"/>
        <v>5.9612790008738061E-3</v>
      </c>
    </row>
    <row r="640" spans="1:3" ht="14.25" customHeight="1" x14ac:dyDescent="0.3">
      <c r="A640" s="22">
        <v>45281</v>
      </c>
      <c r="B640" s="23">
        <v>29654.71</v>
      </c>
      <c r="C640" s="24">
        <f t="shared" si="9"/>
        <v>8.6433639597028149E-3</v>
      </c>
    </row>
    <row r="641" spans="1:3" ht="14.25" customHeight="1" x14ac:dyDescent="0.3">
      <c r="A641" s="22">
        <v>45280</v>
      </c>
      <c r="B641" s="23">
        <v>29400.59</v>
      </c>
      <c r="C641" s="24">
        <f t="shared" si="9"/>
        <v>-2.0334645636494748E-2</v>
      </c>
    </row>
    <row r="642" spans="1:3" ht="14.25" customHeight="1" x14ac:dyDescent="0.3">
      <c r="A642" s="22">
        <v>45279</v>
      </c>
      <c r="B642" s="23">
        <v>30010.85</v>
      </c>
      <c r="C642" s="24">
        <f t="shared" ref="C642:C705" si="10">(B642-B643)/B643</f>
        <v>7.1558641239448774E-4</v>
      </c>
    </row>
    <row r="643" spans="1:3" ht="14.25" customHeight="1" x14ac:dyDescent="0.3">
      <c r="A643" s="22">
        <v>45278</v>
      </c>
      <c r="B643" s="23">
        <v>29989.39</v>
      </c>
      <c r="C643" s="24">
        <f t="shared" si="10"/>
        <v>5.4782692539305424E-4</v>
      </c>
    </row>
    <row r="644" spans="1:3" ht="14.25" customHeight="1" x14ac:dyDescent="0.3">
      <c r="A644" s="22">
        <v>45275</v>
      </c>
      <c r="B644" s="23">
        <v>29972.97</v>
      </c>
      <c r="C644" s="24">
        <f t="shared" si="10"/>
        <v>9.0240973630285812E-3</v>
      </c>
    </row>
    <row r="645" spans="1:3" ht="14.25" customHeight="1" x14ac:dyDescent="0.3">
      <c r="A645" s="22">
        <v>45274</v>
      </c>
      <c r="B645" s="23">
        <v>29704.91</v>
      </c>
      <c r="C645" s="24">
        <f t="shared" si="10"/>
        <v>1.1872031949432489E-2</v>
      </c>
    </row>
    <row r="646" spans="1:3" ht="14.25" customHeight="1" x14ac:dyDescent="0.3">
      <c r="A646" s="22">
        <v>45273</v>
      </c>
      <c r="B646" s="23">
        <v>29356.39</v>
      </c>
      <c r="C646" s="24">
        <f t="shared" si="10"/>
        <v>3.4588722688615593E-3</v>
      </c>
    </row>
    <row r="647" spans="1:3" ht="14.25" customHeight="1" x14ac:dyDescent="0.3">
      <c r="A647" s="22">
        <v>45272</v>
      </c>
      <c r="B647" s="23">
        <v>29255.200000000001</v>
      </c>
      <c r="C647" s="24">
        <f t="shared" si="10"/>
        <v>-4.4446622366373627E-3</v>
      </c>
    </row>
    <row r="648" spans="1:3" ht="14.25" customHeight="1" x14ac:dyDescent="0.3">
      <c r="A648" s="22">
        <v>45271</v>
      </c>
      <c r="B648" s="23">
        <v>29385.81</v>
      </c>
      <c r="C648" s="24">
        <f t="shared" si="10"/>
        <v>3.5678012003549416E-3</v>
      </c>
    </row>
    <row r="649" spans="1:3" ht="14.25" customHeight="1" x14ac:dyDescent="0.3">
      <c r="A649" s="22">
        <v>45268</v>
      </c>
      <c r="B649" s="23">
        <v>29281.34</v>
      </c>
      <c r="C649" s="24">
        <f t="shared" si="10"/>
        <v>-1.9465943307649977E-5</v>
      </c>
    </row>
    <row r="650" spans="1:3" ht="14.25" customHeight="1" x14ac:dyDescent="0.3">
      <c r="A650" s="22">
        <v>45267</v>
      </c>
      <c r="B650" s="23">
        <v>29281.91</v>
      </c>
      <c r="C650" s="24">
        <f t="shared" si="10"/>
        <v>1.2768182264263125E-3</v>
      </c>
    </row>
    <row r="651" spans="1:3" ht="14.25" customHeight="1" x14ac:dyDescent="0.3">
      <c r="A651" s="22">
        <v>45266</v>
      </c>
      <c r="B651" s="23">
        <v>29244.57</v>
      </c>
      <c r="C651" s="24">
        <f t="shared" si="10"/>
        <v>4.9196945851401738E-3</v>
      </c>
    </row>
    <row r="652" spans="1:3" ht="14.25" customHeight="1" x14ac:dyDescent="0.3">
      <c r="A652" s="22">
        <v>45265</v>
      </c>
      <c r="B652" s="23">
        <v>29101.4</v>
      </c>
      <c r="C652" s="24">
        <f t="shared" si="10"/>
        <v>7.590496143468556E-3</v>
      </c>
    </row>
    <row r="653" spans="1:3" ht="14.25" customHeight="1" x14ac:dyDescent="0.3">
      <c r="A653" s="22">
        <v>45264</v>
      </c>
      <c r="B653" s="23">
        <v>28882.17</v>
      </c>
      <c r="C653" s="24">
        <f t="shared" si="10"/>
        <v>1.8392450075897647E-2</v>
      </c>
    </row>
    <row r="654" spans="1:3" ht="14.25" customHeight="1" x14ac:dyDescent="0.3">
      <c r="A654" s="22">
        <v>45261</v>
      </c>
      <c r="B654" s="23">
        <v>28360.55</v>
      </c>
      <c r="C654" s="24">
        <f t="shared" si="10"/>
        <v>7.0803191345810831E-3</v>
      </c>
    </row>
    <row r="655" spans="1:3" ht="14.25" customHeight="1" x14ac:dyDescent="0.3">
      <c r="A655" s="22">
        <v>45260</v>
      </c>
      <c r="B655" s="23">
        <v>28161.16</v>
      </c>
      <c r="C655" s="24">
        <f t="shared" si="10"/>
        <v>4.6857239896652978E-3</v>
      </c>
    </row>
    <row r="656" spans="1:3" ht="14.25" customHeight="1" x14ac:dyDescent="0.3">
      <c r="A656" s="22">
        <v>45259</v>
      </c>
      <c r="B656" s="23">
        <v>28029.82</v>
      </c>
      <c r="C656" s="24">
        <f t="shared" si="10"/>
        <v>9.1471877447053523E-3</v>
      </c>
    </row>
    <row r="657" spans="1:3" ht="14.25" customHeight="1" x14ac:dyDescent="0.3">
      <c r="A657" s="22">
        <v>45258</v>
      </c>
      <c r="B657" s="23">
        <v>27775.75</v>
      </c>
      <c r="C657" s="24">
        <f t="shared" si="10"/>
        <v>5.5698558028230696E-3</v>
      </c>
    </row>
    <row r="658" spans="1:3" ht="14.25" customHeight="1" x14ac:dyDescent="0.3">
      <c r="A658" s="22">
        <v>45254</v>
      </c>
      <c r="B658" s="23">
        <v>27621.9</v>
      </c>
      <c r="C658" s="24">
        <f t="shared" si="10"/>
        <v>2.8427557710666065E-4</v>
      </c>
    </row>
    <row r="659" spans="1:3" ht="14.25" customHeight="1" x14ac:dyDescent="0.3">
      <c r="A659" s="22">
        <v>45253</v>
      </c>
      <c r="B659" s="23">
        <v>27614.05</v>
      </c>
      <c r="C659" s="24">
        <f t="shared" si="10"/>
        <v>6.6640913824852956E-4</v>
      </c>
    </row>
    <row r="660" spans="1:3" ht="14.25" customHeight="1" x14ac:dyDescent="0.3">
      <c r="A660" s="22">
        <v>45252</v>
      </c>
      <c r="B660" s="23">
        <v>27595.66</v>
      </c>
      <c r="C660" s="24">
        <f t="shared" si="10"/>
        <v>2.8628509574456163E-5</v>
      </c>
    </row>
    <row r="661" spans="1:3" ht="14.25" customHeight="1" x14ac:dyDescent="0.3">
      <c r="A661" s="22">
        <v>45251</v>
      </c>
      <c r="B661" s="23">
        <v>27594.87</v>
      </c>
      <c r="C661" s="24">
        <f t="shared" si="10"/>
        <v>3.0817783584131801E-3</v>
      </c>
    </row>
    <row r="662" spans="1:3" ht="14.25" customHeight="1" x14ac:dyDescent="0.3">
      <c r="A662" s="22">
        <v>45250</v>
      </c>
      <c r="B662" s="23">
        <v>27510.09</v>
      </c>
      <c r="C662" s="24">
        <f t="shared" si="10"/>
        <v>-1.511701257343509E-3</v>
      </c>
    </row>
    <row r="663" spans="1:3" ht="14.25" customHeight="1" x14ac:dyDescent="0.3">
      <c r="A663" s="22">
        <v>45247</v>
      </c>
      <c r="B663" s="23">
        <v>27551.74</v>
      </c>
      <c r="C663" s="24">
        <f t="shared" si="10"/>
        <v>4.5644077145401798E-4</v>
      </c>
    </row>
    <row r="664" spans="1:3" ht="14.25" customHeight="1" x14ac:dyDescent="0.3">
      <c r="A664" s="22">
        <v>45246</v>
      </c>
      <c r="B664" s="23">
        <v>27539.17</v>
      </c>
      <c r="C664" s="24">
        <f t="shared" si="10"/>
        <v>4.9977702536508749E-3</v>
      </c>
    </row>
    <row r="665" spans="1:3" ht="14.25" customHeight="1" x14ac:dyDescent="0.3">
      <c r="A665" s="22">
        <v>45245</v>
      </c>
      <c r="B665" s="23">
        <v>27402.22</v>
      </c>
      <c r="C665" s="24">
        <f t="shared" si="10"/>
        <v>1.0960282809828754E-2</v>
      </c>
    </row>
    <row r="666" spans="1:3" ht="14.25" customHeight="1" x14ac:dyDescent="0.3">
      <c r="A666" s="22">
        <v>45243</v>
      </c>
      <c r="B666" s="23">
        <v>27105.14</v>
      </c>
      <c r="C666" s="24">
        <f t="shared" si="10"/>
        <v>3.62235261490308E-3</v>
      </c>
    </row>
    <row r="667" spans="1:3" ht="14.25" customHeight="1" x14ac:dyDescent="0.3">
      <c r="A667" s="22">
        <v>45240</v>
      </c>
      <c r="B667" s="23">
        <v>27007.31</v>
      </c>
      <c r="C667" s="24">
        <f t="shared" si="10"/>
        <v>2.2232200509139971E-3</v>
      </c>
    </row>
    <row r="668" spans="1:3" ht="14.25" customHeight="1" x14ac:dyDescent="0.3">
      <c r="A668" s="22">
        <v>45239</v>
      </c>
      <c r="B668" s="23">
        <v>26947.4</v>
      </c>
      <c r="C668" s="24">
        <f t="shared" si="10"/>
        <v>-2.3457318490852147E-3</v>
      </c>
    </row>
    <row r="669" spans="1:3" ht="14.25" customHeight="1" x14ac:dyDescent="0.3">
      <c r="A669" s="22">
        <v>45238</v>
      </c>
      <c r="B669" s="23">
        <v>27010.76</v>
      </c>
      <c r="C669" s="24">
        <f t="shared" si="10"/>
        <v>4.1966132646884206E-3</v>
      </c>
    </row>
    <row r="670" spans="1:3" ht="14.25" customHeight="1" x14ac:dyDescent="0.3">
      <c r="A670" s="22">
        <v>45237</v>
      </c>
      <c r="B670" s="23">
        <v>26897.88</v>
      </c>
      <c r="C670" s="24">
        <f t="shared" si="10"/>
        <v>1.6746788336906937E-3</v>
      </c>
    </row>
    <row r="671" spans="1:3" ht="14.25" customHeight="1" x14ac:dyDescent="0.3">
      <c r="A671" s="22">
        <v>45236</v>
      </c>
      <c r="B671" s="23">
        <v>26852.91</v>
      </c>
      <c r="C671" s="24">
        <f t="shared" si="10"/>
        <v>9.3864647861911024E-3</v>
      </c>
    </row>
    <row r="672" spans="1:3" ht="14.25" customHeight="1" x14ac:dyDescent="0.3">
      <c r="A672" s="22">
        <v>45233</v>
      </c>
      <c r="B672" s="23">
        <v>26603.200000000001</v>
      </c>
      <c r="C672" s="24">
        <f t="shared" si="10"/>
        <v>6.61981024093539E-3</v>
      </c>
    </row>
    <row r="673" spans="1:3" ht="14.25" customHeight="1" x14ac:dyDescent="0.3">
      <c r="A673" s="22">
        <v>45232</v>
      </c>
      <c r="B673" s="23">
        <v>26428.25</v>
      </c>
      <c r="C673" s="24">
        <f t="shared" si="10"/>
        <v>9.6235760996380652E-3</v>
      </c>
    </row>
    <row r="674" spans="1:3" ht="14.25" customHeight="1" x14ac:dyDescent="0.3">
      <c r="A674" s="22">
        <v>45231</v>
      </c>
      <c r="B674" s="23">
        <v>26176.34</v>
      </c>
      <c r="C674" s="24">
        <f t="shared" si="10"/>
        <v>-4.0111468942718546E-3</v>
      </c>
    </row>
    <row r="675" spans="1:3" ht="14.25" customHeight="1" x14ac:dyDescent="0.3">
      <c r="A675" s="22">
        <v>45230</v>
      </c>
      <c r="B675" s="23">
        <v>26281.759999999998</v>
      </c>
      <c r="C675" s="24">
        <f t="shared" si="10"/>
        <v>-1.4809614015412636E-3</v>
      </c>
    </row>
    <row r="676" spans="1:3" ht="14.25" customHeight="1" x14ac:dyDescent="0.3">
      <c r="A676" s="22">
        <v>45229</v>
      </c>
      <c r="B676" s="23">
        <v>26320.74</v>
      </c>
      <c r="C676" s="24">
        <f t="shared" si="10"/>
        <v>3.6170378267574082E-3</v>
      </c>
    </row>
    <row r="677" spans="1:3" ht="14.25" customHeight="1" x14ac:dyDescent="0.3">
      <c r="A677" s="22">
        <v>45226</v>
      </c>
      <c r="B677" s="23">
        <v>26225.88</v>
      </c>
      <c r="C677" s="24">
        <f t="shared" si="10"/>
        <v>1.2725350377698195E-2</v>
      </c>
    </row>
    <row r="678" spans="1:3" ht="14.25" customHeight="1" x14ac:dyDescent="0.3">
      <c r="A678" s="22">
        <v>45225</v>
      </c>
      <c r="B678" s="23">
        <v>25896.34</v>
      </c>
      <c r="C678" s="24">
        <f t="shared" si="10"/>
        <v>-1.225284713539547E-2</v>
      </c>
    </row>
    <row r="679" spans="1:3" ht="14.25" customHeight="1" x14ac:dyDescent="0.3">
      <c r="A679" s="22">
        <v>45224</v>
      </c>
      <c r="B679" s="23">
        <v>26217.58</v>
      </c>
      <c r="C679" s="24">
        <f t="shared" si="10"/>
        <v>-7.0915056071180916E-3</v>
      </c>
    </row>
    <row r="680" spans="1:3" ht="14.25" customHeight="1" x14ac:dyDescent="0.3">
      <c r="A680" s="22">
        <v>45222</v>
      </c>
      <c r="B680" s="23">
        <v>26404.83</v>
      </c>
      <c r="C680" s="24">
        <f t="shared" si="10"/>
        <v>-1.8596425891380598E-2</v>
      </c>
    </row>
    <row r="681" spans="1:3" ht="14.25" customHeight="1" x14ac:dyDescent="0.3">
      <c r="A681" s="22">
        <v>45219</v>
      </c>
      <c r="B681" s="23">
        <v>26905.17</v>
      </c>
      <c r="C681" s="24">
        <f t="shared" si="10"/>
        <v>-5.777576425862338E-3</v>
      </c>
    </row>
    <row r="682" spans="1:3" ht="14.25" customHeight="1" x14ac:dyDescent="0.3">
      <c r="A682" s="22">
        <v>45218</v>
      </c>
      <c r="B682" s="23">
        <v>27061.52</v>
      </c>
      <c r="C682" s="24">
        <f t="shared" si="10"/>
        <v>-1.8652195385896E-3</v>
      </c>
    </row>
    <row r="683" spans="1:3" ht="14.25" customHeight="1" x14ac:dyDescent="0.3">
      <c r="A683" s="22">
        <v>45217</v>
      </c>
      <c r="B683" s="23">
        <v>27112.09</v>
      </c>
      <c r="C683" s="24">
        <f t="shared" si="10"/>
        <v>-7.0820974698476537E-3</v>
      </c>
    </row>
    <row r="684" spans="1:3" ht="14.25" customHeight="1" x14ac:dyDescent="0.3">
      <c r="A684" s="22">
        <v>45216</v>
      </c>
      <c r="B684" s="23">
        <v>27305.47</v>
      </c>
      <c r="C684" s="24">
        <f t="shared" si="10"/>
        <v>4.2955377017200123E-3</v>
      </c>
    </row>
    <row r="685" spans="1:3" ht="14.25" customHeight="1" x14ac:dyDescent="0.3">
      <c r="A685" s="22">
        <v>45215</v>
      </c>
      <c r="B685" s="23">
        <v>27188.68</v>
      </c>
      <c r="C685" s="24">
        <f t="shared" si="10"/>
        <v>1.5302826755814907E-4</v>
      </c>
    </row>
    <row r="686" spans="1:3" ht="14.25" customHeight="1" x14ac:dyDescent="0.3">
      <c r="A686" s="22">
        <v>45212</v>
      </c>
      <c r="B686" s="23">
        <v>27184.52</v>
      </c>
      <c r="C686" s="24">
        <f t="shared" si="10"/>
        <v>-1.6867146888869002E-3</v>
      </c>
    </row>
    <row r="687" spans="1:3" ht="14.25" customHeight="1" x14ac:dyDescent="0.3">
      <c r="A687" s="22">
        <v>45211</v>
      </c>
      <c r="B687" s="23">
        <v>27230.45</v>
      </c>
      <c r="C687" s="24">
        <f t="shared" si="10"/>
        <v>7.1110686447817923E-4</v>
      </c>
    </row>
    <row r="688" spans="1:3" ht="14.25" customHeight="1" x14ac:dyDescent="0.3">
      <c r="A688" s="22">
        <v>45210</v>
      </c>
      <c r="B688" s="23">
        <v>27211.1</v>
      </c>
      <c r="C688" s="24">
        <f t="shared" si="10"/>
        <v>6.0099362109747017E-3</v>
      </c>
    </row>
    <row r="689" spans="1:3" ht="14.25" customHeight="1" x14ac:dyDescent="0.3">
      <c r="A689" s="22">
        <v>45209</v>
      </c>
      <c r="B689" s="23">
        <v>27048.54</v>
      </c>
      <c r="C689" s="24">
        <f t="shared" si="10"/>
        <v>1.0255864375633783E-2</v>
      </c>
    </row>
    <row r="690" spans="1:3" ht="14.25" customHeight="1" x14ac:dyDescent="0.3">
      <c r="A690" s="22">
        <v>45208</v>
      </c>
      <c r="B690" s="23">
        <v>26773.95</v>
      </c>
      <c r="C690" s="24">
        <f t="shared" si="10"/>
        <v>-9.5933569313982926E-3</v>
      </c>
    </row>
    <row r="691" spans="1:3" ht="14.25" customHeight="1" x14ac:dyDescent="0.3">
      <c r="A691" s="22">
        <v>45205</v>
      </c>
      <c r="B691" s="23">
        <v>27033.29</v>
      </c>
      <c r="C691" s="24">
        <f t="shared" si="10"/>
        <v>5.6881615184899269E-3</v>
      </c>
    </row>
    <row r="692" spans="1:3" ht="14.25" customHeight="1" x14ac:dyDescent="0.3">
      <c r="A692" s="22">
        <v>45204</v>
      </c>
      <c r="B692" s="23">
        <v>26880.39</v>
      </c>
      <c r="C692" s="24">
        <f t="shared" si="10"/>
        <v>4.24519067679469E-3</v>
      </c>
    </row>
    <row r="693" spans="1:3" ht="14.25" customHeight="1" x14ac:dyDescent="0.3">
      <c r="A693" s="22">
        <v>45203</v>
      </c>
      <c r="B693" s="23">
        <v>26766.76</v>
      </c>
      <c r="C693" s="24">
        <f t="shared" si="10"/>
        <v>-7.6101085495265848E-3</v>
      </c>
    </row>
    <row r="694" spans="1:3" ht="14.25" customHeight="1" x14ac:dyDescent="0.3">
      <c r="A694" s="22">
        <v>45202</v>
      </c>
      <c r="B694" s="23">
        <v>26972.02</v>
      </c>
      <c r="C694" s="24">
        <f t="shared" si="10"/>
        <v>-2.2092547501567105E-3</v>
      </c>
    </row>
    <row r="695" spans="1:3" ht="14.25" customHeight="1" x14ac:dyDescent="0.3">
      <c r="A695" s="22">
        <v>45198</v>
      </c>
      <c r="B695" s="23">
        <v>27031.74</v>
      </c>
      <c r="C695" s="24">
        <f t="shared" si="10"/>
        <v>7.1134216888387603E-3</v>
      </c>
    </row>
    <row r="696" spans="1:3" ht="14.25" customHeight="1" x14ac:dyDescent="0.3">
      <c r="A696" s="22">
        <v>45197</v>
      </c>
      <c r="B696" s="23">
        <v>26840.81</v>
      </c>
      <c r="C696" s="24">
        <f t="shared" si="10"/>
        <v>-9.834218639271362E-3</v>
      </c>
    </row>
    <row r="697" spans="1:3" ht="14.25" customHeight="1" x14ac:dyDescent="0.3">
      <c r="A697" s="22">
        <v>45196</v>
      </c>
      <c r="B697" s="23">
        <v>27107.39</v>
      </c>
      <c r="C697" s="24">
        <f t="shared" si="10"/>
        <v>3.9978592156506409E-3</v>
      </c>
    </row>
    <row r="698" spans="1:3" ht="14.25" customHeight="1" x14ac:dyDescent="0.3">
      <c r="A698" s="22">
        <v>45194</v>
      </c>
      <c r="B698" s="23">
        <v>26999.45</v>
      </c>
      <c r="C698" s="24">
        <f t="shared" si="10"/>
        <v>6.8196011645215641E-4</v>
      </c>
    </row>
    <row r="699" spans="1:3" ht="14.25" customHeight="1" x14ac:dyDescent="0.3">
      <c r="A699" s="22">
        <v>45191</v>
      </c>
      <c r="B699" s="23">
        <v>26981.05</v>
      </c>
      <c r="C699" s="24">
        <f t="shared" si="10"/>
        <v>-2.4575266050270474E-3</v>
      </c>
    </row>
    <row r="700" spans="1:3" ht="14.25" customHeight="1" x14ac:dyDescent="0.3">
      <c r="A700" s="22">
        <v>45190</v>
      </c>
      <c r="B700" s="23">
        <v>27047.52</v>
      </c>
      <c r="C700" s="24">
        <f t="shared" si="10"/>
        <v>-8.3525998209371434E-3</v>
      </c>
    </row>
    <row r="701" spans="1:3" ht="14.25" customHeight="1" x14ac:dyDescent="0.3">
      <c r="A701" s="22">
        <v>45189</v>
      </c>
      <c r="B701" s="23">
        <v>27275.34</v>
      </c>
      <c r="C701" s="24">
        <f t="shared" si="10"/>
        <v>-9.3139671005532977E-3</v>
      </c>
    </row>
    <row r="702" spans="1:3" ht="14.25" customHeight="1" x14ac:dyDescent="0.3">
      <c r="A702" s="22">
        <v>45187</v>
      </c>
      <c r="B702" s="23">
        <v>27531.77</v>
      </c>
      <c r="C702" s="24">
        <f t="shared" si="10"/>
        <v>-2.9413692613513118E-3</v>
      </c>
    </row>
    <row r="703" spans="1:3" ht="14.25" customHeight="1" x14ac:dyDescent="0.3">
      <c r="A703" s="22">
        <v>45184</v>
      </c>
      <c r="B703" s="23">
        <v>27612.99</v>
      </c>
      <c r="C703" s="24">
        <f t="shared" si="10"/>
        <v>3.5606007191708805E-3</v>
      </c>
    </row>
    <row r="704" spans="1:3" ht="14.25" customHeight="1" x14ac:dyDescent="0.3">
      <c r="A704" s="22">
        <v>45183</v>
      </c>
      <c r="B704" s="23">
        <v>27515.02</v>
      </c>
      <c r="C704" s="24">
        <f t="shared" si="10"/>
        <v>4.3847577468798561E-3</v>
      </c>
    </row>
    <row r="705" spans="1:3" ht="14.25" customHeight="1" x14ac:dyDescent="0.3">
      <c r="A705" s="22">
        <v>45182</v>
      </c>
      <c r="B705" s="23">
        <v>27394.9</v>
      </c>
      <c r="C705" s="24">
        <f t="shared" si="10"/>
        <v>3.7931390790791977E-3</v>
      </c>
    </row>
    <row r="706" spans="1:3" ht="14.25" customHeight="1" x14ac:dyDescent="0.3">
      <c r="A706" s="22">
        <v>45181</v>
      </c>
      <c r="B706" s="23">
        <v>27291.38</v>
      </c>
      <c r="C706" s="24">
        <f t="shared" ref="C706:C769" si="11">(B706-B707)/B707</f>
        <v>-1.0917770433626661E-2</v>
      </c>
    </row>
    <row r="707" spans="1:3" ht="14.25" customHeight="1" x14ac:dyDescent="0.3">
      <c r="A707" s="22">
        <v>45180</v>
      </c>
      <c r="B707" s="23">
        <v>27592.63</v>
      </c>
      <c r="C707" s="24">
        <f t="shared" si="11"/>
        <v>9.4972970441634056E-3</v>
      </c>
    </row>
    <row r="708" spans="1:3" ht="14.25" customHeight="1" x14ac:dyDescent="0.3">
      <c r="A708" s="22">
        <v>45177</v>
      </c>
      <c r="B708" s="23">
        <v>27333.040000000001</v>
      </c>
      <c r="C708" s="24">
        <f t="shared" si="11"/>
        <v>5.8767137655093074E-3</v>
      </c>
    </row>
    <row r="709" spans="1:3" ht="14.25" customHeight="1" x14ac:dyDescent="0.3">
      <c r="A709" s="22">
        <v>45176</v>
      </c>
      <c r="B709" s="23">
        <v>27173.35</v>
      </c>
      <c r="C709" s="24">
        <f t="shared" si="11"/>
        <v>5.8381018691771218E-3</v>
      </c>
    </row>
    <row r="710" spans="1:3" ht="14.25" customHeight="1" x14ac:dyDescent="0.3">
      <c r="A710" s="22">
        <v>45175</v>
      </c>
      <c r="B710" s="23">
        <v>27015.63</v>
      </c>
      <c r="C710" s="24">
        <f t="shared" si="11"/>
        <v>1.8861647994772653E-3</v>
      </c>
    </row>
    <row r="711" spans="1:3" ht="14.25" customHeight="1" x14ac:dyDescent="0.3">
      <c r="A711" s="22">
        <v>45174</v>
      </c>
      <c r="B711" s="23">
        <v>26964.77</v>
      </c>
      <c r="C711" s="24">
        <f t="shared" si="11"/>
        <v>4.1409764139367956E-3</v>
      </c>
    </row>
    <row r="712" spans="1:3" ht="14.25" customHeight="1" x14ac:dyDescent="0.3">
      <c r="A712" s="22">
        <v>45173</v>
      </c>
      <c r="B712" s="23">
        <v>26853.57</v>
      </c>
      <c r="C712" s="24">
        <f t="shared" si="11"/>
        <v>6.2329436213499918E-3</v>
      </c>
    </row>
    <row r="713" spans="1:3" ht="14.25" customHeight="1" x14ac:dyDescent="0.3">
      <c r="A713" s="22">
        <v>45170</v>
      </c>
      <c r="B713" s="23">
        <v>26687.23</v>
      </c>
      <c r="C713" s="24">
        <f t="shared" si="11"/>
        <v>8.9014837192369026E-3</v>
      </c>
    </row>
    <row r="714" spans="1:3" ht="14.25" customHeight="1" x14ac:dyDescent="0.3">
      <c r="A714" s="22">
        <v>45169</v>
      </c>
      <c r="B714" s="23">
        <v>26451.77</v>
      </c>
      <c r="C714" s="24">
        <f t="shared" si="11"/>
        <v>-2.6299397621252479E-3</v>
      </c>
    </row>
    <row r="715" spans="1:3" ht="14.25" customHeight="1" x14ac:dyDescent="0.3">
      <c r="A715" s="22">
        <v>45168</v>
      </c>
      <c r="B715" s="23">
        <v>26521.52</v>
      </c>
      <c r="C715" s="24">
        <f t="shared" si="11"/>
        <v>2.4610292930900518E-3</v>
      </c>
    </row>
    <row r="716" spans="1:3" ht="14.25" customHeight="1" x14ac:dyDescent="0.3">
      <c r="A716" s="22">
        <v>45167</v>
      </c>
      <c r="B716" s="23">
        <v>26456.41</v>
      </c>
      <c r="C716" s="24">
        <f t="shared" si="11"/>
        <v>3.0881563422276558E-3</v>
      </c>
    </row>
    <row r="717" spans="1:3" ht="14.25" customHeight="1" x14ac:dyDescent="0.3">
      <c r="A717" s="22">
        <v>45166</v>
      </c>
      <c r="B717" s="23">
        <v>26374.959999999999</v>
      </c>
      <c r="C717" s="24">
        <f t="shared" si="11"/>
        <v>3.2350814437934277E-3</v>
      </c>
    </row>
    <row r="718" spans="1:3" ht="14.25" customHeight="1" x14ac:dyDescent="0.3">
      <c r="A718" s="22">
        <v>45163</v>
      </c>
      <c r="B718" s="23">
        <v>26289.91</v>
      </c>
      <c r="C718" s="24">
        <f t="shared" si="11"/>
        <v>-6.4251894941480701E-3</v>
      </c>
    </row>
    <row r="719" spans="1:3" ht="14.25" customHeight="1" x14ac:dyDescent="0.3">
      <c r="A719" s="22">
        <v>45162</v>
      </c>
      <c r="B719" s="23">
        <v>26459.919999999998</v>
      </c>
      <c r="C719" s="24">
        <f t="shared" si="11"/>
        <v>-1.1766220265003022E-3</v>
      </c>
    </row>
    <row r="720" spans="1:3" ht="14.25" customHeight="1" x14ac:dyDescent="0.3">
      <c r="A720" s="22">
        <v>45161</v>
      </c>
      <c r="B720" s="23">
        <v>26491.09</v>
      </c>
      <c r="C720" s="24">
        <f t="shared" si="11"/>
        <v>2.6649579041871691E-3</v>
      </c>
    </row>
    <row r="721" spans="1:3" ht="14.25" customHeight="1" x14ac:dyDescent="0.3">
      <c r="A721" s="22">
        <v>45160</v>
      </c>
      <c r="B721" s="23">
        <v>26420.68</v>
      </c>
      <c r="C721" s="24">
        <f t="shared" si="11"/>
        <v>3.1761364132554602E-3</v>
      </c>
    </row>
    <row r="722" spans="1:3" ht="14.25" customHeight="1" x14ac:dyDescent="0.3">
      <c r="A722" s="22">
        <v>45159</v>
      </c>
      <c r="B722" s="23">
        <v>26337.03</v>
      </c>
      <c r="C722" s="24">
        <f t="shared" si="11"/>
        <v>5.8686104958987273E-3</v>
      </c>
    </row>
    <row r="723" spans="1:3" ht="14.25" customHeight="1" x14ac:dyDescent="0.3">
      <c r="A723" s="22">
        <v>45156</v>
      </c>
      <c r="B723" s="23">
        <v>26183.37</v>
      </c>
      <c r="C723" s="24">
        <f t="shared" si="11"/>
        <v>-2.5177660797593608E-3</v>
      </c>
    </row>
    <row r="724" spans="1:3" ht="14.25" customHeight="1" x14ac:dyDescent="0.3">
      <c r="A724" s="22">
        <v>45155</v>
      </c>
      <c r="B724" s="23">
        <v>26249.46</v>
      </c>
      <c r="C724" s="24">
        <f t="shared" si="11"/>
        <v>-2.989194839289974E-3</v>
      </c>
    </row>
    <row r="725" spans="1:3" ht="14.25" customHeight="1" x14ac:dyDescent="0.3">
      <c r="A725" s="22">
        <v>45154</v>
      </c>
      <c r="B725" s="23">
        <v>26328.16</v>
      </c>
      <c r="C725" s="24">
        <f t="shared" si="11"/>
        <v>1.6343798030830706E-3</v>
      </c>
    </row>
    <row r="726" spans="1:3" ht="14.25" customHeight="1" x14ac:dyDescent="0.3">
      <c r="A726" s="22">
        <v>45152</v>
      </c>
      <c r="B726" s="23">
        <v>26285.200000000001</v>
      </c>
      <c r="C726" s="24">
        <f t="shared" si="11"/>
        <v>-1.9239918787569295E-3</v>
      </c>
    </row>
    <row r="727" spans="1:3" ht="14.25" customHeight="1" x14ac:dyDescent="0.3">
      <c r="A727" s="22">
        <v>45149</v>
      </c>
      <c r="B727" s="23">
        <v>26335.87</v>
      </c>
      <c r="C727" s="24">
        <f t="shared" si="11"/>
        <v>-4.369891113760834E-3</v>
      </c>
    </row>
    <row r="728" spans="1:3" ht="14.25" customHeight="1" x14ac:dyDescent="0.3">
      <c r="A728" s="22">
        <v>45148</v>
      </c>
      <c r="B728" s="23">
        <v>26451.46</v>
      </c>
      <c r="C728" s="24">
        <f t="shared" si="11"/>
        <v>-3.7550148468089802E-3</v>
      </c>
    </row>
    <row r="729" spans="1:3" ht="14.25" customHeight="1" x14ac:dyDescent="0.3">
      <c r="A729" s="22">
        <v>45147</v>
      </c>
      <c r="B729" s="23">
        <v>26551.16</v>
      </c>
      <c r="C729" s="24">
        <f t="shared" si="11"/>
        <v>3.648888682245748E-3</v>
      </c>
    </row>
    <row r="730" spans="1:3" ht="14.25" customHeight="1" x14ac:dyDescent="0.3">
      <c r="A730" s="22">
        <v>45146</v>
      </c>
      <c r="B730" s="23">
        <v>26454.63</v>
      </c>
      <c r="C730" s="24">
        <f t="shared" si="11"/>
        <v>-4.133672541342843E-4</v>
      </c>
    </row>
    <row r="731" spans="1:3" ht="14.25" customHeight="1" x14ac:dyDescent="0.3">
      <c r="A731" s="22">
        <v>45145</v>
      </c>
      <c r="B731" s="23">
        <v>26465.57</v>
      </c>
      <c r="C731" s="24">
        <f t="shared" si="11"/>
        <v>3.8929648969349027E-3</v>
      </c>
    </row>
    <row r="732" spans="1:3" ht="14.25" customHeight="1" x14ac:dyDescent="0.3">
      <c r="A732" s="22">
        <v>45142</v>
      </c>
      <c r="B732" s="23">
        <v>26362.94</v>
      </c>
      <c r="C732" s="24">
        <f t="shared" si="11"/>
        <v>7.1039516399523219E-3</v>
      </c>
    </row>
    <row r="733" spans="1:3" ht="14.25" customHeight="1" x14ac:dyDescent="0.3">
      <c r="A733" s="22">
        <v>45141</v>
      </c>
      <c r="B733" s="23">
        <v>26176.98</v>
      </c>
      <c r="C733" s="24">
        <f t="shared" si="11"/>
        <v>-4.9862856239281002E-3</v>
      </c>
    </row>
    <row r="734" spans="1:3" ht="14.25" customHeight="1" x14ac:dyDescent="0.3">
      <c r="A734" s="22">
        <v>45140</v>
      </c>
      <c r="B734" s="23">
        <v>26308.16</v>
      </c>
      <c r="C734" s="24">
        <f t="shared" si="11"/>
        <v>-1.0995967769220764E-2</v>
      </c>
    </row>
    <row r="735" spans="1:3" ht="14.25" customHeight="1" x14ac:dyDescent="0.3">
      <c r="A735" s="22">
        <v>45139</v>
      </c>
      <c r="B735" s="23">
        <v>26600.66</v>
      </c>
      <c r="C735" s="24">
        <f t="shared" si="11"/>
        <v>-4.4565490227909955E-4</v>
      </c>
    </row>
    <row r="736" spans="1:3" ht="14.25" customHeight="1" x14ac:dyDescent="0.3">
      <c r="A736" s="22">
        <v>45138</v>
      </c>
      <c r="B736" s="23">
        <v>26612.52</v>
      </c>
      <c r="C736" s="24">
        <f t="shared" si="11"/>
        <v>6.5291497052370881E-3</v>
      </c>
    </row>
    <row r="737" spans="1:3" ht="14.25" customHeight="1" x14ac:dyDescent="0.3">
      <c r="A737" s="22">
        <v>45135</v>
      </c>
      <c r="B737" s="23">
        <v>26439.89</v>
      </c>
      <c r="C737" s="24">
        <f t="shared" si="11"/>
        <v>1.8874516484981352E-3</v>
      </c>
    </row>
    <row r="738" spans="1:3" ht="14.25" customHeight="1" x14ac:dyDescent="0.3">
      <c r="A738" s="22">
        <v>45134</v>
      </c>
      <c r="B738" s="23">
        <v>26390.080000000002</v>
      </c>
      <c r="C738" s="24">
        <f t="shared" si="11"/>
        <v>-3.2022832226496697E-3</v>
      </c>
    </row>
    <row r="739" spans="1:3" ht="14.25" customHeight="1" x14ac:dyDescent="0.3">
      <c r="A739" s="22">
        <v>45133</v>
      </c>
      <c r="B739" s="23">
        <v>26474.86</v>
      </c>
      <c r="C739" s="24">
        <f t="shared" si="11"/>
        <v>4.6401528806666679E-3</v>
      </c>
    </row>
    <row r="740" spans="1:3" ht="14.25" customHeight="1" x14ac:dyDescent="0.3">
      <c r="A740" s="22">
        <v>45132</v>
      </c>
      <c r="B740" s="23">
        <v>26352.58</v>
      </c>
      <c r="C740" s="24">
        <f t="shared" si="11"/>
        <v>1.8887651171543931E-3</v>
      </c>
    </row>
    <row r="741" spans="1:3" ht="14.25" customHeight="1" x14ac:dyDescent="0.3">
      <c r="A741" s="22">
        <v>45131</v>
      </c>
      <c r="B741" s="23">
        <v>26302.9</v>
      </c>
      <c r="C741" s="24">
        <f t="shared" si="11"/>
        <v>-2.3084719326832343E-3</v>
      </c>
    </row>
    <row r="742" spans="1:3" ht="14.25" customHeight="1" x14ac:dyDescent="0.3">
      <c r="A742" s="22">
        <v>45128</v>
      </c>
      <c r="B742" s="23">
        <v>26363.759999999998</v>
      </c>
      <c r="C742" s="24">
        <f t="shared" si="11"/>
        <v>-8.0107884135930344E-3</v>
      </c>
    </row>
    <row r="743" spans="1:3" ht="14.25" customHeight="1" x14ac:dyDescent="0.3">
      <c r="A743" s="22">
        <v>45127</v>
      </c>
      <c r="B743" s="23">
        <v>26576.66</v>
      </c>
      <c r="C743" s="24">
        <f t="shared" si="11"/>
        <v>5.4086281559631352E-3</v>
      </c>
    </row>
    <row r="744" spans="1:3" ht="14.25" customHeight="1" x14ac:dyDescent="0.3">
      <c r="A744" s="22">
        <v>45126</v>
      </c>
      <c r="B744" s="23">
        <v>26433.69</v>
      </c>
      <c r="C744" s="24">
        <f t="shared" si="11"/>
        <v>4.8372185670124881E-3</v>
      </c>
    </row>
    <row r="745" spans="1:3" ht="14.25" customHeight="1" x14ac:dyDescent="0.3">
      <c r="A745" s="22">
        <v>45125</v>
      </c>
      <c r="B745" s="23">
        <v>26306.44</v>
      </c>
      <c r="C745" s="24">
        <f t="shared" si="11"/>
        <v>1.5205425294694497E-6</v>
      </c>
    </row>
    <row r="746" spans="1:3" ht="14.25" customHeight="1" x14ac:dyDescent="0.3">
      <c r="A746" s="22">
        <v>45124</v>
      </c>
      <c r="B746" s="23">
        <v>26306.400000000001</v>
      </c>
      <c r="C746" s="24">
        <f t="shared" si="11"/>
        <v>6.3634130908651375E-3</v>
      </c>
    </row>
    <row r="747" spans="1:3" ht="14.25" customHeight="1" x14ac:dyDescent="0.3">
      <c r="A747" s="22">
        <v>45121</v>
      </c>
      <c r="B747" s="23">
        <v>26140.06</v>
      </c>
      <c r="C747" s="24">
        <f t="shared" si="11"/>
        <v>8.6783180192598255E-3</v>
      </c>
    </row>
    <row r="748" spans="1:3" ht="14.25" customHeight="1" x14ac:dyDescent="0.3">
      <c r="A748" s="22">
        <v>45120</v>
      </c>
      <c r="B748" s="23">
        <v>25915.16</v>
      </c>
      <c r="C748" s="24">
        <f t="shared" si="11"/>
        <v>-9.9726186662591984E-4</v>
      </c>
    </row>
    <row r="749" spans="1:3" ht="14.25" customHeight="1" x14ac:dyDescent="0.3">
      <c r="A749" s="22">
        <v>45119</v>
      </c>
      <c r="B749" s="23">
        <v>25941.03</v>
      </c>
      <c r="C749" s="24">
        <f t="shared" si="11"/>
        <v>-4.1307426281469127E-4</v>
      </c>
    </row>
    <row r="750" spans="1:3" ht="14.25" customHeight="1" x14ac:dyDescent="0.3">
      <c r="A750" s="22">
        <v>45118</v>
      </c>
      <c r="B750" s="23">
        <v>25951.75</v>
      </c>
      <c r="C750" s="24">
        <f t="shared" si="11"/>
        <v>5.765613119104865E-3</v>
      </c>
    </row>
    <row r="751" spans="1:3" ht="14.25" customHeight="1" x14ac:dyDescent="0.3">
      <c r="A751" s="22">
        <v>45117</v>
      </c>
      <c r="B751" s="23">
        <v>25802.98</v>
      </c>
      <c r="C751" s="24">
        <f t="shared" si="11"/>
        <v>-6.4679345367567407E-4</v>
      </c>
    </row>
    <row r="752" spans="1:3" ht="14.25" customHeight="1" x14ac:dyDescent="0.3">
      <c r="A752" s="22">
        <v>45114</v>
      </c>
      <c r="B752" s="23">
        <v>25819.68</v>
      </c>
      <c r="C752" s="24">
        <f t="shared" si="11"/>
        <v>-7.6796248967120704E-3</v>
      </c>
    </row>
    <row r="753" spans="1:3" ht="14.25" customHeight="1" x14ac:dyDescent="0.3">
      <c r="A753" s="22">
        <v>45113</v>
      </c>
      <c r="B753" s="23">
        <v>26019.5</v>
      </c>
      <c r="C753" s="24">
        <f t="shared" si="11"/>
        <v>5.9044867217669453E-3</v>
      </c>
    </row>
    <row r="754" spans="1:3" ht="14.25" customHeight="1" x14ac:dyDescent="0.3">
      <c r="A754" s="22">
        <v>45112</v>
      </c>
      <c r="B754" s="23">
        <v>25866.77</v>
      </c>
      <c r="C754" s="24">
        <f t="shared" si="11"/>
        <v>2.4951177003371015E-3</v>
      </c>
    </row>
    <row r="755" spans="1:3" ht="14.25" customHeight="1" x14ac:dyDescent="0.3">
      <c r="A755" s="22">
        <v>45111</v>
      </c>
      <c r="B755" s="23">
        <v>25802.39</v>
      </c>
      <c r="C755" s="24">
        <f t="shared" si="11"/>
        <v>1.7019591553096018E-3</v>
      </c>
    </row>
    <row r="756" spans="1:3" ht="14.25" customHeight="1" x14ac:dyDescent="0.3">
      <c r="A756" s="22">
        <v>45110</v>
      </c>
      <c r="B756" s="23">
        <v>25758.55</v>
      </c>
      <c r="C756" s="24">
        <f t="shared" si="11"/>
        <v>5.965052462702721E-3</v>
      </c>
    </row>
    <row r="757" spans="1:3" ht="14.25" customHeight="1" x14ac:dyDescent="0.3">
      <c r="A757" s="22">
        <v>45107</v>
      </c>
      <c r="B757" s="23">
        <v>25605.81</v>
      </c>
      <c r="C757" s="24">
        <f t="shared" si="11"/>
        <v>9.4699120068124851E-3</v>
      </c>
    </row>
    <row r="758" spans="1:3" ht="14.25" customHeight="1" x14ac:dyDescent="0.3">
      <c r="A758" s="22">
        <v>45105</v>
      </c>
      <c r="B758" s="23">
        <v>25365.599999999999</v>
      </c>
      <c r="C758" s="24">
        <f t="shared" si="11"/>
        <v>7.0409814099827717E-3</v>
      </c>
    </row>
    <row r="759" spans="1:3" ht="14.25" customHeight="1" x14ac:dyDescent="0.3">
      <c r="A759" s="22">
        <v>45104</v>
      </c>
      <c r="B759" s="23">
        <v>25188.25</v>
      </c>
      <c r="C759" s="24">
        <f t="shared" si="11"/>
        <v>6.0603470450365932E-3</v>
      </c>
    </row>
    <row r="760" spans="1:3" ht="14.25" customHeight="1" x14ac:dyDescent="0.3">
      <c r="A760" s="22">
        <v>45103</v>
      </c>
      <c r="B760" s="23">
        <v>25036.52</v>
      </c>
      <c r="C760" s="24">
        <f t="shared" si="11"/>
        <v>3.4126382639510962E-3</v>
      </c>
    </row>
    <row r="761" spans="1:3" ht="14.25" customHeight="1" x14ac:dyDescent="0.3">
      <c r="A761" s="22">
        <v>45100</v>
      </c>
      <c r="B761" s="23">
        <v>24951.37</v>
      </c>
      <c r="C761" s="24">
        <f t="shared" si="11"/>
        <v>-7.9652635944037261E-3</v>
      </c>
    </row>
    <row r="762" spans="1:3" ht="14.25" customHeight="1" x14ac:dyDescent="0.3">
      <c r="A762" s="22">
        <v>45099</v>
      </c>
      <c r="B762" s="23">
        <v>25151.71</v>
      </c>
      <c r="C762" s="24">
        <f t="shared" si="11"/>
        <v>-6.1511701329810473E-3</v>
      </c>
    </row>
    <row r="763" spans="1:3" ht="14.25" customHeight="1" x14ac:dyDescent="0.3">
      <c r="A763" s="22">
        <v>45098</v>
      </c>
      <c r="B763" s="23">
        <v>25307.38</v>
      </c>
      <c r="C763" s="24">
        <f t="shared" si="11"/>
        <v>2.5539844653410071E-3</v>
      </c>
    </row>
    <row r="764" spans="1:3" ht="14.25" customHeight="1" x14ac:dyDescent="0.3">
      <c r="A764" s="22">
        <v>45097</v>
      </c>
      <c r="B764" s="23">
        <v>25242.91</v>
      </c>
      <c r="C764" s="24">
        <f t="shared" si="11"/>
        <v>3.5840997170887593E-3</v>
      </c>
    </row>
    <row r="765" spans="1:3" ht="14.25" customHeight="1" x14ac:dyDescent="0.3">
      <c r="A765" s="22">
        <v>45096</v>
      </c>
      <c r="B765" s="23">
        <v>25152.76</v>
      </c>
      <c r="C765" s="24">
        <f t="shared" si="11"/>
        <v>-2.2725064012170098E-3</v>
      </c>
    </row>
    <row r="766" spans="1:3" ht="14.25" customHeight="1" x14ac:dyDescent="0.3">
      <c r="A766" s="22">
        <v>45093</v>
      </c>
      <c r="B766" s="23">
        <v>25210.05</v>
      </c>
      <c r="C766" s="24">
        <f t="shared" si="11"/>
        <v>7.7372964792421983E-3</v>
      </c>
    </row>
    <row r="767" spans="1:3" ht="14.25" customHeight="1" x14ac:dyDescent="0.3">
      <c r="A767" s="22">
        <v>45092</v>
      </c>
      <c r="B767" s="23">
        <v>25016.49</v>
      </c>
      <c r="C767" s="24">
        <f t="shared" si="11"/>
        <v>-1.4070878909009912E-3</v>
      </c>
    </row>
    <row r="768" spans="1:3" ht="14.25" customHeight="1" x14ac:dyDescent="0.3">
      <c r="A768" s="22">
        <v>45091</v>
      </c>
      <c r="B768" s="23">
        <v>25051.74</v>
      </c>
      <c r="C768" s="24">
        <f t="shared" si="11"/>
        <v>2.254816690124358E-3</v>
      </c>
    </row>
    <row r="769" spans="1:3" ht="14.25" customHeight="1" x14ac:dyDescent="0.3">
      <c r="A769" s="22">
        <v>45090</v>
      </c>
      <c r="B769" s="23">
        <v>24995.38</v>
      </c>
      <c r="C769" s="24">
        <f t="shared" si="11"/>
        <v>7.4776721835592957E-3</v>
      </c>
    </row>
    <row r="770" spans="1:3" ht="14.25" customHeight="1" x14ac:dyDescent="0.3">
      <c r="A770" s="22">
        <v>45089</v>
      </c>
      <c r="B770" s="23">
        <v>24809.86</v>
      </c>
      <c r="C770" s="24">
        <f t="shared" ref="C770:C833" si="12">(B770-B771)/B771</f>
        <v>3.2767421669362778E-3</v>
      </c>
    </row>
    <row r="771" spans="1:3" ht="14.25" customHeight="1" x14ac:dyDescent="0.3">
      <c r="A771" s="22">
        <v>45086</v>
      </c>
      <c r="B771" s="23">
        <v>24728.83</v>
      </c>
      <c r="C771" s="24">
        <f t="shared" si="12"/>
        <v>-2.6469622649574697E-3</v>
      </c>
    </row>
    <row r="772" spans="1:3" ht="14.25" customHeight="1" x14ac:dyDescent="0.3">
      <c r="A772" s="22">
        <v>45085</v>
      </c>
      <c r="B772" s="23">
        <v>24794.46</v>
      </c>
      <c r="C772" s="24">
        <f t="shared" si="12"/>
        <v>-5.3494470633401884E-3</v>
      </c>
    </row>
    <row r="773" spans="1:3" ht="14.25" customHeight="1" x14ac:dyDescent="0.3">
      <c r="A773" s="22">
        <v>45084</v>
      </c>
      <c r="B773" s="23">
        <v>24927.81</v>
      </c>
      <c r="C773" s="24">
        <f t="shared" si="12"/>
        <v>8.1039590867143865E-3</v>
      </c>
    </row>
    <row r="774" spans="1:3" ht="14.25" customHeight="1" x14ac:dyDescent="0.3">
      <c r="A774" s="22">
        <v>45083</v>
      </c>
      <c r="B774" s="23">
        <v>24727.42</v>
      </c>
      <c r="C774" s="24">
        <f t="shared" si="12"/>
        <v>1.190378823889438E-3</v>
      </c>
    </row>
    <row r="775" spans="1:3" ht="14.25" customHeight="1" x14ac:dyDescent="0.3">
      <c r="A775" s="22">
        <v>45082</v>
      </c>
      <c r="B775" s="23">
        <v>24698.02</v>
      </c>
      <c r="C775" s="24">
        <f t="shared" si="12"/>
        <v>3.0565216896888099E-3</v>
      </c>
    </row>
    <row r="776" spans="1:3" ht="14.25" customHeight="1" x14ac:dyDescent="0.3">
      <c r="A776" s="22">
        <v>45079</v>
      </c>
      <c r="B776" s="23">
        <v>24622.76</v>
      </c>
      <c r="C776" s="24">
        <f t="shared" si="12"/>
        <v>3.8265066921059215E-3</v>
      </c>
    </row>
    <row r="777" spans="1:3" ht="14.25" customHeight="1" x14ac:dyDescent="0.3">
      <c r="A777" s="22">
        <v>45078</v>
      </c>
      <c r="B777" s="23">
        <v>24528.9</v>
      </c>
      <c r="C777" s="24">
        <f t="shared" si="12"/>
        <v>-3.7451977721162039E-4</v>
      </c>
    </row>
    <row r="778" spans="1:3" ht="14.25" customHeight="1" x14ac:dyDescent="0.3">
      <c r="A778" s="22">
        <v>45077</v>
      </c>
      <c r="B778" s="23">
        <v>24538.09</v>
      </c>
      <c r="C778" s="24">
        <f t="shared" si="12"/>
        <v>-1.7407838938232022E-3</v>
      </c>
    </row>
    <row r="779" spans="1:3" ht="14.25" customHeight="1" x14ac:dyDescent="0.3">
      <c r="A779" s="22">
        <v>45076</v>
      </c>
      <c r="B779" s="23">
        <v>24580.880000000001</v>
      </c>
      <c r="C779" s="24">
        <f t="shared" si="12"/>
        <v>1.7205503479000551E-3</v>
      </c>
    </row>
    <row r="780" spans="1:3" ht="14.25" customHeight="1" x14ac:dyDescent="0.3">
      <c r="A780" s="22">
        <v>45075</v>
      </c>
      <c r="B780" s="23">
        <v>24538.66</v>
      </c>
      <c r="C780" s="24">
        <f t="shared" si="12"/>
        <v>4.8192188926155961E-3</v>
      </c>
    </row>
    <row r="781" spans="1:3" ht="14.25" customHeight="1" x14ac:dyDescent="0.3">
      <c r="A781" s="22">
        <v>45072</v>
      </c>
      <c r="B781" s="23">
        <v>24420.97</v>
      </c>
      <c r="C781" s="24">
        <f t="shared" si="12"/>
        <v>9.0947143635746238E-3</v>
      </c>
    </row>
    <row r="782" spans="1:3" ht="14.25" customHeight="1" x14ac:dyDescent="0.3">
      <c r="A782" s="22">
        <v>45071</v>
      </c>
      <c r="B782" s="23">
        <v>24200.87</v>
      </c>
      <c r="C782" s="24">
        <f t="shared" si="12"/>
        <v>2.5402296231702625E-3</v>
      </c>
    </row>
    <row r="783" spans="1:3" ht="14.25" customHeight="1" x14ac:dyDescent="0.3">
      <c r="A783" s="22">
        <v>45070</v>
      </c>
      <c r="B783" s="23">
        <v>24139.55</v>
      </c>
      <c r="C783" s="24">
        <f t="shared" si="12"/>
        <v>-1.8408812081672124E-3</v>
      </c>
    </row>
    <row r="784" spans="1:3" ht="14.25" customHeight="1" x14ac:dyDescent="0.3">
      <c r="A784" s="22">
        <v>45069</v>
      </c>
      <c r="B784" s="23">
        <v>24184.07</v>
      </c>
      <c r="C784" s="24">
        <f t="shared" si="12"/>
        <v>2.6280353621871114E-3</v>
      </c>
    </row>
    <row r="785" spans="1:3" ht="14.25" customHeight="1" x14ac:dyDescent="0.3">
      <c r="A785" s="22">
        <v>45068</v>
      </c>
      <c r="B785" s="23">
        <v>24120.68</v>
      </c>
      <c r="C785" s="24">
        <f t="shared" si="12"/>
        <v>6.2589041181611189E-3</v>
      </c>
    </row>
    <row r="786" spans="1:3" ht="14.25" customHeight="1" x14ac:dyDescent="0.3">
      <c r="A786" s="22">
        <v>45065</v>
      </c>
      <c r="B786" s="23">
        <v>23970.65</v>
      </c>
      <c r="C786" s="24">
        <f t="shared" si="12"/>
        <v>3.063508057766973E-3</v>
      </c>
    </row>
    <row r="787" spans="1:3" ht="14.25" customHeight="1" x14ac:dyDescent="0.3">
      <c r="A787" s="22">
        <v>45064</v>
      </c>
      <c r="B787" s="23">
        <v>23897.439999999999</v>
      </c>
      <c r="C787" s="24">
        <f t="shared" si="12"/>
        <v>-4.1965734858729845E-3</v>
      </c>
    </row>
    <row r="788" spans="1:3" ht="14.25" customHeight="1" x14ac:dyDescent="0.3">
      <c r="A788" s="22">
        <v>45063</v>
      </c>
      <c r="B788" s="23">
        <v>23998.15</v>
      </c>
      <c r="C788" s="24">
        <f t="shared" si="12"/>
        <v>-4.2653920281150439E-3</v>
      </c>
    </row>
    <row r="789" spans="1:3" ht="14.25" customHeight="1" x14ac:dyDescent="0.3">
      <c r="A789" s="22">
        <v>45062</v>
      </c>
      <c r="B789" s="23">
        <v>24100.95</v>
      </c>
      <c r="C789" s="24">
        <f t="shared" si="12"/>
        <v>-2.3371710791843634E-3</v>
      </c>
    </row>
    <row r="790" spans="1:3" ht="14.25" customHeight="1" x14ac:dyDescent="0.3">
      <c r="A790" s="22">
        <v>45061</v>
      </c>
      <c r="B790" s="23">
        <v>24157.41</v>
      </c>
      <c r="C790" s="24">
        <f t="shared" si="12"/>
        <v>4.6754022355591845E-3</v>
      </c>
    </row>
    <row r="791" spans="1:3" ht="14.25" customHeight="1" x14ac:dyDescent="0.3">
      <c r="A791" s="22">
        <v>45058</v>
      </c>
      <c r="B791" s="23">
        <v>24044.99</v>
      </c>
      <c r="C791" s="24">
        <f t="shared" si="12"/>
        <v>-4.25271521108498E-4</v>
      </c>
    </row>
    <row r="792" spans="1:3" ht="14.25" customHeight="1" x14ac:dyDescent="0.3">
      <c r="A792" s="22">
        <v>45057</v>
      </c>
      <c r="B792" s="23">
        <v>24055.22</v>
      </c>
      <c r="C792" s="24">
        <f t="shared" si="12"/>
        <v>1.1661783312246303E-3</v>
      </c>
    </row>
    <row r="793" spans="1:3" ht="14.25" customHeight="1" x14ac:dyDescent="0.3">
      <c r="A793" s="22">
        <v>45056</v>
      </c>
      <c r="B793" s="23">
        <v>24027.200000000001</v>
      </c>
      <c r="C793" s="24">
        <f t="shared" si="12"/>
        <v>2.9570435575354578E-3</v>
      </c>
    </row>
    <row r="794" spans="1:3" ht="14.25" customHeight="1" x14ac:dyDescent="0.3">
      <c r="A794" s="22">
        <v>45055</v>
      </c>
      <c r="B794" s="23">
        <v>23956.36</v>
      </c>
      <c r="C794" s="24">
        <f t="shared" si="12"/>
        <v>-4.1975397243299885E-4</v>
      </c>
    </row>
    <row r="795" spans="1:3" ht="14.25" customHeight="1" x14ac:dyDescent="0.3">
      <c r="A795" s="22">
        <v>45054</v>
      </c>
      <c r="B795" s="23">
        <v>23966.42</v>
      </c>
      <c r="C795" s="24">
        <f t="shared" si="12"/>
        <v>9.7178266042460774E-3</v>
      </c>
    </row>
    <row r="796" spans="1:3" ht="14.25" customHeight="1" x14ac:dyDescent="0.3">
      <c r="A796" s="22">
        <v>45051</v>
      </c>
      <c r="B796" s="23">
        <v>23735.759999999998</v>
      </c>
      <c r="C796" s="24">
        <f t="shared" si="12"/>
        <v>-8.2371964952012936E-3</v>
      </c>
    </row>
    <row r="797" spans="1:3" ht="14.25" customHeight="1" x14ac:dyDescent="0.3">
      <c r="A797" s="22">
        <v>45050</v>
      </c>
      <c r="B797" s="23">
        <v>23932.9</v>
      </c>
      <c r="C797" s="24">
        <f t="shared" si="12"/>
        <v>8.4530401406691293E-3</v>
      </c>
    </row>
    <row r="798" spans="1:3" ht="14.25" customHeight="1" x14ac:dyDescent="0.3">
      <c r="A798" s="22">
        <v>45049</v>
      </c>
      <c r="B798" s="23">
        <v>23732.29</v>
      </c>
      <c r="C798" s="24">
        <f t="shared" si="12"/>
        <v>-1.5914938586762755E-3</v>
      </c>
    </row>
    <row r="799" spans="1:3" ht="14.25" customHeight="1" x14ac:dyDescent="0.3">
      <c r="A799" s="22">
        <v>45048</v>
      </c>
      <c r="B799" s="23">
        <v>23770.12</v>
      </c>
      <c r="C799" s="24">
        <f t="shared" si="12"/>
        <v>5.3366740061089775E-3</v>
      </c>
    </row>
    <row r="800" spans="1:3" ht="14.25" customHeight="1" x14ac:dyDescent="0.3">
      <c r="A800" s="22">
        <v>45044</v>
      </c>
      <c r="B800" s="23">
        <v>23643.94</v>
      </c>
      <c r="C800" s="24">
        <f t="shared" si="12"/>
        <v>9.7490312039036631E-3</v>
      </c>
    </row>
    <row r="801" spans="1:3" ht="14.25" customHeight="1" x14ac:dyDescent="0.3">
      <c r="A801" s="22">
        <v>45043</v>
      </c>
      <c r="B801" s="23">
        <v>23415.66</v>
      </c>
      <c r="C801" s="24">
        <f t="shared" si="12"/>
        <v>5.382498293280919E-3</v>
      </c>
    </row>
    <row r="802" spans="1:3" ht="14.25" customHeight="1" x14ac:dyDescent="0.3">
      <c r="A802" s="22">
        <v>45042</v>
      </c>
      <c r="B802" s="23">
        <v>23290.3</v>
      </c>
      <c r="C802" s="24">
        <f t="shared" si="12"/>
        <v>2.5871494864443071E-3</v>
      </c>
    </row>
    <row r="803" spans="1:3" ht="14.25" customHeight="1" x14ac:dyDescent="0.3">
      <c r="A803" s="22">
        <v>45041</v>
      </c>
      <c r="B803" s="23">
        <v>23230.2</v>
      </c>
      <c r="C803" s="24">
        <f t="shared" si="12"/>
        <v>1.7119078933184161E-3</v>
      </c>
    </row>
    <row r="804" spans="1:3" ht="14.25" customHeight="1" x14ac:dyDescent="0.3">
      <c r="A804" s="22">
        <v>45040</v>
      </c>
      <c r="B804" s="23">
        <v>23190.5</v>
      </c>
      <c r="C804" s="24">
        <f t="shared" si="12"/>
        <v>5.5946105800668668E-3</v>
      </c>
    </row>
    <row r="805" spans="1:3" ht="14.25" customHeight="1" x14ac:dyDescent="0.3">
      <c r="A805" s="22">
        <v>45037</v>
      </c>
      <c r="B805" s="23">
        <v>23061.48</v>
      </c>
      <c r="C805" s="24">
        <f t="shared" si="12"/>
        <v>-9.5133134402840855E-4</v>
      </c>
    </row>
    <row r="806" spans="1:3" ht="14.25" customHeight="1" x14ac:dyDescent="0.3">
      <c r="A806" s="22">
        <v>45036</v>
      </c>
      <c r="B806" s="23">
        <v>23083.439999999999</v>
      </c>
      <c r="C806" s="24">
        <f t="shared" si="12"/>
        <v>3.271813134834354E-4</v>
      </c>
    </row>
    <row r="807" spans="1:3" ht="14.25" customHeight="1" x14ac:dyDescent="0.3">
      <c r="A807" s="22">
        <v>45035</v>
      </c>
      <c r="B807" s="23">
        <v>23075.89</v>
      </c>
      <c r="C807" s="24">
        <f t="shared" si="12"/>
        <v>-2.6929493219006364E-3</v>
      </c>
    </row>
    <row r="808" spans="1:3" ht="14.25" customHeight="1" x14ac:dyDescent="0.3">
      <c r="A808" s="22">
        <v>45034</v>
      </c>
      <c r="B808" s="23">
        <v>23138.2</v>
      </c>
      <c r="C808" s="24">
        <f t="shared" si="12"/>
        <v>-4.9072206987953897E-4</v>
      </c>
    </row>
    <row r="809" spans="1:3" ht="14.25" customHeight="1" x14ac:dyDescent="0.3">
      <c r="A809" s="22">
        <v>45033</v>
      </c>
      <c r="B809" s="23">
        <v>23149.56</v>
      </c>
      <c r="C809" s="24">
        <f t="shared" si="12"/>
        <v>-3.3392000385754962E-3</v>
      </c>
    </row>
    <row r="810" spans="1:3" ht="14.25" customHeight="1" x14ac:dyDescent="0.3">
      <c r="A810" s="22">
        <v>45029</v>
      </c>
      <c r="B810" s="23">
        <v>23227.119999999999</v>
      </c>
      <c r="C810" s="24">
        <f t="shared" si="12"/>
        <v>9.2218642644993631E-4</v>
      </c>
    </row>
    <row r="811" spans="1:3" ht="14.25" customHeight="1" x14ac:dyDescent="0.3">
      <c r="A811" s="22">
        <v>45028</v>
      </c>
      <c r="B811" s="23">
        <v>23205.72</v>
      </c>
      <c r="C811" s="24">
        <f t="shared" si="12"/>
        <v>4.9999415338149236E-3</v>
      </c>
    </row>
    <row r="812" spans="1:3" ht="14.25" customHeight="1" x14ac:dyDescent="0.3">
      <c r="A812" s="22">
        <v>45027</v>
      </c>
      <c r="B812" s="23">
        <v>23090.27</v>
      </c>
      <c r="C812" s="24">
        <f t="shared" si="12"/>
        <v>5.1939492298102175E-3</v>
      </c>
    </row>
    <row r="813" spans="1:3" ht="14.25" customHeight="1" x14ac:dyDescent="0.3">
      <c r="A813" s="22">
        <v>45026</v>
      </c>
      <c r="B813" s="23">
        <v>22970.959999999999</v>
      </c>
      <c r="C813" s="24">
        <f t="shared" si="12"/>
        <v>2.1267582837780478E-3</v>
      </c>
    </row>
    <row r="814" spans="1:3" ht="14.25" customHeight="1" x14ac:dyDescent="0.3">
      <c r="A814" s="22">
        <v>45022</v>
      </c>
      <c r="B814" s="23">
        <v>22922.21</v>
      </c>
      <c r="C814" s="24">
        <f t="shared" si="12"/>
        <v>3.3828074763196402E-3</v>
      </c>
    </row>
    <row r="815" spans="1:3" ht="14.25" customHeight="1" x14ac:dyDescent="0.3">
      <c r="A815" s="22">
        <v>45021</v>
      </c>
      <c r="B815" s="23">
        <v>22844.93</v>
      </c>
      <c r="C815" s="24">
        <f t="shared" si="12"/>
        <v>7.3595457806520876E-3</v>
      </c>
    </row>
    <row r="816" spans="1:3" ht="14.25" customHeight="1" x14ac:dyDescent="0.3">
      <c r="A816" s="22">
        <v>45019</v>
      </c>
      <c r="B816" s="23">
        <v>22678.03</v>
      </c>
      <c r="C816" s="24">
        <f t="shared" si="12"/>
        <v>3.0292522536945893E-3</v>
      </c>
    </row>
    <row r="817" spans="1:3" ht="14.25" customHeight="1" x14ac:dyDescent="0.3">
      <c r="A817" s="22">
        <v>45016</v>
      </c>
      <c r="B817" s="23">
        <v>22609.54</v>
      </c>
      <c r="C817" s="24">
        <f t="shared" si="12"/>
        <v>1.4804052655981687E-2</v>
      </c>
    </row>
    <row r="818" spans="1:3" ht="14.25" customHeight="1" x14ac:dyDescent="0.3">
      <c r="A818" s="22">
        <v>45014</v>
      </c>
      <c r="B818" s="23">
        <v>22279.71</v>
      </c>
      <c r="C818" s="24">
        <f t="shared" si="12"/>
        <v>9.4229133828657545E-3</v>
      </c>
    </row>
    <row r="819" spans="1:3" ht="14.25" customHeight="1" x14ac:dyDescent="0.3">
      <c r="A819" s="22">
        <v>45013</v>
      </c>
      <c r="B819" s="23">
        <v>22071.73</v>
      </c>
      <c r="C819" s="24">
        <f t="shared" si="12"/>
        <v>-3.5709722841086398E-3</v>
      </c>
    </row>
    <row r="820" spans="1:3" ht="14.25" customHeight="1" x14ac:dyDescent="0.3">
      <c r="A820" s="22">
        <v>45012</v>
      </c>
      <c r="B820" s="23">
        <v>22150.83</v>
      </c>
      <c r="C820" s="24">
        <f t="shared" si="12"/>
        <v>-1.1399654853803862E-3</v>
      </c>
    </row>
    <row r="821" spans="1:3" ht="14.25" customHeight="1" x14ac:dyDescent="0.3">
      <c r="A821" s="22">
        <v>45009</v>
      </c>
      <c r="B821" s="23">
        <v>22176.11</v>
      </c>
      <c r="C821" s="24">
        <f t="shared" si="12"/>
        <v>-8.615560134347713E-3</v>
      </c>
    </row>
    <row r="822" spans="1:3" ht="14.25" customHeight="1" x14ac:dyDescent="0.3">
      <c r="A822" s="22">
        <v>45008</v>
      </c>
      <c r="B822" s="23">
        <v>22368.83</v>
      </c>
      <c r="C822" s="24">
        <f t="shared" si="12"/>
        <v>-3.9022178918670788E-3</v>
      </c>
    </row>
    <row r="823" spans="1:3" ht="14.25" customHeight="1" x14ac:dyDescent="0.3">
      <c r="A823" s="22">
        <v>45007</v>
      </c>
      <c r="B823" s="23">
        <v>22456.46</v>
      </c>
      <c r="C823" s="24">
        <f t="shared" si="12"/>
        <v>3.3778862831901251E-3</v>
      </c>
    </row>
    <row r="824" spans="1:3" ht="14.25" customHeight="1" x14ac:dyDescent="0.3">
      <c r="A824" s="22">
        <v>45006</v>
      </c>
      <c r="B824" s="23">
        <v>22380.86</v>
      </c>
      <c r="C824" s="24">
        <f t="shared" si="12"/>
        <v>6.5839212717910258E-3</v>
      </c>
    </row>
    <row r="825" spans="1:3" ht="14.25" customHeight="1" x14ac:dyDescent="0.3">
      <c r="A825" s="22">
        <v>45005</v>
      </c>
      <c r="B825" s="23">
        <v>22234.47</v>
      </c>
      <c r="C825" s="24">
        <f t="shared" si="12"/>
        <v>-7.1796442640093151E-3</v>
      </c>
    </row>
    <row r="826" spans="1:3" ht="14.25" customHeight="1" x14ac:dyDescent="0.3">
      <c r="A826" s="22">
        <v>45002</v>
      </c>
      <c r="B826" s="23">
        <v>22395.26</v>
      </c>
      <c r="C826" s="24">
        <f t="shared" si="12"/>
        <v>6.3168735744570624E-3</v>
      </c>
    </row>
    <row r="827" spans="1:3" ht="14.25" customHeight="1" x14ac:dyDescent="0.3">
      <c r="A827" s="22">
        <v>45001</v>
      </c>
      <c r="B827" s="23">
        <v>22254.68</v>
      </c>
      <c r="C827" s="24">
        <f t="shared" si="12"/>
        <v>7.1271735068789786E-4</v>
      </c>
    </row>
    <row r="828" spans="1:3" ht="14.25" customHeight="1" x14ac:dyDescent="0.3">
      <c r="A828" s="22">
        <v>45000</v>
      </c>
      <c r="B828" s="23">
        <v>22238.83</v>
      </c>
      <c r="C828" s="24">
        <f t="shared" si="12"/>
        <v>-2.6553903392405398E-3</v>
      </c>
    </row>
    <row r="829" spans="1:3" ht="14.25" customHeight="1" x14ac:dyDescent="0.3">
      <c r="A829" s="22">
        <v>44999</v>
      </c>
      <c r="B829" s="23">
        <v>22298.04</v>
      </c>
      <c r="C829" s="24">
        <f t="shared" si="12"/>
        <v>-6.6347484760749574E-3</v>
      </c>
    </row>
    <row r="830" spans="1:3" ht="14.25" customHeight="1" x14ac:dyDescent="0.3">
      <c r="A830" s="22">
        <v>44998</v>
      </c>
      <c r="B830" s="23">
        <v>22446.97</v>
      </c>
      <c r="C830" s="24">
        <f t="shared" si="12"/>
        <v>-1.5354645192505388E-2</v>
      </c>
    </row>
    <row r="831" spans="1:3" ht="14.25" customHeight="1" x14ac:dyDescent="0.3">
      <c r="A831" s="22">
        <v>44995</v>
      </c>
      <c r="B831" s="23">
        <v>22797.01</v>
      </c>
      <c r="C831" s="24">
        <f t="shared" si="12"/>
        <v>-8.3828735700680768E-3</v>
      </c>
    </row>
    <row r="832" spans="1:3" ht="14.25" customHeight="1" x14ac:dyDescent="0.3">
      <c r="A832" s="22">
        <v>44994</v>
      </c>
      <c r="B832" s="23">
        <v>22989.73</v>
      </c>
      <c r="C832" s="24">
        <f t="shared" si="12"/>
        <v>-7.9083450171946752E-3</v>
      </c>
    </row>
    <row r="833" spans="1:3" ht="14.25" customHeight="1" x14ac:dyDescent="0.3">
      <c r="A833" s="22">
        <v>44993</v>
      </c>
      <c r="B833" s="23">
        <v>23172.99</v>
      </c>
      <c r="C833" s="24">
        <f t="shared" si="12"/>
        <v>2.7703528110513118E-3</v>
      </c>
    </row>
    <row r="834" spans="1:3" ht="14.25" customHeight="1" x14ac:dyDescent="0.3">
      <c r="A834" s="22">
        <v>44991</v>
      </c>
      <c r="B834" s="23">
        <v>23108.97</v>
      </c>
      <c r="C834" s="24">
        <f t="shared" ref="C834:C897" si="13">(B834-B835)/B835</f>
        <v>7.1918709760652498E-3</v>
      </c>
    </row>
    <row r="835" spans="1:3" ht="14.25" customHeight="1" x14ac:dyDescent="0.3">
      <c r="A835" s="22">
        <v>44988</v>
      </c>
      <c r="B835" s="23">
        <v>22943.96</v>
      </c>
      <c r="C835" s="24">
        <f t="shared" si="13"/>
        <v>1.2855839955784489E-2</v>
      </c>
    </row>
    <row r="836" spans="1:3" ht="14.25" customHeight="1" x14ac:dyDescent="0.3">
      <c r="A836" s="22">
        <v>44987</v>
      </c>
      <c r="B836" s="23">
        <v>22652.74</v>
      </c>
      <c r="C836" s="24">
        <f t="shared" si="13"/>
        <v>-5.2930451827754828E-3</v>
      </c>
    </row>
    <row r="837" spans="1:3" ht="14.25" customHeight="1" x14ac:dyDescent="0.3">
      <c r="A837" s="22">
        <v>44986</v>
      </c>
      <c r="B837" s="23">
        <v>22773.279999999999</v>
      </c>
      <c r="C837" s="24">
        <f t="shared" si="13"/>
        <v>1.0065043787575386E-2</v>
      </c>
    </row>
    <row r="838" spans="1:3" ht="14.25" customHeight="1" x14ac:dyDescent="0.3">
      <c r="A838" s="22">
        <v>44985</v>
      </c>
      <c r="B838" s="23">
        <v>22546.35</v>
      </c>
      <c r="C838" s="24">
        <f t="shared" si="13"/>
        <v>-2.0599400961984443E-3</v>
      </c>
    </row>
    <row r="839" spans="1:3" ht="14.25" customHeight="1" x14ac:dyDescent="0.3">
      <c r="A839" s="22">
        <v>44984</v>
      </c>
      <c r="B839" s="23">
        <v>22592.89</v>
      </c>
      <c r="C839" s="24">
        <f t="shared" si="13"/>
        <v>-5.5876273776576208E-3</v>
      </c>
    </row>
    <row r="840" spans="1:3" ht="14.25" customHeight="1" x14ac:dyDescent="0.3">
      <c r="A840" s="22">
        <v>44981</v>
      </c>
      <c r="B840" s="23">
        <v>22719.84</v>
      </c>
      <c r="C840" s="24">
        <f t="shared" si="13"/>
        <v>-2.4574318103286409E-3</v>
      </c>
    </row>
    <row r="841" spans="1:3" ht="14.25" customHeight="1" x14ac:dyDescent="0.3">
      <c r="A841" s="22">
        <v>44980</v>
      </c>
      <c r="B841" s="23">
        <v>22775.81</v>
      </c>
      <c r="C841" s="24">
        <f t="shared" si="13"/>
        <v>-2.388925268337859E-3</v>
      </c>
    </row>
    <row r="842" spans="1:3" ht="14.25" customHeight="1" x14ac:dyDescent="0.3">
      <c r="A842" s="22">
        <v>44979</v>
      </c>
      <c r="B842" s="23">
        <v>22830.35</v>
      </c>
      <c r="C842" s="24">
        <f t="shared" si="13"/>
        <v>-1.4189324563797364E-2</v>
      </c>
    </row>
    <row r="843" spans="1:3" ht="14.25" customHeight="1" x14ac:dyDescent="0.3">
      <c r="A843" s="22">
        <v>44978</v>
      </c>
      <c r="B843" s="23">
        <v>23158.959999999999</v>
      </c>
      <c r="C843" s="24">
        <f t="shared" si="13"/>
        <v>-1.6398672242100647E-3</v>
      </c>
    </row>
    <row r="844" spans="1:3" ht="14.25" customHeight="1" x14ac:dyDescent="0.3">
      <c r="A844" s="22">
        <v>44977</v>
      </c>
      <c r="B844" s="23">
        <v>23197</v>
      </c>
      <c r="C844" s="24">
        <f t="shared" si="13"/>
        <v>-4.3458199650188321E-3</v>
      </c>
    </row>
    <row r="845" spans="1:3" ht="14.25" customHeight="1" x14ac:dyDescent="0.3">
      <c r="A845" s="22">
        <v>44974</v>
      </c>
      <c r="B845" s="23">
        <v>23298.25</v>
      </c>
      <c r="C845" s="24">
        <f t="shared" si="13"/>
        <v>-5.2384746299678278E-3</v>
      </c>
    </row>
    <row r="846" spans="1:3" ht="14.25" customHeight="1" x14ac:dyDescent="0.3">
      <c r="A846" s="22">
        <v>44973</v>
      </c>
      <c r="B846" s="23">
        <v>23420.94</v>
      </c>
      <c r="C846" s="24">
        <f t="shared" si="13"/>
        <v>2.9414724491215491E-3</v>
      </c>
    </row>
    <row r="847" spans="1:3" ht="14.25" customHeight="1" x14ac:dyDescent="0.3">
      <c r="A847" s="22">
        <v>44972</v>
      </c>
      <c r="B847" s="23">
        <v>23352.25</v>
      </c>
      <c r="C847" s="24">
        <f t="shared" si="13"/>
        <v>5.1868671107428415E-3</v>
      </c>
    </row>
    <row r="848" spans="1:3" ht="14.25" customHeight="1" x14ac:dyDescent="0.3">
      <c r="A848" s="22">
        <v>44971</v>
      </c>
      <c r="B848" s="23">
        <v>23231.75</v>
      </c>
      <c r="C848" s="24">
        <f t="shared" si="13"/>
        <v>4.5984049580093996E-3</v>
      </c>
    </row>
    <row r="849" spans="1:3" ht="14.25" customHeight="1" x14ac:dyDescent="0.3">
      <c r="A849" s="22">
        <v>44970</v>
      </c>
      <c r="B849" s="23">
        <v>23125.41</v>
      </c>
      <c r="C849" s="24">
        <f t="shared" si="13"/>
        <v>-7.6686010885628434E-3</v>
      </c>
    </row>
    <row r="850" spans="1:3" ht="14.25" customHeight="1" x14ac:dyDescent="0.3">
      <c r="A850" s="22">
        <v>44967</v>
      </c>
      <c r="B850" s="23">
        <v>23304.12</v>
      </c>
      <c r="C850" s="24">
        <f t="shared" si="13"/>
        <v>-9.1316683686721504E-4</v>
      </c>
    </row>
    <row r="851" spans="1:3" ht="14.25" customHeight="1" x14ac:dyDescent="0.3">
      <c r="A851" s="22">
        <v>44966</v>
      </c>
      <c r="B851" s="23">
        <v>23325.42</v>
      </c>
      <c r="C851" s="24">
        <f t="shared" si="13"/>
        <v>1.1919748364674137E-4</v>
      </c>
    </row>
    <row r="852" spans="1:3" ht="14.25" customHeight="1" x14ac:dyDescent="0.3">
      <c r="A852" s="22">
        <v>44965</v>
      </c>
      <c r="B852" s="23">
        <v>23322.639999999999</v>
      </c>
      <c r="C852" s="24">
        <f t="shared" si="13"/>
        <v>8.5457223388346899E-3</v>
      </c>
    </row>
    <row r="853" spans="1:3" ht="14.25" customHeight="1" x14ac:dyDescent="0.3">
      <c r="A853" s="22">
        <v>44964</v>
      </c>
      <c r="B853" s="23">
        <v>23125.02</v>
      </c>
      <c r="C853" s="24">
        <f t="shared" si="13"/>
        <v>-2.1174509980758558E-3</v>
      </c>
    </row>
    <row r="854" spans="1:3" ht="14.25" customHeight="1" x14ac:dyDescent="0.3">
      <c r="A854" s="22">
        <v>44963</v>
      </c>
      <c r="B854" s="23">
        <v>23174.09</v>
      </c>
      <c r="C854" s="24">
        <f t="shared" si="13"/>
        <v>-1.8731495702825874E-3</v>
      </c>
    </row>
    <row r="855" spans="1:3" ht="14.25" customHeight="1" x14ac:dyDescent="0.3">
      <c r="A855" s="22">
        <v>44960</v>
      </c>
      <c r="B855" s="23">
        <v>23217.58</v>
      </c>
      <c r="C855" s="24">
        <f t="shared" si="13"/>
        <v>8.3096502077629752E-3</v>
      </c>
    </row>
    <row r="856" spans="1:3" ht="14.25" customHeight="1" x14ac:dyDescent="0.3">
      <c r="A856" s="22">
        <v>44959</v>
      </c>
      <c r="B856" s="23">
        <v>23026.240000000002</v>
      </c>
      <c r="C856" s="24">
        <f t="shared" si="13"/>
        <v>-5.4516728301811171E-4</v>
      </c>
    </row>
    <row r="857" spans="1:3" ht="14.25" customHeight="1" x14ac:dyDescent="0.3">
      <c r="A857" s="22">
        <v>44958</v>
      </c>
      <c r="B857" s="23">
        <v>23038.799999999999</v>
      </c>
      <c r="C857" s="24">
        <f t="shared" si="13"/>
        <v>-5.8791674667368569E-3</v>
      </c>
    </row>
    <row r="858" spans="1:3" ht="14.25" customHeight="1" x14ac:dyDescent="0.3">
      <c r="A858" s="22">
        <v>44957</v>
      </c>
      <c r="B858" s="23">
        <v>23175.05</v>
      </c>
      <c r="C858" s="24">
        <f t="shared" si="13"/>
        <v>5.4997572488023365E-3</v>
      </c>
    </row>
    <row r="859" spans="1:3" ht="14.25" customHeight="1" x14ac:dyDescent="0.3">
      <c r="A859" s="22">
        <v>44956</v>
      </c>
      <c r="B859" s="23">
        <v>23048.29</v>
      </c>
      <c r="C859" s="24">
        <f t="shared" si="13"/>
        <v>-1.3773782413232913E-3</v>
      </c>
    </row>
    <row r="860" spans="1:3" ht="14.25" customHeight="1" x14ac:dyDescent="0.3">
      <c r="A860" s="22">
        <v>44953</v>
      </c>
      <c r="B860" s="23">
        <v>23080.080000000002</v>
      </c>
      <c r="C860" s="24">
        <f t="shared" si="13"/>
        <v>-1.9586120649959394E-2</v>
      </c>
    </row>
    <row r="861" spans="1:3" ht="14.25" customHeight="1" x14ac:dyDescent="0.3">
      <c r="A861" s="22">
        <v>44951</v>
      </c>
      <c r="B861" s="23">
        <v>23541.16</v>
      </c>
      <c r="C861" s="24">
        <f t="shared" si="13"/>
        <v>-1.4051379045477885E-2</v>
      </c>
    </row>
    <row r="862" spans="1:3" ht="14.25" customHeight="1" x14ac:dyDescent="0.3">
      <c r="A862" s="22">
        <v>44950</v>
      </c>
      <c r="B862" s="23">
        <v>23876.66</v>
      </c>
      <c r="C862" s="24">
        <f t="shared" si="13"/>
        <v>-9.3518518131079683E-4</v>
      </c>
    </row>
    <row r="863" spans="1:3" ht="14.25" customHeight="1" x14ac:dyDescent="0.3">
      <c r="A863" s="22">
        <v>44949</v>
      </c>
      <c r="B863" s="23">
        <v>23899.01</v>
      </c>
      <c r="C863" s="24">
        <f t="shared" si="13"/>
        <v>3.6038850737763277E-3</v>
      </c>
    </row>
    <row r="864" spans="1:3" ht="14.25" customHeight="1" x14ac:dyDescent="0.3">
      <c r="A864" s="22">
        <v>44946</v>
      </c>
      <c r="B864" s="23">
        <v>23813.19</v>
      </c>
      <c r="C864" s="24">
        <f t="shared" si="13"/>
        <v>-4.657129207121951E-3</v>
      </c>
    </row>
    <row r="865" spans="1:3" ht="14.25" customHeight="1" x14ac:dyDescent="0.3">
      <c r="A865" s="22">
        <v>44945</v>
      </c>
      <c r="B865" s="23">
        <v>23924.61</v>
      </c>
      <c r="C865" s="24">
        <f t="shared" si="13"/>
        <v>-2.9297880258771247E-3</v>
      </c>
    </row>
    <row r="866" spans="1:3" ht="14.25" customHeight="1" x14ac:dyDescent="0.3">
      <c r="A866" s="22">
        <v>44944</v>
      </c>
      <c r="B866" s="23">
        <v>23994.91</v>
      </c>
      <c r="C866" s="24">
        <f t="shared" si="13"/>
        <v>4.5599952105815269E-3</v>
      </c>
    </row>
    <row r="867" spans="1:3" ht="14.25" customHeight="1" x14ac:dyDescent="0.3">
      <c r="A867" s="22">
        <v>44943</v>
      </c>
      <c r="B867" s="23">
        <v>23885.99</v>
      </c>
      <c r="C867" s="24">
        <f t="shared" si="13"/>
        <v>3.2614621598986513E-3</v>
      </c>
    </row>
    <row r="868" spans="1:3" ht="14.25" customHeight="1" x14ac:dyDescent="0.3">
      <c r="A868" s="22">
        <v>44942</v>
      </c>
      <c r="B868" s="23">
        <v>23808.34</v>
      </c>
      <c r="C868" s="24">
        <f t="shared" si="13"/>
        <v>0</v>
      </c>
    </row>
    <row r="869" spans="1:3" ht="14.25" customHeight="1" x14ac:dyDescent="0.3">
      <c r="A869" s="22">
        <v>44939</v>
      </c>
      <c r="B869" s="23">
        <v>23808.34</v>
      </c>
      <c r="C869" s="24">
        <f t="shared" si="13"/>
        <v>2.9238891559139292E-3</v>
      </c>
    </row>
    <row r="870" spans="1:3" ht="14.25" customHeight="1" x14ac:dyDescent="0.3">
      <c r="A870" s="22">
        <v>44938</v>
      </c>
      <c r="B870" s="23">
        <v>23738.93</v>
      </c>
      <c r="C870" s="24">
        <f t="shared" si="13"/>
        <v>0</v>
      </c>
    </row>
    <row r="871" spans="1:3" ht="14.25" customHeight="1" x14ac:dyDescent="0.3">
      <c r="A871" s="22">
        <v>44937</v>
      </c>
      <c r="B871" s="23">
        <v>23738.93</v>
      </c>
      <c r="C871" s="24">
        <f t="shared" si="13"/>
        <v>-1.5570355758655462E-3</v>
      </c>
    </row>
    <row r="872" spans="1:3" ht="14.25" customHeight="1" x14ac:dyDescent="0.3">
      <c r="A872" s="22">
        <v>44936</v>
      </c>
      <c r="B872" s="23">
        <v>23775.95</v>
      </c>
      <c r="C872" s="24">
        <f t="shared" si="13"/>
        <v>3.4870573279483707E-3</v>
      </c>
    </row>
    <row r="873" spans="1:3" ht="14.25" customHeight="1" x14ac:dyDescent="0.3">
      <c r="A873" s="22">
        <v>44935</v>
      </c>
      <c r="B873" s="23">
        <v>23693.33</v>
      </c>
      <c r="C873" s="24">
        <f t="shared" si="13"/>
        <v>0</v>
      </c>
    </row>
    <row r="874" spans="1:3" ht="14.25" customHeight="1" x14ac:dyDescent="0.3">
      <c r="A874" s="22">
        <v>44932</v>
      </c>
      <c r="B874" s="23">
        <v>23693.33</v>
      </c>
      <c r="C874" s="24">
        <f t="shared" si="13"/>
        <v>-7.4221319201524163E-3</v>
      </c>
    </row>
    <row r="875" spans="1:3" ht="14.25" customHeight="1" x14ac:dyDescent="0.3">
      <c r="A875" s="22">
        <v>44931</v>
      </c>
      <c r="B875" s="23">
        <v>23870.5</v>
      </c>
      <c r="C875" s="24">
        <f t="shared" si="13"/>
        <v>-4.4470276100949126E-4</v>
      </c>
    </row>
    <row r="876" spans="1:3" ht="14.25" customHeight="1" x14ac:dyDescent="0.3">
      <c r="A876" s="22">
        <v>44930</v>
      </c>
      <c r="B876" s="23">
        <v>23881.119999999999</v>
      </c>
      <c r="C876" s="24">
        <f t="shared" si="13"/>
        <v>-1.0592543581810252E-2</v>
      </c>
    </row>
    <row r="877" spans="1:3" ht="14.25" customHeight="1" x14ac:dyDescent="0.3">
      <c r="A877" s="22">
        <v>44929</v>
      </c>
      <c r="B877" s="23">
        <v>24136.79</v>
      </c>
      <c r="C877" s="24">
        <f t="shared" si="13"/>
        <v>2.2276995441624912E-3</v>
      </c>
    </row>
    <row r="878" spans="1:3" ht="14.25" customHeight="1" x14ac:dyDescent="0.3">
      <c r="A878" s="22">
        <v>44928</v>
      </c>
      <c r="B878" s="23">
        <v>24083.14</v>
      </c>
      <c r="C878" s="24">
        <f t="shared" si="13"/>
        <v>4.8407985606948372E-3</v>
      </c>
    </row>
    <row r="879" spans="1:3" ht="14.25" customHeight="1" x14ac:dyDescent="0.3">
      <c r="A879" s="22">
        <v>44925</v>
      </c>
      <c r="B879" s="23">
        <v>23967.119999999999</v>
      </c>
      <c r="C879" s="24">
        <f t="shared" si="13"/>
        <v>-2.3481145360402847E-3</v>
      </c>
    </row>
    <row r="880" spans="1:3" ht="14.25" customHeight="1" x14ac:dyDescent="0.3">
      <c r="A880" s="22">
        <v>44924</v>
      </c>
      <c r="B880" s="23">
        <v>24023.53</v>
      </c>
      <c r="C880" s="24">
        <f t="shared" si="13"/>
        <v>3.3956736694952506E-3</v>
      </c>
    </row>
    <row r="881" spans="1:3" ht="14.25" customHeight="1" x14ac:dyDescent="0.3">
      <c r="A881" s="22">
        <v>44923</v>
      </c>
      <c r="B881" s="23">
        <v>23942.23</v>
      </c>
      <c r="C881" s="24">
        <f t="shared" si="13"/>
        <v>9.3729841499569822E-4</v>
      </c>
    </row>
    <row r="882" spans="1:3" ht="14.25" customHeight="1" x14ac:dyDescent="0.3">
      <c r="A882" s="22">
        <v>44922</v>
      </c>
      <c r="B882" s="23">
        <v>23919.81</v>
      </c>
      <c r="C882" s="24">
        <f t="shared" si="13"/>
        <v>7.8301270288957201E-3</v>
      </c>
    </row>
    <row r="883" spans="1:3" ht="14.25" customHeight="1" x14ac:dyDescent="0.3">
      <c r="A883" s="22">
        <v>44921</v>
      </c>
      <c r="B883" s="23">
        <v>23733.97</v>
      </c>
      <c r="C883" s="24">
        <f t="shared" si="13"/>
        <v>1.6786814228178838E-2</v>
      </c>
    </row>
    <row r="884" spans="1:3" ht="14.25" customHeight="1" x14ac:dyDescent="0.3">
      <c r="A884" s="22">
        <v>44918</v>
      </c>
      <c r="B884" s="23">
        <v>23342.13</v>
      </c>
      <c r="C884" s="24">
        <f t="shared" si="13"/>
        <v>-2.4981015180336959E-2</v>
      </c>
    </row>
    <row r="885" spans="1:3" ht="14.25" customHeight="1" x14ac:dyDescent="0.3">
      <c r="A885" s="22">
        <v>44917</v>
      </c>
      <c r="B885" s="23">
        <v>23940.18</v>
      </c>
      <c r="C885" s="24">
        <f t="shared" si="13"/>
        <v>-6.1874123830441769E-3</v>
      </c>
    </row>
    <row r="886" spans="1:3" ht="14.25" customHeight="1" x14ac:dyDescent="0.3">
      <c r="A886" s="22">
        <v>44916</v>
      </c>
      <c r="B886" s="23">
        <v>24089.23</v>
      </c>
      <c r="C886" s="24">
        <f t="shared" si="13"/>
        <v>-1.2632882794260347E-2</v>
      </c>
    </row>
    <row r="887" spans="1:3" ht="14.25" customHeight="1" x14ac:dyDescent="0.3">
      <c r="A887" s="22">
        <v>44915</v>
      </c>
      <c r="B887" s="23">
        <v>24397.439999999999</v>
      </c>
      <c r="C887" s="24">
        <f t="shared" si="13"/>
        <v>-1.8386098244116296E-3</v>
      </c>
    </row>
    <row r="888" spans="1:3" ht="14.25" customHeight="1" x14ac:dyDescent="0.3">
      <c r="A888" s="22">
        <v>44914</v>
      </c>
      <c r="B888" s="23">
        <v>24442.38</v>
      </c>
      <c r="C888" s="24">
        <f t="shared" si="13"/>
        <v>7.6007914914667744E-3</v>
      </c>
    </row>
    <row r="889" spans="1:3" ht="14.25" customHeight="1" x14ac:dyDescent="0.3">
      <c r="A889" s="22">
        <v>44911</v>
      </c>
      <c r="B889" s="23">
        <v>24258</v>
      </c>
      <c r="C889" s="24">
        <f t="shared" si="13"/>
        <v>-9.3438097260564578E-3</v>
      </c>
    </row>
    <row r="890" spans="1:3" ht="14.25" customHeight="1" x14ac:dyDescent="0.3">
      <c r="A890" s="22">
        <v>44910</v>
      </c>
      <c r="B890" s="23">
        <v>24486.799999999999</v>
      </c>
      <c r="C890" s="24">
        <f t="shared" si="13"/>
        <v>-1.1273120921069673E-2</v>
      </c>
    </row>
    <row r="891" spans="1:3" ht="14.25" customHeight="1" x14ac:dyDescent="0.3">
      <c r="A891" s="22">
        <v>44909</v>
      </c>
      <c r="B891" s="23">
        <v>24765.99</v>
      </c>
      <c r="C891" s="24">
        <f t="shared" si="13"/>
        <v>3.7286227318727126E-3</v>
      </c>
    </row>
    <row r="892" spans="1:3" ht="14.25" customHeight="1" x14ac:dyDescent="0.3">
      <c r="A892" s="22">
        <v>44908</v>
      </c>
      <c r="B892" s="23">
        <v>24673.99</v>
      </c>
      <c r="C892" s="24">
        <f t="shared" si="13"/>
        <v>4.8331705036507491E-3</v>
      </c>
    </row>
    <row r="893" spans="1:3" ht="14.25" customHeight="1" x14ac:dyDescent="0.3">
      <c r="A893" s="22">
        <v>44907</v>
      </c>
      <c r="B893" s="23">
        <v>24555.31</v>
      </c>
      <c r="C893" s="24">
        <f t="shared" si="13"/>
        <v>9.6569244102111187E-4</v>
      </c>
    </row>
    <row r="894" spans="1:3" ht="14.25" customHeight="1" x14ac:dyDescent="0.3">
      <c r="A894" s="22">
        <v>44904</v>
      </c>
      <c r="B894" s="23">
        <v>24531.62</v>
      </c>
      <c r="C894" s="24">
        <f t="shared" si="13"/>
        <v>-6.1804767263891813E-3</v>
      </c>
    </row>
    <row r="895" spans="1:3" ht="14.25" customHeight="1" x14ac:dyDescent="0.3">
      <c r="A895" s="22">
        <v>44903</v>
      </c>
      <c r="B895" s="23">
        <v>24684.18</v>
      </c>
      <c r="C895" s="24">
        <f t="shared" si="13"/>
        <v>3.0957412223667218E-3</v>
      </c>
    </row>
    <row r="896" spans="1:3" ht="14.25" customHeight="1" x14ac:dyDescent="0.3">
      <c r="A896" s="22">
        <v>44902</v>
      </c>
      <c r="B896" s="23">
        <v>24608</v>
      </c>
      <c r="C896" s="24">
        <f t="shared" si="13"/>
        <v>-3.8198779387880583E-3</v>
      </c>
    </row>
    <row r="897" spans="1:3" ht="14.25" customHeight="1" x14ac:dyDescent="0.3">
      <c r="A897" s="22">
        <v>44901</v>
      </c>
      <c r="B897" s="23">
        <v>24702.36</v>
      </c>
      <c r="C897" s="24">
        <f t="shared" si="13"/>
        <v>-2.7770208488504112E-3</v>
      </c>
    </row>
    <row r="898" spans="1:3" ht="14.25" customHeight="1" x14ac:dyDescent="0.3">
      <c r="A898" s="22">
        <v>44900</v>
      </c>
      <c r="B898" s="23">
        <v>24771.15</v>
      </c>
      <c r="C898" s="24">
        <f t="shared" ref="C898:C961" si="14">(B898-B899)/B899</f>
        <v>2.3056323651034528E-4</v>
      </c>
    </row>
    <row r="899" spans="1:3" ht="14.25" customHeight="1" x14ac:dyDescent="0.3">
      <c r="A899" s="22">
        <v>44897</v>
      </c>
      <c r="B899" s="23">
        <v>24765.439999999999</v>
      </c>
      <c r="C899" s="24">
        <f t="shared" si="14"/>
        <v>-2.5281725907747854E-3</v>
      </c>
    </row>
    <row r="900" spans="1:3" ht="14.25" customHeight="1" x14ac:dyDescent="0.3">
      <c r="A900" s="22">
        <v>44896</v>
      </c>
      <c r="B900" s="23">
        <v>24828.21</v>
      </c>
      <c r="C900" s="24">
        <f t="shared" si="14"/>
        <v>3.6267371209802021E-3</v>
      </c>
    </row>
    <row r="901" spans="1:3" ht="14.25" customHeight="1" x14ac:dyDescent="0.3">
      <c r="A901" s="22">
        <v>44895</v>
      </c>
      <c r="B901" s="23">
        <v>24738.49</v>
      </c>
      <c r="C901" s="24">
        <f t="shared" si="14"/>
        <v>8.4529330691248458E-3</v>
      </c>
    </row>
    <row r="902" spans="1:3" ht="14.25" customHeight="1" x14ac:dyDescent="0.3">
      <c r="A902" s="22">
        <v>44894</v>
      </c>
      <c r="B902" s="23">
        <v>24531.13</v>
      </c>
      <c r="C902" s="24">
        <f t="shared" si="14"/>
        <v>1.7764071084053457E-3</v>
      </c>
    </row>
    <row r="903" spans="1:3" ht="14.25" customHeight="1" x14ac:dyDescent="0.3">
      <c r="A903" s="22">
        <v>44893</v>
      </c>
      <c r="B903" s="23">
        <v>24487.63</v>
      </c>
      <c r="C903" s="24">
        <f t="shared" si="14"/>
        <v>3.6362280118251663E-3</v>
      </c>
    </row>
    <row r="904" spans="1:3" ht="14.25" customHeight="1" x14ac:dyDescent="0.3">
      <c r="A904" s="22">
        <v>44890</v>
      </c>
      <c r="B904" s="23">
        <v>24398.91</v>
      </c>
      <c r="C904" s="24">
        <f t="shared" si="14"/>
        <v>2.960509954211181E-3</v>
      </c>
    </row>
    <row r="905" spans="1:3" ht="14.25" customHeight="1" x14ac:dyDescent="0.3">
      <c r="A905" s="22">
        <v>44889</v>
      </c>
      <c r="B905" s="23">
        <v>24326.89</v>
      </c>
      <c r="C905" s="24">
        <f t="shared" si="14"/>
        <v>9.1867229969666911E-3</v>
      </c>
    </row>
    <row r="906" spans="1:3" ht="14.25" customHeight="1" x14ac:dyDescent="0.3">
      <c r="A906" s="22">
        <v>44888</v>
      </c>
      <c r="B906" s="23">
        <v>24105.439999999999</v>
      </c>
      <c r="C906" s="24">
        <f t="shared" si="14"/>
        <v>1.8677916086531324E-3</v>
      </c>
    </row>
    <row r="907" spans="1:3" ht="14.25" customHeight="1" x14ac:dyDescent="0.3">
      <c r="A907" s="22">
        <v>44887</v>
      </c>
      <c r="B907" s="23">
        <v>24060.5</v>
      </c>
      <c r="C907" s="24">
        <f t="shared" si="14"/>
        <v>-2.6446363210538451E-3</v>
      </c>
    </row>
    <row r="908" spans="1:3" ht="14.25" customHeight="1" x14ac:dyDescent="0.3">
      <c r="A908" s="22">
        <v>44883</v>
      </c>
      <c r="B908" s="23">
        <v>24124.3</v>
      </c>
      <c r="C908" s="24">
        <f t="shared" si="14"/>
        <v>-2.9455805339572675E-3</v>
      </c>
    </row>
    <row r="909" spans="1:3" ht="14.25" customHeight="1" x14ac:dyDescent="0.3">
      <c r="A909" s="22">
        <v>44882</v>
      </c>
      <c r="B909" s="23">
        <v>24195.57</v>
      </c>
      <c r="C909" s="24">
        <f t="shared" si="14"/>
        <v>-4.2012293369935666E-3</v>
      </c>
    </row>
    <row r="910" spans="1:3" ht="14.25" customHeight="1" x14ac:dyDescent="0.3">
      <c r="A910" s="22">
        <v>44881</v>
      </c>
      <c r="B910" s="23">
        <v>24297.65</v>
      </c>
      <c r="C910" s="24">
        <f t="shared" si="14"/>
        <v>-1.9457778223225522E-3</v>
      </c>
    </row>
    <row r="911" spans="1:3" ht="14.25" customHeight="1" x14ac:dyDescent="0.3">
      <c r="A911" s="22">
        <v>44880</v>
      </c>
      <c r="B911" s="23">
        <v>24345.02</v>
      </c>
      <c r="C911" s="24">
        <f t="shared" si="14"/>
        <v>2.796872116626744E-3</v>
      </c>
    </row>
    <row r="912" spans="1:3" ht="14.25" customHeight="1" x14ac:dyDescent="0.3">
      <c r="A912" s="22">
        <v>44879</v>
      </c>
      <c r="B912" s="23">
        <v>24277.119999999999</v>
      </c>
      <c r="C912" s="24">
        <f t="shared" si="14"/>
        <v>7.2089529428387707E-5</v>
      </c>
    </row>
    <row r="913" spans="1:3" ht="14.25" customHeight="1" x14ac:dyDescent="0.3">
      <c r="A913" s="22">
        <v>44876</v>
      </c>
      <c r="B913" s="23">
        <v>24275.37</v>
      </c>
      <c r="C913" s="24">
        <f t="shared" si="14"/>
        <v>1.3545606143224455E-2</v>
      </c>
    </row>
    <row r="914" spans="1:3" ht="14.25" customHeight="1" x14ac:dyDescent="0.3">
      <c r="A914" s="22">
        <v>44875</v>
      </c>
      <c r="B914" s="23">
        <v>23950.94</v>
      </c>
      <c r="C914" s="24">
        <f t="shared" si="14"/>
        <v>-8.1720105945433854E-3</v>
      </c>
    </row>
    <row r="915" spans="1:3" ht="14.25" customHeight="1" x14ac:dyDescent="0.3">
      <c r="A915" s="22">
        <v>44874</v>
      </c>
      <c r="B915" s="23">
        <v>24148.28</v>
      </c>
      <c r="C915" s="24">
        <f t="shared" si="14"/>
        <v>-2.9727154269067082E-3</v>
      </c>
    </row>
    <row r="916" spans="1:3" ht="14.25" customHeight="1" x14ac:dyDescent="0.3">
      <c r="A916" s="22">
        <v>44872</v>
      </c>
      <c r="B916" s="23">
        <v>24220.28</v>
      </c>
      <c r="C916" s="24">
        <f t="shared" si="14"/>
        <v>5.4318429286205009E-3</v>
      </c>
    </row>
    <row r="917" spans="1:3" ht="14.25" customHeight="1" x14ac:dyDescent="0.3">
      <c r="A917" s="22">
        <v>44869</v>
      </c>
      <c r="B917" s="23">
        <v>24089.43</v>
      </c>
      <c r="C917" s="24">
        <f t="shared" si="14"/>
        <v>2.9878002320792166E-3</v>
      </c>
    </row>
    <row r="918" spans="1:3" ht="14.25" customHeight="1" x14ac:dyDescent="0.3">
      <c r="A918" s="22">
        <v>44868</v>
      </c>
      <c r="B918" s="23">
        <v>24017.67</v>
      </c>
      <c r="C918" s="24">
        <f t="shared" si="14"/>
        <v>-8.0625534331380184E-4</v>
      </c>
    </row>
    <row r="919" spans="1:3" ht="14.25" customHeight="1" x14ac:dyDescent="0.3">
      <c r="A919" s="22">
        <v>44867</v>
      </c>
      <c r="B919" s="23">
        <v>24037.05</v>
      </c>
      <c r="C919" s="24">
        <f t="shared" si="14"/>
        <v>-2.564023828532862E-3</v>
      </c>
    </row>
    <row r="920" spans="1:3" ht="14.25" customHeight="1" x14ac:dyDescent="0.3">
      <c r="A920" s="22">
        <v>44866</v>
      </c>
      <c r="B920" s="23">
        <v>24098.84</v>
      </c>
      <c r="C920" s="24">
        <f t="shared" si="14"/>
        <v>7.4866971909417889E-3</v>
      </c>
    </row>
    <row r="921" spans="1:3" ht="14.25" customHeight="1" x14ac:dyDescent="0.3">
      <c r="A921" s="22">
        <v>44865</v>
      </c>
      <c r="B921" s="23">
        <v>23919.759999999998</v>
      </c>
      <c r="C921" s="24">
        <f t="shared" si="14"/>
        <v>1.2055512986554023E-2</v>
      </c>
    </row>
    <row r="922" spans="1:3" ht="14.25" customHeight="1" x14ac:dyDescent="0.3">
      <c r="A922" s="22">
        <v>44862</v>
      </c>
      <c r="B922" s="23">
        <v>23634.83</v>
      </c>
      <c r="C922" s="24">
        <f t="shared" si="14"/>
        <v>-1.6879015111574786E-4</v>
      </c>
    </row>
    <row r="923" spans="1:3" ht="14.25" customHeight="1" x14ac:dyDescent="0.3">
      <c r="A923" s="22">
        <v>44861</v>
      </c>
      <c r="B923" s="23">
        <v>23638.82</v>
      </c>
      <c r="C923" s="24">
        <f t="shared" si="14"/>
        <v>6.2090967715846233E-3</v>
      </c>
    </row>
    <row r="924" spans="1:3" ht="14.25" customHeight="1" x14ac:dyDescent="0.3">
      <c r="A924" s="22">
        <v>44859</v>
      </c>
      <c r="B924" s="23">
        <v>23492.95</v>
      </c>
      <c r="C924" s="24">
        <f t="shared" si="14"/>
        <v>-2.6681326891890129E-3</v>
      </c>
    </row>
    <row r="925" spans="1:3" ht="14.25" customHeight="1" x14ac:dyDescent="0.3">
      <c r="A925" s="22">
        <v>44858</v>
      </c>
      <c r="B925" s="23">
        <v>23555.8</v>
      </c>
      <c r="C925" s="24">
        <f t="shared" si="14"/>
        <v>7.8024491912397527E-3</v>
      </c>
    </row>
    <row r="926" spans="1:3" ht="14.25" customHeight="1" x14ac:dyDescent="0.3">
      <c r="A926" s="22">
        <v>44855</v>
      </c>
      <c r="B926" s="23">
        <v>23373.43</v>
      </c>
      <c r="C926" s="24">
        <f t="shared" si="14"/>
        <v>-2.0498312657120316E-3</v>
      </c>
    </row>
    <row r="927" spans="1:3" ht="14.25" customHeight="1" x14ac:dyDescent="0.3">
      <c r="A927" s="22">
        <v>44854</v>
      </c>
      <c r="B927" s="23">
        <v>23421.439999999999</v>
      </c>
      <c r="C927" s="24">
        <f t="shared" si="14"/>
        <v>2.8872985838406463E-3</v>
      </c>
    </row>
    <row r="928" spans="1:3" ht="14.25" customHeight="1" x14ac:dyDescent="0.3">
      <c r="A928" s="22">
        <v>44853</v>
      </c>
      <c r="B928" s="23">
        <v>23354.01</v>
      </c>
      <c r="C928" s="24">
        <f t="shared" si="14"/>
        <v>8.9314910918662771E-4</v>
      </c>
    </row>
    <row r="929" spans="1:3" ht="14.25" customHeight="1" x14ac:dyDescent="0.3">
      <c r="A929" s="22">
        <v>44852</v>
      </c>
      <c r="B929" s="23">
        <v>23333.17</v>
      </c>
      <c r="C929" s="24">
        <f t="shared" si="14"/>
        <v>1.0087380384975716E-2</v>
      </c>
    </row>
    <row r="930" spans="1:3" ht="14.25" customHeight="1" x14ac:dyDescent="0.3">
      <c r="A930" s="22">
        <v>44851</v>
      </c>
      <c r="B930" s="23">
        <v>23100.15</v>
      </c>
      <c r="C930" s="24">
        <f t="shared" si="14"/>
        <v>6.2189152246467337E-3</v>
      </c>
    </row>
    <row r="931" spans="1:3" ht="14.25" customHeight="1" x14ac:dyDescent="0.3">
      <c r="A931" s="22">
        <v>44848</v>
      </c>
      <c r="B931" s="23">
        <v>22957.38</v>
      </c>
      <c r="C931" s="24">
        <f t="shared" si="14"/>
        <v>5.7565984023468632E-3</v>
      </c>
    </row>
    <row r="932" spans="1:3" ht="14.25" customHeight="1" x14ac:dyDescent="0.3">
      <c r="A932" s="22">
        <v>44847</v>
      </c>
      <c r="B932" s="23">
        <v>22825.98</v>
      </c>
      <c r="C932" s="24">
        <f t="shared" si="14"/>
        <v>-6.7196393448330704E-3</v>
      </c>
    </row>
    <row r="933" spans="1:3" ht="14.25" customHeight="1" x14ac:dyDescent="0.3">
      <c r="A933" s="22">
        <v>44846</v>
      </c>
      <c r="B933" s="23">
        <v>22980.400000000001</v>
      </c>
      <c r="C933" s="24">
        <f t="shared" si="14"/>
        <v>7.3388044876207268E-3</v>
      </c>
    </row>
    <row r="934" spans="1:3" ht="14.25" customHeight="1" x14ac:dyDescent="0.3">
      <c r="A934" s="22">
        <v>44845</v>
      </c>
      <c r="B934" s="23">
        <v>22812.98</v>
      </c>
      <c r="C934" s="24">
        <f t="shared" si="14"/>
        <v>-1.5365372148450213E-2</v>
      </c>
    </row>
    <row r="935" spans="1:3" ht="14.25" customHeight="1" x14ac:dyDescent="0.3">
      <c r="A935" s="22">
        <v>44844</v>
      </c>
      <c r="B935" s="23">
        <v>23168.98</v>
      </c>
      <c r="C935" s="24">
        <f t="shared" si="14"/>
        <v>-5.6560362597459597E-3</v>
      </c>
    </row>
    <row r="936" spans="1:3" ht="14.25" customHeight="1" x14ac:dyDescent="0.3">
      <c r="A936" s="22">
        <v>44841</v>
      </c>
      <c r="B936" s="23">
        <v>23300.77</v>
      </c>
      <c r="C936" s="24">
        <f t="shared" si="14"/>
        <v>-1.0854798210930211E-3</v>
      </c>
    </row>
    <row r="937" spans="1:3" ht="14.25" customHeight="1" x14ac:dyDescent="0.3">
      <c r="A937" s="22">
        <v>44840</v>
      </c>
      <c r="B937" s="23">
        <v>23326.09</v>
      </c>
      <c r="C937" s="24">
        <f t="shared" si="14"/>
        <v>5.8272731388752689E-3</v>
      </c>
    </row>
    <row r="938" spans="1:3" ht="14.25" customHeight="1" x14ac:dyDescent="0.3">
      <c r="A938" s="22">
        <v>44838</v>
      </c>
      <c r="B938" s="23">
        <v>23190.95</v>
      </c>
      <c r="C938" s="24">
        <f t="shared" si="14"/>
        <v>2.2359167968626116E-2</v>
      </c>
    </row>
    <row r="939" spans="1:3" ht="14.25" customHeight="1" x14ac:dyDescent="0.3">
      <c r="A939" s="22">
        <v>44837</v>
      </c>
      <c r="B939" s="23">
        <v>22683.759999999998</v>
      </c>
      <c r="C939" s="24">
        <f t="shared" si="14"/>
        <v>-1.2867583862973323E-2</v>
      </c>
    </row>
    <row r="940" spans="1:3" ht="14.25" customHeight="1" x14ac:dyDescent="0.3">
      <c r="A940" s="22">
        <v>44834</v>
      </c>
      <c r="B940" s="23">
        <v>22979.45</v>
      </c>
      <c r="C940" s="24">
        <f t="shared" si="14"/>
        <v>1.5533437393384185E-2</v>
      </c>
    </row>
    <row r="941" spans="1:3" ht="14.25" customHeight="1" x14ac:dyDescent="0.3">
      <c r="A941" s="22">
        <v>44833</v>
      </c>
      <c r="B941" s="23">
        <v>22627.96</v>
      </c>
      <c r="C941" s="24">
        <f t="shared" si="14"/>
        <v>-1.2376412429378916E-3</v>
      </c>
    </row>
    <row r="942" spans="1:3" ht="14.25" customHeight="1" x14ac:dyDescent="0.3">
      <c r="A942" s="22">
        <v>44832</v>
      </c>
      <c r="B942" s="23">
        <v>22656</v>
      </c>
      <c r="C942" s="24">
        <f t="shared" si="14"/>
        <v>-7.2445383332172897E-3</v>
      </c>
    </row>
    <row r="943" spans="1:3" ht="14.25" customHeight="1" x14ac:dyDescent="0.3">
      <c r="A943" s="22">
        <v>44831</v>
      </c>
      <c r="B943" s="23">
        <v>22821.33</v>
      </c>
      <c r="C943" s="24">
        <f t="shared" si="14"/>
        <v>1.0780551359479084E-4</v>
      </c>
    </row>
    <row r="944" spans="1:3" ht="14.25" customHeight="1" x14ac:dyDescent="0.3">
      <c r="A944" s="22">
        <v>44830</v>
      </c>
      <c r="B944" s="23">
        <v>22818.87</v>
      </c>
      <c r="C944" s="24">
        <f t="shared" si="14"/>
        <v>-2.2044935874771025E-2</v>
      </c>
    </row>
    <row r="945" spans="1:3" ht="14.25" customHeight="1" x14ac:dyDescent="0.3">
      <c r="A945" s="22">
        <v>44827</v>
      </c>
      <c r="B945" s="23">
        <v>23333.25</v>
      </c>
      <c r="C945" s="24">
        <f t="shared" si="14"/>
        <v>-1.8103018754860353E-2</v>
      </c>
    </row>
    <row r="946" spans="1:3" ht="14.25" customHeight="1" x14ac:dyDescent="0.3">
      <c r="A946" s="22">
        <v>44826</v>
      </c>
      <c r="B946" s="23">
        <v>23763.439999999999</v>
      </c>
      <c r="C946" s="24">
        <f t="shared" si="14"/>
        <v>-1.6321958937565327E-3</v>
      </c>
    </row>
    <row r="947" spans="1:3" ht="14.25" customHeight="1" x14ac:dyDescent="0.3">
      <c r="A947" s="22">
        <v>44825</v>
      </c>
      <c r="B947" s="23">
        <v>23802.29</v>
      </c>
      <c r="C947" s="24">
        <f t="shared" si="14"/>
        <v>-7.0430584803713014E-3</v>
      </c>
    </row>
    <row r="948" spans="1:3" ht="14.25" customHeight="1" x14ac:dyDescent="0.3">
      <c r="A948" s="22">
        <v>44824</v>
      </c>
      <c r="B948" s="23">
        <v>23971.119999999999</v>
      </c>
      <c r="C948" s="24">
        <f t="shared" si="14"/>
        <v>1.1580088543937106E-2</v>
      </c>
    </row>
    <row r="949" spans="1:3" ht="14.25" customHeight="1" x14ac:dyDescent="0.3">
      <c r="A949" s="22">
        <v>44823</v>
      </c>
      <c r="B949" s="23">
        <v>23696.71</v>
      </c>
      <c r="C949" s="24">
        <f t="shared" si="14"/>
        <v>3.30076739878271E-3</v>
      </c>
    </row>
    <row r="950" spans="1:3" ht="14.25" customHeight="1" x14ac:dyDescent="0.3">
      <c r="A950" s="22">
        <v>44820</v>
      </c>
      <c r="B950" s="23">
        <v>23618.75</v>
      </c>
      <c r="C950" s="24">
        <f t="shared" si="14"/>
        <v>-2.1590360208020347E-2</v>
      </c>
    </row>
    <row r="951" spans="1:3" ht="14.25" customHeight="1" x14ac:dyDescent="0.3">
      <c r="A951" s="22">
        <v>44819</v>
      </c>
      <c r="B951" s="23">
        <v>24139.94</v>
      </c>
      <c r="C951" s="24">
        <f t="shared" si="14"/>
        <v>-3.1334887689122657E-3</v>
      </c>
    </row>
    <row r="952" spans="1:3" ht="14.25" customHeight="1" x14ac:dyDescent="0.3">
      <c r="A952" s="22">
        <v>44818</v>
      </c>
      <c r="B952" s="23">
        <v>24215.82</v>
      </c>
      <c r="C952" s="24">
        <f t="shared" si="14"/>
        <v>-2.4962494469941842E-3</v>
      </c>
    </row>
    <row r="953" spans="1:3" ht="14.25" customHeight="1" x14ac:dyDescent="0.3">
      <c r="A953" s="22">
        <v>44817</v>
      </c>
      <c r="B953" s="23">
        <v>24276.42</v>
      </c>
      <c r="C953" s="24">
        <f t="shared" si="14"/>
        <v>5.9374809649638165E-3</v>
      </c>
    </row>
    <row r="954" spans="1:3" ht="14.25" customHeight="1" x14ac:dyDescent="0.3">
      <c r="A954" s="22">
        <v>44816</v>
      </c>
      <c r="B954" s="23">
        <v>24133.13</v>
      </c>
      <c r="C954" s="24">
        <f t="shared" si="14"/>
        <v>7.1156659831020999E-3</v>
      </c>
    </row>
    <row r="955" spans="1:3" ht="14.25" customHeight="1" x14ac:dyDescent="0.3">
      <c r="A955" s="22">
        <v>44813</v>
      </c>
      <c r="B955" s="23">
        <v>23962.62</v>
      </c>
      <c r="C955" s="24">
        <f t="shared" si="14"/>
        <v>1.7398938171480699E-3</v>
      </c>
    </row>
    <row r="956" spans="1:3" ht="14.25" customHeight="1" x14ac:dyDescent="0.3">
      <c r="A956" s="22">
        <v>44812</v>
      </c>
      <c r="B956" s="23">
        <v>23921</v>
      </c>
      <c r="C956" s="24">
        <f t="shared" si="14"/>
        <v>7.927829990919821E-3</v>
      </c>
    </row>
    <row r="957" spans="1:3" ht="14.25" customHeight="1" x14ac:dyDescent="0.3">
      <c r="A957" s="22">
        <v>44811</v>
      </c>
      <c r="B957" s="23">
        <v>23732.85</v>
      </c>
      <c r="C957" s="24">
        <f t="shared" si="14"/>
        <v>4.2743851777471539E-4</v>
      </c>
    </row>
    <row r="958" spans="1:3" ht="14.25" customHeight="1" x14ac:dyDescent="0.3">
      <c r="A958" s="22">
        <v>44810</v>
      </c>
      <c r="B958" s="23">
        <v>23722.71</v>
      </c>
      <c r="C958" s="24">
        <f t="shared" si="14"/>
        <v>1.2205729855796921E-3</v>
      </c>
    </row>
    <row r="959" spans="1:3" ht="14.25" customHeight="1" x14ac:dyDescent="0.3">
      <c r="A959" s="22">
        <v>44809</v>
      </c>
      <c r="B959" s="23">
        <v>23693.79</v>
      </c>
      <c r="C959" s="24">
        <f t="shared" si="14"/>
        <v>6.1027419451407643E-3</v>
      </c>
    </row>
    <row r="960" spans="1:3" ht="14.25" customHeight="1" x14ac:dyDescent="0.3">
      <c r="A960" s="22">
        <v>44806</v>
      </c>
      <c r="B960" s="23">
        <v>23550.07</v>
      </c>
      <c r="C960" s="24">
        <f t="shared" si="14"/>
        <v>-6.2084388937695017E-4</v>
      </c>
    </row>
    <row r="961" spans="1:3" ht="14.25" customHeight="1" x14ac:dyDescent="0.3">
      <c r="A961" s="22">
        <v>44805</v>
      </c>
      <c r="B961" s="23">
        <v>23564.7</v>
      </c>
      <c r="C961" s="24">
        <f t="shared" si="14"/>
        <v>-7.3996319349697694E-3</v>
      </c>
    </row>
    <row r="962" spans="1:3" ht="14.25" customHeight="1" x14ac:dyDescent="0.3">
      <c r="A962" s="22">
        <v>44803</v>
      </c>
      <c r="B962" s="23">
        <v>23740.37</v>
      </c>
      <c r="C962" s="24">
        <f t="shared" ref="C962:C1025" si="15">(B962-B963)/B963</f>
        <v>2.35309283461911E-2</v>
      </c>
    </row>
    <row r="963" spans="1:3" ht="14.25" customHeight="1" x14ac:dyDescent="0.3">
      <c r="A963" s="22">
        <v>44802</v>
      </c>
      <c r="B963" s="23">
        <v>23194.58</v>
      </c>
      <c r="C963" s="24">
        <f t="shared" si="15"/>
        <v>-1.1538299269603283E-2</v>
      </c>
    </row>
    <row r="964" spans="1:3" ht="14.25" customHeight="1" x14ac:dyDescent="0.3">
      <c r="A964" s="22">
        <v>44799</v>
      </c>
      <c r="B964" s="23">
        <v>23465.33</v>
      </c>
      <c r="C964" s="24">
        <f t="shared" si="15"/>
        <v>3.1043859390383851E-3</v>
      </c>
    </row>
    <row r="965" spans="1:3" ht="14.25" customHeight="1" x14ac:dyDescent="0.3">
      <c r="A965" s="22">
        <v>44798</v>
      </c>
      <c r="B965" s="23">
        <v>23392.71</v>
      </c>
      <c r="C965" s="24">
        <f t="shared" si="15"/>
        <v>-2.6127750544791086E-3</v>
      </c>
    </row>
    <row r="966" spans="1:3" ht="14.25" customHeight="1" x14ac:dyDescent="0.3">
      <c r="A966" s="22">
        <v>44797</v>
      </c>
      <c r="B966" s="23">
        <v>23453.99</v>
      </c>
      <c r="C966" s="24">
        <f t="shared" si="15"/>
        <v>3.3127215093759488E-3</v>
      </c>
    </row>
    <row r="967" spans="1:3" ht="14.25" customHeight="1" x14ac:dyDescent="0.3">
      <c r="A967" s="22">
        <v>44796</v>
      </c>
      <c r="B967" s="23">
        <v>23376.55</v>
      </c>
      <c r="C967" s="24">
        <f t="shared" si="15"/>
        <v>5.9249894357984289E-3</v>
      </c>
    </row>
    <row r="968" spans="1:3" ht="14.25" customHeight="1" x14ac:dyDescent="0.3">
      <c r="A968" s="22">
        <v>44795</v>
      </c>
      <c r="B968" s="23">
        <v>23238.86</v>
      </c>
      <c r="C968" s="24">
        <f t="shared" si="15"/>
        <v>-1.5403088074480499E-2</v>
      </c>
    </row>
    <row r="969" spans="1:3" ht="14.25" customHeight="1" x14ac:dyDescent="0.3">
      <c r="A969" s="22">
        <v>44792</v>
      </c>
      <c r="B969" s="23">
        <v>23602.41</v>
      </c>
      <c r="C969" s="24">
        <f t="shared" si="15"/>
        <v>-1.0744895902010061E-2</v>
      </c>
    </row>
    <row r="970" spans="1:3" ht="14.25" customHeight="1" x14ac:dyDescent="0.3">
      <c r="A970" s="22">
        <v>44791</v>
      </c>
      <c r="B970" s="23">
        <v>23858.77</v>
      </c>
      <c r="C970" s="24">
        <f t="shared" si="15"/>
        <v>2.0504032977809576E-3</v>
      </c>
    </row>
    <row r="971" spans="1:3" ht="14.25" customHeight="1" x14ac:dyDescent="0.3">
      <c r="A971" s="22">
        <v>44790</v>
      </c>
      <c r="B971" s="23">
        <v>23809.95</v>
      </c>
      <c r="C971" s="24">
        <f t="shared" si="15"/>
        <v>6.4653168195460426E-3</v>
      </c>
    </row>
    <row r="972" spans="1:3" ht="14.25" customHeight="1" x14ac:dyDescent="0.3">
      <c r="A972" s="22">
        <v>44789</v>
      </c>
      <c r="B972" s="23">
        <v>23657</v>
      </c>
      <c r="C972" s="24">
        <f t="shared" si="15"/>
        <v>9.2408872036685644E-3</v>
      </c>
    </row>
    <row r="973" spans="1:3" ht="14.25" customHeight="1" x14ac:dyDescent="0.3">
      <c r="A973" s="22">
        <v>44785</v>
      </c>
      <c r="B973" s="23">
        <v>23440.39</v>
      </c>
      <c r="C973" s="24">
        <f t="shared" si="15"/>
        <v>3.0424544348586773E-3</v>
      </c>
    </row>
    <row r="974" spans="1:3" ht="14.25" customHeight="1" x14ac:dyDescent="0.3">
      <c r="A974" s="22">
        <v>44784</v>
      </c>
      <c r="B974" s="23">
        <v>23369.29</v>
      </c>
      <c r="C974" s="24">
        <f t="shared" si="15"/>
        <v>7.6574809091183547E-3</v>
      </c>
    </row>
    <row r="975" spans="1:3" ht="14.25" customHeight="1" x14ac:dyDescent="0.3">
      <c r="A975" s="22">
        <v>44783</v>
      </c>
      <c r="B975" s="23">
        <v>23191.7</v>
      </c>
      <c r="C975" s="24">
        <f t="shared" si="15"/>
        <v>-3.564659781887837E-4</v>
      </c>
    </row>
    <row r="976" spans="1:3" ht="14.25" customHeight="1" x14ac:dyDescent="0.3">
      <c r="A976" s="22">
        <v>44781</v>
      </c>
      <c r="B976" s="23">
        <v>23199.97</v>
      </c>
      <c r="C976" s="24">
        <f t="shared" si="15"/>
        <v>6.5800919893909725E-3</v>
      </c>
    </row>
    <row r="977" spans="1:3" ht="14.25" customHeight="1" x14ac:dyDescent="0.3">
      <c r="A977" s="22">
        <v>44778</v>
      </c>
      <c r="B977" s="23">
        <v>23048.31</v>
      </c>
      <c r="C977" s="24">
        <f t="shared" si="15"/>
        <v>5.3568397597323421E-4</v>
      </c>
    </row>
    <row r="978" spans="1:3" ht="14.25" customHeight="1" x14ac:dyDescent="0.3">
      <c r="A978" s="22">
        <v>44777</v>
      </c>
      <c r="B978" s="23">
        <v>23035.97</v>
      </c>
      <c r="C978" s="24">
        <f t="shared" si="15"/>
        <v>1.0129207140765696E-3</v>
      </c>
    </row>
    <row r="979" spans="1:3" ht="14.25" customHeight="1" x14ac:dyDescent="0.3">
      <c r="A979" s="22">
        <v>44776</v>
      </c>
      <c r="B979" s="23">
        <v>23012.66</v>
      </c>
      <c r="C979" s="24">
        <f t="shared" si="15"/>
        <v>1.716741181926639E-4</v>
      </c>
    </row>
    <row r="980" spans="1:3" ht="14.25" customHeight="1" x14ac:dyDescent="0.3">
      <c r="A980" s="22">
        <v>44775</v>
      </c>
      <c r="B980" s="23">
        <v>23008.71</v>
      </c>
      <c r="C980" s="24">
        <f t="shared" si="15"/>
        <v>2.097510730361418E-3</v>
      </c>
    </row>
    <row r="981" spans="1:3" ht="14.25" customHeight="1" x14ac:dyDescent="0.3">
      <c r="A981" s="22">
        <v>44774</v>
      </c>
      <c r="B981" s="23">
        <v>22960.55</v>
      </c>
      <c r="C981" s="24">
        <f t="shared" si="15"/>
        <v>1.2446264687505027E-2</v>
      </c>
    </row>
    <row r="982" spans="1:3" ht="14.25" customHeight="1" x14ac:dyDescent="0.3">
      <c r="A982" s="22">
        <v>44771</v>
      </c>
      <c r="B982" s="23">
        <v>22678.29</v>
      </c>
      <c r="C982" s="24">
        <f t="shared" si="15"/>
        <v>1.3585664279406086E-2</v>
      </c>
    </row>
    <row r="983" spans="1:3" ht="14.25" customHeight="1" x14ac:dyDescent="0.3">
      <c r="A983" s="22">
        <v>44770</v>
      </c>
      <c r="B983" s="23">
        <v>22374.32</v>
      </c>
      <c r="C983" s="24">
        <f t="shared" si="15"/>
        <v>1.4539070123444225E-2</v>
      </c>
    </row>
    <row r="984" spans="1:3" ht="14.25" customHeight="1" x14ac:dyDescent="0.3">
      <c r="A984" s="22">
        <v>44769</v>
      </c>
      <c r="B984" s="23">
        <v>22053.68</v>
      </c>
      <c r="C984" s="24">
        <f t="shared" si="15"/>
        <v>8.6685281613965697E-3</v>
      </c>
    </row>
    <row r="985" spans="1:3" ht="14.25" customHeight="1" x14ac:dyDescent="0.3">
      <c r="A985" s="22">
        <v>44768</v>
      </c>
      <c r="B985" s="23">
        <v>21864.15</v>
      </c>
      <c r="C985" s="24">
        <f t="shared" si="15"/>
        <v>-9.6470872799136274E-3</v>
      </c>
    </row>
    <row r="986" spans="1:3" ht="14.25" customHeight="1" x14ac:dyDescent="0.3">
      <c r="A986" s="22">
        <v>44767</v>
      </c>
      <c r="B986" s="23">
        <v>22077.13</v>
      </c>
      <c r="C986" s="24">
        <f t="shared" si="15"/>
        <v>-3.9697506713249455E-3</v>
      </c>
    </row>
    <row r="987" spans="1:3" ht="14.25" customHeight="1" x14ac:dyDescent="0.3">
      <c r="A987" s="22">
        <v>44764</v>
      </c>
      <c r="B987" s="23">
        <v>22165.119999999999</v>
      </c>
      <c r="C987" s="24">
        <f t="shared" si="15"/>
        <v>4.5452423608066421E-3</v>
      </c>
    </row>
    <row r="988" spans="1:3" ht="14.25" customHeight="1" x14ac:dyDescent="0.3">
      <c r="A988" s="22">
        <v>44763</v>
      </c>
      <c r="B988" s="23">
        <v>22064.83</v>
      </c>
      <c r="C988" s="24">
        <f t="shared" si="15"/>
        <v>8.0351044705205595E-3</v>
      </c>
    </row>
    <row r="989" spans="1:3" ht="14.25" customHeight="1" x14ac:dyDescent="0.3">
      <c r="A989" s="22">
        <v>44762</v>
      </c>
      <c r="B989" s="23">
        <v>21888.95</v>
      </c>
      <c r="C989" s="24">
        <f t="shared" si="15"/>
        <v>8.0500503128144215E-3</v>
      </c>
    </row>
    <row r="990" spans="1:3" ht="14.25" customHeight="1" x14ac:dyDescent="0.3">
      <c r="A990" s="22">
        <v>44761</v>
      </c>
      <c r="B990" s="23">
        <v>21714.15</v>
      </c>
      <c r="C990" s="24">
        <f t="shared" si="15"/>
        <v>4.959506159812165E-3</v>
      </c>
    </row>
    <row r="991" spans="1:3" ht="14.25" customHeight="1" x14ac:dyDescent="0.3">
      <c r="A991" s="22">
        <v>44760</v>
      </c>
      <c r="B991" s="23">
        <v>21606.99</v>
      </c>
      <c r="C991" s="24">
        <f t="shared" si="15"/>
        <v>1.4082266153657114E-2</v>
      </c>
    </row>
    <row r="992" spans="1:3" ht="14.25" customHeight="1" x14ac:dyDescent="0.3">
      <c r="A992" s="22">
        <v>44757</v>
      </c>
      <c r="B992" s="23">
        <v>21306.94</v>
      </c>
      <c r="C992" s="24">
        <f t="shared" si="15"/>
        <v>6.41201557399466E-3</v>
      </c>
    </row>
    <row r="993" spans="1:3" ht="14.25" customHeight="1" x14ac:dyDescent="0.3">
      <c r="A993" s="22">
        <v>44756</v>
      </c>
      <c r="B993" s="23">
        <v>21171.19</v>
      </c>
      <c r="C993" s="24">
        <f t="shared" si="15"/>
        <v>-1.3999425495274625E-3</v>
      </c>
    </row>
    <row r="994" spans="1:3" ht="14.25" customHeight="1" x14ac:dyDescent="0.3">
      <c r="A994" s="22">
        <v>44755</v>
      </c>
      <c r="B994" s="23">
        <v>21200.87</v>
      </c>
      <c r="C994" s="24">
        <f t="shared" si="15"/>
        <v>-3.7676712380263328E-3</v>
      </c>
    </row>
    <row r="995" spans="1:3" ht="14.25" customHeight="1" x14ac:dyDescent="0.3">
      <c r="A995" s="22">
        <v>44754</v>
      </c>
      <c r="B995" s="23">
        <v>21281.05</v>
      </c>
      <c r="C995" s="24">
        <f t="shared" si="15"/>
        <v>-7.7279630191745058E-3</v>
      </c>
    </row>
    <row r="996" spans="1:3" ht="14.25" customHeight="1" x14ac:dyDescent="0.3">
      <c r="A996" s="22">
        <v>44753</v>
      </c>
      <c r="B996" s="23">
        <v>21446.79</v>
      </c>
      <c r="C996" s="24">
        <f t="shared" si="15"/>
        <v>4.2785391249623109E-3</v>
      </c>
    </row>
    <row r="997" spans="1:3" ht="14.25" customHeight="1" x14ac:dyDescent="0.3">
      <c r="A997" s="22">
        <v>44750</v>
      </c>
      <c r="B997" s="23">
        <v>21355.42</v>
      </c>
      <c r="C997" s="24">
        <f t="shared" si="15"/>
        <v>4.5926693226340728E-3</v>
      </c>
    </row>
    <row r="998" spans="1:3" ht="14.25" customHeight="1" x14ac:dyDescent="0.3">
      <c r="A998" s="22">
        <v>44749</v>
      </c>
      <c r="B998" s="23">
        <v>21257.79</v>
      </c>
      <c r="C998" s="24">
        <f t="shared" si="15"/>
        <v>9.9216350459286635E-3</v>
      </c>
    </row>
    <row r="999" spans="1:3" ht="14.25" customHeight="1" x14ac:dyDescent="0.3">
      <c r="A999" s="22">
        <v>44748</v>
      </c>
      <c r="B999" s="23">
        <v>21048.95</v>
      </c>
      <c r="C999" s="24">
        <f t="shared" si="15"/>
        <v>1.2588960738452415E-2</v>
      </c>
    </row>
    <row r="1000" spans="1:3" ht="14.25" customHeight="1" x14ac:dyDescent="0.3">
      <c r="A1000" s="22">
        <v>44747</v>
      </c>
      <c r="B1000" s="23">
        <v>20787.259999999998</v>
      </c>
      <c r="C1000" s="24">
        <f t="shared" si="15"/>
        <v>-7.4557378656794438E-4</v>
      </c>
    </row>
    <row r="1001" spans="1:3" ht="14.25" customHeight="1" x14ac:dyDescent="0.3">
      <c r="A1001" s="22">
        <v>44746</v>
      </c>
      <c r="B1001" s="23">
        <v>20802.77</v>
      </c>
      <c r="C1001" s="24">
        <f t="shared" si="15"/>
        <v>6.0300569491944459E-3</v>
      </c>
    </row>
    <row r="1002" spans="1:3" ht="14.25" customHeight="1" x14ac:dyDescent="0.3">
      <c r="A1002" s="22">
        <v>44743</v>
      </c>
      <c r="B1002" s="23">
        <v>20678.080000000002</v>
      </c>
      <c r="C1002" s="24">
        <f t="shared" si="15"/>
        <v>5.2304924646561011E-4</v>
      </c>
    </row>
    <row r="1003" spans="1:3" ht="14.25" customHeight="1" x14ac:dyDescent="0.3">
      <c r="A1003" s="22">
        <v>44742</v>
      </c>
      <c r="B1003" s="23">
        <v>20667.27</v>
      </c>
      <c r="C1003" s="24">
        <f t="shared" si="15"/>
        <v>-1.9827769791190939E-3</v>
      </c>
    </row>
    <row r="1004" spans="1:3" ht="14.25" customHeight="1" x14ac:dyDescent="0.3">
      <c r="A1004" s="22">
        <v>44741</v>
      </c>
      <c r="B1004" s="23">
        <v>20708.330000000002</v>
      </c>
      <c r="C1004" s="24">
        <f t="shared" si="15"/>
        <v>-3.4451528206074188E-3</v>
      </c>
    </row>
    <row r="1005" spans="1:3" ht="14.25" customHeight="1" x14ac:dyDescent="0.3">
      <c r="A1005" s="22">
        <v>44740</v>
      </c>
      <c r="B1005" s="23">
        <v>20779.919999999998</v>
      </c>
      <c r="C1005" s="24">
        <f t="shared" si="15"/>
        <v>1.4708859051344519E-3</v>
      </c>
    </row>
    <row r="1006" spans="1:3" ht="14.25" customHeight="1" x14ac:dyDescent="0.3">
      <c r="A1006" s="22">
        <v>44739</v>
      </c>
      <c r="B1006" s="23">
        <v>20749.400000000001</v>
      </c>
      <c r="C1006" s="24">
        <f t="shared" si="15"/>
        <v>9.1619968270057143E-3</v>
      </c>
    </row>
    <row r="1007" spans="1:3" ht="14.25" customHeight="1" x14ac:dyDescent="0.3">
      <c r="A1007" s="22">
        <v>44736</v>
      </c>
      <c r="B1007" s="23">
        <v>20561.02</v>
      </c>
      <c r="C1007" s="24">
        <f t="shared" si="15"/>
        <v>1.0908518792574861E-2</v>
      </c>
    </row>
    <row r="1008" spans="1:3" ht="14.25" customHeight="1" x14ac:dyDescent="0.3">
      <c r="A1008" s="22">
        <v>44735</v>
      </c>
      <c r="B1008" s="23">
        <v>20339.150000000001</v>
      </c>
      <c r="C1008" s="24">
        <f t="shared" si="15"/>
        <v>1.0068830575475259E-2</v>
      </c>
    </row>
    <row r="1009" spans="1:3" ht="14.25" customHeight="1" x14ac:dyDescent="0.3">
      <c r="A1009" s="22">
        <v>44734</v>
      </c>
      <c r="B1009" s="23">
        <v>20136.400000000001</v>
      </c>
      <c r="C1009" s="24">
        <f t="shared" si="15"/>
        <v>-1.4636294683271687E-2</v>
      </c>
    </row>
    <row r="1010" spans="1:3" ht="14.25" customHeight="1" x14ac:dyDescent="0.3">
      <c r="A1010" s="22">
        <v>44733</v>
      </c>
      <c r="B1010" s="23">
        <v>20435.5</v>
      </c>
      <c r="C1010" s="24">
        <f t="shared" si="15"/>
        <v>2.2498929241903259E-2</v>
      </c>
    </row>
    <row r="1011" spans="1:3" ht="14.25" customHeight="1" x14ac:dyDescent="0.3">
      <c r="A1011" s="22">
        <v>44732</v>
      </c>
      <c r="B1011" s="23">
        <v>19985.84</v>
      </c>
      <c r="C1011" s="24">
        <f t="shared" si="15"/>
        <v>-3.3158241461217521E-3</v>
      </c>
    </row>
    <row r="1012" spans="1:3" ht="14.25" customHeight="1" x14ac:dyDescent="0.3">
      <c r="A1012" s="22">
        <v>44729</v>
      </c>
      <c r="B1012" s="23">
        <v>20052.330000000002</v>
      </c>
      <c r="C1012" s="24">
        <f t="shared" si="15"/>
        <v>-7.1629449918303835E-3</v>
      </c>
    </row>
    <row r="1013" spans="1:3" ht="14.25" customHeight="1" x14ac:dyDescent="0.3">
      <c r="A1013" s="22">
        <v>44728</v>
      </c>
      <c r="B1013" s="23">
        <v>20197</v>
      </c>
      <c r="C1013" s="24">
        <f t="shared" si="15"/>
        <v>-2.1784036921997988E-2</v>
      </c>
    </row>
    <row r="1014" spans="1:3" ht="14.25" customHeight="1" x14ac:dyDescent="0.3">
      <c r="A1014" s="22">
        <v>44727</v>
      </c>
      <c r="B1014" s="23">
        <v>20646.77</v>
      </c>
      <c r="C1014" s="24">
        <f t="shared" si="15"/>
        <v>1.2303680011319741E-4</v>
      </c>
    </row>
    <row r="1015" spans="1:3" ht="14.25" customHeight="1" x14ac:dyDescent="0.3">
      <c r="A1015" s="22">
        <v>44726</v>
      </c>
      <c r="B1015" s="23">
        <v>20644.23</v>
      </c>
      <c r="C1015" s="24">
        <f t="shared" si="15"/>
        <v>-2.1060721778052623E-3</v>
      </c>
    </row>
    <row r="1016" spans="1:3" ht="14.25" customHeight="1" x14ac:dyDescent="0.3">
      <c r="A1016" s="22">
        <v>44725</v>
      </c>
      <c r="B1016" s="23">
        <v>20687.8</v>
      </c>
      <c r="C1016" s="24">
        <f t="shared" si="15"/>
        <v>-2.6471130787677571E-2</v>
      </c>
    </row>
    <row r="1017" spans="1:3" ht="14.25" customHeight="1" x14ac:dyDescent="0.3">
      <c r="A1017" s="22">
        <v>44722</v>
      </c>
      <c r="B1017" s="23">
        <v>21250.32</v>
      </c>
      <c r="C1017" s="24">
        <f t="shared" si="15"/>
        <v>-1.3952020787898487E-2</v>
      </c>
    </row>
    <row r="1018" spans="1:3" ht="14.25" customHeight="1" x14ac:dyDescent="0.3">
      <c r="A1018" s="22">
        <v>44721</v>
      </c>
      <c r="B1018" s="23">
        <v>21551</v>
      </c>
      <c r="C1018" s="24">
        <f t="shared" si="15"/>
        <v>3.1372768064943241E-3</v>
      </c>
    </row>
    <row r="1019" spans="1:3" ht="14.25" customHeight="1" x14ac:dyDescent="0.3">
      <c r="A1019" s="22">
        <v>44720</v>
      </c>
      <c r="B1019" s="23">
        <v>21483.599999999999</v>
      </c>
      <c r="C1019" s="24">
        <f t="shared" si="15"/>
        <v>0</v>
      </c>
    </row>
    <row r="1020" spans="1:3" ht="14.25" customHeight="1" x14ac:dyDescent="0.3">
      <c r="A1020" s="22">
        <v>44719</v>
      </c>
      <c r="B1020" s="23">
        <v>21483.599999999999</v>
      </c>
      <c r="C1020" s="24">
        <f t="shared" si="15"/>
        <v>-8.4265008536349405E-3</v>
      </c>
    </row>
    <row r="1021" spans="1:3" ht="14.25" customHeight="1" x14ac:dyDescent="0.3">
      <c r="A1021" s="22">
        <v>44718</v>
      </c>
      <c r="B1021" s="23">
        <v>21666.17</v>
      </c>
      <c r="C1021" s="24">
        <f t="shared" si="15"/>
        <v>-1.6776807181451924E-3</v>
      </c>
    </row>
    <row r="1022" spans="1:3" ht="14.25" customHeight="1" x14ac:dyDescent="0.3">
      <c r="A1022" s="22">
        <v>44715</v>
      </c>
      <c r="B1022" s="23">
        <v>21702.58</v>
      </c>
      <c r="C1022" s="24">
        <f t="shared" si="15"/>
        <v>-6.3449010949966989E-3</v>
      </c>
    </row>
    <row r="1023" spans="1:3" ht="14.25" customHeight="1" x14ac:dyDescent="0.3">
      <c r="A1023" s="22">
        <v>44714</v>
      </c>
      <c r="B1023" s="23">
        <v>21841.16</v>
      </c>
      <c r="C1023" s="24">
        <f t="shared" si="15"/>
        <v>6.0650895069390507E-3</v>
      </c>
    </row>
    <row r="1024" spans="1:3" ht="14.25" customHeight="1" x14ac:dyDescent="0.3">
      <c r="A1024" s="22">
        <v>44713</v>
      </c>
      <c r="B1024" s="23">
        <v>21709.49</v>
      </c>
      <c r="C1024" s="24">
        <f t="shared" si="15"/>
        <v>-2.5880026573773976E-3</v>
      </c>
    </row>
    <row r="1025" spans="1:3" ht="14.25" customHeight="1" x14ac:dyDescent="0.3">
      <c r="A1025" s="22">
        <v>44712</v>
      </c>
      <c r="B1025" s="23">
        <v>21765.82</v>
      </c>
      <c r="C1025" s="24">
        <f t="shared" si="15"/>
        <v>-1.441925013476484E-3</v>
      </c>
    </row>
    <row r="1026" spans="1:3" ht="14.25" customHeight="1" x14ac:dyDescent="0.3">
      <c r="A1026" s="22">
        <v>44711</v>
      </c>
      <c r="B1026" s="23">
        <v>21797.25</v>
      </c>
      <c r="C1026" s="24">
        <f t="shared" ref="C1026:C1089" si="16">(B1026-B1027)/B1027</f>
        <v>2.0310485012884284E-2</v>
      </c>
    </row>
    <row r="1027" spans="1:3" ht="14.25" customHeight="1" x14ac:dyDescent="0.3">
      <c r="A1027" s="22">
        <v>44708</v>
      </c>
      <c r="B1027" s="23">
        <v>21363.35</v>
      </c>
      <c r="C1027" s="24">
        <f t="shared" si="16"/>
        <v>1.0978948339788987E-2</v>
      </c>
    </row>
    <row r="1028" spans="1:3" ht="14.25" customHeight="1" x14ac:dyDescent="0.3">
      <c r="A1028" s="22">
        <v>44707</v>
      </c>
      <c r="B1028" s="23">
        <v>21131.35</v>
      </c>
      <c r="C1028" s="24">
        <f t="shared" si="16"/>
        <v>1.0442323591531829E-2</v>
      </c>
    </row>
    <row r="1029" spans="1:3" ht="14.25" customHeight="1" x14ac:dyDescent="0.3">
      <c r="A1029" s="22">
        <v>44706</v>
      </c>
      <c r="B1029" s="23">
        <v>20912.97</v>
      </c>
      <c r="C1029" s="24">
        <f t="shared" si="16"/>
        <v>-1.1132284238996816E-2</v>
      </c>
    </row>
    <row r="1030" spans="1:3" ht="14.25" customHeight="1" x14ac:dyDescent="0.3">
      <c r="A1030" s="22">
        <v>44705</v>
      </c>
      <c r="B1030" s="23">
        <v>21148.400000000001</v>
      </c>
      <c r="C1030" s="24">
        <f t="shared" si="16"/>
        <v>-6.3999263317831151E-3</v>
      </c>
    </row>
    <row r="1031" spans="1:3" ht="14.25" customHeight="1" x14ac:dyDescent="0.3">
      <c r="A1031" s="22">
        <v>44704</v>
      </c>
      <c r="B1031" s="23">
        <v>21284.62</v>
      </c>
      <c r="C1031" s="24">
        <f t="shared" si="16"/>
        <v>-4.2483355890385035E-3</v>
      </c>
    </row>
    <row r="1032" spans="1:3" ht="14.25" customHeight="1" x14ac:dyDescent="0.3">
      <c r="A1032" s="22">
        <v>44701</v>
      </c>
      <c r="B1032" s="23">
        <v>21375.43</v>
      </c>
      <c r="C1032" s="24">
        <f t="shared" si="16"/>
        <v>2.5402117442758471E-2</v>
      </c>
    </row>
    <row r="1033" spans="1:3" ht="14.25" customHeight="1" x14ac:dyDescent="0.3">
      <c r="A1033" s="22">
        <v>44700</v>
      </c>
      <c r="B1033" s="23">
        <v>20845.900000000001</v>
      </c>
      <c r="C1033" s="24">
        <f t="shared" si="16"/>
        <v>-2.6392066126818957E-2</v>
      </c>
    </row>
    <row r="1034" spans="1:3" ht="14.25" customHeight="1" x14ac:dyDescent="0.3">
      <c r="A1034" s="22">
        <v>44699</v>
      </c>
      <c r="B1034" s="23">
        <v>21410.98</v>
      </c>
      <c r="C1034" s="24">
        <f t="shared" si="16"/>
        <v>-5.6247879034848354E-4</v>
      </c>
    </row>
    <row r="1035" spans="1:3" ht="14.25" customHeight="1" x14ac:dyDescent="0.3">
      <c r="A1035" s="22">
        <v>44698</v>
      </c>
      <c r="B1035" s="23">
        <v>21423.03</v>
      </c>
      <c r="C1035" s="24">
        <f t="shared" si="16"/>
        <v>2.615265382448843E-2</v>
      </c>
    </row>
    <row r="1036" spans="1:3" ht="14.25" customHeight="1" x14ac:dyDescent="0.3">
      <c r="A1036" s="22">
        <v>44697</v>
      </c>
      <c r="B1036" s="23">
        <v>20877.04</v>
      </c>
      <c r="C1036" s="24">
        <f t="shared" si="16"/>
        <v>7.400230074967408E-3</v>
      </c>
    </row>
    <row r="1037" spans="1:3" ht="14.25" customHeight="1" x14ac:dyDescent="0.3">
      <c r="A1037" s="22">
        <v>44694</v>
      </c>
      <c r="B1037" s="23">
        <v>20723.68</v>
      </c>
      <c r="C1037" s="24">
        <f t="shared" si="16"/>
        <v>4.6586782002350365E-4</v>
      </c>
    </row>
    <row r="1038" spans="1:3" ht="14.25" customHeight="1" x14ac:dyDescent="0.3">
      <c r="A1038" s="22">
        <v>44693</v>
      </c>
      <c r="B1038" s="23">
        <v>20714.03</v>
      </c>
      <c r="C1038" s="24">
        <f t="shared" si="16"/>
        <v>-2.161937487453806E-2</v>
      </c>
    </row>
    <row r="1039" spans="1:3" ht="14.25" customHeight="1" x14ac:dyDescent="0.3">
      <c r="A1039" s="22">
        <v>44692</v>
      </c>
      <c r="B1039" s="23">
        <v>21171.75</v>
      </c>
      <c r="C1039" s="24">
        <f t="shared" si="16"/>
        <v>-6.0701233037807655E-3</v>
      </c>
    </row>
    <row r="1040" spans="1:3" ht="14.25" customHeight="1" x14ac:dyDescent="0.3">
      <c r="A1040" s="22">
        <v>44691</v>
      </c>
      <c r="B1040" s="23">
        <v>21301.05</v>
      </c>
      <c r="C1040" s="24">
        <f t="shared" si="16"/>
        <v>-9.7007351563549605E-3</v>
      </c>
    </row>
    <row r="1041" spans="1:3" ht="14.25" customHeight="1" x14ac:dyDescent="0.3">
      <c r="A1041" s="22">
        <v>44690</v>
      </c>
      <c r="B1041" s="23">
        <v>21509.71</v>
      </c>
      <c r="C1041" s="24">
        <f t="shared" si="16"/>
        <v>-1.08863745576865E-2</v>
      </c>
    </row>
    <row r="1042" spans="1:3" ht="14.25" customHeight="1" x14ac:dyDescent="0.3">
      <c r="A1042" s="22">
        <v>44687</v>
      </c>
      <c r="B1042" s="23">
        <v>21746.45</v>
      </c>
      <c r="C1042" s="24">
        <f t="shared" si="16"/>
        <v>-1.734899384963386E-2</v>
      </c>
    </row>
    <row r="1043" spans="1:3" ht="14.25" customHeight="1" x14ac:dyDescent="0.3">
      <c r="A1043" s="22">
        <v>44686</v>
      </c>
      <c r="B1043" s="23">
        <v>22130.39</v>
      </c>
      <c r="C1043" s="24">
        <f t="shared" si="16"/>
        <v>1.7445121309127921E-4</v>
      </c>
    </row>
    <row r="1044" spans="1:3" ht="14.25" customHeight="1" x14ac:dyDescent="0.3">
      <c r="A1044" s="22">
        <v>44685</v>
      </c>
      <c r="B1044" s="23">
        <v>22126.53</v>
      </c>
      <c r="C1044" s="24">
        <f t="shared" si="16"/>
        <v>-2.3269949959565134E-2</v>
      </c>
    </row>
    <row r="1045" spans="1:3" ht="14.25" customHeight="1" x14ac:dyDescent="0.3">
      <c r="A1045" s="22">
        <v>44683</v>
      </c>
      <c r="B1045" s="23">
        <v>22653.68</v>
      </c>
      <c r="C1045" s="24">
        <f t="shared" si="16"/>
        <v>-3.1826968306358271E-3</v>
      </c>
    </row>
    <row r="1046" spans="1:3" ht="14.25" customHeight="1" x14ac:dyDescent="0.3">
      <c r="A1046" s="22">
        <v>44680</v>
      </c>
      <c r="B1046" s="23">
        <v>22726.01</v>
      </c>
      <c r="C1046" s="24">
        <f t="shared" si="16"/>
        <v>-8.7552787705536504E-3</v>
      </c>
    </row>
    <row r="1047" spans="1:3" ht="14.25" customHeight="1" x14ac:dyDescent="0.3">
      <c r="A1047" s="22">
        <v>44679</v>
      </c>
      <c r="B1047" s="23">
        <v>22926.74</v>
      </c>
      <c r="C1047" s="24">
        <f t="shared" si="16"/>
        <v>1.0867600283242044E-2</v>
      </c>
    </row>
    <row r="1048" spans="1:3" ht="14.25" customHeight="1" x14ac:dyDescent="0.3">
      <c r="A1048" s="22">
        <v>44678</v>
      </c>
      <c r="B1048" s="23">
        <v>22680.26</v>
      </c>
      <c r="C1048" s="24">
        <f t="shared" si="16"/>
        <v>-9.5532472568695976E-3</v>
      </c>
    </row>
    <row r="1049" spans="1:3" ht="14.25" customHeight="1" x14ac:dyDescent="0.3">
      <c r="A1049" s="22">
        <v>44677</v>
      </c>
      <c r="B1049" s="23">
        <v>22899.02</v>
      </c>
      <c r="C1049" s="24">
        <f t="shared" si="16"/>
        <v>1.5359184272521626E-2</v>
      </c>
    </row>
    <row r="1050" spans="1:3" ht="14.25" customHeight="1" x14ac:dyDescent="0.3">
      <c r="A1050" s="22">
        <v>44676</v>
      </c>
      <c r="B1050" s="23">
        <v>22552.63</v>
      </c>
      <c r="C1050" s="24">
        <f t="shared" si="16"/>
        <v>-1.4876469868781984E-2</v>
      </c>
    </row>
    <row r="1051" spans="1:3" ht="14.25" customHeight="1" x14ac:dyDescent="0.3">
      <c r="A1051" s="22">
        <v>44673</v>
      </c>
      <c r="B1051" s="23">
        <v>22893.200000000001</v>
      </c>
      <c r="C1051" s="24">
        <f t="shared" si="16"/>
        <v>-1.0565886712015408E-2</v>
      </c>
    </row>
    <row r="1052" spans="1:3" ht="14.25" customHeight="1" x14ac:dyDescent="0.3">
      <c r="A1052" s="22">
        <v>44672</v>
      </c>
      <c r="B1052" s="23">
        <v>23137.67</v>
      </c>
      <c r="C1052" s="24">
        <f t="shared" si="16"/>
        <v>1.3738548288870086E-2</v>
      </c>
    </row>
    <row r="1053" spans="1:3" ht="14.25" customHeight="1" x14ac:dyDescent="0.3">
      <c r="A1053" s="22">
        <v>44671</v>
      </c>
      <c r="B1053" s="23">
        <v>22824.1</v>
      </c>
      <c r="C1053" s="24">
        <f t="shared" si="16"/>
        <v>8.3984234344687565E-3</v>
      </c>
    </row>
    <row r="1054" spans="1:3" ht="14.25" customHeight="1" x14ac:dyDescent="0.3">
      <c r="A1054" s="22">
        <v>44670</v>
      </c>
      <c r="B1054" s="23">
        <v>22634.01</v>
      </c>
      <c r="C1054" s="24">
        <f t="shared" si="16"/>
        <v>-1.3342580608881733E-2</v>
      </c>
    </row>
    <row r="1055" spans="1:3" ht="14.25" customHeight="1" x14ac:dyDescent="0.3">
      <c r="A1055" s="22">
        <v>44669</v>
      </c>
      <c r="B1055" s="23">
        <v>22940.09</v>
      </c>
      <c r="C1055" s="24">
        <f t="shared" si="16"/>
        <v>-1.4035540140071788E-2</v>
      </c>
    </row>
    <row r="1056" spans="1:3" ht="14.25" customHeight="1" x14ac:dyDescent="0.3">
      <c r="A1056" s="22">
        <v>44664</v>
      </c>
      <c r="B1056" s="23">
        <v>23266.65</v>
      </c>
      <c r="C1056" s="24">
        <f t="shared" si="16"/>
        <v>-1.7252431258435981E-3</v>
      </c>
    </row>
    <row r="1057" spans="1:3" ht="14.25" customHeight="1" x14ac:dyDescent="0.3">
      <c r="A1057" s="22">
        <v>44663</v>
      </c>
      <c r="B1057" s="23">
        <v>23306.86</v>
      </c>
      <c r="C1057" s="24">
        <f t="shared" si="16"/>
        <v>-1.0490384839910084E-2</v>
      </c>
    </row>
    <row r="1058" spans="1:3" ht="14.25" customHeight="1" x14ac:dyDescent="0.3">
      <c r="A1058" s="22">
        <v>44662</v>
      </c>
      <c r="B1058" s="23">
        <v>23553.95</v>
      </c>
      <c r="C1058" s="24">
        <f t="shared" si="16"/>
        <v>-1.1026316849696459E-3</v>
      </c>
    </row>
    <row r="1059" spans="1:3" ht="14.25" customHeight="1" x14ac:dyDescent="0.3">
      <c r="A1059" s="22">
        <v>44659</v>
      </c>
      <c r="B1059" s="23">
        <v>23579.95</v>
      </c>
      <c r="C1059" s="24">
        <f t="shared" si="16"/>
        <v>9.2890746152130936E-3</v>
      </c>
    </row>
    <row r="1060" spans="1:3" ht="14.25" customHeight="1" x14ac:dyDescent="0.3">
      <c r="A1060" s="22">
        <v>44658</v>
      </c>
      <c r="B1060" s="23">
        <v>23362.93</v>
      </c>
      <c r="C1060" s="24">
        <f t="shared" si="16"/>
        <v>-8.2635752368661608E-3</v>
      </c>
    </row>
    <row r="1061" spans="1:3" ht="14.25" customHeight="1" x14ac:dyDescent="0.3">
      <c r="A1061" s="22">
        <v>44657</v>
      </c>
      <c r="B1061" s="23">
        <v>23557.599999999999</v>
      </c>
      <c r="C1061" s="24">
        <f t="shared" si="16"/>
        <v>-4.0661577134817476E-3</v>
      </c>
    </row>
    <row r="1062" spans="1:3" ht="14.25" customHeight="1" x14ac:dyDescent="0.3">
      <c r="A1062" s="22">
        <v>44656</v>
      </c>
      <c r="B1062" s="23">
        <v>23653.78</v>
      </c>
      <c r="C1062" s="24">
        <f t="shared" si="16"/>
        <v>4.7245206853212284E-4</v>
      </c>
    </row>
    <row r="1063" spans="1:3" ht="14.25" customHeight="1" x14ac:dyDescent="0.3">
      <c r="A1063" s="22">
        <v>44655</v>
      </c>
      <c r="B1063" s="23">
        <v>23642.61</v>
      </c>
      <c r="C1063" s="24">
        <f t="shared" si="16"/>
        <v>1.9720177232300219E-2</v>
      </c>
    </row>
    <row r="1064" spans="1:3" ht="14.25" customHeight="1" x14ac:dyDescent="0.3">
      <c r="A1064" s="22">
        <v>44652</v>
      </c>
      <c r="B1064" s="23">
        <v>23185.39</v>
      </c>
      <c r="C1064" s="24">
        <f t="shared" si="16"/>
        <v>1.2942819171012979E-2</v>
      </c>
    </row>
    <row r="1065" spans="1:3" ht="14.25" customHeight="1" x14ac:dyDescent="0.3">
      <c r="A1065" s="22">
        <v>44651</v>
      </c>
      <c r="B1065" s="23">
        <v>22889.14</v>
      </c>
      <c r="C1065" s="24">
        <f t="shared" si="16"/>
        <v>-1.6031234260896289E-4</v>
      </c>
    </row>
    <row r="1066" spans="1:3" ht="14.25" customHeight="1" x14ac:dyDescent="0.3">
      <c r="A1066" s="22">
        <v>44650</v>
      </c>
      <c r="B1066" s="23">
        <v>22892.81</v>
      </c>
      <c r="C1066" s="24">
        <f t="shared" si="16"/>
        <v>9.1989381127079058E-3</v>
      </c>
    </row>
    <row r="1067" spans="1:3" ht="14.25" customHeight="1" x14ac:dyDescent="0.3">
      <c r="A1067" s="22">
        <v>44649</v>
      </c>
      <c r="B1067" s="23">
        <v>22684.14</v>
      </c>
      <c r="C1067" s="24">
        <f t="shared" si="16"/>
        <v>5.8740660891189508E-3</v>
      </c>
    </row>
    <row r="1068" spans="1:3" ht="14.25" customHeight="1" x14ac:dyDescent="0.3">
      <c r="A1068" s="22">
        <v>44648</v>
      </c>
      <c r="B1068" s="23">
        <v>22551.67</v>
      </c>
      <c r="C1068" s="24">
        <f t="shared" si="16"/>
        <v>1.6789650113463066E-3</v>
      </c>
    </row>
    <row r="1069" spans="1:3" ht="14.25" customHeight="1" x14ac:dyDescent="0.3">
      <c r="A1069" s="22">
        <v>44645</v>
      </c>
      <c r="B1069" s="23">
        <v>22513.87</v>
      </c>
      <c r="C1069" s="24">
        <f t="shared" si="16"/>
        <v>-3.2350553018691205E-3</v>
      </c>
    </row>
    <row r="1070" spans="1:3" ht="14.25" customHeight="1" x14ac:dyDescent="0.3">
      <c r="A1070" s="22">
        <v>44644</v>
      </c>
      <c r="B1070" s="23">
        <v>22586.94</v>
      </c>
      <c r="C1070" s="24">
        <f t="shared" si="16"/>
        <v>3.13110748644687E-4</v>
      </c>
    </row>
    <row r="1071" spans="1:3" ht="14.25" customHeight="1" x14ac:dyDescent="0.3">
      <c r="A1071" s="22">
        <v>44643</v>
      </c>
      <c r="B1071" s="23">
        <v>22579.87</v>
      </c>
      <c r="C1071" s="24">
        <f t="shared" si="16"/>
        <v>-1.960729713232255E-3</v>
      </c>
    </row>
    <row r="1072" spans="1:3" ht="14.25" customHeight="1" x14ac:dyDescent="0.3">
      <c r="A1072" s="22">
        <v>44642</v>
      </c>
      <c r="B1072" s="23">
        <v>22624.23</v>
      </c>
      <c r="C1072" s="24">
        <f t="shared" si="16"/>
        <v>8.3321151226887005E-3</v>
      </c>
    </row>
    <row r="1073" spans="1:3" ht="14.25" customHeight="1" x14ac:dyDescent="0.3">
      <c r="A1073" s="22">
        <v>44641</v>
      </c>
      <c r="B1073" s="23">
        <v>22437.279999999999</v>
      </c>
      <c r="C1073" s="24">
        <f t="shared" si="16"/>
        <v>-8.0264982759940678E-3</v>
      </c>
    </row>
    <row r="1074" spans="1:3" ht="14.25" customHeight="1" x14ac:dyDescent="0.3">
      <c r="A1074" s="22">
        <v>44637</v>
      </c>
      <c r="B1074" s="23">
        <v>22618.83</v>
      </c>
      <c r="C1074" s="24">
        <f t="shared" si="16"/>
        <v>1.6570232816512719E-2</v>
      </c>
    </row>
    <row r="1075" spans="1:3" ht="14.25" customHeight="1" x14ac:dyDescent="0.3">
      <c r="A1075" s="22">
        <v>44636</v>
      </c>
      <c r="B1075" s="23">
        <v>22250.14</v>
      </c>
      <c r="C1075" s="24">
        <f t="shared" si="16"/>
        <v>1.8719598851349398E-2</v>
      </c>
    </row>
    <row r="1076" spans="1:3" ht="14.25" customHeight="1" x14ac:dyDescent="0.3">
      <c r="A1076" s="22">
        <v>44635</v>
      </c>
      <c r="B1076" s="23">
        <v>21841.279999999999</v>
      </c>
      <c r="C1076" s="24">
        <f t="shared" si="16"/>
        <v>-1.1044052598143818E-2</v>
      </c>
    </row>
    <row r="1077" spans="1:3" ht="14.25" customHeight="1" x14ac:dyDescent="0.3">
      <c r="A1077" s="22">
        <v>44634</v>
      </c>
      <c r="B1077" s="23">
        <v>22085.19</v>
      </c>
      <c r="C1077" s="24">
        <f t="shared" si="16"/>
        <v>9.6553029419871299E-3</v>
      </c>
    </row>
    <row r="1078" spans="1:3" ht="14.25" customHeight="1" x14ac:dyDescent="0.3">
      <c r="A1078" s="22">
        <v>44631</v>
      </c>
      <c r="B1078" s="23">
        <v>21873.99</v>
      </c>
      <c r="C1078" s="24">
        <f t="shared" si="16"/>
        <v>3.4175111436093226E-3</v>
      </c>
    </row>
    <row r="1079" spans="1:3" ht="14.25" customHeight="1" x14ac:dyDescent="0.3">
      <c r="A1079" s="22">
        <v>44630</v>
      </c>
      <c r="B1079" s="23">
        <v>21799.49</v>
      </c>
      <c r="C1079" s="24">
        <f t="shared" si="16"/>
        <v>1.4983461900913009E-2</v>
      </c>
    </row>
    <row r="1080" spans="1:3" ht="14.25" customHeight="1" x14ac:dyDescent="0.3">
      <c r="A1080" s="22">
        <v>44629</v>
      </c>
      <c r="B1080" s="23">
        <v>21477.68</v>
      </c>
      <c r="C1080" s="24">
        <f t="shared" si="16"/>
        <v>2.0066805444933576E-2</v>
      </c>
    </row>
    <row r="1081" spans="1:3" ht="14.25" customHeight="1" x14ac:dyDescent="0.3">
      <c r="A1081" s="22">
        <v>44628</v>
      </c>
      <c r="B1081" s="23">
        <v>21055.17</v>
      </c>
      <c r="C1081" s="24">
        <f t="shared" si="16"/>
        <v>1.050765901509048E-2</v>
      </c>
    </row>
    <row r="1082" spans="1:3" ht="14.25" customHeight="1" x14ac:dyDescent="0.3">
      <c r="A1082" s="22">
        <v>44627</v>
      </c>
      <c r="B1082" s="23">
        <v>20836.23</v>
      </c>
      <c r="C1082" s="24">
        <f t="shared" si="16"/>
        <v>-2.3675467984912046E-2</v>
      </c>
    </row>
    <row r="1083" spans="1:3" ht="14.25" customHeight="1" x14ac:dyDescent="0.3">
      <c r="A1083" s="22">
        <v>44624</v>
      </c>
      <c r="B1083" s="23">
        <v>21341.5</v>
      </c>
      <c r="C1083" s="24">
        <f t="shared" si="16"/>
        <v>-1.7176104229115478E-2</v>
      </c>
    </row>
    <row r="1084" spans="1:3" ht="14.25" customHeight="1" x14ac:dyDescent="0.3">
      <c r="A1084" s="22">
        <v>44623</v>
      </c>
      <c r="B1084" s="23">
        <v>21714.47</v>
      </c>
      <c r="C1084" s="24">
        <f t="shared" si="16"/>
        <v>-4.4942120343839011E-3</v>
      </c>
    </row>
    <row r="1085" spans="1:3" ht="14.25" customHeight="1" x14ac:dyDescent="0.3">
      <c r="A1085" s="22">
        <v>44622</v>
      </c>
      <c r="B1085" s="23">
        <v>21812.5</v>
      </c>
      <c r="C1085" s="24">
        <f t="shared" si="16"/>
        <v>-7.5596089841733433E-3</v>
      </c>
    </row>
    <row r="1086" spans="1:3" ht="14.25" customHeight="1" x14ac:dyDescent="0.3">
      <c r="A1086" s="22">
        <v>44620</v>
      </c>
      <c r="B1086" s="23">
        <v>21978.65</v>
      </c>
      <c r="C1086" s="24">
        <f t="shared" si="16"/>
        <v>8.4961151242871086E-3</v>
      </c>
    </row>
    <row r="1087" spans="1:3" ht="14.25" customHeight="1" x14ac:dyDescent="0.3">
      <c r="A1087" s="22">
        <v>44617</v>
      </c>
      <c r="B1087" s="23">
        <v>21793.49</v>
      </c>
      <c r="C1087" s="24">
        <f t="shared" si="16"/>
        <v>2.9953179843372136E-2</v>
      </c>
    </row>
    <row r="1088" spans="1:3" ht="14.25" customHeight="1" x14ac:dyDescent="0.3">
      <c r="A1088" s="22">
        <v>44616</v>
      </c>
      <c r="B1088" s="23">
        <v>21159.69</v>
      </c>
      <c r="C1088" s="24">
        <f t="shared" si="16"/>
        <v>-5.0395734078188259E-2</v>
      </c>
    </row>
    <row r="1089" spans="1:3" ht="14.25" customHeight="1" x14ac:dyDescent="0.3">
      <c r="A1089" s="22">
        <v>44615</v>
      </c>
      <c r="B1089" s="23">
        <v>22282.639999999999</v>
      </c>
      <c r="C1089" s="24">
        <f t="shared" si="16"/>
        <v>1.2433177847464298E-3</v>
      </c>
    </row>
    <row r="1090" spans="1:3" ht="14.25" customHeight="1" x14ac:dyDescent="0.3">
      <c r="A1090" s="22">
        <v>44614</v>
      </c>
      <c r="B1090" s="23">
        <v>22254.97</v>
      </c>
      <c r="C1090" s="24">
        <f t="shared" ref="C1090:C1153" si="17">(B1090-B1091)/B1091</f>
        <v>-7.3497697342744155E-3</v>
      </c>
    </row>
    <row r="1091" spans="1:3" ht="14.25" customHeight="1" x14ac:dyDescent="0.3">
      <c r="A1091" s="22">
        <v>44613</v>
      </c>
      <c r="B1091" s="23">
        <v>22419.75</v>
      </c>
      <c r="C1091" s="24">
        <f t="shared" si="17"/>
        <v>-7.4649033994041618E-3</v>
      </c>
    </row>
    <row r="1092" spans="1:3" ht="14.25" customHeight="1" x14ac:dyDescent="0.3">
      <c r="A1092" s="22">
        <v>44610</v>
      </c>
      <c r="B1092" s="23">
        <v>22588.37</v>
      </c>
      <c r="C1092" s="24">
        <f t="shared" si="17"/>
        <v>-4.1490172150488213E-3</v>
      </c>
    </row>
    <row r="1093" spans="1:3" ht="14.25" customHeight="1" x14ac:dyDescent="0.3">
      <c r="A1093" s="22">
        <v>44609</v>
      </c>
      <c r="B1093" s="23">
        <v>22682.48</v>
      </c>
      <c r="C1093" s="24">
        <f t="shared" si="17"/>
        <v>-1.0666455275315729E-3</v>
      </c>
    </row>
    <row r="1094" spans="1:3" ht="14.25" customHeight="1" x14ac:dyDescent="0.3">
      <c r="A1094" s="22">
        <v>44608</v>
      </c>
      <c r="B1094" s="23">
        <v>22706.7</v>
      </c>
      <c r="C1094" s="24">
        <f t="shared" si="17"/>
        <v>-8.8529763512884693E-4</v>
      </c>
    </row>
    <row r="1095" spans="1:3" ht="14.25" customHeight="1" x14ac:dyDescent="0.3">
      <c r="A1095" s="22">
        <v>44607</v>
      </c>
      <c r="B1095" s="23">
        <v>22726.82</v>
      </c>
      <c r="C1095" s="24">
        <f t="shared" si="17"/>
        <v>2.8189825061120867E-2</v>
      </c>
    </row>
    <row r="1096" spans="1:3" ht="14.25" customHeight="1" x14ac:dyDescent="0.3">
      <c r="A1096" s="22">
        <v>44606</v>
      </c>
      <c r="B1096" s="23">
        <v>22103.72</v>
      </c>
      <c r="C1096" s="24">
        <f t="shared" si="17"/>
        <v>-3.255707280905578E-2</v>
      </c>
    </row>
    <row r="1097" spans="1:3" ht="14.25" customHeight="1" x14ac:dyDescent="0.3">
      <c r="A1097" s="22">
        <v>44603</v>
      </c>
      <c r="B1097" s="23">
        <v>22847.57</v>
      </c>
      <c r="C1097" s="24">
        <f t="shared" si="17"/>
        <v>-1.4612882816169301E-2</v>
      </c>
    </row>
    <row r="1098" spans="1:3" ht="14.25" customHeight="1" x14ac:dyDescent="0.3">
      <c r="A1098" s="22">
        <v>44602</v>
      </c>
      <c r="B1098" s="23">
        <v>23186.39</v>
      </c>
      <c r="C1098" s="24">
        <f t="shared" si="17"/>
        <v>6.4742998727277141E-3</v>
      </c>
    </row>
    <row r="1099" spans="1:3" ht="14.25" customHeight="1" x14ac:dyDescent="0.3">
      <c r="A1099" s="22">
        <v>44601</v>
      </c>
      <c r="B1099" s="23">
        <v>23037.24</v>
      </c>
      <c r="C1099" s="24">
        <f t="shared" si="17"/>
        <v>1.0896523398212963E-2</v>
      </c>
    </row>
    <row r="1100" spans="1:3" ht="14.25" customHeight="1" x14ac:dyDescent="0.3">
      <c r="A1100" s="22">
        <v>44600</v>
      </c>
      <c r="B1100" s="23">
        <v>22788.92</v>
      </c>
      <c r="C1100" s="24">
        <f t="shared" si="17"/>
        <v>-9.0225563909782092E-4</v>
      </c>
    </row>
    <row r="1101" spans="1:3" ht="14.25" customHeight="1" x14ac:dyDescent="0.3">
      <c r="A1101" s="22">
        <v>44599</v>
      </c>
      <c r="B1101" s="23">
        <v>22809.5</v>
      </c>
      <c r="C1101" s="24">
        <f t="shared" si="17"/>
        <v>-1.4228951101053973E-2</v>
      </c>
    </row>
    <row r="1102" spans="1:3" ht="14.25" customHeight="1" x14ac:dyDescent="0.3">
      <c r="A1102" s="22">
        <v>44596</v>
      </c>
      <c r="B1102" s="23">
        <v>23138.74</v>
      </c>
      <c r="C1102" s="24">
        <f t="shared" si="17"/>
        <v>-3.2995424577024735E-3</v>
      </c>
    </row>
    <row r="1103" spans="1:3" ht="14.25" customHeight="1" x14ac:dyDescent="0.3">
      <c r="A1103" s="22">
        <v>44595</v>
      </c>
      <c r="B1103" s="23">
        <v>23215.34</v>
      </c>
      <c r="C1103" s="24">
        <f t="shared" si="17"/>
        <v>-1.0111932677511063E-2</v>
      </c>
    </row>
    <row r="1104" spans="1:3" ht="14.25" customHeight="1" x14ac:dyDescent="0.3">
      <c r="A1104" s="22">
        <v>44594</v>
      </c>
      <c r="B1104" s="23">
        <v>23452.49</v>
      </c>
      <c r="C1104" s="24">
        <f t="shared" si="17"/>
        <v>1.1736187923956703E-2</v>
      </c>
    </row>
    <row r="1105" spans="1:3" ht="14.25" customHeight="1" x14ac:dyDescent="0.3">
      <c r="A1105" s="22">
        <v>44593</v>
      </c>
      <c r="B1105" s="23">
        <v>23180.44</v>
      </c>
      <c r="C1105" s="24">
        <f t="shared" si="17"/>
        <v>1.306116098626043E-2</v>
      </c>
    </row>
    <row r="1106" spans="1:3" ht="14.25" customHeight="1" x14ac:dyDescent="0.3">
      <c r="A1106" s="22">
        <v>44592</v>
      </c>
      <c r="B1106" s="23">
        <v>22881.58</v>
      </c>
      <c r="C1106" s="24">
        <f t="shared" si="17"/>
        <v>1.3465133758858994E-2</v>
      </c>
    </row>
    <row r="1107" spans="1:3" ht="14.25" customHeight="1" x14ac:dyDescent="0.3">
      <c r="A1107" s="22">
        <v>44589</v>
      </c>
      <c r="B1107" s="23">
        <v>22577.57</v>
      </c>
      <c r="C1107" s="24">
        <f t="shared" si="17"/>
        <v>2.9652407153537719E-3</v>
      </c>
    </row>
    <row r="1108" spans="1:3" ht="14.25" customHeight="1" x14ac:dyDescent="0.3">
      <c r="A1108" s="22">
        <v>44588</v>
      </c>
      <c r="B1108" s="23">
        <v>22510.82</v>
      </c>
      <c r="C1108" s="24">
        <f t="shared" si="17"/>
        <v>-1.0273261907944252E-2</v>
      </c>
    </row>
    <row r="1109" spans="1:3" ht="14.25" customHeight="1" x14ac:dyDescent="0.3">
      <c r="A1109" s="22">
        <v>44586</v>
      </c>
      <c r="B1109" s="23">
        <v>22744.48</v>
      </c>
      <c r="C1109" s="24">
        <f t="shared" si="17"/>
        <v>8.169707941030644E-3</v>
      </c>
    </row>
    <row r="1110" spans="1:3" ht="14.25" customHeight="1" x14ac:dyDescent="0.3">
      <c r="A1110" s="22">
        <v>44585</v>
      </c>
      <c r="B1110" s="23">
        <v>22560.17</v>
      </c>
      <c r="C1110" s="24">
        <f t="shared" si="17"/>
        <v>-3.0847679701008528E-2</v>
      </c>
    </row>
    <row r="1111" spans="1:3" ht="14.25" customHeight="1" x14ac:dyDescent="0.3">
      <c r="A1111" s="22">
        <v>44582</v>
      </c>
      <c r="B1111" s="23">
        <v>23278.25</v>
      </c>
      <c r="C1111" s="24">
        <f t="shared" si="17"/>
        <v>-1.1725602476645537E-2</v>
      </c>
    </row>
    <row r="1112" spans="1:3" ht="14.25" customHeight="1" x14ac:dyDescent="0.3">
      <c r="A1112" s="22">
        <v>44581</v>
      </c>
      <c r="B1112" s="23">
        <v>23554.44</v>
      </c>
      <c r="C1112" s="24">
        <f t="shared" si="17"/>
        <v>-7.1007368832381188E-3</v>
      </c>
    </row>
    <row r="1113" spans="1:3" ht="14.25" customHeight="1" x14ac:dyDescent="0.3">
      <c r="A1113" s="22">
        <v>44580</v>
      </c>
      <c r="B1113" s="23">
        <v>23722.89</v>
      </c>
      <c r="C1113" s="24">
        <f t="shared" si="17"/>
        <v>-6.4002311974099739E-3</v>
      </c>
    </row>
    <row r="1114" spans="1:3" ht="14.25" customHeight="1" x14ac:dyDescent="0.3">
      <c r="A1114" s="22">
        <v>44579</v>
      </c>
      <c r="B1114" s="23">
        <v>23875.7</v>
      </c>
      <c r="C1114" s="24">
        <f t="shared" si="17"/>
        <v>-1.3190415807668058E-2</v>
      </c>
    </row>
    <row r="1115" spans="1:3" ht="14.25" customHeight="1" x14ac:dyDescent="0.3">
      <c r="A1115" s="22">
        <v>44578</v>
      </c>
      <c r="B1115" s="23">
        <v>24194.84</v>
      </c>
      <c r="C1115" s="24">
        <f t="shared" si="17"/>
        <v>3.2475663984687553E-3</v>
      </c>
    </row>
    <row r="1116" spans="1:3" ht="14.25" customHeight="1" x14ac:dyDescent="0.3">
      <c r="A1116" s="22">
        <v>44575</v>
      </c>
      <c r="B1116" s="23">
        <v>24116.52</v>
      </c>
      <c r="C1116" s="24">
        <f t="shared" si="17"/>
        <v>5.9413663483000344E-4</v>
      </c>
    </row>
    <row r="1117" spans="1:3" ht="14.25" customHeight="1" x14ac:dyDescent="0.3">
      <c r="A1117" s="22">
        <v>44574</v>
      </c>
      <c r="B1117" s="23">
        <v>24102.2</v>
      </c>
      <c r="C1117" s="24">
        <f t="shared" si="17"/>
        <v>3.39332467135632E-3</v>
      </c>
    </row>
    <row r="1118" spans="1:3" ht="14.25" customHeight="1" x14ac:dyDescent="0.3">
      <c r="A1118" s="22">
        <v>44573</v>
      </c>
      <c r="B1118" s="23">
        <v>24020.69</v>
      </c>
      <c r="C1118" s="24">
        <f t="shared" si="17"/>
        <v>8.8441422572175469E-3</v>
      </c>
    </row>
    <row r="1119" spans="1:3" ht="14.25" customHeight="1" x14ac:dyDescent="0.3">
      <c r="A1119" s="22">
        <v>44572</v>
      </c>
      <c r="B1119" s="23">
        <v>23810.11</v>
      </c>
      <c r="C1119" s="24">
        <f t="shared" si="17"/>
        <v>2.2587549907498745E-3</v>
      </c>
    </row>
    <row r="1120" spans="1:3" ht="14.25" customHeight="1" x14ac:dyDescent="0.3">
      <c r="A1120" s="22">
        <v>44571</v>
      </c>
      <c r="B1120" s="23">
        <v>23756.45</v>
      </c>
      <c r="C1120" s="24">
        <f t="shared" si="17"/>
        <v>9.5754007563597539E-3</v>
      </c>
    </row>
    <row r="1121" spans="1:3" ht="14.25" customHeight="1" x14ac:dyDescent="0.3">
      <c r="A1121" s="22">
        <v>44568</v>
      </c>
      <c r="B1121" s="23">
        <v>23531.13</v>
      </c>
      <c r="C1121" s="24">
        <f t="shared" si="17"/>
        <v>3.8231325541743097E-3</v>
      </c>
    </row>
    <row r="1122" spans="1:3" ht="14.25" customHeight="1" x14ac:dyDescent="0.3">
      <c r="A1122" s="22">
        <v>44567</v>
      </c>
      <c r="B1122" s="23">
        <v>23441.51</v>
      </c>
      <c r="C1122" s="24">
        <f t="shared" si="17"/>
        <v>-6.9033563995957005E-3</v>
      </c>
    </row>
    <row r="1123" spans="1:3" ht="14.25" customHeight="1" x14ac:dyDescent="0.3">
      <c r="A1123" s="22">
        <v>44566</v>
      </c>
      <c r="B1123" s="23">
        <v>23604.46</v>
      </c>
      <c r="C1123" s="24">
        <f t="shared" si="17"/>
        <v>5.0708164274184371E-3</v>
      </c>
    </row>
    <row r="1124" spans="1:3" ht="14.25" customHeight="1" x14ac:dyDescent="0.3">
      <c r="A1124" s="22">
        <v>44565</v>
      </c>
      <c r="B1124" s="23">
        <v>23485.37</v>
      </c>
      <c r="C1124" s="24">
        <f t="shared" si="17"/>
        <v>7.506956128557233E-3</v>
      </c>
    </row>
    <row r="1125" spans="1:3" ht="14.25" customHeight="1" x14ac:dyDescent="0.3">
      <c r="A1125" s="22">
        <v>44564</v>
      </c>
      <c r="B1125" s="23">
        <v>23310.38</v>
      </c>
      <c r="C1125" s="24">
        <f t="shared" si="17"/>
        <v>1.3896814736973965E-2</v>
      </c>
    </row>
    <row r="1126" spans="1:3" ht="14.25" customHeight="1" x14ac:dyDescent="0.3">
      <c r="A1126" s="22">
        <v>44561</v>
      </c>
      <c r="B1126" s="23">
        <v>22990.880000000001</v>
      </c>
      <c r="C1126" s="24">
        <f t="shared" si="17"/>
        <v>1.0384722548163897E-2</v>
      </c>
    </row>
    <row r="1127" spans="1:3" ht="14.25" customHeight="1" x14ac:dyDescent="0.3">
      <c r="A1127" s="22">
        <v>44560</v>
      </c>
      <c r="B1127" s="23">
        <v>22754.58</v>
      </c>
      <c r="C1127" s="24">
        <f t="shared" si="17"/>
        <v>-1.3723429233492191E-3</v>
      </c>
    </row>
    <row r="1128" spans="1:3" ht="14.25" customHeight="1" x14ac:dyDescent="0.3">
      <c r="A1128" s="22">
        <v>44559</v>
      </c>
      <c r="B1128" s="23">
        <v>22785.85</v>
      </c>
      <c r="C1128" s="24">
        <f t="shared" si="17"/>
        <v>-2.9878039684711263E-4</v>
      </c>
    </row>
    <row r="1129" spans="1:3" ht="14.25" customHeight="1" x14ac:dyDescent="0.3">
      <c r="A1129" s="22">
        <v>44558</v>
      </c>
      <c r="B1129" s="23">
        <v>22792.66</v>
      </c>
      <c r="C1129" s="24">
        <f t="shared" si="17"/>
        <v>9.5253702785061886E-3</v>
      </c>
    </row>
    <row r="1130" spans="1:3" ht="14.25" customHeight="1" x14ac:dyDescent="0.3">
      <c r="A1130" s="22">
        <v>44557</v>
      </c>
      <c r="B1130" s="23">
        <v>22577.599999999999</v>
      </c>
      <c r="C1130" s="24">
        <f t="shared" si="17"/>
        <v>4.282219957626919E-3</v>
      </c>
    </row>
    <row r="1131" spans="1:3" ht="14.25" customHeight="1" x14ac:dyDescent="0.3">
      <c r="A1131" s="22">
        <v>44554</v>
      </c>
      <c r="B1131" s="23">
        <v>22481.33</v>
      </c>
      <c r="C1131" s="24">
        <f t="shared" si="17"/>
        <v>-5.8741930391430029E-3</v>
      </c>
    </row>
    <row r="1132" spans="1:3" ht="14.25" customHeight="1" x14ac:dyDescent="0.3">
      <c r="A1132" s="22">
        <v>44553</v>
      </c>
      <c r="B1132" s="23">
        <v>22614.17</v>
      </c>
      <c r="C1132" s="24">
        <f t="shared" si="17"/>
        <v>7.630019787968771E-3</v>
      </c>
    </row>
    <row r="1133" spans="1:3" ht="14.25" customHeight="1" x14ac:dyDescent="0.3">
      <c r="A1133" s="22">
        <v>44552</v>
      </c>
      <c r="B1133" s="23">
        <v>22442.93</v>
      </c>
      <c r="C1133" s="24">
        <f t="shared" si="17"/>
        <v>1.2549645225283179E-2</v>
      </c>
    </row>
    <row r="1134" spans="1:3" ht="14.25" customHeight="1" x14ac:dyDescent="0.3">
      <c r="A1134" s="22">
        <v>44551</v>
      </c>
      <c r="B1134" s="23">
        <v>22164.77</v>
      </c>
      <c r="C1134" s="24">
        <f t="shared" si="17"/>
        <v>1.1236636847080678E-2</v>
      </c>
    </row>
    <row r="1135" spans="1:3" ht="14.25" customHeight="1" x14ac:dyDescent="0.3">
      <c r="A1135" s="22">
        <v>44550</v>
      </c>
      <c r="B1135" s="23">
        <v>21918.48</v>
      </c>
      <c r="C1135" s="24">
        <f t="shared" si="17"/>
        <v>-2.5381414886819515E-2</v>
      </c>
    </row>
    <row r="1136" spans="1:3" ht="14.25" customHeight="1" x14ac:dyDescent="0.3">
      <c r="A1136" s="22">
        <v>44547</v>
      </c>
      <c r="B1136" s="23">
        <v>22489.29</v>
      </c>
      <c r="C1136" s="24">
        <f t="shared" si="17"/>
        <v>-1.7474563408968462E-2</v>
      </c>
    </row>
    <row r="1137" spans="1:3" ht="14.25" customHeight="1" x14ac:dyDescent="0.3">
      <c r="A1137" s="22">
        <v>44546</v>
      </c>
      <c r="B1137" s="23">
        <v>22889.27</v>
      </c>
      <c r="C1137" s="24">
        <f t="shared" si="17"/>
        <v>-1.1141271143539912E-3</v>
      </c>
    </row>
    <row r="1138" spans="1:3" ht="14.25" customHeight="1" x14ac:dyDescent="0.3">
      <c r="A1138" s="22">
        <v>44545</v>
      </c>
      <c r="B1138" s="23">
        <v>22914.799999999999</v>
      </c>
      <c r="C1138" s="24">
        <f t="shared" si="17"/>
        <v>-5.9927254429477115E-3</v>
      </c>
    </row>
    <row r="1139" spans="1:3" ht="14.25" customHeight="1" x14ac:dyDescent="0.3">
      <c r="A1139" s="22">
        <v>44544</v>
      </c>
      <c r="B1139" s="23">
        <v>23052.95</v>
      </c>
      <c r="C1139" s="24">
        <f t="shared" si="17"/>
        <v>-1.3939709241403574E-3</v>
      </c>
    </row>
    <row r="1140" spans="1:3" ht="14.25" customHeight="1" x14ac:dyDescent="0.3">
      <c r="A1140" s="22">
        <v>44543</v>
      </c>
      <c r="B1140" s="23">
        <v>23085.13</v>
      </c>
      <c r="C1140" s="24">
        <f t="shared" si="17"/>
        <v>-5.9860102522589819E-3</v>
      </c>
    </row>
    <row r="1141" spans="1:3" ht="14.25" customHeight="1" x14ac:dyDescent="0.3">
      <c r="A1141" s="22">
        <v>44540</v>
      </c>
      <c r="B1141" s="23">
        <v>23224.15</v>
      </c>
      <c r="C1141" s="24">
        <f t="shared" si="17"/>
        <v>1.876565152400817E-3</v>
      </c>
    </row>
    <row r="1142" spans="1:3" ht="14.25" customHeight="1" x14ac:dyDescent="0.3">
      <c r="A1142" s="22">
        <v>44539</v>
      </c>
      <c r="B1142" s="23">
        <v>23180.65</v>
      </c>
      <c r="C1142" s="24">
        <f t="shared" si="17"/>
        <v>3.5386951159167945E-3</v>
      </c>
    </row>
    <row r="1143" spans="1:3" ht="14.25" customHeight="1" x14ac:dyDescent="0.3">
      <c r="A1143" s="22">
        <v>44538</v>
      </c>
      <c r="B1143" s="23">
        <v>23098.91</v>
      </c>
      <c r="C1143" s="24">
        <f t="shared" si="17"/>
        <v>3.1118021267031479E-2</v>
      </c>
    </row>
    <row r="1144" spans="1:3" ht="14.25" customHeight="1" x14ac:dyDescent="0.3">
      <c r="A1144" s="22">
        <v>44536</v>
      </c>
      <c r="B1144" s="23">
        <v>22401.81</v>
      </c>
      <c r="C1144" s="24">
        <f t="shared" si="17"/>
        <v>-1.6016982877443301E-2</v>
      </c>
    </row>
    <row r="1145" spans="1:3" ht="14.25" customHeight="1" x14ac:dyDescent="0.3">
      <c r="A1145" s="22">
        <v>44533</v>
      </c>
      <c r="B1145" s="23">
        <v>22766.46</v>
      </c>
      <c r="C1145" s="24">
        <f t="shared" si="17"/>
        <v>-7.8551565780018134E-3</v>
      </c>
    </row>
    <row r="1146" spans="1:3" ht="14.25" customHeight="1" x14ac:dyDescent="0.3">
      <c r="A1146" s="22">
        <v>44532</v>
      </c>
      <c r="B1146" s="23">
        <v>22946.71</v>
      </c>
      <c r="C1146" s="24">
        <f t="shared" si="17"/>
        <v>1.2799740121138506E-2</v>
      </c>
    </row>
    <row r="1147" spans="1:3" ht="14.25" customHeight="1" x14ac:dyDescent="0.3">
      <c r="A1147" s="22">
        <v>44531</v>
      </c>
      <c r="B1147" s="23">
        <v>22656.71</v>
      </c>
      <c r="C1147" s="24">
        <f t="shared" si="17"/>
        <v>9.3091776722288092E-3</v>
      </c>
    </row>
    <row r="1148" spans="1:3" ht="14.25" customHeight="1" x14ac:dyDescent="0.3">
      <c r="A1148" s="22">
        <v>44530</v>
      </c>
      <c r="B1148" s="23">
        <v>22447.74</v>
      </c>
      <c r="C1148" s="24">
        <f t="shared" si="17"/>
        <v>-5.5030921500781138E-4</v>
      </c>
    </row>
    <row r="1149" spans="1:3" ht="14.25" customHeight="1" x14ac:dyDescent="0.3">
      <c r="A1149" s="22">
        <v>44529</v>
      </c>
      <c r="B1149" s="23">
        <v>22460.1</v>
      </c>
      <c r="C1149" s="24">
        <f t="shared" si="17"/>
        <v>-3.4528474677343658E-3</v>
      </c>
    </row>
    <row r="1150" spans="1:3" ht="14.25" customHeight="1" x14ac:dyDescent="0.3">
      <c r="A1150" s="22">
        <v>44526</v>
      </c>
      <c r="B1150" s="23">
        <v>22537.919999999998</v>
      </c>
      <c r="C1150" s="24">
        <f t="shared" si="17"/>
        <v>-2.9264727227933256E-2</v>
      </c>
    </row>
    <row r="1151" spans="1:3" ht="14.25" customHeight="1" x14ac:dyDescent="0.3">
      <c r="A1151" s="22">
        <v>44525</v>
      </c>
      <c r="B1151" s="23">
        <v>23217.37</v>
      </c>
      <c r="C1151" s="24">
        <f t="shared" si="17"/>
        <v>6.9217448174736127E-3</v>
      </c>
    </row>
    <row r="1152" spans="1:3" ht="14.25" customHeight="1" x14ac:dyDescent="0.3">
      <c r="A1152" s="22">
        <v>44524</v>
      </c>
      <c r="B1152" s="23">
        <v>23057.77</v>
      </c>
      <c r="C1152" s="24">
        <f t="shared" si="17"/>
        <v>-3.9973546790518519E-3</v>
      </c>
    </row>
    <row r="1153" spans="1:3" ht="14.25" customHeight="1" x14ac:dyDescent="0.3">
      <c r="A1153" s="22">
        <v>44523</v>
      </c>
      <c r="B1153" s="23">
        <v>23150.31</v>
      </c>
      <c r="C1153" s="24">
        <f t="shared" si="17"/>
        <v>8.7804117076223116E-3</v>
      </c>
    </row>
    <row r="1154" spans="1:3" ht="14.25" customHeight="1" x14ac:dyDescent="0.3">
      <c r="A1154" s="22">
        <v>44522</v>
      </c>
      <c r="B1154" s="23">
        <v>22948.81</v>
      </c>
      <c r="C1154" s="24">
        <f t="shared" ref="C1154:C1205" si="18">(B1154-B1155)/B1155</f>
        <v>-2.1112227731387677E-2</v>
      </c>
    </row>
    <row r="1155" spans="1:3" ht="14.25" customHeight="1" x14ac:dyDescent="0.3">
      <c r="A1155" s="22">
        <v>44518</v>
      </c>
      <c r="B1155" s="23">
        <v>23443.759999999998</v>
      </c>
      <c r="C1155" s="24">
        <f t="shared" si="18"/>
        <v>-9.8609466306040401E-3</v>
      </c>
    </row>
    <row r="1156" spans="1:3" ht="14.25" customHeight="1" x14ac:dyDescent="0.3">
      <c r="A1156" s="22">
        <v>44517</v>
      </c>
      <c r="B1156" s="23">
        <v>23677.24</v>
      </c>
      <c r="C1156" s="24">
        <f t="shared" si="18"/>
        <v>-4.4719891017338401E-3</v>
      </c>
    </row>
    <row r="1157" spans="1:3" ht="14.25" customHeight="1" x14ac:dyDescent="0.3">
      <c r="A1157" s="22">
        <v>44516</v>
      </c>
      <c r="B1157" s="23">
        <v>23783.599999999999</v>
      </c>
      <c r="C1157" s="24">
        <f t="shared" si="18"/>
        <v>-4.3095400170975922E-3</v>
      </c>
    </row>
    <row r="1158" spans="1:3" ht="14.25" customHeight="1" x14ac:dyDescent="0.3">
      <c r="A1158" s="22">
        <v>44515</v>
      </c>
      <c r="B1158" s="23">
        <v>23886.54</v>
      </c>
      <c r="C1158" s="24">
        <f t="shared" si="18"/>
        <v>8.7615537490524464E-4</v>
      </c>
    </row>
    <row r="1159" spans="1:3" ht="14.25" customHeight="1" x14ac:dyDescent="0.3">
      <c r="A1159" s="22">
        <v>44512</v>
      </c>
      <c r="B1159" s="23">
        <v>23865.63</v>
      </c>
      <c r="C1159" s="24">
        <f t="shared" si="18"/>
        <v>1.0897839112009203E-2</v>
      </c>
    </row>
    <row r="1160" spans="1:3" ht="14.25" customHeight="1" x14ac:dyDescent="0.3">
      <c r="A1160" s="22">
        <v>44511</v>
      </c>
      <c r="B1160" s="23">
        <v>23608.35</v>
      </c>
      <c r="C1160" s="24">
        <f t="shared" si="18"/>
        <v>-6.8849849528984869E-3</v>
      </c>
    </row>
    <row r="1161" spans="1:3" ht="14.25" customHeight="1" x14ac:dyDescent="0.3">
      <c r="A1161" s="22">
        <v>44510</v>
      </c>
      <c r="B1161" s="23">
        <v>23772.02</v>
      </c>
      <c r="C1161" s="24">
        <f t="shared" si="18"/>
        <v>-1.3296269020700515E-3</v>
      </c>
    </row>
    <row r="1162" spans="1:3" ht="14.25" customHeight="1" x14ac:dyDescent="0.3">
      <c r="A1162" s="22">
        <v>44509</v>
      </c>
      <c r="B1162" s="23">
        <v>23803.67</v>
      </c>
      <c r="C1162" s="24">
        <f t="shared" si="18"/>
        <v>1.4809535489662181E-3</v>
      </c>
    </row>
    <row r="1163" spans="1:3" ht="14.25" customHeight="1" x14ac:dyDescent="0.3">
      <c r="A1163" s="22">
        <v>44508</v>
      </c>
      <c r="B1163" s="23">
        <v>23768.47</v>
      </c>
      <c r="C1163" s="24">
        <f t="shared" si="18"/>
        <v>1.5559527283649885E-2</v>
      </c>
    </row>
    <row r="1164" spans="1:3" ht="14.25" customHeight="1" x14ac:dyDescent="0.3">
      <c r="A1164" s="22">
        <v>44503</v>
      </c>
      <c r="B1164" s="23">
        <v>23404.31</v>
      </c>
      <c r="C1164" s="24">
        <f t="shared" si="18"/>
        <v>-2.0713865114277219E-3</v>
      </c>
    </row>
    <row r="1165" spans="1:3" ht="14.25" customHeight="1" x14ac:dyDescent="0.3">
      <c r="A1165" s="22">
        <v>44502</v>
      </c>
      <c r="B1165" s="23">
        <v>23452.89</v>
      </c>
      <c r="C1165" s="24">
        <f t="shared" si="18"/>
        <v>8.9322446777820937E-4</v>
      </c>
    </row>
    <row r="1166" spans="1:3" ht="14.25" customHeight="1" x14ac:dyDescent="0.3">
      <c r="A1166" s="22">
        <v>44501</v>
      </c>
      <c r="B1166" s="23">
        <v>23431.96</v>
      </c>
      <c r="C1166" s="24">
        <f t="shared" si="18"/>
        <v>1.4327969777892354E-2</v>
      </c>
    </row>
    <row r="1167" spans="1:3" ht="14.25" customHeight="1" x14ac:dyDescent="0.3">
      <c r="A1167" s="22">
        <v>44498</v>
      </c>
      <c r="B1167" s="23">
        <v>23100.97</v>
      </c>
      <c r="C1167" s="24">
        <f t="shared" si="18"/>
        <v>-6.8251036555900067E-3</v>
      </c>
    </row>
    <row r="1168" spans="1:3" ht="14.25" customHeight="1" x14ac:dyDescent="0.3">
      <c r="A1168" s="22">
        <v>44497</v>
      </c>
      <c r="B1168" s="23">
        <v>23259.72</v>
      </c>
      <c r="C1168" s="24">
        <f t="shared" si="18"/>
        <v>-1.8936524513384935E-2</v>
      </c>
    </row>
    <row r="1169" spans="1:3" ht="14.25" customHeight="1" x14ac:dyDescent="0.3">
      <c r="A1169" s="22">
        <v>44496</v>
      </c>
      <c r="B1169" s="23">
        <v>23708.68</v>
      </c>
      <c r="C1169" s="24">
        <f t="shared" si="18"/>
        <v>-9.7127348069438147E-4</v>
      </c>
    </row>
    <row r="1170" spans="1:3" ht="14.25" customHeight="1" x14ac:dyDescent="0.3">
      <c r="A1170" s="22">
        <v>44495</v>
      </c>
      <c r="B1170" s="23">
        <v>23731.73</v>
      </c>
      <c r="C1170" s="24">
        <f t="shared" si="18"/>
        <v>1.1412831775055719E-2</v>
      </c>
    </row>
    <row r="1171" spans="1:3" ht="14.25" customHeight="1" x14ac:dyDescent="0.3">
      <c r="A1171" s="22">
        <v>44494</v>
      </c>
      <c r="B1171" s="23">
        <v>23463.94</v>
      </c>
      <c r="C1171" s="24">
        <f t="shared" si="18"/>
        <v>-4.2378563729110153E-3</v>
      </c>
    </row>
    <row r="1172" spans="1:3" ht="14.25" customHeight="1" x14ac:dyDescent="0.3">
      <c r="A1172" s="22">
        <v>44491</v>
      </c>
      <c r="B1172" s="23">
        <v>23563.8</v>
      </c>
      <c r="C1172" s="24">
        <f t="shared" si="18"/>
        <v>-5.6788691885268838E-3</v>
      </c>
    </row>
    <row r="1173" spans="1:3" ht="14.25" customHeight="1" x14ac:dyDescent="0.3">
      <c r="A1173" s="22">
        <v>44490</v>
      </c>
      <c r="B1173" s="23">
        <v>23698.38</v>
      </c>
      <c r="C1173" s="24">
        <f t="shared" si="18"/>
        <v>-5.105793450881569E-3</v>
      </c>
    </row>
    <row r="1174" spans="1:3" ht="14.25" customHeight="1" x14ac:dyDescent="0.3">
      <c r="A1174" s="22">
        <v>44489</v>
      </c>
      <c r="B1174" s="23">
        <v>23820</v>
      </c>
      <c r="C1174" s="24">
        <f t="shared" si="18"/>
        <v>-1.2003207049203627E-2</v>
      </c>
    </row>
    <row r="1175" spans="1:3" ht="14.25" customHeight="1" x14ac:dyDescent="0.3">
      <c r="A1175" s="22">
        <v>44488</v>
      </c>
      <c r="B1175" s="23">
        <v>24109.39</v>
      </c>
      <c r="C1175" s="24">
        <f t="shared" si="18"/>
        <v>-8.0775224926478931E-3</v>
      </c>
    </row>
    <row r="1176" spans="1:3" ht="14.25" customHeight="1" x14ac:dyDescent="0.3">
      <c r="A1176" s="22">
        <v>44487</v>
      </c>
      <c r="B1176" s="23">
        <v>24305.72</v>
      </c>
      <c r="C1176" s="24">
        <f t="shared" si="18"/>
        <v>7.4128969070584869E-3</v>
      </c>
    </row>
    <row r="1177" spans="1:3" ht="14.25" customHeight="1" x14ac:dyDescent="0.3">
      <c r="A1177" s="22">
        <v>44483</v>
      </c>
      <c r="B1177" s="23">
        <v>24126.87</v>
      </c>
      <c r="C1177" s="24">
        <f t="shared" si="18"/>
        <v>8.8816519872695412E-3</v>
      </c>
    </row>
    <row r="1178" spans="1:3" ht="14.25" customHeight="1" x14ac:dyDescent="0.3">
      <c r="A1178" s="22">
        <v>44482</v>
      </c>
      <c r="B1178" s="23">
        <v>23914.47</v>
      </c>
      <c r="C1178" s="24">
        <f t="shared" si="18"/>
        <v>9.6543076442426219E-3</v>
      </c>
    </row>
    <row r="1179" spans="1:3" ht="14.25" customHeight="1" x14ac:dyDescent="0.3">
      <c r="A1179" s="22">
        <v>44481</v>
      </c>
      <c r="B1179" s="23">
        <v>23685.8</v>
      </c>
      <c r="C1179" s="24">
        <f t="shared" si="18"/>
        <v>3.4952739659284931E-3</v>
      </c>
    </row>
    <row r="1180" spans="1:3" ht="14.25" customHeight="1" x14ac:dyDescent="0.3">
      <c r="A1180" s="22">
        <v>44480</v>
      </c>
      <c r="B1180" s="23">
        <v>23603.3</v>
      </c>
      <c r="C1180" s="24">
        <f t="shared" si="18"/>
        <v>4.0876820345757811E-3</v>
      </c>
    </row>
    <row r="1181" spans="1:3" ht="14.25" customHeight="1" x14ac:dyDescent="0.3">
      <c r="A1181" s="22">
        <v>44477</v>
      </c>
      <c r="B1181" s="23">
        <v>23507.21</v>
      </c>
      <c r="C1181" s="24">
        <f t="shared" si="18"/>
        <v>4.9058563767368701E-3</v>
      </c>
    </row>
    <row r="1182" spans="1:3" ht="14.25" customHeight="1" x14ac:dyDescent="0.3">
      <c r="A1182" s="22">
        <v>44476</v>
      </c>
      <c r="B1182" s="23">
        <v>23392.45</v>
      </c>
      <c r="C1182" s="24">
        <f t="shared" si="18"/>
        <v>1.0283601260066173E-2</v>
      </c>
    </row>
    <row r="1183" spans="1:3" ht="14.25" customHeight="1" x14ac:dyDescent="0.3">
      <c r="A1183" s="22">
        <v>44475</v>
      </c>
      <c r="B1183" s="23">
        <v>23154.34</v>
      </c>
      <c r="C1183" s="24">
        <f t="shared" si="18"/>
        <v>-9.528136105963687E-3</v>
      </c>
    </row>
    <row r="1184" spans="1:3" ht="14.25" customHeight="1" x14ac:dyDescent="0.3">
      <c r="A1184" s="22">
        <v>44474</v>
      </c>
      <c r="B1184" s="23">
        <v>23377.08</v>
      </c>
      <c r="C1184" s="24">
        <f t="shared" si="18"/>
        <v>6.5208134289576093E-3</v>
      </c>
    </row>
    <row r="1185" spans="1:3" ht="14.25" customHeight="1" x14ac:dyDescent="0.3">
      <c r="A1185" s="22">
        <v>44473</v>
      </c>
      <c r="B1185" s="23">
        <v>23225.63</v>
      </c>
      <c r="C1185" s="24">
        <f t="shared" si="18"/>
        <v>1.1135026508650921E-2</v>
      </c>
    </row>
    <row r="1186" spans="1:3" ht="14.25" customHeight="1" x14ac:dyDescent="0.3">
      <c r="A1186" s="22">
        <v>44470</v>
      </c>
      <c r="B1186" s="23">
        <v>22969.86</v>
      </c>
      <c r="C1186" s="24">
        <f t="shared" si="18"/>
        <v>-2.5715312986884912E-3</v>
      </c>
    </row>
    <row r="1187" spans="1:3" ht="14.25" customHeight="1" x14ac:dyDescent="0.3">
      <c r="A1187" s="22">
        <v>44469</v>
      </c>
      <c r="B1187" s="23">
        <v>23029.08</v>
      </c>
      <c r="C1187" s="24">
        <f t="shared" si="18"/>
        <v>-2.2715151651688582E-3</v>
      </c>
    </row>
    <row r="1188" spans="1:3" ht="14.25" customHeight="1" x14ac:dyDescent="0.3">
      <c r="A1188" s="22">
        <v>44468</v>
      </c>
      <c r="B1188" s="23">
        <v>23081.51</v>
      </c>
      <c r="C1188" s="24">
        <f t="shared" si="18"/>
        <v>-5.7329046644807153E-4</v>
      </c>
    </row>
    <row r="1189" spans="1:3" ht="14.25" customHeight="1" x14ac:dyDescent="0.3">
      <c r="A1189" s="22">
        <v>44467</v>
      </c>
      <c r="B1189" s="23">
        <v>23094.75</v>
      </c>
      <c r="C1189" s="24">
        <f t="shared" si="18"/>
        <v>-6.1131481098946191E-3</v>
      </c>
    </row>
    <row r="1190" spans="1:3" ht="14.25" customHeight="1" x14ac:dyDescent="0.3">
      <c r="A1190" s="22">
        <v>44466</v>
      </c>
      <c r="B1190" s="23">
        <v>23236.799999999999</v>
      </c>
      <c r="C1190" s="24">
        <f t="shared" si="18"/>
        <v>-1.9233028143475655E-4</v>
      </c>
    </row>
    <row r="1191" spans="1:3" ht="14.25" customHeight="1" x14ac:dyDescent="0.3">
      <c r="A1191" s="22">
        <v>44463</v>
      </c>
      <c r="B1191" s="23">
        <v>23241.27</v>
      </c>
      <c r="C1191" s="24">
        <f t="shared" si="18"/>
        <v>-8.8428086514221187E-4</v>
      </c>
    </row>
    <row r="1192" spans="1:3" ht="14.25" customHeight="1" x14ac:dyDescent="0.3">
      <c r="A1192" s="22">
        <v>44462</v>
      </c>
      <c r="B1192" s="23">
        <v>23261.84</v>
      </c>
      <c r="C1192" s="24">
        <f t="shared" si="18"/>
        <v>1.434225805424775E-2</v>
      </c>
    </row>
    <row r="1193" spans="1:3" ht="14.25" customHeight="1" x14ac:dyDescent="0.3">
      <c r="A1193" s="22">
        <v>44461</v>
      </c>
      <c r="B1193" s="23">
        <v>22932.93</v>
      </c>
      <c r="C1193" s="24">
        <f t="shared" si="18"/>
        <v>2.9665297768215206E-3</v>
      </c>
    </row>
    <row r="1194" spans="1:3" ht="14.25" customHeight="1" x14ac:dyDescent="0.3">
      <c r="A1194" s="22">
        <v>44460</v>
      </c>
      <c r="B1194" s="23">
        <v>22865.1</v>
      </c>
      <c r="C1194" s="24">
        <f t="shared" si="18"/>
        <v>8.07959142644505E-3</v>
      </c>
    </row>
    <row r="1195" spans="1:3" ht="14.25" customHeight="1" x14ac:dyDescent="0.3">
      <c r="A1195" s="22">
        <v>44459</v>
      </c>
      <c r="B1195" s="23">
        <v>22681.84</v>
      </c>
      <c r="C1195" s="24">
        <f t="shared" si="18"/>
        <v>-1.3307951709953397E-2</v>
      </c>
    </row>
    <row r="1196" spans="1:3" ht="14.25" customHeight="1" x14ac:dyDescent="0.3">
      <c r="A1196" s="22">
        <v>44456</v>
      </c>
      <c r="B1196" s="23">
        <v>22987.759999999998</v>
      </c>
      <c r="C1196" s="24">
        <f t="shared" si="18"/>
        <v>-5.1207301281742008E-3</v>
      </c>
    </row>
    <row r="1197" spans="1:3" ht="14.25" customHeight="1" x14ac:dyDescent="0.3">
      <c r="A1197" s="22">
        <v>44455</v>
      </c>
      <c r="B1197" s="23">
        <v>23106.080000000002</v>
      </c>
      <c r="C1197" s="24">
        <f t="shared" si="18"/>
        <v>5.6965771788711744E-3</v>
      </c>
    </row>
    <row r="1198" spans="1:3" ht="14.25" customHeight="1" x14ac:dyDescent="0.3">
      <c r="A1198" s="22">
        <v>44454</v>
      </c>
      <c r="B1198" s="23">
        <v>22975.200000000001</v>
      </c>
      <c r="C1198" s="24">
        <f t="shared" si="18"/>
        <v>7.8022294716091302E-3</v>
      </c>
    </row>
    <row r="1199" spans="1:3" ht="14.25" customHeight="1" x14ac:dyDescent="0.3">
      <c r="A1199" s="22">
        <v>44453</v>
      </c>
      <c r="B1199" s="23">
        <v>22797.33</v>
      </c>
      <c r="C1199" s="24">
        <f t="shared" si="18"/>
        <v>3.5365600812431639E-3</v>
      </c>
    </row>
    <row r="1200" spans="1:3" ht="14.25" customHeight="1" x14ac:dyDescent="0.3">
      <c r="A1200" s="22">
        <v>44452</v>
      </c>
      <c r="B1200" s="23">
        <v>22716.99</v>
      </c>
      <c r="C1200" s="24">
        <f t="shared" si="18"/>
        <v>1.1162691491059598E-3</v>
      </c>
    </row>
    <row r="1201" spans="1:3" ht="14.25" customHeight="1" x14ac:dyDescent="0.3">
      <c r="A1201" s="22">
        <v>44448</v>
      </c>
      <c r="B1201" s="23">
        <v>22691.66</v>
      </c>
      <c r="C1201" s="24">
        <f t="shared" si="18"/>
        <v>2.2184994499022176E-3</v>
      </c>
    </row>
    <row r="1202" spans="1:3" ht="14.25" customHeight="1" x14ac:dyDescent="0.3">
      <c r="A1202" s="22">
        <v>44447</v>
      </c>
      <c r="B1202" s="23">
        <v>22641.43</v>
      </c>
      <c r="C1202" s="24">
        <f t="shared" si="18"/>
        <v>1.6151351121792088E-3</v>
      </c>
    </row>
    <row r="1203" spans="1:3" ht="14.25" customHeight="1" x14ac:dyDescent="0.3">
      <c r="A1203" s="22">
        <v>44446</v>
      </c>
      <c r="B1203" s="23">
        <v>22604.92</v>
      </c>
      <c r="C1203" s="24">
        <f t="shared" si="18"/>
        <v>-1.4564078189266388E-3</v>
      </c>
    </row>
    <row r="1204" spans="1:3" ht="14.25" customHeight="1" x14ac:dyDescent="0.3">
      <c r="A1204" s="22">
        <v>44445</v>
      </c>
      <c r="B1204" s="23">
        <v>22637.89</v>
      </c>
      <c r="C1204" s="24">
        <f t="shared" si="18"/>
        <v>3.1568708691807582E-3</v>
      </c>
    </row>
    <row r="1205" spans="1:3" ht="14.25" customHeight="1" x14ac:dyDescent="0.3">
      <c r="A1205" s="22">
        <v>44442</v>
      </c>
      <c r="B1205" s="23">
        <v>22566.65</v>
      </c>
      <c r="C1205" s="24">
        <f t="shared" si="18"/>
        <v>5.106449314092351E-3</v>
      </c>
    </row>
    <row r="1206" spans="1:3" ht="14.25" customHeight="1" x14ac:dyDescent="0.3">
      <c r="A1206" s="22">
        <v>44441</v>
      </c>
      <c r="B1206" s="23">
        <v>22452</v>
      </c>
      <c r="C1206" s="24" t="s">
        <v>31</v>
      </c>
    </row>
    <row r="1207" spans="1:3" ht="14.25" customHeight="1" x14ac:dyDescent="0.3">
      <c r="B1207" s="30"/>
    </row>
    <row r="1208" spans="1:3" ht="54.75" customHeight="1" x14ac:dyDescent="0.3">
      <c r="A1208" s="34" t="s">
        <v>52</v>
      </c>
      <c r="B1208" s="34"/>
      <c r="C1208" s="34"/>
    </row>
    <row r="1209" spans="1:3" ht="14.25" customHeight="1" x14ac:dyDescent="0.3">
      <c r="B1209" s="30"/>
    </row>
    <row r="1210" spans="1:3" ht="14.25" customHeight="1" x14ac:dyDescent="0.3">
      <c r="B1210" s="30"/>
    </row>
    <row r="1211" spans="1:3" ht="14.25" customHeight="1" x14ac:dyDescent="0.3">
      <c r="A1211" s="17"/>
      <c r="B1211" s="30"/>
    </row>
    <row r="1212" spans="1:3" ht="14.25" customHeight="1" x14ac:dyDescent="0.3">
      <c r="A1212" s="17"/>
      <c r="B1212" s="30"/>
    </row>
    <row r="1213" spans="1:3" ht="14.25" customHeight="1" x14ac:dyDescent="0.3">
      <c r="A1213" s="17"/>
      <c r="B1213" s="30"/>
    </row>
    <row r="1214" spans="1:3" ht="14.25" customHeight="1" x14ac:dyDescent="0.3">
      <c r="A1214" s="17"/>
      <c r="B1214" s="30"/>
    </row>
    <row r="1215" spans="1:3" ht="14.25" customHeight="1" x14ac:dyDescent="0.3">
      <c r="A1215" s="17"/>
      <c r="B1215" s="30"/>
    </row>
    <row r="1216" spans="1:3" ht="14.25" customHeight="1" x14ac:dyDescent="0.3">
      <c r="A1216" s="17"/>
      <c r="B1216" s="30"/>
    </row>
    <row r="1217" spans="1:2" ht="14.25" customHeight="1" x14ac:dyDescent="0.3">
      <c r="A1217" s="17"/>
      <c r="B1217" s="30"/>
    </row>
  </sheetData>
  <mergeCells count="1">
    <mergeCell ref="A1208:C1208"/>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08"/>
  <sheetViews>
    <sheetView zoomScaleNormal="100" workbookViewId="0"/>
  </sheetViews>
  <sheetFormatPr defaultColWidth="8.5546875" defaultRowHeight="14.4" x14ac:dyDescent="0.3"/>
  <cols>
    <col min="1" max="1" width="14" style="17" customWidth="1"/>
    <col min="2" max="2" width="14" customWidth="1"/>
    <col min="3" max="3" width="12" customWidth="1"/>
    <col min="5" max="5" width="30" customWidth="1"/>
    <col min="6" max="6" width="14" customWidth="1"/>
  </cols>
  <sheetData>
    <row r="1" spans="1:6" ht="14.25" customHeight="1" x14ac:dyDescent="0.3">
      <c r="A1" s="18" t="s">
        <v>22</v>
      </c>
      <c r="B1" s="19" t="s">
        <v>45</v>
      </c>
      <c r="C1" s="19" t="s">
        <v>46</v>
      </c>
      <c r="E1" s="20" t="s">
        <v>47</v>
      </c>
      <c r="F1" s="21"/>
    </row>
    <row r="2" spans="1:6" ht="14.25" customHeight="1" x14ac:dyDescent="0.3">
      <c r="A2" s="22">
        <v>46265</v>
      </c>
      <c r="B2" s="23">
        <v>304.30399999999997</v>
      </c>
      <c r="C2" s="24">
        <f t="shared" ref="C2:C65" si="0">(B2-B3)/B3</f>
        <v>5.4580486489684565E-4</v>
      </c>
      <c r="E2" s="6" t="s">
        <v>4</v>
      </c>
      <c r="F2" s="25">
        <f>Assumptions!$B$5</f>
        <v>252</v>
      </c>
    </row>
    <row r="3" spans="1:6" ht="14.25" customHeight="1" x14ac:dyDescent="0.3">
      <c r="A3" s="22">
        <v>46262</v>
      </c>
      <c r="B3" s="23">
        <v>304.13799999999998</v>
      </c>
      <c r="C3" s="24">
        <f t="shared" si="0"/>
        <v>-9.6573290587073483E-4</v>
      </c>
      <c r="E3" s="6" t="s">
        <v>48</v>
      </c>
      <c r="F3" s="26">
        <f>Assumptions!$B$4</f>
        <v>6.9500000000000006E-2</v>
      </c>
    </row>
    <row r="4" spans="1:6" ht="14.25" customHeight="1" x14ac:dyDescent="0.3">
      <c r="A4" s="22">
        <v>46261</v>
      </c>
      <c r="B4" s="23">
        <v>304.43200000000002</v>
      </c>
      <c r="C4" s="24">
        <f t="shared" si="0"/>
        <v>-4.1087644919001465E-3</v>
      </c>
      <c r="E4" s="6" t="s">
        <v>49</v>
      </c>
      <c r="F4" s="25">
        <f>COUNT('Raw Data'!G2:G1206)</f>
        <v>1204</v>
      </c>
    </row>
    <row r="5" spans="1:6" ht="14.25" customHeight="1" x14ac:dyDescent="0.3">
      <c r="A5" s="22">
        <v>46260</v>
      </c>
      <c r="B5" s="23">
        <v>305.68799999999999</v>
      </c>
      <c r="C5" s="24">
        <f t="shared" si="0"/>
        <v>-9.1839369347877049E-4</v>
      </c>
      <c r="E5" s="6" t="s">
        <v>8</v>
      </c>
      <c r="F5" s="26">
        <f>('Raw Data'!F2/'Raw Data'!F1206)^(F2/F4)-1</f>
        <v>0.17800096761440565</v>
      </c>
    </row>
    <row r="6" spans="1:6" ht="14.25" customHeight="1" x14ac:dyDescent="0.3">
      <c r="A6" s="22">
        <v>46259</v>
      </c>
      <c r="B6" s="23">
        <v>305.96899999999999</v>
      </c>
      <c r="C6" s="24">
        <f t="shared" si="0"/>
        <v>1.8073650124257031E-3</v>
      </c>
      <c r="E6" s="6" t="s">
        <v>50</v>
      </c>
      <c r="F6" s="27">
        <f>STDEV('Raw Data'!G2:G1206)</f>
        <v>9.2836852725568277E-3</v>
      </c>
    </row>
    <row r="7" spans="1:6" ht="14.25" customHeight="1" x14ac:dyDescent="0.3">
      <c r="A7" s="22">
        <v>46258</v>
      </c>
      <c r="B7" s="23">
        <v>305.41699999999997</v>
      </c>
      <c r="C7" s="24">
        <f t="shared" si="0"/>
        <v>-9.3554855529713935E-4</v>
      </c>
      <c r="E7" s="6" t="s">
        <v>12</v>
      </c>
      <c r="F7" s="28">
        <f>F6*SQRT(F2)</f>
        <v>0.14737393488826955</v>
      </c>
    </row>
    <row r="8" spans="1:6" ht="14.25" customHeight="1" x14ac:dyDescent="0.3">
      <c r="A8" s="22">
        <v>46255</v>
      </c>
      <c r="B8" s="23">
        <v>305.70299999999997</v>
      </c>
      <c r="C8" s="24">
        <f t="shared" si="0"/>
        <v>2.0059588778428938E-3</v>
      </c>
      <c r="E8" s="6" t="s">
        <v>51</v>
      </c>
      <c r="F8" s="27">
        <f>SLOPE('Raw Data'!G2:G1206, 'Raw Data'!I2:I1206)</f>
        <v>0.97180577620604613</v>
      </c>
    </row>
    <row r="9" spans="1:6" ht="14.25" customHeight="1" x14ac:dyDescent="0.3">
      <c r="A9" s="22">
        <v>46254</v>
      </c>
      <c r="B9" s="23">
        <v>305.09100000000001</v>
      </c>
      <c r="C9" s="24">
        <f t="shared" si="0"/>
        <v>6.2500824549135926E-3</v>
      </c>
      <c r="E9" s="6" t="s">
        <v>16</v>
      </c>
      <c r="F9" s="29">
        <f>(F5-F3)/F7</f>
        <v>0.73622901971549337</v>
      </c>
    </row>
    <row r="10" spans="1:6" ht="14.25" customHeight="1" x14ac:dyDescent="0.3">
      <c r="A10" s="22">
        <v>46253</v>
      </c>
      <c r="B10" s="23">
        <v>303.19600000000003</v>
      </c>
      <c r="C10" s="24">
        <f t="shared" si="0"/>
        <v>-4.6550716644669964E-3</v>
      </c>
      <c r="E10" s="6" t="s">
        <v>18</v>
      </c>
      <c r="F10" s="28">
        <f>(F5-F3)/F8</f>
        <v>0.11164881941533226</v>
      </c>
    </row>
    <row r="11" spans="1:6" ht="14.25" customHeight="1" x14ac:dyDescent="0.3">
      <c r="A11" s="22">
        <v>46252</v>
      </c>
      <c r="B11" s="23">
        <v>304.61399999999998</v>
      </c>
      <c r="C11" s="24">
        <f t="shared" si="0"/>
        <v>-4.6595216311594708E-3</v>
      </c>
      <c r="E11" s="6" t="s">
        <v>20</v>
      </c>
      <c r="F11" s="26">
        <f>F5-(F3+F8*('NIFTY500 TRI'!F5-F3))</f>
        <v>6.4620200760508062E-2</v>
      </c>
    </row>
    <row r="12" spans="1:6" ht="14.25" customHeight="1" x14ac:dyDescent="0.3">
      <c r="A12" s="22">
        <v>46251</v>
      </c>
      <c r="B12" s="23">
        <v>306.04000000000002</v>
      </c>
      <c r="C12" s="24">
        <f t="shared" si="0"/>
        <v>-1.8329952185568098E-3</v>
      </c>
    </row>
    <row r="13" spans="1:6" ht="14.25" customHeight="1" x14ac:dyDescent="0.3">
      <c r="A13" s="22">
        <v>46248</v>
      </c>
      <c r="B13" s="23">
        <v>306.60199999999998</v>
      </c>
      <c r="C13" s="24">
        <f t="shared" si="0"/>
        <v>-2.9592341111892382E-3</v>
      </c>
    </row>
    <row r="14" spans="1:6" ht="14.25" customHeight="1" x14ac:dyDescent="0.3">
      <c r="A14" s="22">
        <v>46247</v>
      </c>
      <c r="B14" s="23">
        <v>307.512</v>
      </c>
      <c r="C14" s="24">
        <f t="shared" si="0"/>
        <v>-2.2290792637225032E-3</v>
      </c>
    </row>
    <row r="15" spans="1:6" ht="14.25" customHeight="1" x14ac:dyDescent="0.3">
      <c r="A15" s="22">
        <v>46246</v>
      </c>
      <c r="B15" s="23">
        <v>308.19900000000001</v>
      </c>
      <c r="C15" s="24">
        <f t="shared" si="0"/>
        <v>1.5901346746725626E-4</v>
      </c>
    </row>
    <row r="16" spans="1:6" ht="14.25" customHeight="1" x14ac:dyDescent="0.3">
      <c r="A16" s="22">
        <v>46245</v>
      </c>
      <c r="B16" s="23">
        <v>308.14999999999998</v>
      </c>
      <c r="C16" s="24">
        <f t="shared" si="0"/>
        <v>2.0448769341123831E-4</v>
      </c>
    </row>
    <row r="17" spans="1:3" ht="14.25" customHeight="1" x14ac:dyDescent="0.3">
      <c r="A17" s="22">
        <v>46244</v>
      </c>
      <c r="B17" s="23">
        <v>308.08699999999999</v>
      </c>
      <c r="C17" s="24">
        <f t="shared" si="0"/>
        <v>1.6646346419572477E-3</v>
      </c>
    </row>
    <row r="18" spans="1:3" ht="14.25" customHeight="1" x14ac:dyDescent="0.3">
      <c r="A18" s="22">
        <v>46241</v>
      </c>
      <c r="B18" s="23">
        <v>307.57499999999999</v>
      </c>
      <c r="C18" s="24">
        <f t="shared" si="0"/>
        <v>-4.97192325690285E-4</v>
      </c>
    </row>
    <row r="19" spans="1:3" ht="14.25" customHeight="1" x14ac:dyDescent="0.3">
      <c r="A19" s="22">
        <v>46240</v>
      </c>
      <c r="B19" s="23">
        <v>307.72800000000001</v>
      </c>
      <c r="C19" s="24">
        <f t="shared" si="0"/>
        <v>-2.5347638650286288E-3</v>
      </c>
    </row>
    <row r="20" spans="1:3" ht="14.25" customHeight="1" x14ac:dyDescent="0.3">
      <c r="A20" s="22">
        <v>46239</v>
      </c>
      <c r="B20" s="23">
        <v>308.51</v>
      </c>
      <c r="C20" s="24">
        <f t="shared" si="0"/>
        <v>2.9551269339176136E-3</v>
      </c>
    </row>
    <row r="21" spans="1:3" ht="14.25" customHeight="1" x14ac:dyDescent="0.3">
      <c r="A21" s="22">
        <v>46238</v>
      </c>
      <c r="B21" s="23">
        <v>307.601</v>
      </c>
      <c r="C21" s="24">
        <f t="shared" si="0"/>
        <v>-2.0568721916719855E-3</v>
      </c>
    </row>
    <row r="22" spans="1:3" ht="14.25" customHeight="1" x14ac:dyDescent="0.3">
      <c r="A22" s="22">
        <v>46237</v>
      </c>
      <c r="B22" s="23">
        <v>308.23500000000001</v>
      </c>
      <c r="C22" s="24">
        <f t="shared" si="0"/>
        <v>1.7253726811591839E-2</v>
      </c>
    </row>
    <row r="23" spans="1:3" ht="14.25" customHeight="1" x14ac:dyDescent="0.3">
      <c r="A23" s="22">
        <v>46234</v>
      </c>
      <c r="B23" s="23">
        <v>303.00700000000001</v>
      </c>
      <c r="C23" s="24">
        <f t="shared" si="0"/>
        <v>2.030470282050288E-3</v>
      </c>
    </row>
    <row r="24" spans="1:3" ht="14.25" customHeight="1" x14ac:dyDescent="0.3">
      <c r="A24" s="22">
        <v>46233</v>
      </c>
      <c r="B24" s="23">
        <v>302.39299999999997</v>
      </c>
      <c r="C24" s="24">
        <f t="shared" si="0"/>
        <v>1.8191560438962344E-4</v>
      </c>
    </row>
    <row r="25" spans="1:3" ht="14.25" customHeight="1" x14ac:dyDescent="0.3">
      <c r="A25" s="22">
        <v>46232</v>
      </c>
      <c r="B25" s="23">
        <v>302.33800000000002</v>
      </c>
      <c r="C25" s="24">
        <f t="shared" si="0"/>
        <v>1.2769407019824108E-2</v>
      </c>
    </row>
    <row r="26" spans="1:3" ht="14.25" customHeight="1" x14ac:dyDescent="0.3">
      <c r="A26" s="22">
        <v>46231</v>
      </c>
      <c r="B26" s="23">
        <v>298.52600000000001</v>
      </c>
      <c r="C26" s="24">
        <f t="shared" si="0"/>
        <v>-1.9524589615860491E-3</v>
      </c>
    </row>
    <row r="27" spans="1:3" ht="14.25" customHeight="1" x14ac:dyDescent="0.3">
      <c r="A27" s="22">
        <v>46230</v>
      </c>
      <c r="B27" s="23">
        <v>299.11</v>
      </c>
      <c r="C27" s="24">
        <f t="shared" si="0"/>
        <v>1.167223050879568E-2</v>
      </c>
    </row>
    <row r="28" spans="1:3" ht="14.25" customHeight="1" x14ac:dyDescent="0.3">
      <c r="A28" s="22">
        <v>46227</v>
      </c>
      <c r="B28" s="23">
        <v>295.65899999999999</v>
      </c>
      <c r="C28" s="24">
        <f t="shared" si="0"/>
        <v>-1.9174484432546112E-3</v>
      </c>
    </row>
    <row r="29" spans="1:3" ht="14.25" customHeight="1" x14ac:dyDescent="0.3">
      <c r="A29" s="22">
        <v>46226</v>
      </c>
      <c r="B29" s="23">
        <v>296.22699999999998</v>
      </c>
      <c r="C29" s="24">
        <f t="shared" si="0"/>
        <v>-7.8839577869993117E-3</v>
      </c>
    </row>
    <row r="30" spans="1:3" ht="14.25" customHeight="1" x14ac:dyDescent="0.3">
      <c r="A30" s="22">
        <v>46225</v>
      </c>
      <c r="B30" s="23">
        <v>298.58100000000002</v>
      </c>
      <c r="C30" s="24">
        <f t="shared" si="0"/>
        <v>-1.0718450976753906E-2</v>
      </c>
    </row>
    <row r="31" spans="1:3" ht="14.25" customHeight="1" x14ac:dyDescent="0.3">
      <c r="A31" s="22">
        <v>46224</v>
      </c>
      <c r="B31" s="23">
        <v>301.81599999999997</v>
      </c>
      <c r="C31" s="24">
        <f t="shared" si="0"/>
        <v>-8.540953541186537E-4</v>
      </c>
    </row>
    <row r="32" spans="1:3" ht="14.25" customHeight="1" x14ac:dyDescent="0.3">
      <c r="A32" s="22">
        <v>46223</v>
      </c>
      <c r="B32" s="23">
        <v>302.07400000000001</v>
      </c>
      <c r="C32" s="24">
        <f t="shared" si="0"/>
        <v>-3.6184199676089733E-3</v>
      </c>
    </row>
    <row r="33" spans="1:3" ht="14.25" customHeight="1" x14ac:dyDescent="0.3">
      <c r="A33" s="22">
        <v>46220</v>
      </c>
      <c r="B33" s="23">
        <v>303.17099999999999</v>
      </c>
      <c r="C33" s="24">
        <f t="shared" si="0"/>
        <v>-2.6387051873584106E-5</v>
      </c>
    </row>
    <row r="34" spans="1:3" ht="14.25" customHeight="1" x14ac:dyDescent="0.3">
      <c r="A34" s="22">
        <v>46219</v>
      </c>
      <c r="B34" s="23">
        <v>303.17899999999997</v>
      </c>
      <c r="C34" s="24">
        <f t="shared" si="0"/>
        <v>-1.6431878502888705E-3</v>
      </c>
    </row>
    <row r="35" spans="1:3" ht="14.25" customHeight="1" x14ac:dyDescent="0.3">
      <c r="A35" s="22">
        <v>46218</v>
      </c>
      <c r="B35" s="23">
        <v>303.678</v>
      </c>
      <c r="C35" s="24">
        <f t="shared" si="0"/>
        <v>5.5429729407556793E-3</v>
      </c>
    </row>
    <row r="36" spans="1:3" ht="14.25" customHeight="1" x14ac:dyDescent="0.3">
      <c r="A36" s="22">
        <v>46217</v>
      </c>
      <c r="B36" s="23">
        <v>302.00400000000002</v>
      </c>
      <c r="C36" s="24">
        <f t="shared" si="0"/>
        <v>-6.8140859521961701E-3</v>
      </c>
    </row>
    <row r="37" spans="1:3" ht="14.25" customHeight="1" x14ac:dyDescent="0.3">
      <c r="A37" s="22">
        <v>46216</v>
      </c>
      <c r="B37" s="23">
        <v>304.07600000000002</v>
      </c>
      <c r="C37" s="24">
        <f t="shared" si="0"/>
        <v>5.6267583619897378E-4</v>
      </c>
    </row>
    <row r="38" spans="1:3" ht="14.25" customHeight="1" x14ac:dyDescent="0.3">
      <c r="A38" s="22">
        <v>46213</v>
      </c>
      <c r="B38" s="23">
        <v>303.90499999999997</v>
      </c>
      <c r="C38" s="24">
        <f t="shared" si="0"/>
        <v>1.0298962457655427E-2</v>
      </c>
    </row>
    <row r="39" spans="1:3" ht="14.25" customHeight="1" x14ac:dyDescent="0.3">
      <c r="A39" s="22">
        <v>46212</v>
      </c>
      <c r="B39" s="23">
        <v>300.80700000000002</v>
      </c>
      <c r="C39" s="24">
        <f t="shared" si="0"/>
        <v>7.5362493594188038E-3</v>
      </c>
    </row>
    <row r="40" spans="1:3" ht="14.25" customHeight="1" x14ac:dyDescent="0.3">
      <c r="A40" s="22">
        <v>46211</v>
      </c>
      <c r="B40" s="23">
        <v>298.55700000000002</v>
      </c>
      <c r="C40" s="24">
        <f t="shared" si="0"/>
        <v>-1.9864875512133586E-2</v>
      </c>
    </row>
    <row r="41" spans="1:3" ht="14.25" customHeight="1" x14ac:dyDescent="0.3">
      <c r="A41" s="22">
        <v>46210</v>
      </c>
      <c r="B41" s="23">
        <v>304.608</v>
      </c>
      <c r="C41" s="24">
        <f t="shared" si="0"/>
        <v>-1.5209524309015533E-3</v>
      </c>
    </row>
    <row r="42" spans="1:3" ht="14.25" customHeight="1" x14ac:dyDescent="0.3">
      <c r="A42" s="22">
        <v>46209</v>
      </c>
      <c r="B42" s="23">
        <v>305.072</v>
      </c>
      <c r="C42" s="24">
        <f t="shared" si="0"/>
        <v>6.3865723635595194E-3</v>
      </c>
    </row>
    <row r="43" spans="1:3" ht="14.25" customHeight="1" x14ac:dyDescent="0.3">
      <c r="A43" s="22">
        <v>46206</v>
      </c>
      <c r="B43" s="23">
        <v>303.13600000000002</v>
      </c>
      <c r="C43" s="24">
        <f t="shared" si="0"/>
        <v>-3.8480876220395592E-3</v>
      </c>
    </row>
    <row r="44" spans="1:3" ht="14.25" customHeight="1" x14ac:dyDescent="0.3">
      <c r="A44" s="22">
        <v>46205</v>
      </c>
      <c r="B44" s="23">
        <v>304.30700000000002</v>
      </c>
      <c r="C44" s="24">
        <f t="shared" si="0"/>
        <v>6.4060588021298799E-3</v>
      </c>
    </row>
    <row r="45" spans="1:3" ht="14.25" customHeight="1" x14ac:dyDescent="0.3">
      <c r="A45" s="22">
        <v>46204</v>
      </c>
      <c r="B45" s="23">
        <v>302.37</v>
      </c>
      <c r="C45" s="24">
        <f t="shared" si="0"/>
        <v>3.5546085450002371E-3</v>
      </c>
    </row>
    <row r="46" spans="1:3" ht="14.25" customHeight="1" x14ac:dyDescent="0.3">
      <c r="A46" s="22">
        <v>46203</v>
      </c>
      <c r="B46" s="23">
        <v>301.29899999999998</v>
      </c>
      <c r="C46" s="24">
        <f t="shared" si="0"/>
        <v>3.2868525896410873E-4</v>
      </c>
    </row>
    <row r="47" spans="1:3" ht="14.25" customHeight="1" x14ac:dyDescent="0.3">
      <c r="A47" s="22">
        <v>46202</v>
      </c>
      <c r="B47" s="23">
        <v>301.2</v>
      </c>
      <c r="C47" s="24">
        <f t="shared" si="0"/>
        <v>-3.4937271716689935E-3</v>
      </c>
    </row>
    <row r="48" spans="1:3" ht="14.25" customHeight="1" x14ac:dyDescent="0.3">
      <c r="A48" s="22">
        <v>46198</v>
      </c>
      <c r="B48" s="23">
        <v>302.25599999999997</v>
      </c>
      <c r="C48" s="24">
        <f t="shared" si="0"/>
        <v>-3.7049245171073362E-3</v>
      </c>
    </row>
    <row r="49" spans="1:3" ht="14.25" customHeight="1" x14ac:dyDescent="0.3">
      <c r="A49" s="22">
        <v>46197</v>
      </c>
      <c r="B49" s="23">
        <v>303.38</v>
      </c>
      <c r="C49" s="24">
        <f t="shared" si="0"/>
        <v>7.7190528656152627E-4</v>
      </c>
    </row>
    <row r="50" spans="1:3" ht="14.25" customHeight="1" x14ac:dyDescent="0.3">
      <c r="A50" s="22">
        <v>46196</v>
      </c>
      <c r="B50" s="23">
        <v>303.14600000000002</v>
      </c>
      <c r="C50" s="24">
        <f t="shared" si="0"/>
        <v>-7.630689053512902E-3</v>
      </c>
    </row>
    <row r="51" spans="1:3" ht="14.25" customHeight="1" x14ac:dyDescent="0.3">
      <c r="A51" s="22">
        <v>46195</v>
      </c>
      <c r="B51" s="23">
        <v>305.47699999999998</v>
      </c>
      <c r="C51" s="24">
        <f t="shared" si="0"/>
        <v>6.4377328900938335E-3</v>
      </c>
    </row>
    <row r="52" spans="1:3" ht="14.25" customHeight="1" x14ac:dyDescent="0.3">
      <c r="A52" s="22">
        <v>46192</v>
      </c>
      <c r="B52" s="23">
        <v>303.52300000000002</v>
      </c>
      <c r="C52" s="24">
        <f t="shared" si="0"/>
        <v>2.7453649254027767E-3</v>
      </c>
    </row>
    <row r="53" spans="1:3" ht="14.25" customHeight="1" x14ac:dyDescent="0.3">
      <c r="A53" s="22">
        <v>46191</v>
      </c>
      <c r="B53" s="23">
        <v>302.69200000000001</v>
      </c>
      <c r="C53" s="24">
        <f t="shared" si="0"/>
        <v>6.3233485155756068E-3</v>
      </c>
    </row>
    <row r="54" spans="1:3" ht="14.25" customHeight="1" x14ac:dyDescent="0.3">
      <c r="A54" s="22">
        <v>46190</v>
      </c>
      <c r="B54" s="23">
        <v>300.79000000000002</v>
      </c>
      <c r="C54" s="24">
        <f t="shared" si="0"/>
        <v>7.3072389219311484E-3</v>
      </c>
    </row>
    <row r="55" spans="1:3" ht="14.25" customHeight="1" x14ac:dyDescent="0.3">
      <c r="A55" s="22">
        <v>46189</v>
      </c>
      <c r="B55" s="23">
        <v>298.608</v>
      </c>
      <c r="C55" s="24">
        <f t="shared" si="0"/>
        <v>4.4232457541886214E-3</v>
      </c>
    </row>
    <row r="56" spans="1:3" ht="14.25" customHeight="1" x14ac:dyDescent="0.3">
      <c r="A56" s="22">
        <v>46188</v>
      </c>
      <c r="B56" s="23">
        <v>297.29300000000001</v>
      </c>
      <c r="C56" s="24">
        <f t="shared" si="0"/>
        <v>1.2819813988348836E-2</v>
      </c>
    </row>
    <row r="57" spans="1:3" ht="14.25" customHeight="1" x14ac:dyDescent="0.3">
      <c r="A57" s="22">
        <v>46185</v>
      </c>
      <c r="B57" s="23">
        <v>293.52999999999997</v>
      </c>
      <c r="C57" s="24">
        <f t="shared" si="0"/>
        <v>2.0856736444164518E-2</v>
      </c>
    </row>
    <row r="58" spans="1:3" ht="14.25" customHeight="1" x14ac:dyDescent="0.3">
      <c r="A58" s="22">
        <v>46184</v>
      </c>
      <c r="B58" s="23">
        <v>287.53300000000002</v>
      </c>
      <c r="C58" s="24">
        <f t="shared" si="0"/>
        <v>-7.6548484733442203E-3</v>
      </c>
    </row>
    <row r="59" spans="1:3" ht="14.25" customHeight="1" x14ac:dyDescent="0.3">
      <c r="A59" s="22">
        <v>46183</v>
      </c>
      <c r="B59" s="23">
        <v>289.75099999999998</v>
      </c>
      <c r="C59" s="24">
        <f t="shared" si="0"/>
        <v>-4.3742096871736509E-3</v>
      </c>
    </row>
    <row r="60" spans="1:3" ht="14.25" customHeight="1" x14ac:dyDescent="0.3">
      <c r="A60" s="22">
        <v>46182</v>
      </c>
      <c r="B60" s="23">
        <v>291.024</v>
      </c>
      <c r="C60" s="24">
        <f t="shared" si="0"/>
        <v>8.8151386053154507E-3</v>
      </c>
    </row>
    <row r="61" spans="1:3" ht="14.25" customHeight="1" x14ac:dyDescent="0.3">
      <c r="A61" s="22">
        <v>46181</v>
      </c>
      <c r="B61" s="23">
        <v>288.48099999999999</v>
      </c>
      <c r="C61" s="24">
        <f t="shared" si="0"/>
        <v>-1.5604632593310378E-2</v>
      </c>
    </row>
    <row r="62" spans="1:3" ht="14.25" customHeight="1" x14ac:dyDescent="0.3">
      <c r="A62" s="22">
        <v>46178</v>
      </c>
      <c r="B62" s="23">
        <v>293.05399999999997</v>
      </c>
      <c r="C62" s="24">
        <f t="shared" si="0"/>
        <v>-8.6939030169565982E-4</v>
      </c>
    </row>
    <row r="63" spans="1:3" ht="14.25" customHeight="1" x14ac:dyDescent="0.3">
      <c r="A63" s="22">
        <v>46177</v>
      </c>
      <c r="B63" s="23">
        <v>293.30900000000003</v>
      </c>
      <c r="C63" s="24">
        <f t="shared" si="0"/>
        <v>3.4725310817192391E-3</v>
      </c>
    </row>
    <row r="64" spans="1:3" ht="14.25" customHeight="1" x14ac:dyDescent="0.3">
      <c r="A64" s="22">
        <v>46176</v>
      </c>
      <c r="B64" s="23">
        <v>292.29399999999998</v>
      </c>
      <c r="C64" s="24">
        <f t="shared" si="0"/>
        <v>-1.4143788348799625E-3</v>
      </c>
    </row>
    <row r="65" spans="1:3" ht="14.25" customHeight="1" x14ac:dyDescent="0.3">
      <c r="A65" s="22">
        <v>46175</v>
      </c>
      <c r="B65" s="23">
        <v>292.70800000000003</v>
      </c>
      <c r="C65" s="24">
        <f t="shared" si="0"/>
        <v>1.72139422665609E-3</v>
      </c>
    </row>
    <row r="66" spans="1:3" ht="14.25" customHeight="1" x14ac:dyDescent="0.3">
      <c r="A66" s="22">
        <v>46174</v>
      </c>
      <c r="B66" s="23">
        <v>292.20499999999998</v>
      </c>
      <c r="C66" s="24">
        <f t="shared" ref="C66:C129" si="1">(B66-B67)/B67</f>
        <v>-1.4761466436039971E-2</v>
      </c>
    </row>
    <row r="67" spans="1:3" ht="14.25" customHeight="1" x14ac:dyDescent="0.3">
      <c r="A67" s="22">
        <v>46171</v>
      </c>
      <c r="B67" s="23">
        <v>296.58300000000003</v>
      </c>
      <c r="C67" s="24">
        <f t="shared" si="1"/>
        <v>-1.0816273438594367E-2</v>
      </c>
    </row>
    <row r="68" spans="1:3" ht="14.25" customHeight="1" x14ac:dyDescent="0.3">
      <c r="A68" s="22">
        <v>46169</v>
      </c>
      <c r="B68" s="23">
        <v>299.82600000000002</v>
      </c>
      <c r="C68" s="24">
        <f t="shared" si="1"/>
        <v>5.6719271470978948E-3</v>
      </c>
    </row>
    <row r="69" spans="1:3" ht="14.25" customHeight="1" x14ac:dyDescent="0.3">
      <c r="A69" s="22">
        <v>46168</v>
      </c>
      <c r="B69" s="23">
        <v>298.13499999999999</v>
      </c>
      <c r="C69" s="24">
        <f t="shared" si="1"/>
        <v>-2.659485498277242E-3</v>
      </c>
    </row>
    <row r="70" spans="1:3" ht="14.25" customHeight="1" x14ac:dyDescent="0.3">
      <c r="A70" s="22">
        <v>46167</v>
      </c>
      <c r="B70" s="23">
        <v>298.93</v>
      </c>
      <c r="C70" s="24">
        <f t="shared" si="1"/>
        <v>7.8658921027523112E-3</v>
      </c>
    </row>
    <row r="71" spans="1:3" ht="14.25" customHeight="1" x14ac:dyDescent="0.3">
      <c r="A71" s="22">
        <v>46164</v>
      </c>
      <c r="B71" s="23">
        <v>296.59699999999998</v>
      </c>
      <c r="C71" s="24">
        <f t="shared" si="1"/>
        <v>1.9424231982757656E-3</v>
      </c>
    </row>
    <row r="72" spans="1:3" ht="14.25" customHeight="1" x14ac:dyDescent="0.3">
      <c r="A72" s="22">
        <v>46163</v>
      </c>
      <c r="B72" s="23">
        <v>296.02199999999999</v>
      </c>
      <c r="C72" s="24">
        <f t="shared" si="1"/>
        <v>3.1549589787556488E-3</v>
      </c>
    </row>
    <row r="73" spans="1:3" ht="14.25" customHeight="1" x14ac:dyDescent="0.3">
      <c r="A73" s="22">
        <v>46162</v>
      </c>
      <c r="B73" s="23">
        <v>295.09100000000001</v>
      </c>
      <c r="C73" s="24">
        <f t="shared" si="1"/>
        <v>2.5174112451163085E-3</v>
      </c>
    </row>
    <row r="74" spans="1:3" ht="14.25" customHeight="1" x14ac:dyDescent="0.3">
      <c r="A74" s="22">
        <v>46161</v>
      </c>
      <c r="B74" s="23">
        <v>294.35000000000002</v>
      </c>
      <c r="C74" s="24">
        <f t="shared" si="1"/>
        <v>7.7062913601211687E-3</v>
      </c>
    </row>
    <row r="75" spans="1:3" ht="14.25" customHeight="1" x14ac:dyDescent="0.3">
      <c r="A75" s="22">
        <v>46160</v>
      </c>
      <c r="B75" s="23">
        <v>292.09899999999999</v>
      </c>
      <c r="C75" s="24">
        <f t="shared" si="1"/>
        <v>-5.2546978974397614E-3</v>
      </c>
    </row>
    <row r="76" spans="1:3" ht="14.25" customHeight="1" x14ac:dyDescent="0.3">
      <c r="A76" s="22">
        <v>46157</v>
      </c>
      <c r="B76" s="23">
        <v>293.642</v>
      </c>
      <c r="C76" s="24">
        <f t="shared" si="1"/>
        <v>-1.4656224814926335E-3</v>
      </c>
    </row>
    <row r="77" spans="1:3" ht="14.25" customHeight="1" x14ac:dyDescent="0.3">
      <c r="A77" s="22">
        <v>46156</v>
      </c>
      <c r="B77" s="23">
        <v>294.07299999999998</v>
      </c>
      <c r="C77" s="24">
        <f t="shared" si="1"/>
        <v>8.6364493834781512E-3</v>
      </c>
    </row>
    <row r="78" spans="1:3" ht="14.25" customHeight="1" x14ac:dyDescent="0.3">
      <c r="A78" s="22">
        <v>46155</v>
      </c>
      <c r="B78" s="23">
        <v>291.55500000000001</v>
      </c>
      <c r="C78" s="24">
        <f t="shared" si="1"/>
        <v>1.4219914062258054E-3</v>
      </c>
    </row>
    <row r="79" spans="1:3" ht="14.25" customHeight="1" x14ac:dyDescent="0.3">
      <c r="A79" s="22">
        <v>46154</v>
      </c>
      <c r="B79" s="23">
        <v>291.14100000000002</v>
      </c>
      <c r="C79" s="24">
        <f t="shared" si="1"/>
        <v>-3.7531322935330971E-2</v>
      </c>
    </row>
    <row r="80" spans="1:3" ht="14.25" customHeight="1" x14ac:dyDescent="0.3">
      <c r="A80" s="22">
        <v>46150</v>
      </c>
      <c r="B80" s="23">
        <v>302.49400000000003</v>
      </c>
      <c r="C80" s="24">
        <f t="shared" si="1"/>
        <v>-3.8759051736911463E-3</v>
      </c>
    </row>
    <row r="81" spans="1:3" ht="14.25" customHeight="1" x14ac:dyDescent="0.3">
      <c r="A81" s="22">
        <v>46149</v>
      </c>
      <c r="B81" s="23">
        <v>303.67099999999999</v>
      </c>
      <c r="C81" s="24">
        <f t="shared" si="1"/>
        <v>8.8000212609045218E-3</v>
      </c>
    </row>
    <row r="82" spans="1:3" ht="14.25" customHeight="1" x14ac:dyDescent="0.3">
      <c r="A82" s="22">
        <v>46148</v>
      </c>
      <c r="B82" s="23">
        <v>301.02199999999999</v>
      </c>
      <c r="C82" s="24">
        <f t="shared" si="1"/>
        <v>1.1876069367270776E-2</v>
      </c>
    </row>
    <row r="83" spans="1:3" ht="14.25" customHeight="1" x14ac:dyDescent="0.3">
      <c r="A83" s="22">
        <v>46147</v>
      </c>
      <c r="B83" s="23">
        <v>297.48899999999998</v>
      </c>
      <c r="C83" s="24">
        <f t="shared" si="1"/>
        <v>-2.6719323065783358E-3</v>
      </c>
    </row>
    <row r="84" spans="1:3" ht="14.25" customHeight="1" x14ac:dyDescent="0.3">
      <c r="A84" s="22">
        <v>46146</v>
      </c>
      <c r="B84" s="23">
        <v>298.286</v>
      </c>
      <c r="C84" s="24">
        <f t="shared" si="1"/>
        <v>8.2747990454234369E-3</v>
      </c>
    </row>
    <row r="85" spans="1:3" ht="14.25" customHeight="1" x14ac:dyDescent="0.3">
      <c r="A85" s="22">
        <v>46142</v>
      </c>
      <c r="B85" s="23">
        <v>295.83800000000002</v>
      </c>
      <c r="C85" s="24">
        <f t="shared" si="1"/>
        <v>-7.3416413333064505E-3</v>
      </c>
    </row>
    <row r="86" spans="1:3" ht="14.25" customHeight="1" x14ac:dyDescent="0.3">
      <c r="A86" s="22">
        <v>46141</v>
      </c>
      <c r="B86" s="23">
        <v>298.02600000000001</v>
      </c>
      <c r="C86" s="24">
        <f t="shared" si="1"/>
        <v>2.3947745481208049E-3</v>
      </c>
    </row>
    <row r="87" spans="1:3" ht="14.25" customHeight="1" x14ac:dyDescent="0.3">
      <c r="A87" s="22">
        <v>46140</v>
      </c>
      <c r="B87" s="23">
        <v>297.31400000000002</v>
      </c>
      <c r="C87" s="24">
        <f t="shared" si="1"/>
        <v>-5.2428893104611886E-3</v>
      </c>
    </row>
    <row r="88" spans="1:3" ht="14.25" customHeight="1" x14ac:dyDescent="0.3">
      <c r="A88" s="22">
        <v>46139</v>
      </c>
      <c r="B88" s="23">
        <v>298.88099999999997</v>
      </c>
      <c r="C88" s="24">
        <f t="shared" si="1"/>
        <v>1.1845677800272077E-2</v>
      </c>
    </row>
    <row r="89" spans="1:3" ht="14.25" customHeight="1" x14ac:dyDescent="0.3">
      <c r="A89" s="22">
        <v>46136</v>
      </c>
      <c r="B89" s="23">
        <v>295.38200000000001</v>
      </c>
      <c r="C89" s="24">
        <f t="shared" si="1"/>
        <v>-8.7286858646298589E-3</v>
      </c>
    </row>
    <row r="90" spans="1:3" ht="14.25" customHeight="1" x14ac:dyDescent="0.3">
      <c r="A90" s="22">
        <v>46135</v>
      </c>
      <c r="B90" s="23">
        <v>297.983</v>
      </c>
      <c r="C90" s="24">
        <f t="shared" si="1"/>
        <v>-6.4086960870941428E-3</v>
      </c>
    </row>
    <row r="91" spans="1:3" ht="14.25" customHeight="1" x14ac:dyDescent="0.3">
      <c r="A91" s="22">
        <v>46134</v>
      </c>
      <c r="B91" s="23">
        <v>299.90499999999997</v>
      </c>
      <c r="C91" s="24">
        <f t="shared" si="1"/>
        <v>2.6545329325901846E-3</v>
      </c>
    </row>
    <row r="92" spans="1:3" ht="14.25" customHeight="1" x14ac:dyDescent="0.3">
      <c r="A92" s="22">
        <v>46133</v>
      </c>
      <c r="B92" s="23">
        <v>299.11099999999999</v>
      </c>
      <c r="C92" s="24">
        <f t="shared" si="1"/>
        <v>8.4285478286375091E-3</v>
      </c>
    </row>
    <row r="93" spans="1:3" ht="14.25" customHeight="1" x14ac:dyDescent="0.3">
      <c r="A93" s="22">
        <v>46132</v>
      </c>
      <c r="B93" s="23">
        <v>296.61099999999999</v>
      </c>
      <c r="C93" s="24">
        <f t="shared" si="1"/>
        <v>2.1725321656394349E-3</v>
      </c>
    </row>
    <row r="94" spans="1:3" ht="14.25" customHeight="1" x14ac:dyDescent="0.3">
      <c r="A94" s="22">
        <v>46129</v>
      </c>
      <c r="B94" s="23">
        <v>295.96800000000002</v>
      </c>
      <c r="C94" s="24">
        <f t="shared" si="1"/>
        <v>8.755994396708976E-3</v>
      </c>
    </row>
    <row r="95" spans="1:3" ht="14.25" customHeight="1" x14ac:dyDescent="0.3">
      <c r="A95" s="22">
        <v>46128</v>
      </c>
      <c r="B95" s="23">
        <v>293.399</v>
      </c>
      <c r="C95" s="24">
        <f t="shared" si="1"/>
        <v>3.6087622800536588E-3</v>
      </c>
    </row>
    <row r="96" spans="1:3" ht="14.25" customHeight="1" x14ac:dyDescent="0.3">
      <c r="A96" s="22">
        <v>46127</v>
      </c>
      <c r="B96" s="23">
        <v>292.34399999999999</v>
      </c>
      <c r="C96" s="24">
        <f t="shared" si="1"/>
        <v>1.9604287064518649E-2</v>
      </c>
    </row>
    <row r="97" spans="1:3" ht="14.25" customHeight="1" x14ac:dyDescent="0.3">
      <c r="A97" s="22">
        <v>46125</v>
      </c>
      <c r="B97" s="23">
        <v>286.72300000000001</v>
      </c>
      <c r="C97" s="24">
        <f t="shared" si="1"/>
        <v>-4.1746982721194694E-3</v>
      </c>
    </row>
    <row r="98" spans="1:3" ht="14.25" customHeight="1" x14ac:dyDescent="0.3">
      <c r="A98" s="22">
        <v>46122</v>
      </c>
      <c r="B98" s="23">
        <v>287.92500000000001</v>
      </c>
      <c r="C98" s="24">
        <f t="shared" si="1"/>
        <v>1.5844958614703898E-2</v>
      </c>
    </row>
    <row r="99" spans="1:3" ht="14.25" customHeight="1" x14ac:dyDescent="0.3">
      <c r="A99" s="22">
        <v>46121</v>
      </c>
      <c r="B99" s="23">
        <v>283.43400000000003</v>
      </c>
      <c r="C99" s="24">
        <f t="shared" si="1"/>
        <v>-3.2143711227087487E-3</v>
      </c>
    </row>
    <row r="100" spans="1:3" ht="14.25" customHeight="1" x14ac:dyDescent="0.3">
      <c r="A100" s="22">
        <v>46120</v>
      </c>
      <c r="B100" s="23">
        <v>284.34800000000001</v>
      </c>
      <c r="C100" s="24">
        <f t="shared" si="1"/>
        <v>3.5668627415272006E-2</v>
      </c>
    </row>
    <row r="101" spans="1:3" ht="14.25" customHeight="1" x14ac:dyDescent="0.3">
      <c r="A101" s="22">
        <v>46119</v>
      </c>
      <c r="B101" s="23">
        <v>274.55500000000001</v>
      </c>
      <c r="C101" s="24">
        <f t="shared" si="1"/>
        <v>-2.0392482456996688E-4</v>
      </c>
    </row>
    <row r="102" spans="1:3" ht="14.25" customHeight="1" x14ac:dyDescent="0.3">
      <c r="A102" s="22">
        <v>46118</v>
      </c>
      <c r="B102" s="23">
        <v>274.61099999999999</v>
      </c>
      <c r="C102" s="24">
        <f t="shared" si="1"/>
        <v>9.7848869277440756E-3</v>
      </c>
    </row>
    <row r="103" spans="1:3" ht="14.25" customHeight="1" x14ac:dyDescent="0.3">
      <c r="A103" s="22">
        <v>46114</v>
      </c>
      <c r="B103" s="23">
        <v>271.95</v>
      </c>
      <c r="C103" s="24">
        <f t="shared" si="1"/>
        <v>4.2837623250488134E-3</v>
      </c>
    </row>
    <row r="104" spans="1:3" ht="14.25" customHeight="1" x14ac:dyDescent="0.3">
      <c r="A104" s="22">
        <v>46113</v>
      </c>
      <c r="B104" s="23">
        <v>270.79000000000002</v>
      </c>
      <c r="C104" s="24">
        <f t="shared" si="1"/>
        <v>2.0159057259860075E-2</v>
      </c>
    </row>
    <row r="105" spans="1:3" ht="14.25" customHeight="1" x14ac:dyDescent="0.3">
      <c r="A105" s="22">
        <v>46111</v>
      </c>
      <c r="B105" s="23">
        <v>265.43900000000002</v>
      </c>
      <c r="C105" s="24">
        <f t="shared" si="1"/>
        <v>-2.4146437407860766E-2</v>
      </c>
    </row>
    <row r="106" spans="1:3" ht="14.25" customHeight="1" x14ac:dyDescent="0.3">
      <c r="A106" s="22">
        <v>46108</v>
      </c>
      <c r="B106" s="23">
        <v>272.00700000000001</v>
      </c>
      <c r="C106" s="24">
        <f t="shared" si="1"/>
        <v>-2.1008191647111291E-2</v>
      </c>
    </row>
    <row r="107" spans="1:3" ht="14.25" customHeight="1" x14ac:dyDescent="0.3">
      <c r="A107" s="22">
        <v>46106</v>
      </c>
      <c r="B107" s="23">
        <v>277.84399999999999</v>
      </c>
      <c r="C107" s="24">
        <f t="shared" si="1"/>
        <v>1.9670879758077589E-2</v>
      </c>
    </row>
    <row r="108" spans="1:3" ht="14.25" customHeight="1" x14ac:dyDescent="0.3">
      <c r="A108" s="22">
        <v>46105</v>
      </c>
      <c r="B108" s="23">
        <v>272.48399999999998</v>
      </c>
      <c r="C108" s="24">
        <f t="shared" si="1"/>
        <v>1.9851785313271853E-2</v>
      </c>
    </row>
    <row r="109" spans="1:3" ht="14.25" customHeight="1" x14ac:dyDescent="0.3">
      <c r="A109" s="22">
        <v>46104</v>
      </c>
      <c r="B109" s="23">
        <v>267.18</v>
      </c>
      <c r="C109" s="24">
        <f t="shared" si="1"/>
        <v>-3.1679357497254597E-2</v>
      </c>
    </row>
    <row r="110" spans="1:3" ht="14.25" customHeight="1" x14ac:dyDescent="0.3">
      <c r="A110" s="22">
        <v>46101</v>
      </c>
      <c r="B110" s="23">
        <v>275.92099999999999</v>
      </c>
      <c r="C110" s="24">
        <f t="shared" si="1"/>
        <v>2.7401541609277974E-3</v>
      </c>
    </row>
    <row r="111" spans="1:3" ht="14.25" customHeight="1" x14ac:dyDescent="0.3">
      <c r="A111" s="22">
        <v>46100</v>
      </c>
      <c r="B111" s="23">
        <v>275.16699999999997</v>
      </c>
      <c r="C111" s="24">
        <f t="shared" si="1"/>
        <v>-2.8299921251778933E-2</v>
      </c>
    </row>
    <row r="112" spans="1:3" ht="14.25" customHeight="1" x14ac:dyDescent="0.3">
      <c r="A112" s="22">
        <v>46099</v>
      </c>
      <c r="B112" s="23">
        <v>283.18099999999998</v>
      </c>
      <c r="C112" s="24">
        <f t="shared" si="1"/>
        <v>1.3028593505736217E-2</v>
      </c>
    </row>
    <row r="113" spans="1:3" ht="14.25" customHeight="1" x14ac:dyDescent="0.3">
      <c r="A113" s="22">
        <v>46098</v>
      </c>
      <c r="B113" s="23">
        <v>279.53899999999999</v>
      </c>
      <c r="C113" s="24">
        <f t="shared" si="1"/>
        <v>7.2896697848050833E-3</v>
      </c>
    </row>
    <row r="114" spans="1:3" ht="14.25" customHeight="1" x14ac:dyDescent="0.3">
      <c r="A114" s="22">
        <v>46097</v>
      </c>
      <c r="B114" s="23">
        <v>277.51600000000002</v>
      </c>
      <c r="C114" s="24">
        <f t="shared" si="1"/>
        <v>3.522068980480529E-3</v>
      </c>
    </row>
    <row r="115" spans="1:3" ht="14.25" customHeight="1" x14ac:dyDescent="0.3">
      <c r="A115" s="22">
        <v>46094</v>
      </c>
      <c r="B115" s="23">
        <v>276.54199999999997</v>
      </c>
      <c r="C115" s="24">
        <f t="shared" si="1"/>
        <v>-2.4446858949032028E-2</v>
      </c>
    </row>
    <row r="116" spans="1:3" ht="14.25" customHeight="1" x14ac:dyDescent="0.3">
      <c r="A116" s="22">
        <v>46093</v>
      </c>
      <c r="B116" s="23">
        <v>283.47199999999998</v>
      </c>
      <c r="C116" s="24">
        <f t="shared" si="1"/>
        <v>-4.110426430393322E-3</v>
      </c>
    </row>
    <row r="117" spans="1:3" ht="14.25" customHeight="1" x14ac:dyDescent="0.3">
      <c r="A117" s="22">
        <v>46092</v>
      </c>
      <c r="B117" s="23">
        <v>284.642</v>
      </c>
      <c r="C117" s="24">
        <f t="shared" si="1"/>
        <v>-8.5752897904591684E-3</v>
      </c>
    </row>
    <row r="118" spans="1:3" ht="14.25" customHeight="1" x14ac:dyDescent="0.3">
      <c r="A118" s="22">
        <v>46091</v>
      </c>
      <c r="B118" s="23">
        <v>287.10399999999998</v>
      </c>
      <c r="C118" s="24">
        <f t="shared" si="1"/>
        <v>1.4720487454892975E-2</v>
      </c>
    </row>
    <row r="119" spans="1:3" ht="14.25" customHeight="1" x14ac:dyDescent="0.3">
      <c r="A119" s="22">
        <v>46090</v>
      </c>
      <c r="B119" s="23">
        <v>282.93900000000002</v>
      </c>
      <c r="C119" s="24">
        <f t="shared" si="1"/>
        <v>-1.9102163640712884E-2</v>
      </c>
    </row>
    <row r="120" spans="1:3" ht="14.25" customHeight="1" x14ac:dyDescent="0.3">
      <c r="A120" s="22">
        <v>46087</v>
      </c>
      <c r="B120" s="23">
        <v>288.44900000000001</v>
      </c>
      <c r="C120" s="24">
        <f t="shared" si="1"/>
        <v>-7.0021309336518551E-3</v>
      </c>
    </row>
    <row r="121" spans="1:3" ht="14.25" customHeight="1" x14ac:dyDescent="0.3">
      <c r="A121" s="22">
        <v>46086</v>
      </c>
      <c r="B121" s="23">
        <v>290.483</v>
      </c>
      <c r="C121" s="24">
        <f t="shared" si="1"/>
        <v>1.2746359303691793E-2</v>
      </c>
    </row>
    <row r="122" spans="1:3" ht="14.25" customHeight="1" x14ac:dyDescent="0.3">
      <c r="A122" s="22">
        <v>46085</v>
      </c>
      <c r="B122" s="23">
        <v>286.827</v>
      </c>
      <c r="C122" s="24">
        <f t="shared" si="1"/>
        <v>-1.7833478863834906E-2</v>
      </c>
    </row>
    <row r="123" spans="1:3" ht="14.25" customHeight="1" x14ac:dyDescent="0.3">
      <c r="A123" s="22">
        <v>46083</v>
      </c>
      <c r="B123" s="23">
        <v>292.03500000000003</v>
      </c>
      <c r="C123" s="24">
        <f t="shared" si="1"/>
        <v>-1.5553735222434513E-2</v>
      </c>
    </row>
    <row r="124" spans="1:3" ht="14.25" customHeight="1" x14ac:dyDescent="0.3">
      <c r="A124" s="22">
        <v>46080</v>
      </c>
      <c r="B124" s="23">
        <v>296.649</v>
      </c>
      <c r="C124" s="24">
        <f t="shared" si="1"/>
        <v>-9.6845267901853119E-3</v>
      </c>
    </row>
    <row r="125" spans="1:3" ht="14.25" customHeight="1" x14ac:dyDescent="0.3">
      <c r="A125" s="22">
        <v>46079</v>
      </c>
      <c r="B125" s="23">
        <v>299.55</v>
      </c>
      <c r="C125" s="24">
        <f t="shared" si="1"/>
        <v>1.3572058941513315E-3</v>
      </c>
    </row>
    <row r="126" spans="1:3" ht="14.25" customHeight="1" x14ac:dyDescent="0.3">
      <c r="A126" s="22">
        <v>46078</v>
      </c>
      <c r="B126" s="23">
        <v>299.14400000000001</v>
      </c>
      <c r="C126" s="24">
        <f t="shared" si="1"/>
        <v>4.2062365093271893E-3</v>
      </c>
    </row>
    <row r="127" spans="1:3" ht="14.25" customHeight="1" x14ac:dyDescent="0.3">
      <c r="A127" s="22">
        <v>46077</v>
      </c>
      <c r="B127" s="23">
        <v>297.89100000000002</v>
      </c>
      <c r="C127" s="24">
        <f t="shared" si="1"/>
        <v>-7.341033142948458E-3</v>
      </c>
    </row>
    <row r="128" spans="1:3" ht="14.25" customHeight="1" x14ac:dyDescent="0.3">
      <c r="A128" s="22">
        <v>46076</v>
      </c>
      <c r="B128" s="23">
        <v>300.09399999999999</v>
      </c>
      <c r="C128" s="24">
        <f t="shared" si="1"/>
        <v>2.7868742899151348E-3</v>
      </c>
    </row>
    <row r="129" spans="1:3" ht="14.25" customHeight="1" x14ac:dyDescent="0.3">
      <c r="A129" s="22">
        <v>46073</v>
      </c>
      <c r="B129" s="23">
        <v>299.26</v>
      </c>
      <c r="C129" s="24">
        <f t="shared" si="1"/>
        <v>6.995736604964678E-3</v>
      </c>
    </row>
    <row r="130" spans="1:3" ht="14.25" customHeight="1" x14ac:dyDescent="0.3">
      <c r="A130" s="22">
        <v>46072</v>
      </c>
      <c r="B130" s="23">
        <v>297.18099999999998</v>
      </c>
      <c r="C130" s="24">
        <f t="shared" ref="C130:C193" si="2">(B130-B131)/B131</f>
        <v>-1.4102683192229203E-2</v>
      </c>
    </row>
    <row r="131" spans="1:3" ht="14.25" customHeight="1" x14ac:dyDescent="0.3">
      <c r="A131" s="22">
        <v>46071</v>
      </c>
      <c r="B131" s="23">
        <v>301.43200000000002</v>
      </c>
      <c r="C131" s="24">
        <f t="shared" si="2"/>
        <v>4.2711977344662309E-3</v>
      </c>
    </row>
    <row r="132" spans="1:3" ht="14.25" customHeight="1" x14ac:dyDescent="0.3">
      <c r="A132" s="22">
        <v>46070</v>
      </c>
      <c r="B132" s="23">
        <v>300.14999999999998</v>
      </c>
      <c r="C132" s="24">
        <f t="shared" si="2"/>
        <v>2.4581348901520639E-3</v>
      </c>
    </row>
    <row r="133" spans="1:3" ht="14.25" customHeight="1" x14ac:dyDescent="0.3">
      <c r="A133" s="22">
        <v>46069</v>
      </c>
      <c r="B133" s="23">
        <v>299.41399999999999</v>
      </c>
      <c r="C133" s="24">
        <f t="shared" si="2"/>
        <v>-3.1263213618642773E-3</v>
      </c>
    </row>
    <row r="134" spans="1:3" ht="14.25" customHeight="1" x14ac:dyDescent="0.3">
      <c r="A134" s="22">
        <v>46065</v>
      </c>
      <c r="B134" s="23">
        <v>300.35300000000001</v>
      </c>
      <c r="C134" s="24">
        <f t="shared" si="2"/>
        <v>-4.5735799531373611E-3</v>
      </c>
    </row>
    <row r="135" spans="1:3" ht="14.25" customHeight="1" x14ac:dyDescent="0.3">
      <c r="A135" s="22">
        <v>46064</v>
      </c>
      <c r="B135" s="23">
        <v>301.733</v>
      </c>
      <c r="C135" s="24">
        <f t="shared" si="2"/>
        <v>1.1912109206500244E-3</v>
      </c>
    </row>
    <row r="136" spans="1:3" ht="14.25" customHeight="1" x14ac:dyDescent="0.3">
      <c r="A136" s="22">
        <v>46063</v>
      </c>
      <c r="B136" s="23">
        <v>301.37400000000002</v>
      </c>
      <c r="C136" s="24">
        <f t="shared" si="2"/>
        <v>7.0405357089155431E-3</v>
      </c>
    </row>
    <row r="137" spans="1:3" ht="14.25" customHeight="1" x14ac:dyDescent="0.3">
      <c r="A137" s="22">
        <v>46062</v>
      </c>
      <c r="B137" s="23">
        <v>299.267</v>
      </c>
      <c r="C137" s="24">
        <f t="shared" si="2"/>
        <v>1.2477205755483266E-2</v>
      </c>
    </row>
    <row r="138" spans="1:3" ht="14.25" customHeight="1" x14ac:dyDescent="0.3">
      <c r="A138" s="22">
        <v>46059</v>
      </c>
      <c r="B138" s="23">
        <v>295.57900000000001</v>
      </c>
      <c r="C138" s="24">
        <f t="shared" si="2"/>
        <v>3.7251852405239703E-3</v>
      </c>
    </row>
    <row r="139" spans="1:3" ht="14.25" customHeight="1" x14ac:dyDescent="0.3">
      <c r="A139" s="22">
        <v>46058</v>
      </c>
      <c r="B139" s="23">
        <v>294.48200000000003</v>
      </c>
      <c r="C139" s="24">
        <f t="shared" si="2"/>
        <v>-1.2650285733665375E-3</v>
      </c>
    </row>
    <row r="140" spans="1:3" ht="14.25" customHeight="1" x14ac:dyDescent="0.3">
      <c r="A140" s="22">
        <v>46057</v>
      </c>
      <c r="B140" s="23">
        <v>294.85500000000002</v>
      </c>
      <c r="C140" s="24">
        <f t="shared" si="2"/>
        <v>5.3942913258294952E-3</v>
      </c>
    </row>
    <row r="141" spans="1:3" ht="14.25" customHeight="1" x14ac:dyDescent="0.3">
      <c r="A141" s="22">
        <v>46056</v>
      </c>
      <c r="B141" s="23">
        <v>293.27300000000002</v>
      </c>
      <c r="C141" s="24">
        <f t="shared" si="2"/>
        <v>2.6880628580232289E-2</v>
      </c>
    </row>
    <row r="142" spans="1:3" ht="14.25" customHeight="1" x14ac:dyDescent="0.3">
      <c r="A142" s="22">
        <v>46055</v>
      </c>
      <c r="B142" s="23">
        <v>285.596</v>
      </c>
      <c r="C142" s="24">
        <f t="shared" si="2"/>
        <v>-7.2786680107059477E-3</v>
      </c>
    </row>
    <row r="143" spans="1:3" ht="14.25" customHeight="1" x14ac:dyDescent="0.3">
      <c r="A143" s="22">
        <v>46052</v>
      </c>
      <c r="B143" s="23">
        <v>287.69</v>
      </c>
      <c r="C143" s="24">
        <f t="shared" si="2"/>
        <v>4.7041485211790747E-3</v>
      </c>
    </row>
    <row r="144" spans="1:3" ht="14.25" customHeight="1" x14ac:dyDescent="0.3">
      <c r="A144" s="22">
        <v>46051</v>
      </c>
      <c r="B144" s="23">
        <v>286.34300000000002</v>
      </c>
      <c r="C144" s="24">
        <f t="shared" si="2"/>
        <v>3.430706045612067E-3</v>
      </c>
    </row>
    <row r="145" spans="1:3" ht="14.25" customHeight="1" x14ac:dyDescent="0.3">
      <c r="A145" s="22">
        <v>46050</v>
      </c>
      <c r="B145" s="23">
        <v>285.36399999999998</v>
      </c>
      <c r="C145" s="24">
        <f t="shared" si="2"/>
        <v>1.3175787227545794E-2</v>
      </c>
    </row>
    <row r="146" spans="1:3" ht="14.25" customHeight="1" x14ac:dyDescent="0.3">
      <c r="A146" s="22">
        <v>46049</v>
      </c>
      <c r="B146" s="23">
        <v>281.65300000000002</v>
      </c>
      <c r="C146" s="24">
        <f t="shared" si="2"/>
        <v>1.7071340420311274E-3</v>
      </c>
    </row>
    <row r="147" spans="1:3" ht="14.25" customHeight="1" x14ac:dyDescent="0.3">
      <c r="A147" s="22">
        <v>46045</v>
      </c>
      <c r="B147" s="23">
        <v>281.173</v>
      </c>
      <c r="C147" s="24">
        <f t="shared" si="2"/>
        <v>-1.3552674048190402E-2</v>
      </c>
    </row>
    <row r="148" spans="1:3" ht="14.25" customHeight="1" x14ac:dyDescent="0.3">
      <c r="A148" s="22">
        <v>46044</v>
      </c>
      <c r="B148" s="23">
        <v>285.036</v>
      </c>
      <c r="C148" s="24">
        <f t="shared" si="2"/>
        <v>1.6516379328522287E-3</v>
      </c>
    </row>
    <row r="149" spans="1:3" ht="14.25" customHeight="1" x14ac:dyDescent="0.3">
      <c r="A149" s="22">
        <v>46042</v>
      </c>
      <c r="B149" s="23">
        <v>284.56599999999997</v>
      </c>
      <c r="C149" s="24">
        <f t="shared" si="2"/>
        <v>-1.898149424970362E-2</v>
      </c>
    </row>
    <row r="150" spans="1:3" ht="14.25" customHeight="1" x14ac:dyDescent="0.3">
      <c r="A150" s="22">
        <v>46041</v>
      </c>
      <c r="B150" s="23">
        <v>290.072</v>
      </c>
      <c r="C150" s="24">
        <f t="shared" si="2"/>
        <v>-5.7958000157661326E-3</v>
      </c>
    </row>
    <row r="151" spans="1:3" ht="14.25" customHeight="1" x14ac:dyDescent="0.3">
      <c r="A151" s="22">
        <v>46038</v>
      </c>
      <c r="B151" s="23">
        <v>291.76299999999998</v>
      </c>
      <c r="C151" s="24">
        <f t="shared" si="2"/>
        <v>-3.9464834988512387E-3</v>
      </c>
    </row>
    <row r="152" spans="1:3" ht="14.25" customHeight="1" x14ac:dyDescent="0.3">
      <c r="A152" s="22">
        <v>46036</v>
      </c>
      <c r="B152" s="23">
        <v>292.91899999999998</v>
      </c>
      <c r="C152" s="24">
        <f t="shared" si="2"/>
        <v>7.6188263590878014E-4</v>
      </c>
    </row>
    <row r="153" spans="1:3" ht="14.25" customHeight="1" x14ac:dyDescent="0.3">
      <c r="A153" s="22">
        <v>46035</v>
      </c>
      <c r="B153" s="23">
        <v>292.69600000000003</v>
      </c>
      <c r="C153" s="24">
        <f t="shared" si="2"/>
        <v>-2.1519406747525497E-4</v>
      </c>
    </row>
    <row r="154" spans="1:3" ht="14.25" customHeight="1" x14ac:dyDescent="0.3">
      <c r="A154" s="22">
        <v>46034</v>
      </c>
      <c r="B154" s="23">
        <v>292.75900000000001</v>
      </c>
      <c r="C154" s="24">
        <f t="shared" si="2"/>
        <v>-3.3193297337045283E-3</v>
      </c>
    </row>
    <row r="155" spans="1:3" ht="14.25" customHeight="1" x14ac:dyDescent="0.3">
      <c r="A155" s="22">
        <v>46031</v>
      </c>
      <c r="B155" s="23">
        <v>293.73399999999998</v>
      </c>
      <c r="C155" s="24">
        <f t="shared" si="2"/>
        <v>-1.0923368060933901E-2</v>
      </c>
    </row>
    <row r="156" spans="1:3" ht="14.25" customHeight="1" x14ac:dyDescent="0.3">
      <c r="A156" s="22">
        <v>46030</v>
      </c>
      <c r="B156" s="23">
        <v>296.97800000000001</v>
      </c>
      <c r="C156" s="24">
        <f t="shared" si="2"/>
        <v>-1.4988540516157724E-2</v>
      </c>
    </row>
    <row r="157" spans="1:3" ht="14.25" customHeight="1" x14ac:dyDescent="0.3">
      <c r="A157" s="22">
        <v>46029</v>
      </c>
      <c r="B157" s="23">
        <v>301.49700000000001</v>
      </c>
      <c r="C157" s="24">
        <f t="shared" si="2"/>
        <v>6.6340052475109725E-5</v>
      </c>
    </row>
    <row r="158" spans="1:3" ht="14.25" customHeight="1" x14ac:dyDescent="0.3">
      <c r="A158" s="22">
        <v>46028</v>
      </c>
      <c r="B158" s="23">
        <v>301.47699999999998</v>
      </c>
      <c r="C158" s="24">
        <f t="shared" si="2"/>
        <v>-2.6927695498708904E-3</v>
      </c>
    </row>
    <row r="159" spans="1:3" ht="14.25" customHeight="1" x14ac:dyDescent="0.3">
      <c r="A159" s="22">
        <v>46027</v>
      </c>
      <c r="B159" s="23">
        <v>302.291</v>
      </c>
      <c r="C159" s="24">
        <f t="shared" si="2"/>
        <v>-1.6776805735817535E-3</v>
      </c>
    </row>
    <row r="160" spans="1:3" ht="14.25" customHeight="1" x14ac:dyDescent="0.3">
      <c r="A160" s="22">
        <v>46024</v>
      </c>
      <c r="B160" s="23">
        <v>302.79899999999998</v>
      </c>
      <c r="C160" s="24">
        <f t="shared" si="2"/>
        <v>6.4047169560476347E-3</v>
      </c>
    </row>
    <row r="161" spans="1:3" ht="14.25" customHeight="1" x14ac:dyDescent="0.3">
      <c r="A161" s="22">
        <v>46023</v>
      </c>
      <c r="B161" s="23">
        <v>300.87200000000001</v>
      </c>
      <c r="C161" s="24">
        <f t="shared" si="2"/>
        <v>7.7834472022843856E-4</v>
      </c>
    </row>
    <row r="162" spans="1:3" ht="14.25" customHeight="1" x14ac:dyDescent="0.3">
      <c r="A162" s="22">
        <v>46022</v>
      </c>
      <c r="B162" s="23">
        <v>300.63799999999998</v>
      </c>
      <c r="C162" s="24">
        <f t="shared" si="2"/>
        <v>8.3718496555332048E-3</v>
      </c>
    </row>
    <row r="163" spans="1:3" ht="14.25" customHeight="1" x14ac:dyDescent="0.3">
      <c r="A163" s="22">
        <v>46021</v>
      </c>
      <c r="B163" s="23">
        <v>298.142</v>
      </c>
      <c r="C163" s="24">
        <f t="shared" si="2"/>
        <v>-2.8362152580354298E-3</v>
      </c>
    </row>
    <row r="164" spans="1:3" ht="14.25" customHeight="1" x14ac:dyDescent="0.3">
      <c r="A164" s="22">
        <v>46020</v>
      </c>
      <c r="B164" s="23">
        <v>298.99</v>
      </c>
      <c r="C164" s="24">
        <f t="shared" si="2"/>
        <v>-3.2038566299162617E-3</v>
      </c>
    </row>
    <row r="165" spans="1:3" ht="14.25" customHeight="1" x14ac:dyDescent="0.3">
      <c r="A165" s="22">
        <v>46017</v>
      </c>
      <c r="B165" s="23">
        <v>299.95100000000002</v>
      </c>
      <c r="C165" s="24">
        <f t="shared" si="2"/>
        <v>-3.4188318160675007E-3</v>
      </c>
    </row>
    <row r="166" spans="1:3" ht="14.25" customHeight="1" x14ac:dyDescent="0.3">
      <c r="A166" s="22">
        <v>46015</v>
      </c>
      <c r="B166" s="23">
        <v>300.98</v>
      </c>
      <c r="C166" s="24">
        <f t="shared" si="2"/>
        <v>-1.2410653251656418E-3</v>
      </c>
    </row>
    <row r="167" spans="1:3" ht="14.25" customHeight="1" x14ac:dyDescent="0.3">
      <c r="A167" s="22">
        <v>46014</v>
      </c>
      <c r="B167" s="23">
        <v>301.35399999999998</v>
      </c>
      <c r="C167" s="24">
        <f t="shared" si="2"/>
        <v>9.6657510222111927E-4</v>
      </c>
    </row>
    <row r="168" spans="1:3" ht="14.25" customHeight="1" x14ac:dyDescent="0.3">
      <c r="A168" s="22">
        <v>46013</v>
      </c>
      <c r="B168" s="23">
        <v>301.06299999999999</v>
      </c>
      <c r="C168" s="24">
        <f t="shared" si="2"/>
        <v>7.145557276525597E-3</v>
      </c>
    </row>
    <row r="169" spans="1:3" ht="14.25" customHeight="1" x14ac:dyDescent="0.3">
      <c r="A169" s="22">
        <v>46010</v>
      </c>
      <c r="B169" s="23">
        <v>298.92700000000002</v>
      </c>
      <c r="C169" s="24">
        <f t="shared" si="2"/>
        <v>7.8659716649697124E-3</v>
      </c>
    </row>
    <row r="170" spans="1:3" ht="14.25" customHeight="1" x14ac:dyDescent="0.3">
      <c r="A170" s="22">
        <v>46009</v>
      </c>
      <c r="B170" s="23">
        <v>296.59399999999999</v>
      </c>
      <c r="C170" s="24">
        <f t="shared" si="2"/>
        <v>-1.5451788064756227E-3</v>
      </c>
    </row>
    <row r="171" spans="1:3" ht="14.25" customHeight="1" x14ac:dyDescent="0.3">
      <c r="A171" s="22">
        <v>46008</v>
      </c>
      <c r="B171" s="23">
        <v>297.053</v>
      </c>
      <c r="C171" s="24">
        <f t="shared" si="2"/>
        <v>-5.7335841427740173E-3</v>
      </c>
    </row>
    <row r="172" spans="1:3" ht="14.25" customHeight="1" x14ac:dyDescent="0.3">
      <c r="A172" s="22">
        <v>46007</v>
      </c>
      <c r="B172" s="23">
        <v>298.76600000000002</v>
      </c>
      <c r="C172" s="24">
        <f t="shared" si="2"/>
        <v>-8.7622384350727178E-3</v>
      </c>
    </row>
    <row r="173" spans="1:3" ht="14.25" customHeight="1" x14ac:dyDescent="0.3">
      <c r="A173" s="22">
        <v>46006</v>
      </c>
      <c r="B173" s="23">
        <v>301.40699999999998</v>
      </c>
      <c r="C173" s="24">
        <f t="shared" si="2"/>
        <v>-5.9021503058838236E-4</v>
      </c>
    </row>
    <row r="174" spans="1:3" ht="14.25" customHeight="1" x14ac:dyDescent="0.3">
      <c r="A174" s="22">
        <v>46003</v>
      </c>
      <c r="B174" s="23">
        <v>301.58499999999998</v>
      </c>
      <c r="C174" s="24">
        <f t="shared" si="2"/>
        <v>6.4911226805499708E-3</v>
      </c>
    </row>
    <row r="175" spans="1:3" ht="14.25" customHeight="1" x14ac:dyDescent="0.3">
      <c r="A175" s="22">
        <v>46002</v>
      </c>
      <c r="B175" s="23">
        <v>299.64</v>
      </c>
      <c r="C175" s="24">
        <f t="shared" si="2"/>
        <v>5.6315906055134455E-3</v>
      </c>
    </row>
    <row r="176" spans="1:3" ht="14.25" customHeight="1" x14ac:dyDescent="0.3">
      <c r="A176" s="22">
        <v>46001</v>
      </c>
      <c r="B176" s="23">
        <v>297.96199999999999</v>
      </c>
      <c r="C176" s="24">
        <f t="shared" si="2"/>
        <v>-3.9812403686408987E-3</v>
      </c>
    </row>
    <row r="177" spans="1:3" ht="14.25" customHeight="1" x14ac:dyDescent="0.3">
      <c r="A177" s="22">
        <v>46000</v>
      </c>
      <c r="B177" s="23">
        <v>299.15300000000002</v>
      </c>
      <c r="C177" s="24">
        <f t="shared" si="2"/>
        <v>4.0948803925715755E-3</v>
      </c>
    </row>
    <row r="178" spans="1:3" ht="14.25" customHeight="1" x14ac:dyDescent="0.3">
      <c r="A178" s="22">
        <v>45999</v>
      </c>
      <c r="B178" s="23">
        <v>297.93299999999999</v>
      </c>
      <c r="C178" s="24">
        <f t="shared" si="2"/>
        <v>-1.1306165792792137E-2</v>
      </c>
    </row>
    <row r="179" spans="1:3" ht="14.25" customHeight="1" x14ac:dyDescent="0.3">
      <c r="A179" s="22">
        <v>45996</v>
      </c>
      <c r="B179" s="23">
        <v>301.33999999999997</v>
      </c>
      <c r="C179" s="24">
        <f t="shared" si="2"/>
        <v>5.412099861541687E-4</v>
      </c>
    </row>
    <row r="180" spans="1:3" ht="14.25" customHeight="1" x14ac:dyDescent="0.3">
      <c r="A180" s="22">
        <v>45995</v>
      </c>
      <c r="B180" s="23">
        <v>301.17700000000002</v>
      </c>
      <c r="C180" s="24">
        <f t="shared" si="2"/>
        <v>-1.1309440895732638E-3</v>
      </c>
    </row>
    <row r="181" spans="1:3" ht="14.25" customHeight="1" x14ac:dyDescent="0.3">
      <c r="A181" s="22">
        <v>45994</v>
      </c>
      <c r="B181" s="23">
        <v>301.51799999999997</v>
      </c>
      <c r="C181" s="24">
        <f t="shared" si="2"/>
        <v>-3.2298054513298807E-3</v>
      </c>
    </row>
    <row r="182" spans="1:3" ht="14.25" customHeight="1" x14ac:dyDescent="0.3">
      <c r="A182" s="22">
        <v>45993</v>
      </c>
      <c r="B182" s="23">
        <v>302.495</v>
      </c>
      <c r="C182" s="24">
        <f t="shared" si="2"/>
        <v>-1.6007657271107454E-3</v>
      </c>
    </row>
    <row r="183" spans="1:3" ht="14.25" customHeight="1" x14ac:dyDescent="0.3">
      <c r="A183" s="22">
        <v>45992</v>
      </c>
      <c r="B183" s="23">
        <v>302.98</v>
      </c>
      <c r="C183" s="24">
        <f t="shared" si="2"/>
        <v>-1.3316457031352885E-3</v>
      </c>
    </row>
    <row r="184" spans="1:3" ht="14.25" customHeight="1" x14ac:dyDescent="0.3">
      <c r="A184" s="22">
        <v>45989</v>
      </c>
      <c r="B184" s="23">
        <v>303.38400000000001</v>
      </c>
      <c r="C184" s="24">
        <f t="shared" si="2"/>
        <v>-1.9934866278495823E-3</v>
      </c>
    </row>
    <row r="185" spans="1:3" ht="14.25" customHeight="1" x14ac:dyDescent="0.3">
      <c r="A185" s="22">
        <v>45988</v>
      </c>
      <c r="B185" s="23">
        <v>303.99</v>
      </c>
      <c r="C185" s="24">
        <f t="shared" si="2"/>
        <v>-6.5091325101575043E-4</v>
      </c>
    </row>
    <row r="186" spans="1:3" ht="14.25" customHeight="1" x14ac:dyDescent="0.3">
      <c r="A186" s="22">
        <v>45987</v>
      </c>
      <c r="B186" s="23">
        <v>304.18799999999999</v>
      </c>
      <c r="C186" s="24">
        <f t="shared" si="2"/>
        <v>1.1895732705281109E-2</v>
      </c>
    </row>
    <row r="187" spans="1:3" ht="14.25" customHeight="1" x14ac:dyDescent="0.3">
      <c r="A187" s="22">
        <v>45986</v>
      </c>
      <c r="B187" s="23">
        <v>300.61200000000002</v>
      </c>
      <c r="C187" s="24">
        <f t="shared" si="2"/>
        <v>-2.2615405081809109E-4</v>
      </c>
    </row>
    <row r="188" spans="1:3" ht="14.25" customHeight="1" x14ac:dyDescent="0.3">
      <c r="A188" s="22">
        <v>45985</v>
      </c>
      <c r="B188" s="23">
        <v>300.68</v>
      </c>
      <c r="C188" s="24">
        <f t="shared" si="2"/>
        <v>-5.8160488561330203E-3</v>
      </c>
    </row>
    <row r="189" spans="1:3" ht="14.25" customHeight="1" x14ac:dyDescent="0.3">
      <c r="A189" s="22">
        <v>45982</v>
      </c>
      <c r="B189" s="23">
        <v>302.43900000000002</v>
      </c>
      <c r="C189" s="24">
        <f t="shared" si="2"/>
        <v>-9.0627610950015976E-3</v>
      </c>
    </row>
    <row r="190" spans="1:3" ht="14.25" customHeight="1" x14ac:dyDescent="0.3">
      <c r="A190" s="22">
        <v>45981</v>
      </c>
      <c r="B190" s="23">
        <v>305.20499999999998</v>
      </c>
      <c r="C190" s="24">
        <f t="shared" si="2"/>
        <v>1.7691504795414889E-3</v>
      </c>
    </row>
    <row r="191" spans="1:3" ht="14.25" customHeight="1" x14ac:dyDescent="0.3">
      <c r="A191" s="22">
        <v>45980</v>
      </c>
      <c r="B191" s="23">
        <v>304.666</v>
      </c>
      <c r="C191" s="24">
        <f t="shared" si="2"/>
        <v>2.3556506004277287E-3</v>
      </c>
    </row>
    <row r="192" spans="1:3" ht="14.25" customHeight="1" x14ac:dyDescent="0.3">
      <c r="A192" s="22">
        <v>45979</v>
      </c>
      <c r="B192" s="23">
        <v>303.95</v>
      </c>
      <c r="C192" s="24">
        <f t="shared" si="2"/>
        <v>-4.4675317869473158E-3</v>
      </c>
    </row>
    <row r="193" spans="1:3" ht="14.25" customHeight="1" x14ac:dyDescent="0.3">
      <c r="A193" s="22">
        <v>45978</v>
      </c>
      <c r="B193" s="23">
        <v>305.31400000000002</v>
      </c>
      <c r="C193" s="24">
        <f t="shared" si="2"/>
        <v>5.3343167793897953E-3</v>
      </c>
    </row>
    <row r="194" spans="1:3" ht="14.25" customHeight="1" x14ac:dyDescent="0.3">
      <c r="A194" s="22">
        <v>45975</v>
      </c>
      <c r="B194" s="23">
        <v>303.69400000000002</v>
      </c>
      <c r="C194" s="24">
        <f t="shared" ref="C194:C257" si="3">(B194-B195)/B195</f>
        <v>-7.6663146084422925E-4</v>
      </c>
    </row>
    <row r="195" spans="1:3" ht="14.25" customHeight="1" x14ac:dyDescent="0.3">
      <c r="A195" s="22">
        <v>45974</v>
      </c>
      <c r="B195" s="23">
        <v>303.92700000000002</v>
      </c>
      <c r="C195" s="24">
        <f t="shared" si="3"/>
        <v>2.2378800693756141E-4</v>
      </c>
    </row>
    <row r="196" spans="1:3" ht="14.25" customHeight="1" x14ac:dyDescent="0.3">
      <c r="A196" s="22">
        <v>45973</v>
      </c>
      <c r="B196" s="23">
        <v>303.85899999999998</v>
      </c>
      <c r="C196" s="24">
        <f t="shared" si="3"/>
        <v>5.8425523181525833E-3</v>
      </c>
    </row>
    <row r="197" spans="1:3" ht="14.25" customHeight="1" x14ac:dyDescent="0.3">
      <c r="A197" s="22">
        <v>45972</v>
      </c>
      <c r="B197" s="23">
        <v>302.09399999999999</v>
      </c>
      <c r="C197" s="24">
        <f t="shared" si="3"/>
        <v>5.2991713420803268E-4</v>
      </c>
    </row>
    <row r="198" spans="1:3" ht="14.25" customHeight="1" x14ac:dyDescent="0.3">
      <c r="A198" s="22">
        <v>45971</v>
      </c>
      <c r="B198" s="23">
        <v>301.93400000000003</v>
      </c>
      <c r="C198" s="24">
        <f t="shared" si="3"/>
        <v>1.8980495218375332E-3</v>
      </c>
    </row>
    <row r="199" spans="1:3" ht="14.25" customHeight="1" x14ac:dyDescent="0.3">
      <c r="A199" s="22">
        <v>45968</v>
      </c>
      <c r="B199" s="23">
        <v>301.36200000000002</v>
      </c>
      <c r="C199" s="24">
        <f t="shared" si="3"/>
        <v>7.9644784262193638E-5</v>
      </c>
    </row>
    <row r="200" spans="1:3" ht="14.25" customHeight="1" x14ac:dyDescent="0.3">
      <c r="A200" s="22">
        <v>45967</v>
      </c>
      <c r="B200" s="23">
        <v>301.33800000000002</v>
      </c>
      <c r="C200" s="24">
        <f t="shared" si="3"/>
        <v>-1.0624675776658512E-2</v>
      </c>
    </row>
    <row r="201" spans="1:3" ht="14.25" customHeight="1" x14ac:dyDescent="0.3">
      <c r="A201" s="22">
        <v>45965</v>
      </c>
      <c r="B201" s="23">
        <v>304.57400000000001</v>
      </c>
      <c r="C201" s="24">
        <f t="shared" si="3"/>
        <v>-2.3224352486054026E-3</v>
      </c>
    </row>
    <row r="202" spans="1:3" ht="14.25" customHeight="1" x14ac:dyDescent="0.3">
      <c r="A202" s="22">
        <v>45964</v>
      </c>
      <c r="B202" s="23">
        <v>305.28300000000002</v>
      </c>
      <c r="C202" s="24">
        <f t="shared" si="3"/>
        <v>4.1873622578205471E-3</v>
      </c>
    </row>
    <row r="203" spans="1:3" ht="14.25" customHeight="1" x14ac:dyDescent="0.3">
      <c r="A203" s="22">
        <v>45961</v>
      </c>
      <c r="B203" s="23">
        <v>304.01</v>
      </c>
      <c r="C203" s="24">
        <f t="shared" si="3"/>
        <v>-8.4313181884898194E-3</v>
      </c>
    </row>
    <row r="204" spans="1:3" ht="14.25" customHeight="1" x14ac:dyDescent="0.3">
      <c r="A204" s="22">
        <v>45960</v>
      </c>
      <c r="B204" s="23">
        <v>306.59500000000003</v>
      </c>
      <c r="C204" s="24">
        <f t="shared" si="3"/>
        <v>-2.7679657565881457E-3</v>
      </c>
    </row>
    <row r="205" spans="1:3" ht="14.25" customHeight="1" x14ac:dyDescent="0.3">
      <c r="A205" s="22">
        <v>45959</v>
      </c>
      <c r="B205" s="23">
        <v>307.44600000000003</v>
      </c>
      <c r="C205" s="24">
        <f t="shared" si="3"/>
        <v>7.260098941781634E-3</v>
      </c>
    </row>
    <row r="206" spans="1:3" ht="14.25" customHeight="1" x14ac:dyDescent="0.3">
      <c r="A206" s="22">
        <v>45958</v>
      </c>
      <c r="B206" s="23">
        <v>305.23</v>
      </c>
      <c r="C206" s="24">
        <f t="shared" si="3"/>
        <v>2.5561031879204916E-4</v>
      </c>
    </row>
    <row r="207" spans="1:3" ht="14.25" customHeight="1" x14ac:dyDescent="0.3">
      <c r="A207" s="22">
        <v>45957</v>
      </c>
      <c r="B207" s="23">
        <v>305.15199999999999</v>
      </c>
      <c r="C207" s="24">
        <f t="shared" si="3"/>
        <v>2.496780467292146E-3</v>
      </c>
    </row>
    <row r="208" spans="1:3" ht="14.25" customHeight="1" x14ac:dyDescent="0.3">
      <c r="A208" s="22">
        <v>45954</v>
      </c>
      <c r="B208" s="23">
        <v>304.392</v>
      </c>
      <c r="C208" s="24">
        <f t="shared" si="3"/>
        <v>-3.2875348727554356E-3</v>
      </c>
    </row>
    <row r="209" spans="1:3" ht="14.25" customHeight="1" x14ac:dyDescent="0.3">
      <c r="A209" s="22">
        <v>45953</v>
      </c>
      <c r="B209" s="23">
        <v>305.39600000000002</v>
      </c>
      <c r="C209" s="24">
        <f t="shared" si="3"/>
        <v>1.4067095784135021E-3</v>
      </c>
    </row>
    <row r="210" spans="1:3" ht="14.25" customHeight="1" x14ac:dyDescent="0.3">
      <c r="A210" s="22">
        <v>45950</v>
      </c>
      <c r="B210" s="23">
        <v>304.96699999999998</v>
      </c>
      <c r="C210" s="24">
        <f t="shared" si="3"/>
        <v>3.3393430541664025E-3</v>
      </c>
    </row>
    <row r="211" spans="1:3" ht="14.25" customHeight="1" x14ac:dyDescent="0.3">
      <c r="A211" s="22">
        <v>45947</v>
      </c>
      <c r="B211" s="23">
        <v>303.952</v>
      </c>
      <c r="C211" s="24">
        <f t="shared" si="3"/>
        <v>1.2503537184865098E-4</v>
      </c>
    </row>
    <row r="212" spans="1:3" ht="14.25" customHeight="1" x14ac:dyDescent="0.3">
      <c r="A212" s="22">
        <v>45946</v>
      </c>
      <c r="B212" s="23">
        <v>303.91399999999999</v>
      </c>
      <c r="C212" s="24">
        <f t="shared" si="3"/>
        <v>6.6877556766425598E-3</v>
      </c>
    </row>
    <row r="213" spans="1:3" ht="14.25" customHeight="1" x14ac:dyDescent="0.3">
      <c r="A213" s="22">
        <v>45945</v>
      </c>
      <c r="B213" s="23">
        <v>301.89499999999998</v>
      </c>
      <c r="C213" s="24">
        <f t="shared" si="3"/>
        <v>5.6663357695355835E-3</v>
      </c>
    </row>
    <row r="214" spans="1:3" ht="14.25" customHeight="1" x14ac:dyDescent="0.3">
      <c r="A214" s="22">
        <v>45944</v>
      </c>
      <c r="B214" s="23">
        <v>300.19400000000002</v>
      </c>
      <c r="C214" s="24">
        <f t="shared" si="3"/>
        <v>-7.0979691737777283E-3</v>
      </c>
    </row>
    <row r="215" spans="1:3" ht="14.25" customHeight="1" x14ac:dyDescent="0.3">
      <c r="A215" s="22">
        <v>45940</v>
      </c>
      <c r="B215" s="23">
        <v>302.33999999999997</v>
      </c>
      <c r="C215" s="24">
        <f t="shared" si="3"/>
        <v>3.8948490372451229E-3</v>
      </c>
    </row>
    <row r="216" spans="1:3" ht="14.25" customHeight="1" x14ac:dyDescent="0.3">
      <c r="A216" s="22">
        <v>45939</v>
      </c>
      <c r="B216" s="23">
        <v>301.16699999999997</v>
      </c>
      <c r="C216" s="24">
        <f t="shared" si="3"/>
        <v>3.1042350159040735E-3</v>
      </c>
    </row>
    <row r="217" spans="1:3" ht="14.25" customHeight="1" x14ac:dyDescent="0.3">
      <c r="A217" s="22">
        <v>45938</v>
      </c>
      <c r="B217" s="23">
        <v>300.23500000000001</v>
      </c>
      <c r="C217" s="24">
        <f t="shared" si="3"/>
        <v>-4.664469801950598E-3</v>
      </c>
    </row>
    <row r="218" spans="1:3" ht="14.25" customHeight="1" x14ac:dyDescent="0.3">
      <c r="A218" s="22">
        <v>45937</v>
      </c>
      <c r="B218" s="23">
        <v>301.642</v>
      </c>
      <c r="C218" s="24">
        <f t="shared" si="3"/>
        <v>-4.6722313715490783E-4</v>
      </c>
    </row>
    <row r="219" spans="1:3" ht="14.25" customHeight="1" x14ac:dyDescent="0.3">
      <c r="A219" s="22">
        <v>45936</v>
      </c>
      <c r="B219" s="23">
        <v>301.78300000000002</v>
      </c>
      <c r="C219" s="24">
        <f t="shared" si="3"/>
        <v>3.7284392440682153E-3</v>
      </c>
    </row>
    <row r="220" spans="1:3" ht="14.25" customHeight="1" x14ac:dyDescent="0.3">
      <c r="A220" s="22">
        <v>45933</v>
      </c>
      <c r="B220" s="23">
        <v>300.66199999999998</v>
      </c>
      <c r="C220" s="24">
        <f t="shared" si="3"/>
        <v>5.8310110765792574E-3</v>
      </c>
    </row>
    <row r="221" spans="1:3" ht="14.25" customHeight="1" x14ac:dyDescent="0.3">
      <c r="A221" s="22">
        <v>45931</v>
      </c>
      <c r="B221" s="23">
        <v>298.91899999999998</v>
      </c>
      <c r="C221" s="24">
        <f t="shared" si="3"/>
        <v>7.7404651695923525E-3</v>
      </c>
    </row>
    <row r="222" spans="1:3" ht="14.25" customHeight="1" x14ac:dyDescent="0.3">
      <c r="A222" s="22">
        <v>45930</v>
      </c>
      <c r="B222" s="23">
        <v>296.62299999999999</v>
      </c>
      <c r="C222" s="24">
        <f t="shared" si="3"/>
        <v>-1.4576376171496039E-3</v>
      </c>
    </row>
    <row r="223" spans="1:3" ht="14.25" customHeight="1" x14ac:dyDescent="0.3">
      <c r="A223" s="22">
        <v>45929</v>
      </c>
      <c r="B223" s="23">
        <v>297.05599999999998</v>
      </c>
      <c r="C223" s="24">
        <f t="shared" si="3"/>
        <v>-2.1876609192886983E-4</v>
      </c>
    </row>
    <row r="224" spans="1:3" ht="14.25" customHeight="1" x14ac:dyDescent="0.3">
      <c r="A224" s="22">
        <v>45926</v>
      </c>
      <c r="B224" s="23">
        <v>297.12099999999998</v>
      </c>
      <c r="C224" s="24">
        <f t="shared" si="3"/>
        <v>-1.3575246505760098E-2</v>
      </c>
    </row>
    <row r="225" spans="1:3" ht="14.25" customHeight="1" x14ac:dyDescent="0.3">
      <c r="A225" s="22">
        <v>45925</v>
      </c>
      <c r="B225" s="23">
        <v>301.20999999999998</v>
      </c>
      <c r="C225" s="24">
        <f t="shared" si="3"/>
        <v>-7.633587786259566E-3</v>
      </c>
    </row>
    <row r="226" spans="1:3" ht="14.25" customHeight="1" x14ac:dyDescent="0.3">
      <c r="A226" s="22">
        <v>45924</v>
      </c>
      <c r="B226" s="23">
        <v>303.52699999999999</v>
      </c>
      <c r="C226" s="24">
        <f t="shared" si="3"/>
        <v>-5.1328611275907043E-3</v>
      </c>
    </row>
    <row r="227" spans="1:3" ht="14.25" customHeight="1" x14ac:dyDescent="0.3">
      <c r="A227" s="22">
        <v>45923</v>
      </c>
      <c r="B227" s="23">
        <v>305.09300000000002</v>
      </c>
      <c r="C227" s="24">
        <f t="shared" si="3"/>
        <v>-1.1142901152632122E-4</v>
      </c>
    </row>
    <row r="228" spans="1:3" ht="14.25" customHeight="1" x14ac:dyDescent="0.3">
      <c r="A228" s="22">
        <v>45922</v>
      </c>
      <c r="B228" s="23">
        <v>305.12700000000001</v>
      </c>
      <c r="C228" s="24">
        <f t="shared" si="3"/>
        <v>-5.7188104874186024E-3</v>
      </c>
    </row>
    <row r="229" spans="1:3" ht="14.25" customHeight="1" x14ac:dyDescent="0.3">
      <c r="A229" s="22">
        <v>45919</v>
      </c>
      <c r="B229" s="23">
        <v>306.88200000000001</v>
      </c>
      <c r="C229" s="24">
        <f t="shared" si="3"/>
        <v>-1.4902062861975988E-3</v>
      </c>
    </row>
    <row r="230" spans="1:3" ht="14.25" customHeight="1" x14ac:dyDescent="0.3">
      <c r="A230" s="22">
        <v>45918</v>
      </c>
      <c r="B230" s="23">
        <v>307.33999999999997</v>
      </c>
      <c r="C230" s="24">
        <f t="shared" si="3"/>
        <v>1.5479119482507482E-3</v>
      </c>
    </row>
    <row r="231" spans="1:3" ht="14.25" customHeight="1" x14ac:dyDescent="0.3">
      <c r="A231" s="22">
        <v>45917</v>
      </c>
      <c r="B231" s="23">
        <v>306.86500000000001</v>
      </c>
      <c r="C231" s="24">
        <f t="shared" si="3"/>
        <v>1.8086193443919106E-3</v>
      </c>
    </row>
    <row r="232" spans="1:3" ht="14.25" customHeight="1" x14ac:dyDescent="0.3">
      <c r="A232" s="22">
        <v>45916</v>
      </c>
      <c r="B232" s="23">
        <v>306.31099999999998</v>
      </c>
      <c r="C232" s="24">
        <f t="shared" si="3"/>
        <v>5.3366591725880052E-3</v>
      </c>
    </row>
    <row r="233" spans="1:3" ht="14.25" customHeight="1" x14ac:dyDescent="0.3">
      <c r="A233" s="22">
        <v>45915</v>
      </c>
      <c r="B233" s="23">
        <v>304.685</v>
      </c>
      <c r="C233" s="24">
        <f t="shared" si="3"/>
        <v>2.8668856603052554E-3</v>
      </c>
    </row>
    <row r="234" spans="1:3" ht="14.25" customHeight="1" x14ac:dyDescent="0.3">
      <c r="A234" s="22">
        <v>45912</v>
      </c>
      <c r="B234" s="23">
        <v>303.81400000000002</v>
      </c>
      <c r="C234" s="24">
        <f t="shared" si="3"/>
        <v>3.5906939255502352E-3</v>
      </c>
    </row>
    <row r="235" spans="1:3" ht="14.25" customHeight="1" x14ac:dyDescent="0.3">
      <c r="A235" s="22">
        <v>45911</v>
      </c>
      <c r="B235" s="23">
        <v>302.72699999999998</v>
      </c>
      <c r="C235" s="24">
        <f t="shared" si="3"/>
        <v>4.362266395675677E-4</v>
      </c>
    </row>
    <row r="236" spans="1:3" ht="14.25" customHeight="1" x14ac:dyDescent="0.3">
      <c r="A236" s="22">
        <v>45910</v>
      </c>
      <c r="B236" s="23">
        <v>302.59500000000003</v>
      </c>
      <c r="C236" s="24">
        <f t="shared" si="3"/>
        <v>4.6514870814159991E-3</v>
      </c>
    </row>
    <row r="237" spans="1:3" ht="14.25" customHeight="1" x14ac:dyDescent="0.3">
      <c r="A237" s="22">
        <v>45909</v>
      </c>
      <c r="B237" s="23">
        <v>301.19400000000002</v>
      </c>
      <c r="C237" s="24">
        <f t="shared" si="3"/>
        <v>1.9924684691865506E-4</v>
      </c>
    </row>
    <row r="238" spans="1:3" ht="14.25" customHeight="1" x14ac:dyDescent="0.3">
      <c r="A238" s="22">
        <v>45908</v>
      </c>
      <c r="B238" s="23">
        <v>301.13400000000001</v>
      </c>
      <c r="C238" s="24">
        <f t="shared" si="3"/>
        <v>4.0644849373989095E-3</v>
      </c>
    </row>
    <row r="239" spans="1:3" ht="14.25" customHeight="1" x14ac:dyDescent="0.3">
      <c r="A239" s="22">
        <v>45905</v>
      </c>
      <c r="B239" s="23">
        <v>299.91500000000002</v>
      </c>
      <c r="C239" s="24">
        <f t="shared" si="3"/>
        <v>9.7455802792185519E-4</v>
      </c>
    </row>
    <row r="240" spans="1:3" ht="14.25" customHeight="1" x14ac:dyDescent="0.3">
      <c r="A240" s="22">
        <v>45904</v>
      </c>
      <c r="B240" s="23">
        <v>299.62299999999999</v>
      </c>
      <c r="C240" s="24">
        <f t="shared" si="3"/>
        <v>-3.4325056958972324E-3</v>
      </c>
    </row>
    <row r="241" spans="1:3" ht="14.25" customHeight="1" x14ac:dyDescent="0.3">
      <c r="A241" s="22">
        <v>45903</v>
      </c>
      <c r="B241" s="23">
        <v>300.65499999999997</v>
      </c>
      <c r="C241" s="24">
        <f t="shared" si="3"/>
        <v>6.2384743851052272E-3</v>
      </c>
    </row>
    <row r="242" spans="1:3" ht="14.25" customHeight="1" x14ac:dyDescent="0.3">
      <c r="A242" s="22">
        <v>45902</v>
      </c>
      <c r="B242" s="23">
        <v>298.791</v>
      </c>
      <c r="C242" s="24">
        <f t="shared" si="3"/>
        <v>6.3630061520221872E-4</v>
      </c>
    </row>
    <row r="243" spans="1:3" ht="14.25" customHeight="1" x14ac:dyDescent="0.3">
      <c r="A243" s="22">
        <v>45901</v>
      </c>
      <c r="B243" s="23">
        <v>298.601</v>
      </c>
      <c r="C243" s="24">
        <f t="shared" si="3"/>
        <v>9.2065283884857196E-3</v>
      </c>
    </row>
    <row r="244" spans="1:3" ht="14.25" customHeight="1" x14ac:dyDescent="0.3">
      <c r="A244" s="22">
        <v>45898</v>
      </c>
      <c r="B244" s="23">
        <v>295.87700000000001</v>
      </c>
      <c r="C244" s="24">
        <f t="shared" si="3"/>
        <v>-9.9604283997142156E-4</v>
      </c>
    </row>
    <row r="245" spans="1:3" ht="14.25" customHeight="1" x14ac:dyDescent="0.3">
      <c r="A245" s="22">
        <v>45897</v>
      </c>
      <c r="B245" s="23">
        <v>296.17200000000003</v>
      </c>
      <c r="C245" s="24">
        <f t="shared" si="3"/>
        <v>-9.1698922428933675E-3</v>
      </c>
    </row>
    <row r="246" spans="1:3" ht="14.25" customHeight="1" x14ac:dyDescent="0.3">
      <c r="A246" s="22">
        <v>45895</v>
      </c>
      <c r="B246" s="23">
        <v>298.91300000000001</v>
      </c>
      <c r="C246" s="24">
        <f t="shared" si="3"/>
        <v>-1.0614987422216317E-2</v>
      </c>
    </row>
    <row r="247" spans="1:3" ht="14.25" customHeight="1" x14ac:dyDescent="0.3">
      <c r="A247" s="22">
        <v>45894</v>
      </c>
      <c r="B247" s="23">
        <v>302.12</v>
      </c>
      <c r="C247" s="24">
        <f t="shared" si="3"/>
        <v>1.3257324671880459E-3</v>
      </c>
    </row>
    <row r="248" spans="1:3" ht="14.25" customHeight="1" x14ac:dyDescent="0.3">
      <c r="A248" s="22">
        <v>45891</v>
      </c>
      <c r="B248" s="23">
        <v>301.72000000000003</v>
      </c>
      <c r="C248" s="24">
        <f t="shared" si="3"/>
        <v>-4.9895624816559438E-3</v>
      </c>
    </row>
    <row r="249" spans="1:3" ht="14.25" customHeight="1" x14ac:dyDescent="0.3">
      <c r="A249" s="22">
        <v>45890</v>
      </c>
      <c r="B249" s="23">
        <v>303.233</v>
      </c>
      <c r="C249" s="24">
        <f t="shared" si="3"/>
        <v>2.5729412346829638E-4</v>
      </c>
    </row>
    <row r="250" spans="1:3" ht="14.25" customHeight="1" x14ac:dyDescent="0.3">
      <c r="A250" s="22">
        <v>45889</v>
      </c>
      <c r="B250" s="23">
        <v>303.15499999999997</v>
      </c>
      <c r="C250" s="24">
        <f t="shared" si="3"/>
        <v>2.5994728295557564E-3</v>
      </c>
    </row>
    <row r="251" spans="1:3" ht="14.25" customHeight="1" x14ac:dyDescent="0.3">
      <c r="A251" s="22">
        <v>45888</v>
      </c>
      <c r="B251" s="23">
        <v>302.36900000000003</v>
      </c>
      <c r="C251" s="24">
        <f t="shared" si="3"/>
        <v>7.839555758507125E-3</v>
      </c>
    </row>
    <row r="252" spans="1:3" ht="14.25" customHeight="1" x14ac:dyDescent="0.3">
      <c r="A252" s="22">
        <v>45887</v>
      </c>
      <c r="B252" s="23">
        <v>300.017</v>
      </c>
      <c r="C252" s="24">
        <f t="shared" si="3"/>
        <v>9.5090362763341485E-3</v>
      </c>
    </row>
    <row r="253" spans="1:3" ht="14.25" customHeight="1" x14ac:dyDescent="0.3">
      <c r="A253" s="22">
        <v>45883</v>
      </c>
      <c r="B253" s="23">
        <v>297.19099999999997</v>
      </c>
      <c r="C253" s="24">
        <f t="shared" si="3"/>
        <v>7.6388935979764764E-3</v>
      </c>
    </row>
    <row r="254" spans="1:3" ht="14.25" customHeight="1" x14ac:dyDescent="0.3">
      <c r="A254" s="22">
        <v>45881</v>
      </c>
      <c r="B254" s="23">
        <v>294.93799999999999</v>
      </c>
      <c r="C254" s="24">
        <f t="shared" si="3"/>
        <v>-1.1649880453261428E-3</v>
      </c>
    </row>
    <row r="255" spans="1:3" ht="14.25" customHeight="1" x14ac:dyDescent="0.3">
      <c r="A255" s="22">
        <v>45880</v>
      </c>
      <c r="B255" s="23">
        <v>295.28199999999998</v>
      </c>
      <c r="C255" s="24">
        <f t="shared" si="3"/>
        <v>6.1401117623005449E-3</v>
      </c>
    </row>
    <row r="256" spans="1:3" ht="14.25" customHeight="1" x14ac:dyDescent="0.3">
      <c r="A256" s="22">
        <v>45877</v>
      </c>
      <c r="B256" s="23">
        <v>293.48</v>
      </c>
      <c r="C256" s="24">
        <f t="shared" si="3"/>
        <v>-8.1683829170284706E-3</v>
      </c>
    </row>
    <row r="257" spans="1:3" ht="14.25" customHeight="1" x14ac:dyDescent="0.3">
      <c r="A257" s="22">
        <v>45876</v>
      </c>
      <c r="B257" s="23">
        <v>295.89699999999999</v>
      </c>
      <c r="C257" s="24">
        <f t="shared" si="3"/>
        <v>1.194407600898711E-3</v>
      </c>
    </row>
    <row r="258" spans="1:3" ht="14.25" customHeight="1" x14ac:dyDescent="0.3">
      <c r="A258" s="22">
        <v>45875</v>
      </c>
      <c r="B258" s="23">
        <v>295.54399999999998</v>
      </c>
      <c r="C258" s="24">
        <f t="shared" ref="C258:C321" si="4">(B258-B259)/B259</f>
        <v>-6.8618819433710924E-3</v>
      </c>
    </row>
    <row r="259" spans="1:3" ht="14.25" customHeight="1" x14ac:dyDescent="0.3">
      <c r="A259" s="22">
        <v>45874</v>
      </c>
      <c r="B259" s="23">
        <v>297.58600000000001</v>
      </c>
      <c r="C259" s="24">
        <f t="shared" si="4"/>
        <v>1.7639415340905296E-3</v>
      </c>
    </row>
    <row r="260" spans="1:3" ht="14.25" customHeight="1" x14ac:dyDescent="0.3">
      <c r="A260" s="22">
        <v>45870</v>
      </c>
      <c r="B260" s="23">
        <v>297.06200000000001</v>
      </c>
      <c r="C260" s="24">
        <f t="shared" si="4"/>
        <v>-7.6432269918156361E-3</v>
      </c>
    </row>
    <row r="261" spans="1:3" ht="14.25" customHeight="1" x14ac:dyDescent="0.3">
      <c r="A261" s="22">
        <v>45869</v>
      </c>
      <c r="B261" s="23">
        <v>299.35000000000002</v>
      </c>
      <c r="C261" s="24">
        <f t="shared" si="4"/>
        <v>-3.9197678752062939E-3</v>
      </c>
    </row>
    <row r="262" spans="1:3" ht="14.25" customHeight="1" x14ac:dyDescent="0.3">
      <c r="A262" s="22">
        <v>45868</v>
      </c>
      <c r="B262" s="23">
        <v>300.52800000000002</v>
      </c>
      <c r="C262" s="24">
        <f t="shared" si="4"/>
        <v>4.7239356100496829E-3</v>
      </c>
    </row>
    <row r="263" spans="1:3" ht="14.25" customHeight="1" x14ac:dyDescent="0.3">
      <c r="A263" s="22">
        <v>45867</v>
      </c>
      <c r="B263" s="23">
        <v>299.11500000000001</v>
      </c>
      <c r="C263" s="24">
        <f t="shared" si="4"/>
        <v>5.9492981240709657E-3</v>
      </c>
    </row>
    <row r="264" spans="1:3" ht="14.25" customHeight="1" x14ac:dyDescent="0.3">
      <c r="A264" s="22">
        <v>45866</v>
      </c>
      <c r="B264" s="23">
        <v>297.346</v>
      </c>
      <c r="C264" s="24">
        <f t="shared" si="4"/>
        <v>-5.8243727598566927E-3</v>
      </c>
    </row>
    <row r="265" spans="1:3" ht="14.25" customHeight="1" x14ac:dyDescent="0.3">
      <c r="A265" s="22">
        <v>45863</v>
      </c>
      <c r="B265" s="23">
        <v>299.08800000000002</v>
      </c>
      <c r="C265" s="24">
        <f t="shared" si="4"/>
        <v>-1.3343977725948543E-2</v>
      </c>
    </row>
    <row r="266" spans="1:3" ht="14.25" customHeight="1" x14ac:dyDescent="0.3">
      <c r="A266" s="22">
        <v>45862</v>
      </c>
      <c r="B266" s="23">
        <v>303.13299999999998</v>
      </c>
      <c r="C266" s="24">
        <f t="shared" si="4"/>
        <v>-3.5337663703783116E-3</v>
      </c>
    </row>
    <row r="267" spans="1:3" ht="14.25" customHeight="1" x14ac:dyDescent="0.3">
      <c r="A267" s="22">
        <v>45861</v>
      </c>
      <c r="B267" s="23">
        <v>304.20800000000003</v>
      </c>
      <c r="C267" s="24">
        <f t="shared" si="4"/>
        <v>3.9139072410585224E-3</v>
      </c>
    </row>
    <row r="268" spans="1:3" ht="14.25" customHeight="1" x14ac:dyDescent="0.3">
      <c r="A268" s="22">
        <v>45860</v>
      </c>
      <c r="B268" s="23">
        <v>303.02199999999999</v>
      </c>
      <c r="C268" s="24">
        <f t="shared" si="4"/>
        <v>1.3647974779336072E-3</v>
      </c>
    </row>
    <row r="269" spans="1:3" ht="14.25" customHeight="1" x14ac:dyDescent="0.3">
      <c r="A269" s="22">
        <v>45859</v>
      </c>
      <c r="B269" s="23">
        <v>302.60899999999998</v>
      </c>
      <c r="C269" s="24">
        <f t="shared" si="4"/>
        <v>4.044593383987505E-3</v>
      </c>
    </row>
    <row r="270" spans="1:3" ht="14.25" customHeight="1" x14ac:dyDescent="0.3">
      <c r="A270" s="22">
        <v>45856</v>
      </c>
      <c r="B270" s="23">
        <v>301.39</v>
      </c>
      <c r="C270" s="24">
        <f t="shared" si="4"/>
        <v>-6.1106109621656846E-3</v>
      </c>
    </row>
    <row r="271" spans="1:3" ht="14.25" customHeight="1" x14ac:dyDescent="0.3">
      <c r="A271" s="22">
        <v>45855</v>
      </c>
      <c r="B271" s="23">
        <v>303.24299999999999</v>
      </c>
      <c r="C271" s="24">
        <f t="shared" si="4"/>
        <v>3.23557143566079E-3</v>
      </c>
    </row>
    <row r="272" spans="1:3" ht="14.25" customHeight="1" x14ac:dyDescent="0.3">
      <c r="A272" s="22">
        <v>45854</v>
      </c>
      <c r="B272" s="23">
        <v>302.26499999999999</v>
      </c>
      <c r="C272" s="24">
        <f t="shared" si="4"/>
        <v>2.1916154958157102E-3</v>
      </c>
    </row>
    <row r="273" spans="1:3" ht="14.25" customHeight="1" x14ac:dyDescent="0.3">
      <c r="A273" s="22">
        <v>45853</v>
      </c>
      <c r="B273" s="23">
        <v>301.60399999999998</v>
      </c>
      <c r="C273" s="24">
        <f t="shared" si="4"/>
        <v>5.2964018465743333E-3</v>
      </c>
    </row>
    <row r="274" spans="1:3" ht="14.25" customHeight="1" x14ac:dyDescent="0.3">
      <c r="A274" s="22">
        <v>45852</v>
      </c>
      <c r="B274" s="23">
        <v>300.01499999999999</v>
      </c>
      <c r="C274" s="24">
        <f t="shared" si="4"/>
        <v>6.2369091612528467E-4</v>
      </c>
    </row>
    <row r="275" spans="1:3" ht="14.25" customHeight="1" x14ac:dyDescent="0.3">
      <c r="A275" s="22">
        <v>45849</v>
      </c>
      <c r="B275" s="23">
        <v>299.82799999999997</v>
      </c>
      <c r="C275" s="24">
        <f t="shared" si="4"/>
        <v>-6.4320722141771713E-3</v>
      </c>
    </row>
    <row r="276" spans="1:3" ht="14.25" customHeight="1" x14ac:dyDescent="0.3">
      <c r="A276" s="22">
        <v>45848</v>
      </c>
      <c r="B276" s="23">
        <v>301.76900000000001</v>
      </c>
      <c r="C276" s="24">
        <f t="shared" si="4"/>
        <v>-1.0063792526971084E-3</v>
      </c>
    </row>
    <row r="277" spans="1:3" ht="14.25" customHeight="1" x14ac:dyDescent="0.3">
      <c r="A277" s="22">
        <v>45847</v>
      </c>
      <c r="B277" s="23">
        <v>302.07299999999998</v>
      </c>
      <c r="C277" s="24">
        <f t="shared" si="4"/>
        <v>3.4714378728887647E-3</v>
      </c>
    </row>
    <row r="278" spans="1:3" ht="14.25" customHeight="1" x14ac:dyDescent="0.3">
      <c r="A278" s="22">
        <v>45846</v>
      </c>
      <c r="B278" s="23">
        <v>301.02800000000002</v>
      </c>
      <c r="C278" s="24">
        <f t="shared" si="4"/>
        <v>2.617888236822301E-3</v>
      </c>
    </row>
    <row r="279" spans="1:3" ht="14.25" customHeight="1" x14ac:dyDescent="0.3">
      <c r="A279" s="22">
        <v>45845</v>
      </c>
      <c r="B279" s="23">
        <v>300.24200000000002</v>
      </c>
      <c r="C279" s="24">
        <f t="shared" si="4"/>
        <v>-2.2762995676692426E-3</v>
      </c>
    </row>
    <row r="280" spans="1:3" ht="14.25" customHeight="1" x14ac:dyDescent="0.3">
      <c r="A280" s="22">
        <v>45842</v>
      </c>
      <c r="B280" s="23">
        <v>300.92700000000002</v>
      </c>
      <c r="C280" s="24">
        <f t="shared" si="4"/>
        <v>2.4484330028782032E-3</v>
      </c>
    </row>
    <row r="281" spans="1:3" ht="14.25" customHeight="1" x14ac:dyDescent="0.3">
      <c r="A281" s="22">
        <v>45841</v>
      </c>
      <c r="B281" s="23">
        <v>300.19200000000001</v>
      </c>
      <c r="C281" s="24">
        <f t="shared" si="4"/>
        <v>-1.7690639922320209E-3</v>
      </c>
    </row>
    <row r="282" spans="1:3" ht="14.25" customHeight="1" x14ac:dyDescent="0.3">
      <c r="A282" s="22">
        <v>45840</v>
      </c>
      <c r="B282" s="23">
        <v>300.72399999999999</v>
      </c>
      <c r="C282" s="24">
        <f t="shared" si="4"/>
        <v>-2.6002626795971974E-3</v>
      </c>
    </row>
    <row r="283" spans="1:3" ht="14.25" customHeight="1" x14ac:dyDescent="0.3">
      <c r="A283" s="22">
        <v>45839</v>
      </c>
      <c r="B283" s="23">
        <v>301.50799999999998</v>
      </c>
      <c r="C283" s="24">
        <f t="shared" si="4"/>
        <v>-3.9938292200306005E-3</v>
      </c>
    </row>
    <row r="284" spans="1:3" ht="14.25" customHeight="1" x14ac:dyDescent="0.3">
      <c r="A284" s="22">
        <v>45838</v>
      </c>
      <c r="B284" s="23">
        <v>302.71699999999998</v>
      </c>
      <c r="C284" s="24">
        <f t="shared" si="4"/>
        <v>-8.5881424178297955E-5</v>
      </c>
    </row>
    <row r="285" spans="1:3" ht="14.25" customHeight="1" x14ac:dyDescent="0.3">
      <c r="A285" s="22">
        <v>45835</v>
      </c>
      <c r="B285" s="23">
        <v>302.74299999999999</v>
      </c>
      <c r="C285" s="24">
        <f t="shared" si="4"/>
        <v>3.074731209515754E-3</v>
      </c>
    </row>
    <row r="286" spans="1:3" ht="14.25" customHeight="1" x14ac:dyDescent="0.3">
      <c r="A286" s="22">
        <v>45834</v>
      </c>
      <c r="B286" s="23">
        <v>301.815</v>
      </c>
      <c r="C286" s="24">
        <f t="shared" si="4"/>
        <v>6.0399396006040338E-3</v>
      </c>
    </row>
    <row r="287" spans="1:3" ht="14.25" customHeight="1" x14ac:dyDescent="0.3">
      <c r="A287" s="22">
        <v>45833</v>
      </c>
      <c r="B287" s="23">
        <v>300.00299999999999</v>
      </c>
      <c r="C287" s="24">
        <f t="shared" si="4"/>
        <v>9.0137661734881157E-3</v>
      </c>
    </row>
    <row r="288" spans="1:3" ht="14.25" customHeight="1" x14ac:dyDescent="0.3">
      <c r="A288" s="22">
        <v>45832</v>
      </c>
      <c r="B288" s="23">
        <v>297.32299999999998</v>
      </c>
      <c r="C288" s="24">
        <f t="shared" si="4"/>
        <v>6.9768308253997362E-3</v>
      </c>
    </row>
    <row r="289" spans="1:3" ht="14.25" customHeight="1" x14ac:dyDescent="0.3">
      <c r="A289" s="22">
        <v>45831</v>
      </c>
      <c r="B289" s="23">
        <v>295.26299999999998</v>
      </c>
      <c r="C289" s="24">
        <f t="shared" si="4"/>
        <v>-5.0438032307421811E-4</v>
      </c>
    </row>
    <row r="290" spans="1:3" ht="14.25" customHeight="1" x14ac:dyDescent="0.3">
      <c r="A290" s="22">
        <v>45828</v>
      </c>
      <c r="B290" s="23">
        <v>295.41199999999998</v>
      </c>
      <c r="C290" s="24">
        <f t="shared" si="4"/>
        <v>1.0366610689477107E-2</v>
      </c>
    </row>
    <row r="291" spans="1:3" ht="14.25" customHeight="1" x14ac:dyDescent="0.3">
      <c r="A291" s="22">
        <v>45827</v>
      </c>
      <c r="B291" s="23">
        <v>292.38099999999997</v>
      </c>
      <c r="C291" s="24">
        <f t="shared" si="4"/>
        <v>-1.0226741863629952E-2</v>
      </c>
    </row>
    <row r="292" spans="1:3" ht="14.25" customHeight="1" x14ac:dyDescent="0.3">
      <c r="A292" s="22">
        <v>45826</v>
      </c>
      <c r="B292" s="23">
        <v>295.40199999999999</v>
      </c>
      <c r="C292" s="24">
        <f t="shared" si="4"/>
        <v>-3.3840718506143014E-4</v>
      </c>
    </row>
    <row r="293" spans="1:3" ht="14.25" customHeight="1" x14ac:dyDescent="0.3">
      <c r="A293" s="22">
        <v>45825</v>
      </c>
      <c r="B293" s="23">
        <v>295.50200000000001</v>
      </c>
      <c r="C293" s="24">
        <f t="shared" si="4"/>
        <v>-4.269313843427029E-3</v>
      </c>
    </row>
    <row r="294" spans="1:3" ht="14.25" customHeight="1" x14ac:dyDescent="0.3">
      <c r="A294" s="22">
        <v>45824</v>
      </c>
      <c r="B294" s="23">
        <v>296.76900000000001</v>
      </c>
      <c r="C294" s="24">
        <f t="shared" si="4"/>
        <v>6.3377416073246125E-3</v>
      </c>
    </row>
    <row r="295" spans="1:3" ht="14.25" customHeight="1" x14ac:dyDescent="0.3">
      <c r="A295" s="22">
        <v>45821</v>
      </c>
      <c r="B295" s="23">
        <v>294.89999999999998</v>
      </c>
      <c r="C295" s="24">
        <f t="shared" si="4"/>
        <v>-5.5639858371270747E-3</v>
      </c>
    </row>
    <row r="296" spans="1:3" ht="14.25" customHeight="1" x14ac:dyDescent="0.3">
      <c r="A296" s="22">
        <v>45820</v>
      </c>
      <c r="B296" s="23">
        <v>296.55</v>
      </c>
      <c r="C296" s="24">
        <f t="shared" si="4"/>
        <v>-1.4813510559484943E-2</v>
      </c>
    </row>
    <row r="297" spans="1:3" ht="14.25" customHeight="1" x14ac:dyDescent="0.3">
      <c r="A297" s="22">
        <v>45819</v>
      </c>
      <c r="B297" s="23">
        <v>301.00900000000001</v>
      </c>
      <c r="C297" s="24">
        <f t="shared" si="4"/>
        <v>6.548940866720833E-4</v>
      </c>
    </row>
    <row r="298" spans="1:3" ht="14.25" customHeight="1" x14ac:dyDescent="0.3">
      <c r="A298" s="22">
        <v>45818</v>
      </c>
      <c r="B298" s="23">
        <v>300.81200000000001</v>
      </c>
      <c r="C298" s="24">
        <f t="shared" si="4"/>
        <v>-7.8392814434904068E-4</v>
      </c>
    </row>
    <row r="299" spans="1:3" ht="14.25" customHeight="1" x14ac:dyDescent="0.3">
      <c r="A299" s="22">
        <v>45817</v>
      </c>
      <c r="B299" s="23">
        <v>301.048</v>
      </c>
      <c r="C299" s="24">
        <f t="shared" si="4"/>
        <v>7.2301572166069495E-3</v>
      </c>
    </row>
    <row r="300" spans="1:3" ht="14.25" customHeight="1" x14ac:dyDescent="0.3">
      <c r="A300" s="22">
        <v>45814</v>
      </c>
      <c r="B300" s="23">
        <v>298.887</v>
      </c>
      <c r="C300" s="24">
        <f t="shared" si="4"/>
        <v>6.1604338561285681E-3</v>
      </c>
    </row>
    <row r="301" spans="1:3" ht="14.25" customHeight="1" x14ac:dyDescent="0.3">
      <c r="A301" s="22">
        <v>45813</v>
      </c>
      <c r="B301" s="23">
        <v>297.05700000000002</v>
      </c>
      <c r="C301" s="24">
        <f t="shared" si="4"/>
        <v>4.3751246775291016E-3</v>
      </c>
    </row>
    <row r="302" spans="1:3" ht="14.25" customHeight="1" x14ac:dyDescent="0.3">
      <c r="A302" s="22">
        <v>45812</v>
      </c>
      <c r="B302" s="23">
        <v>295.76299999999998</v>
      </c>
      <c r="C302" s="24">
        <f t="shared" si="4"/>
        <v>5.4118182961610242E-3</v>
      </c>
    </row>
    <row r="303" spans="1:3" ht="14.25" customHeight="1" x14ac:dyDescent="0.3">
      <c r="A303" s="22">
        <v>45811</v>
      </c>
      <c r="B303" s="23">
        <v>294.17099999999999</v>
      </c>
      <c r="C303" s="24">
        <f t="shared" si="4"/>
        <v>-4.0660590712729089E-3</v>
      </c>
    </row>
    <row r="304" spans="1:3" ht="14.25" customHeight="1" x14ac:dyDescent="0.3">
      <c r="A304" s="22">
        <v>45810</v>
      </c>
      <c r="B304" s="23">
        <v>295.37200000000001</v>
      </c>
      <c r="C304" s="24">
        <f t="shared" si="4"/>
        <v>2.4945950440712255E-3</v>
      </c>
    </row>
    <row r="305" spans="1:3" ht="14.25" customHeight="1" x14ac:dyDescent="0.3">
      <c r="A305" s="22">
        <v>45807</v>
      </c>
      <c r="B305" s="23">
        <v>294.637</v>
      </c>
      <c r="C305" s="24">
        <f t="shared" si="4"/>
        <v>3.2253464701138476E-4</v>
      </c>
    </row>
    <row r="306" spans="1:3" ht="14.25" customHeight="1" x14ac:dyDescent="0.3">
      <c r="A306" s="22">
        <v>45806</v>
      </c>
      <c r="B306" s="23">
        <v>294.54199999999997</v>
      </c>
      <c r="C306" s="24">
        <f t="shared" si="4"/>
        <v>2.4982301366878387E-3</v>
      </c>
    </row>
    <row r="307" spans="1:3" ht="14.25" customHeight="1" x14ac:dyDescent="0.3">
      <c r="A307" s="22">
        <v>45805</v>
      </c>
      <c r="B307" s="23">
        <v>293.80799999999999</v>
      </c>
      <c r="C307" s="24">
        <f t="shared" si="4"/>
        <v>6.5391531796634816E-4</v>
      </c>
    </row>
    <row r="308" spans="1:3" ht="14.25" customHeight="1" x14ac:dyDescent="0.3">
      <c r="A308" s="22">
        <v>45804</v>
      </c>
      <c r="B308" s="23">
        <v>293.61599999999999</v>
      </c>
      <c r="C308" s="24">
        <f t="shared" si="4"/>
        <v>1.9076168415309706E-4</v>
      </c>
    </row>
    <row r="309" spans="1:3" ht="14.25" customHeight="1" x14ac:dyDescent="0.3">
      <c r="A309" s="22">
        <v>45803</v>
      </c>
      <c r="B309" s="23">
        <v>293.56</v>
      </c>
      <c r="C309" s="24">
        <f t="shared" si="4"/>
        <v>1.0530084233789302E-2</v>
      </c>
    </row>
    <row r="310" spans="1:3" ht="14.25" customHeight="1" x14ac:dyDescent="0.3">
      <c r="A310" s="22">
        <v>45800</v>
      </c>
      <c r="B310" s="23">
        <v>290.50099999999998</v>
      </c>
      <c r="C310" s="24">
        <f t="shared" si="4"/>
        <v>7.7252891346426501E-3</v>
      </c>
    </row>
    <row r="311" spans="1:3" ht="14.25" customHeight="1" x14ac:dyDescent="0.3">
      <c r="A311" s="22">
        <v>45799</v>
      </c>
      <c r="B311" s="23">
        <v>288.274</v>
      </c>
      <c r="C311" s="24">
        <f t="shared" si="4"/>
        <v>-2.7260587693989902E-3</v>
      </c>
    </row>
    <row r="312" spans="1:3" ht="14.25" customHeight="1" x14ac:dyDescent="0.3">
      <c r="A312" s="22">
        <v>45798</v>
      </c>
      <c r="B312" s="23">
        <v>289.06200000000001</v>
      </c>
      <c r="C312" s="24">
        <f t="shared" si="4"/>
        <v>8.182312811283652E-3</v>
      </c>
    </row>
    <row r="313" spans="1:3" ht="14.25" customHeight="1" x14ac:dyDescent="0.3">
      <c r="A313" s="22">
        <v>45797</v>
      </c>
      <c r="B313" s="23">
        <v>286.71600000000001</v>
      </c>
      <c r="C313" s="24">
        <f t="shared" si="4"/>
        <v>-1.2825324248298161E-2</v>
      </c>
    </row>
    <row r="314" spans="1:3" ht="14.25" customHeight="1" x14ac:dyDescent="0.3">
      <c r="A314" s="22">
        <v>45796</v>
      </c>
      <c r="B314" s="23">
        <v>290.44099999999997</v>
      </c>
      <c r="C314" s="24">
        <f t="shared" si="4"/>
        <v>4.6906619160454353E-3</v>
      </c>
    </row>
    <row r="315" spans="1:3" ht="14.25" customHeight="1" x14ac:dyDescent="0.3">
      <c r="A315" s="22">
        <v>45793</v>
      </c>
      <c r="B315" s="23">
        <v>289.08499999999998</v>
      </c>
      <c r="C315" s="24">
        <f t="shared" si="4"/>
        <v>7.9812828630803339E-3</v>
      </c>
    </row>
    <row r="316" spans="1:3" ht="14.25" customHeight="1" x14ac:dyDescent="0.3">
      <c r="A316" s="22">
        <v>45792</v>
      </c>
      <c r="B316" s="23">
        <v>286.79599999999999</v>
      </c>
      <c r="C316" s="24">
        <f t="shared" si="4"/>
        <v>1.0713429848179495E-2</v>
      </c>
    </row>
    <row r="317" spans="1:3" ht="14.25" customHeight="1" x14ac:dyDescent="0.3">
      <c r="A317" s="22">
        <v>45791</v>
      </c>
      <c r="B317" s="23">
        <v>283.75599999999997</v>
      </c>
      <c r="C317" s="24">
        <f t="shared" si="4"/>
        <v>9.3265133352776856E-3</v>
      </c>
    </row>
    <row r="318" spans="1:3" ht="14.25" customHeight="1" x14ac:dyDescent="0.3">
      <c r="A318" s="22">
        <v>45790</v>
      </c>
      <c r="B318" s="23">
        <v>281.13400000000001</v>
      </c>
      <c r="C318" s="24">
        <f t="shared" si="4"/>
        <v>-2.6394397576255378E-3</v>
      </c>
    </row>
    <row r="319" spans="1:3" ht="14.25" customHeight="1" x14ac:dyDescent="0.3">
      <c r="A319" s="22">
        <v>45789</v>
      </c>
      <c r="B319" s="23">
        <v>281.87799999999999</v>
      </c>
      <c r="C319" s="24">
        <f t="shared" si="4"/>
        <v>3.5703131602250082E-2</v>
      </c>
    </row>
    <row r="320" spans="1:3" ht="14.25" customHeight="1" x14ac:dyDescent="0.3">
      <c r="A320" s="22">
        <v>45786</v>
      </c>
      <c r="B320" s="23">
        <v>272.161</v>
      </c>
      <c r="C320" s="24">
        <f t="shared" si="4"/>
        <v>-6.2692147598565227E-3</v>
      </c>
    </row>
    <row r="321" spans="1:3" ht="14.25" customHeight="1" x14ac:dyDescent="0.3">
      <c r="A321" s="22">
        <v>45785</v>
      </c>
      <c r="B321" s="23">
        <v>273.87799999999999</v>
      </c>
      <c r="C321" s="24">
        <f t="shared" si="4"/>
        <v>-1.0645714801770081E-2</v>
      </c>
    </row>
    <row r="322" spans="1:3" ht="14.25" customHeight="1" x14ac:dyDescent="0.3">
      <c r="A322" s="22">
        <v>45784</v>
      </c>
      <c r="B322" s="23">
        <v>276.82499999999999</v>
      </c>
      <c r="C322" s="24">
        <f t="shared" ref="C322:C385" si="5">(B322-B323)/B323</f>
        <v>1.0277034695940549E-2</v>
      </c>
    </row>
    <row r="323" spans="1:3" ht="14.25" customHeight="1" x14ac:dyDescent="0.3">
      <c r="A323" s="22">
        <v>45783</v>
      </c>
      <c r="B323" s="23">
        <v>274.00900000000001</v>
      </c>
      <c r="C323" s="24">
        <f t="shared" si="5"/>
        <v>-1.5432764171553263E-2</v>
      </c>
    </row>
    <row r="324" spans="1:3" ht="14.25" customHeight="1" x14ac:dyDescent="0.3">
      <c r="A324" s="22">
        <v>45782</v>
      </c>
      <c r="B324" s="23">
        <v>278.30399999999997</v>
      </c>
      <c r="C324" s="24">
        <f t="shared" si="5"/>
        <v>8.7864288821225822E-3</v>
      </c>
    </row>
    <row r="325" spans="1:3" ht="14.25" customHeight="1" x14ac:dyDescent="0.3">
      <c r="A325" s="22">
        <v>45779</v>
      </c>
      <c r="B325" s="23">
        <v>275.88</v>
      </c>
      <c r="C325" s="24">
        <f t="shared" si="5"/>
        <v>-4.239176512788858E-4</v>
      </c>
    </row>
    <row r="326" spans="1:3" ht="14.25" customHeight="1" x14ac:dyDescent="0.3">
      <c r="A326" s="22">
        <v>45777</v>
      </c>
      <c r="B326" s="23">
        <v>275.99700000000001</v>
      </c>
      <c r="C326" s="24">
        <f t="shared" si="5"/>
        <v>-7.8438703137187205E-3</v>
      </c>
    </row>
    <row r="327" spans="1:3" ht="14.25" customHeight="1" x14ac:dyDescent="0.3">
      <c r="A327" s="22">
        <v>45776</v>
      </c>
      <c r="B327" s="23">
        <v>278.17899999999997</v>
      </c>
      <c r="C327" s="24">
        <f t="shared" si="5"/>
        <v>2.7901443737495756E-3</v>
      </c>
    </row>
    <row r="328" spans="1:3" ht="14.25" customHeight="1" x14ac:dyDescent="0.3">
      <c r="A328" s="22">
        <v>45775</v>
      </c>
      <c r="B328" s="23">
        <v>277.40499999999997</v>
      </c>
      <c r="C328" s="24">
        <f t="shared" si="5"/>
        <v>9.2666031187011791E-3</v>
      </c>
    </row>
    <row r="329" spans="1:3" ht="14.25" customHeight="1" x14ac:dyDescent="0.3">
      <c r="A329" s="22">
        <v>45772</v>
      </c>
      <c r="B329" s="23">
        <v>274.858</v>
      </c>
      <c r="C329" s="24">
        <f t="shared" si="5"/>
        <v>-1.7820579249227333E-2</v>
      </c>
    </row>
    <row r="330" spans="1:3" ht="14.25" customHeight="1" x14ac:dyDescent="0.3">
      <c r="A330" s="22">
        <v>45771</v>
      </c>
      <c r="B330" s="23">
        <v>279.84500000000003</v>
      </c>
      <c r="C330" s="24">
        <f t="shared" si="5"/>
        <v>-1.0887024808136712E-3</v>
      </c>
    </row>
    <row r="331" spans="1:3" ht="14.25" customHeight="1" x14ac:dyDescent="0.3">
      <c r="A331" s="22">
        <v>45770</v>
      </c>
      <c r="B331" s="23">
        <v>280.14999999999998</v>
      </c>
      <c r="C331" s="24">
        <f t="shared" si="5"/>
        <v>4.4422772855856382E-3</v>
      </c>
    </row>
    <row r="332" spans="1:3" ht="14.25" customHeight="1" x14ac:dyDescent="0.3">
      <c r="A332" s="22">
        <v>45769</v>
      </c>
      <c r="B332" s="23">
        <v>278.911</v>
      </c>
      <c r="C332" s="24">
        <f t="shared" si="5"/>
        <v>4.7226224783860895E-3</v>
      </c>
    </row>
    <row r="333" spans="1:3" ht="14.25" customHeight="1" x14ac:dyDescent="0.3">
      <c r="A333" s="22">
        <v>45768</v>
      </c>
      <c r="B333" s="23">
        <v>277.60000000000002</v>
      </c>
      <c r="C333" s="24">
        <f t="shared" si="5"/>
        <v>1.6484924825520542E-2</v>
      </c>
    </row>
    <row r="334" spans="1:3" ht="14.25" customHeight="1" x14ac:dyDescent="0.3">
      <c r="A334" s="22">
        <v>45764</v>
      </c>
      <c r="B334" s="23">
        <v>273.09800000000001</v>
      </c>
      <c r="C334" s="24">
        <f t="shared" si="5"/>
        <v>1.0500999037963525E-2</v>
      </c>
    </row>
    <row r="335" spans="1:3" ht="14.25" customHeight="1" x14ac:dyDescent="0.3">
      <c r="A335" s="22">
        <v>45763</v>
      </c>
      <c r="B335" s="23">
        <v>270.26</v>
      </c>
      <c r="C335" s="24">
        <f t="shared" si="5"/>
        <v>6.6411647925148729E-3</v>
      </c>
    </row>
    <row r="336" spans="1:3" ht="14.25" customHeight="1" x14ac:dyDescent="0.3">
      <c r="A336" s="22">
        <v>45762</v>
      </c>
      <c r="B336" s="23">
        <v>268.47699999999998</v>
      </c>
      <c r="C336" s="24">
        <f t="shared" si="5"/>
        <v>2.7804788411034544E-2</v>
      </c>
    </row>
    <row r="337" spans="1:3" ht="14.25" customHeight="1" x14ac:dyDescent="0.3">
      <c r="A337" s="22">
        <v>45758</v>
      </c>
      <c r="B337" s="23">
        <v>261.214</v>
      </c>
      <c r="C337" s="24">
        <f t="shared" si="5"/>
        <v>1.9495041351343986E-2</v>
      </c>
    </row>
    <row r="338" spans="1:3" ht="14.25" customHeight="1" x14ac:dyDescent="0.3">
      <c r="A338" s="22">
        <v>45756</v>
      </c>
      <c r="B338" s="23">
        <v>256.21899999999999</v>
      </c>
      <c r="C338" s="24">
        <f t="shared" si="5"/>
        <v>-7.8068426046044087E-3</v>
      </c>
    </row>
    <row r="339" spans="1:3" ht="14.25" customHeight="1" x14ac:dyDescent="0.3">
      <c r="A339" s="22">
        <v>45755</v>
      </c>
      <c r="B339" s="23">
        <v>258.23500000000001</v>
      </c>
      <c r="C339" s="24">
        <f t="shared" si="5"/>
        <v>1.6769301036318449E-2</v>
      </c>
    </row>
    <row r="340" spans="1:3" ht="14.25" customHeight="1" x14ac:dyDescent="0.3">
      <c r="A340" s="22">
        <v>45754</v>
      </c>
      <c r="B340" s="23">
        <v>253.976</v>
      </c>
      <c r="C340" s="24">
        <f t="shared" si="5"/>
        <v>-3.1590667312333988E-2</v>
      </c>
    </row>
    <row r="341" spans="1:3" ht="14.25" customHeight="1" x14ac:dyDescent="0.3">
      <c r="A341" s="22">
        <v>45751</v>
      </c>
      <c r="B341" s="23">
        <v>262.26100000000002</v>
      </c>
      <c r="C341" s="24">
        <f t="shared" si="5"/>
        <v>-2.2100168538487792E-2</v>
      </c>
    </row>
    <row r="342" spans="1:3" ht="14.25" customHeight="1" x14ac:dyDescent="0.3">
      <c r="A342" s="22">
        <v>45750</v>
      </c>
      <c r="B342" s="23">
        <v>268.18799999999999</v>
      </c>
      <c r="C342" s="24">
        <f t="shared" si="5"/>
        <v>-1.0429548400555356E-3</v>
      </c>
    </row>
    <row r="343" spans="1:3" ht="14.25" customHeight="1" x14ac:dyDescent="0.3">
      <c r="A343" s="22">
        <v>45749</v>
      </c>
      <c r="B343" s="23">
        <v>268.46800000000002</v>
      </c>
      <c r="C343" s="24">
        <f t="shared" si="5"/>
        <v>8.7396953506023931E-3</v>
      </c>
    </row>
    <row r="344" spans="1:3" ht="14.25" customHeight="1" x14ac:dyDescent="0.3">
      <c r="A344" s="22">
        <v>45748</v>
      </c>
      <c r="B344" s="23">
        <v>266.142</v>
      </c>
      <c r="C344" s="24">
        <f t="shared" si="5"/>
        <v>-1.1601910378584832E-2</v>
      </c>
    </row>
    <row r="345" spans="1:3" ht="14.25" customHeight="1" x14ac:dyDescent="0.3">
      <c r="A345" s="22">
        <v>45744</v>
      </c>
      <c r="B345" s="23">
        <v>269.26600000000002</v>
      </c>
      <c r="C345" s="24">
        <f t="shared" si="5"/>
        <v>-3.4935790681320457E-3</v>
      </c>
    </row>
    <row r="346" spans="1:3" ht="14.25" customHeight="1" x14ac:dyDescent="0.3">
      <c r="A346" s="22">
        <v>45743</v>
      </c>
      <c r="B346" s="23">
        <v>270.20999999999998</v>
      </c>
      <c r="C346" s="24">
        <f t="shared" si="5"/>
        <v>7.9867496801195315E-3</v>
      </c>
    </row>
    <row r="347" spans="1:3" ht="14.25" customHeight="1" x14ac:dyDescent="0.3">
      <c r="A347" s="22">
        <v>45742</v>
      </c>
      <c r="B347" s="23">
        <v>268.06900000000002</v>
      </c>
      <c r="C347" s="24">
        <f t="shared" si="5"/>
        <v>-1.1599653411499948E-2</v>
      </c>
    </row>
    <row r="348" spans="1:3" ht="14.25" customHeight="1" x14ac:dyDescent="0.3">
      <c r="A348" s="22">
        <v>45741</v>
      </c>
      <c r="B348" s="23">
        <v>271.21499999999997</v>
      </c>
      <c r="C348" s="24">
        <f t="shared" si="5"/>
        <v>-5.6606748081641286E-3</v>
      </c>
    </row>
    <row r="349" spans="1:3" ht="14.25" customHeight="1" x14ac:dyDescent="0.3">
      <c r="A349" s="22">
        <v>45740</v>
      </c>
      <c r="B349" s="23">
        <v>272.75900000000001</v>
      </c>
      <c r="C349" s="24">
        <f t="shared" si="5"/>
        <v>1.2318141330166333E-2</v>
      </c>
    </row>
    <row r="350" spans="1:3" ht="14.25" customHeight="1" x14ac:dyDescent="0.3">
      <c r="A350" s="22">
        <v>45737</v>
      </c>
      <c r="B350" s="23">
        <v>269.44</v>
      </c>
      <c r="C350" s="24">
        <f t="shared" si="5"/>
        <v>1.3355197093523943E-2</v>
      </c>
    </row>
    <row r="351" spans="1:3" ht="14.25" customHeight="1" x14ac:dyDescent="0.3">
      <c r="A351" s="22">
        <v>45736</v>
      </c>
      <c r="B351" s="23">
        <v>265.88900000000001</v>
      </c>
      <c r="C351" s="24">
        <f t="shared" si="5"/>
        <v>4.8297311903134034E-3</v>
      </c>
    </row>
    <row r="352" spans="1:3" ht="14.25" customHeight="1" x14ac:dyDescent="0.3">
      <c r="A352" s="22">
        <v>45735</v>
      </c>
      <c r="B352" s="23">
        <v>264.61099999999999</v>
      </c>
      <c r="C352" s="24">
        <f t="shared" si="5"/>
        <v>1.2857317838715035E-2</v>
      </c>
    </row>
    <row r="353" spans="1:3" ht="14.25" customHeight="1" x14ac:dyDescent="0.3">
      <c r="A353" s="22">
        <v>45734</v>
      </c>
      <c r="B353" s="23">
        <v>261.25200000000001</v>
      </c>
      <c r="C353" s="24">
        <f t="shared" si="5"/>
        <v>1.7637618609869041E-2</v>
      </c>
    </row>
    <row r="354" spans="1:3" ht="14.25" customHeight="1" x14ac:dyDescent="0.3">
      <c r="A354" s="22">
        <v>45733</v>
      </c>
      <c r="B354" s="23">
        <v>256.72399999999999</v>
      </c>
      <c r="C354" s="24">
        <f t="shared" si="5"/>
        <v>8.5682969085772668E-3</v>
      </c>
    </row>
    <row r="355" spans="1:3" ht="14.25" customHeight="1" x14ac:dyDescent="0.3">
      <c r="A355" s="22">
        <v>45729</v>
      </c>
      <c r="B355" s="23">
        <v>254.54300000000001</v>
      </c>
      <c r="C355" s="24">
        <f t="shared" si="5"/>
        <v>-6.1495092105981952E-3</v>
      </c>
    </row>
    <row r="356" spans="1:3" ht="14.25" customHeight="1" x14ac:dyDescent="0.3">
      <c r="A356" s="22">
        <v>45728</v>
      </c>
      <c r="B356" s="23">
        <v>256.11799999999999</v>
      </c>
      <c r="C356" s="24">
        <f t="shared" si="5"/>
        <v>-2.3138770295116477E-3</v>
      </c>
    </row>
    <row r="357" spans="1:3" ht="14.25" customHeight="1" x14ac:dyDescent="0.3">
      <c r="A357" s="22">
        <v>45727</v>
      </c>
      <c r="B357" s="23">
        <v>256.71199999999999</v>
      </c>
      <c r="C357" s="24">
        <f t="shared" si="5"/>
        <v>-8.3745364647713465E-3</v>
      </c>
    </row>
    <row r="358" spans="1:3" ht="14.25" customHeight="1" x14ac:dyDescent="0.3">
      <c r="A358" s="22">
        <v>45723</v>
      </c>
      <c r="B358" s="23">
        <v>258.88</v>
      </c>
      <c r="C358" s="24">
        <f t="shared" si="5"/>
        <v>4.7921594088648636E-4</v>
      </c>
    </row>
    <row r="359" spans="1:3" ht="14.25" customHeight="1" x14ac:dyDescent="0.3">
      <c r="A359" s="22">
        <v>45722</v>
      </c>
      <c r="B359" s="23">
        <v>258.75599999999997</v>
      </c>
      <c r="C359" s="24">
        <f t="shared" si="5"/>
        <v>9.5234379572009999E-3</v>
      </c>
    </row>
    <row r="360" spans="1:3" ht="14.25" customHeight="1" x14ac:dyDescent="0.3">
      <c r="A360" s="22">
        <v>45721</v>
      </c>
      <c r="B360" s="23">
        <v>256.315</v>
      </c>
      <c r="C360" s="24">
        <f t="shared" si="5"/>
        <v>1.7389475021235723E-2</v>
      </c>
    </row>
    <row r="361" spans="1:3" ht="14.25" customHeight="1" x14ac:dyDescent="0.3">
      <c r="A361" s="22">
        <v>45720</v>
      </c>
      <c r="B361" s="23">
        <v>251.934</v>
      </c>
      <c r="C361" s="24">
        <f t="shared" si="5"/>
        <v>4.8661024115127152E-3</v>
      </c>
    </row>
    <row r="362" spans="1:3" ht="14.25" customHeight="1" x14ac:dyDescent="0.3">
      <c r="A362" s="22">
        <v>45719</v>
      </c>
      <c r="B362" s="23">
        <v>250.714</v>
      </c>
      <c r="C362" s="24">
        <f t="shared" si="5"/>
        <v>-2.512192106931185E-4</v>
      </c>
    </row>
    <row r="363" spans="1:3" ht="14.25" customHeight="1" x14ac:dyDescent="0.3">
      <c r="A363" s="22">
        <v>45716</v>
      </c>
      <c r="B363" s="23">
        <v>250.77699999999999</v>
      </c>
      <c r="C363" s="24">
        <f t="shared" si="5"/>
        <v>-1.6819110272987176E-2</v>
      </c>
    </row>
    <row r="364" spans="1:3" ht="14.25" customHeight="1" x14ac:dyDescent="0.3">
      <c r="A364" s="22">
        <v>45715</v>
      </c>
      <c r="B364" s="23">
        <v>255.06700000000001</v>
      </c>
      <c r="C364" s="24">
        <f t="shared" si="5"/>
        <v>-6.6594749529746812E-3</v>
      </c>
    </row>
    <row r="365" spans="1:3" ht="14.25" customHeight="1" x14ac:dyDescent="0.3">
      <c r="A365" s="22">
        <v>45713</v>
      </c>
      <c r="B365" s="23">
        <v>256.77699999999999</v>
      </c>
      <c r="C365" s="24">
        <f t="shared" si="5"/>
        <v>1.0905592621573274E-4</v>
      </c>
    </row>
    <row r="366" spans="1:3" ht="14.25" customHeight="1" x14ac:dyDescent="0.3">
      <c r="A366" s="22">
        <v>45712</v>
      </c>
      <c r="B366" s="23">
        <v>256.74900000000002</v>
      </c>
      <c r="C366" s="24">
        <f t="shared" si="5"/>
        <v>-8.6490159813735427E-3</v>
      </c>
    </row>
    <row r="367" spans="1:3" ht="14.25" customHeight="1" x14ac:dyDescent="0.3">
      <c r="A367" s="22">
        <v>45709</v>
      </c>
      <c r="B367" s="23">
        <v>258.98899999999998</v>
      </c>
      <c r="C367" s="24">
        <f t="shared" si="5"/>
        <v>-5.1014724355306464E-3</v>
      </c>
    </row>
    <row r="368" spans="1:3" ht="14.25" customHeight="1" x14ac:dyDescent="0.3">
      <c r="A368" s="22">
        <v>45708</v>
      </c>
      <c r="B368" s="23">
        <v>260.31700000000001</v>
      </c>
      <c r="C368" s="24">
        <f t="shared" si="5"/>
        <v>7.7151174494046043E-3</v>
      </c>
    </row>
    <row r="369" spans="1:3" ht="14.25" customHeight="1" x14ac:dyDescent="0.3">
      <c r="A369" s="22">
        <v>45707</v>
      </c>
      <c r="B369" s="23">
        <v>258.32400000000001</v>
      </c>
      <c r="C369" s="24">
        <f t="shared" si="5"/>
        <v>1.0131660755553676E-2</v>
      </c>
    </row>
    <row r="370" spans="1:3" ht="14.25" customHeight="1" x14ac:dyDescent="0.3">
      <c r="A370" s="22">
        <v>45706</v>
      </c>
      <c r="B370" s="23">
        <v>255.733</v>
      </c>
      <c r="C370" s="24">
        <f t="shared" si="5"/>
        <v>-2.9241704128538733E-3</v>
      </c>
    </row>
    <row r="371" spans="1:3" ht="14.25" customHeight="1" x14ac:dyDescent="0.3">
      <c r="A371" s="22">
        <v>45705</v>
      </c>
      <c r="B371" s="23">
        <v>256.483</v>
      </c>
      <c r="C371" s="24">
        <f t="shared" si="5"/>
        <v>-1.0010126976708149E-3</v>
      </c>
    </row>
    <row r="372" spans="1:3" ht="14.25" customHeight="1" x14ac:dyDescent="0.3">
      <c r="A372" s="22">
        <v>45702</v>
      </c>
      <c r="B372" s="23">
        <v>256.74</v>
      </c>
      <c r="C372" s="24">
        <f t="shared" si="5"/>
        <v>-1.5571259312655928E-2</v>
      </c>
    </row>
    <row r="373" spans="1:3" ht="14.25" customHeight="1" x14ac:dyDescent="0.3">
      <c r="A373" s="22">
        <v>45701</v>
      </c>
      <c r="B373" s="23">
        <v>260.80099999999999</v>
      </c>
      <c r="C373" s="24">
        <f t="shared" si="5"/>
        <v>-8.6963850621401639E-4</v>
      </c>
    </row>
    <row r="374" spans="1:3" ht="14.25" customHeight="1" x14ac:dyDescent="0.3">
      <c r="A374" s="22">
        <v>45700</v>
      </c>
      <c r="B374" s="23">
        <v>261.02800000000002</v>
      </c>
      <c r="C374" s="24">
        <f t="shared" si="5"/>
        <v>-3.2876524023536307E-3</v>
      </c>
    </row>
    <row r="375" spans="1:3" ht="14.25" customHeight="1" x14ac:dyDescent="0.3">
      <c r="A375" s="22">
        <v>45699</v>
      </c>
      <c r="B375" s="23">
        <v>261.88900000000001</v>
      </c>
      <c r="C375" s="24">
        <f t="shared" si="5"/>
        <v>-2.1487819458974655E-2</v>
      </c>
    </row>
    <row r="376" spans="1:3" ht="14.25" customHeight="1" x14ac:dyDescent="0.3">
      <c r="A376" s="22">
        <v>45698</v>
      </c>
      <c r="B376" s="23">
        <v>267.64</v>
      </c>
      <c r="C376" s="24">
        <f t="shared" si="5"/>
        <v>-1.5674765172746064E-2</v>
      </c>
    </row>
    <row r="377" spans="1:3" ht="14.25" customHeight="1" x14ac:dyDescent="0.3">
      <c r="A377" s="22">
        <v>45695</v>
      </c>
      <c r="B377" s="23">
        <v>271.90199999999999</v>
      </c>
      <c r="C377" s="24">
        <f t="shared" si="5"/>
        <v>-3.6862239289431917E-3</v>
      </c>
    </row>
    <row r="378" spans="1:3" ht="14.25" customHeight="1" x14ac:dyDescent="0.3">
      <c r="A378" s="22">
        <v>45694</v>
      </c>
      <c r="B378" s="23">
        <v>272.90800000000002</v>
      </c>
      <c r="C378" s="24">
        <f t="shared" si="5"/>
        <v>-3.1777571609114116E-3</v>
      </c>
    </row>
    <row r="379" spans="1:3" ht="14.25" customHeight="1" x14ac:dyDescent="0.3">
      <c r="A379" s="22">
        <v>45693</v>
      </c>
      <c r="B379" s="23">
        <v>273.77800000000002</v>
      </c>
      <c r="C379" s="24">
        <f t="shared" si="5"/>
        <v>4.9406824455277042E-3</v>
      </c>
    </row>
    <row r="380" spans="1:3" ht="14.25" customHeight="1" x14ac:dyDescent="0.3">
      <c r="A380" s="22">
        <v>45692</v>
      </c>
      <c r="B380" s="23">
        <v>272.43200000000002</v>
      </c>
      <c r="C380" s="24">
        <f t="shared" si="5"/>
        <v>1.3594862674772475E-2</v>
      </c>
    </row>
    <row r="381" spans="1:3" ht="14.25" customHeight="1" x14ac:dyDescent="0.3">
      <c r="A381" s="22">
        <v>45691</v>
      </c>
      <c r="B381" s="23">
        <v>268.77800000000002</v>
      </c>
      <c r="C381" s="24">
        <f t="shared" si="5"/>
        <v>-7.1624611679353889E-3</v>
      </c>
    </row>
    <row r="382" spans="1:3" ht="14.25" customHeight="1" x14ac:dyDescent="0.3">
      <c r="A382" s="22">
        <v>45688</v>
      </c>
      <c r="B382" s="23">
        <v>270.71699999999998</v>
      </c>
      <c r="C382" s="24">
        <f t="shared" si="5"/>
        <v>1.4183440664441379E-2</v>
      </c>
    </row>
    <row r="383" spans="1:3" ht="14.25" customHeight="1" x14ac:dyDescent="0.3">
      <c r="A383" s="22">
        <v>45687</v>
      </c>
      <c r="B383" s="23">
        <v>266.93099999999998</v>
      </c>
      <c r="C383" s="24">
        <f t="shared" si="5"/>
        <v>1.8616172800119386E-3</v>
      </c>
    </row>
    <row r="384" spans="1:3" ht="14.25" customHeight="1" x14ac:dyDescent="0.3">
      <c r="A384" s="22">
        <v>45686</v>
      </c>
      <c r="B384" s="23">
        <v>266.435</v>
      </c>
      <c r="C384" s="24">
        <f t="shared" si="5"/>
        <v>2.1473427543955155E-2</v>
      </c>
    </row>
    <row r="385" spans="1:3" ht="14.25" customHeight="1" x14ac:dyDescent="0.3">
      <c r="A385" s="22">
        <v>45685</v>
      </c>
      <c r="B385" s="23">
        <v>260.834</v>
      </c>
      <c r="C385" s="24">
        <f t="shared" si="5"/>
        <v>-2.1423598093299858E-3</v>
      </c>
    </row>
    <row r="386" spans="1:3" ht="14.25" customHeight="1" x14ac:dyDescent="0.3">
      <c r="A386" s="22">
        <v>45684</v>
      </c>
      <c r="B386" s="23">
        <v>261.39400000000001</v>
      </c>
      <c r="C386" s="24">
        <f t="shared" ref="C386:C449" si="6">(B386-B387)/B387</f>
        <v>-2.3599988046856264E-2</v>
      </c>
    </row>
    <row r="387" spans="1:3" ht="14.25" customHeight="1" x14ac:dyDescent="0.3">
      <c r="A387" s="22">
        <v>45681</v>
      </c>
      <c r="B387" s="23">
        <v>267.71199999999999</v>
      </c>
      <c r="C387" s="24">
        <f t="shared" si="6"/>
        <v>-1.3501562407876849E-2</v>
      </c>
    </row>
    <row r="388" spans="1:3" ht="14.25" customHeight="1" x14ac:dyDescent="0.3">
      <c r="A388" s="22">
        <v>45680</v>
      </c>
      <c r="B388" s="23">
        <v>271.37599999999998</v>
      </c>
      <c r="C388" s="24">
        <f t="shared" si="6"/>
        <v>4.0699137178290554E-3</v>
      </c>
    </row>
    <row r="389" spans="1:3" ht="14.25" customHeight="1" x14ac:dyDescent="0.3">
      <c r="A389" s="22">
        <v>45679</v>
      </c>
      <c r="B389" s="23">
        <v>270.27600000000001</v>
      </c>
      <c r="C389" s="24">
        <f t="shared" si="6"/>
        <v>-6.966183148891197E-3</v>
      </c>
    </row>
    <row r="390" spans="1:3" ht="14.25" customHeight="1" x14ac:dyDescent="0.3">
      <c r="A390" s="22">
        <v>45678</v>
      </c>
      <c r="B390" s="23">
        <v>272.17200000000003</v>
      </c>
      <c r="C390" s="24">
        <f t="shared" si="6"/>
        <v>-1.8184572873566524E-2</v>
      </c>
    </row>
    <row r="391" spans="1:3" ht="14.25" customHeight="1" x14ac:dyDescent="0.3">
      <c r="A391" s="22">
        <v>45677</v>
      </c>
      <c r="B391" s="23">
        <v>277.21300000000002</v>
      </c>
      <c r="C391" s="24">
        <f t="shared" si="6"/>
        <v>3.8820747371813773E-3</v>
      </c>
    </row>
    <row r="392" spans="1:3" ht="14.25" customHeight="1" x14ac:dyDescent="0.3">
      <c r="A392" s="22">
        <v>45674</v>
      </c>
      <c r="B392" s="23">
        <v>276.14100000000002</v>
      </c>
      <c r="C392" s="24">
        <f t="shared" si="6"/>
        <v>-4.1185359362095617E-3</v>
      </c>
    </row>
    <row r="393" spans="1:3" ht="14.25" customHeight="1" x14ac:dyDescent="0.3">
      <c r="A393" s="22">
        <v>45673</v>
      </c>
      <c r="B393" s="23">
        <v>277.28300000000002</v>
      </c>
      <c r="C393" s="24">
        <f t="shared" si="6"/>
        <v>8.1881678792572812E-3</v>
      </c>
    </row>
    <row r="394" spans="1:3" ht="14.25" customHeight="1" x14ac:dyDescent="0.3">
      <c r="A394" s="22">
        <v>45672</v>
      </c>
      <c r="B394" s="23">
        <v>275.03100000000001</v>
      </c>
      <c r="C394" s="24">
        <f t="shared" si="6"/>
        <v>2.9391922691220096E-3</v>
      </c>
    </row>
    <row r="395" spans="1:3" ht="14.25" customHeight="1" x14ac:dyDescent="0.3">
      <c r="A395" s="22">
        <v>45671</v>
      </c>
      <c r="B395" s="23">
        <v>274.22500000000002</v>
      </c>
      <c r="C395" s="24">
        <f t="shared" si="6"/>
        <v>1.1452493360873481E-2</v>
      </c>
    </row>
    <row r="396" spans="1:3" ht="14.25" customHeight="1" x14ac:dyDescent="0.3">
      <c r="A396" s="22">
        <v>45670</v>
      </c>
      <c r="B396" s="23">
        <v>271.12</v>
      </c>
      <c r="C396" s="24">
        <f t="shared" si="6"/>
        <v>-2.7790726861978698E-2</v>
      </c>
    </row>
    <row r="397" spans="1:3" ht="14.25" customHeight="1" x14ac:dyDescent="0.3">
      <c r="A397" s="22">
        <v>45667</v>
      </c>
      <c r="B397" s="23">
        <v>278.87</v>
      </c>
      <c r="C397" s="24">
        <f t="shared" si="6"/>
        <v>-1.4847760118414596E-2</v>
      </c>
    </row>
    <row r="398" spans="1:3" ht="14.25" customHeight="1" x14ac:dyDescent="0.3">
      <c r="A398" s="22">
        <v>45666</v>
      </c>
      <c r="B398" s="23">
        <v>283.07299999999998</v>
      </c>
      <c r="C398" s="24">
        <f t="shared" si="6"/>
        <v>-9.8361229165573986E-3</v>
      </c>
    </row>
    <row r="399" spans="1:3" ht="14.25" customHeight="1" x14ac:dyDescent="0.3">
      <c r="A399" s="22">
        <v>45665</v>
      </c>
      <c r="B399" s="23">
        <v>285.88499999999999</v>
      </c>
      <c r="C399" s="24">
        <f t="shared" si="6"/>
        <v>-7.8845906918797448E-3</v>
      </c>
    </row>
    <row r="400" spans="1:3" ht="14.25" customHeight="1" x14ac:dyDescent="0.3">
      <c r="A400" s="22">
        <v>45664</v>
      </c>
      <c r="B400" s="23">
        <v>288.15699999999998</v>
      </c>
      <c r="C400" s="24">
        <f t="shared" si="6"/>
        <v>5.1871489866395729E-3</v>
      </c>
    </row>
    <row r="401" spans="1:3" ht="14.25" customHeight="1" x14ac:dyDescent="0.3">
      <c r="A401" s="22">
        <v>45663</v>
      </c>
      <c r="B401" s="23">
        <v>286.67</v>
      </c>
      <c r="C401" s="24">
        <f t="shared" si="6"/>
        <v>-1.9707078202528365E-2</v>
      </c>
    </row>
    <row r="402" spans="1:3" ht="14.25" customHeight="1" x14ac:dyDescent="0.3">
      <c r="A402" s="22">
        <v>45660</v>
      </c>
      <c r="B402" s="23">
        <v>292.43299999999999</v>
      </c>
      <c r="C402" s="24">
        <f t="shared" si="6"/>
        <v>-3.8424722630049156E-3</v>
      </c>
    </row>
    <row r="403" spans="1:3" ht="14.25" customHeight="1" x14ac:dyDescent="0.3">
      <c r="A403" s="22">
        <v>45659</v>
      </c>
      <c r="B403" s="23">
        <v>293.56099999999998</v>
      </c>
      <c r="C403" s="24">
        <f t="shared" si="6"/>
        <v>1.1459679225455113E-2</v>
      </c>
    </row>
    <row r="404" spans="1:3" ht="14.25" customHeight="1" x14ac:dyDescent="0.3">
      <c r="A404" s="22">
        <v>45658</v>
      </c>
      <c r="B404" s="23">
        <v>290.23500000000001</v>
      </c>
      <c r="C404" s="24">
        <f t="shared" si="6"/>
        <v>4.5618637878700134E-3</v>
      </c>
    </row>
    <row r="405" spans="1:3" ht="14.25" customHeight="1" x14ac:dyDescent="0.3">
      <c r="A405" s="22">
        <v>45657</v>
      </c>
      <c r="B405" s="23">
        <v>288.91699999999997</v>
      </c>
      <c r="C405" s="24">
        <f t="shared" si="6"/>
        <v>2.4461160534605918E-3</v>
      </c>
    </row>
    <row r="406" spans="1:3" ht="14.25" customHeight="1" x14ac:dyDescent="0.3">
      <c r="A406" s="22">
        <v>45656</v>
      </c>
      <c r="B406" s="23">
        <v>288.21199999999999</v>
      </c>
      <c r="C406" s="24">
        <f t="shared" si="6"/>
        <v>-3.7194767843810382E-3</v>
      </c>
    </row>
    <row r="407" spans="1:3" ht="14.25" customHeight="1" x14ac:dyDescent="0.3">
      <c r="A407" s="22">
        <v>45653</v>
      </c>
      <c r="B407" s="23">
        <v>289.28800000000001</v>
      </c>
      <c r="C407" s="24">
        <f t="shared" si="6"/>
        <v>-3.2828466081273068E-4</v>
      </c>
    </row>
    <row r="408" spans="1:3" ht="14.25" customHeight="1" x14ac:dyDescent="0.3">
      <c r="A408" s="22">
        <v>45652</v>
      </c>
      <c r="B408" s="23">
        <v>289.38299999999998</v>
      </c>
      <c r="C408" s="24">
        <f t="shared" si="6"/>
        <v>-5.5286991316554491E-5</v>
      </c>
    </row>
    <row r="409" spans="1:3" ht="14.25" customHeight="1" x14ac:dyDescent="0.3">
      <c r="A409" s="22">
        <v>45650</v>
      </c>
      <c r="B409" s="23">
        <v>289.399</v>
      </c>
      <c r="C409" s="24">
        <f t="shared" si="6"/>
        <v>2.2129103753982895E-3</v>
      </c>
    </row>
    <row r="410" spans="1:3" ht="14.25" customHeight="1" x14ac:dyDescent="0.3">
      <c r="A410" s="22">
        <v>45649</v>
      </c>
      <c r="B410" s="23">
        <v>288.76</v>
      </c>
      <c r="C410" s="24">
        <f t="shared" si="6"/>
        <v>-8.3736444730492742E-4</v>
      </c>
    </row>
    <row r="411" spans="1:3" ht="14.25" customHeight="1" x14ac:dyDescent="0.3">
      <c r="A411" s="22">
        <v>45646</v>
      </c>
      <c r="B411" s="23">
        <v>289.00200000000001</v>
      </c>
      <c r="C411" s="24">
        <f t="shared" si="6"/>
        <v>-1.6591919095679079E-2</v>
      </c>
    </row>
    <row r="412" spans="1:3" ht="14.25" customHeight="1" x14ac:dyDescent="0.3">
      <c r="A412" s="22">
        <v>45645</v>
      </c>
      <c r="B412" s="23">
        <v>293.87799999999999</v>
      </c>
      <c r="C412" s="24">
        <f t="shared" si="6"/>
        <v>-6.3632675142007208E-3</v>
      </c>
    </row>
    <row r="413" spans="1:3" ht="14.25" customHeight="1" x14ac:dyDescent="0.3">
      <c r="A413" s="22">
        <v>45644</v>
      </c>
      <c r="B413" s="23">
        <v>295.76</v>
      </c>
      <c r="C413" s="24">
        <f t="shared" si="6"/>
        <v>-8.2323156112200403E-3</v>
      </c>
    </row>
    <row r="414" spans="1:3" ht="14.25" customHeight="1" x14ac:dyDescent="0.3">
      <c r="A414" s="22">
        <v>45643</v>
      </c>
      <c r="B414" s="23">
        <v>298.21499999999997</v>
      </c>
      <c r="C414" s="24">
        <f t="shared" si="6"/>
        <v>-6.7545288316464332E-3</v>
      </c>
    </row>
    <row r="415" spans="1:3" ht="14.25" customHeight="1" x14ac:dyDescent="0.3">
      <c r="A415" s="22">
        <v>45642</v>
      </c>
      <c r="B415" s="23">
        <v>300.24299999999999</v>
      </c>
      <c r="C415" s="24">
        <f t="shared" si="6"/>
        <v>2.6649301207233443E-3</v>
      </c>
    </row>
    <row r="416" spans="1:3" ht="14.25" customHeight="1" x14ac:dyDescent="0.3">
      <c r="A416" s="22">
        <v>45639</v>
      </c>
      <c r="B416" s="23">
        <v>299.44499999999999</v>
      </c>
      <c r="C416" s="24">
        <f t="shared" si="6"/>
        <v>3.444843959962134E-3</v>
      </c>
    </row>
    <row r="417" spans="1:3" ht="14.25" customHeight="1" x14ac:dyDescent="0.3">
      <c r="A417" s="22">
        <v>45638</v>
      </c>
      <c r="B417" s="23">
        <v>298.41699999999997</v>
      </c>
      <c r="C417" s="24">
        <f t="shared" si="6"/>
        <v>-7.1729663010317163E-3</v>
      </c>
    </row>
    <row r="418" spans="1:3" ht="14.25" customHeight="1" x14ac:dyDescent="0.3">
      <c r="A418" s="22">
        <v>45637</v>
      </c>
      <c r="B418" s="23">
        <v>300.57299999999998</v>
      </c>
      <c r="C418" s="24">
        <f t="shared" si="6"/>
        <v>2.0068606631973604E-3</v>
      </c>
    </row>
    <row r="419" spans="1:3" ht="14.25" customHeight="1" x14ac:dyDescent="0.3">
      <c r="A419" s="22">
        <v>45636</v>
      </c>
      <c r="B419" s="23">
        <v>299.971</v>
      </c>
      <c r="C419" s="24">
        <f t="shared" si="6"/>
        <v>8.2075235632656895E-4</v>
      </c>
    </row>
    <row r="420" spans="1:3" ht="14.25" customHeight="1" x14ac:dyDescent="0.3">
      <c r="A420" s="22">
        <v>45635</v>
      </c>
      <c r="B420" s="23">
        <v>299.72500000000002</v>
      </c>
      <c r="C420" s="24">
        <f t="shared" si="6"/>
        <v>2.769972166786593E-4</v>
      </c>
    </row>
    <row r="421" spans="1:3" ht="14.25" customHeight="1" x14ac:dyDescent="0.3">
      <c r="A421" s="22">
        <v>45632</v>
      </c>
      <c r="B421" s="23">
        <v>299.642</v>
      </c>
      <c r="C421" s="24">
        <f t="shared" si="6"/>
        <v>2.1303991572047304E-3</v>
      </c>
    </row>
    <row r="422" spans="1:3" ht="14.25" customHeight="1" x14ac:dyDescent="0.3">
      <c r="A422" s="22">
        <v>45631</v>
      </c>
      <c r="B422" s="23">
        <v>299.005</v>
      </c>
      <c r="C422" s="24">
        <f t="shared" si="6"/>
        <v>4.5185782436335765E-3</v>
      </c>
    </row>
    <row r="423" spans="1:3" ht="14.25" customHeight="1" x14ac:dyDescent="0.3">
      <c r="A423" s="22">
        <v>45630</v>
      </c>
      <c r="B423" s="23">
        <v>297.66000000000003</v>
      </c>
      <c r="C423" s="24">
        <f t="shared" si="6"/>
        <v>6.0057522737029289E-3</v>
      </c>
    </row>
    <row r="424" spans="1:3" ht="14.25" customHeight="1" x14ac:dyDescent="0.3">
      <c r="A424" s="22">
        <v>45629</v>
      </c>
      <c r="B424" s="23">
        <v>295.88299999999998</v>
      </c>
      <c r="C424" s="24">
        <f t="shared" si="6"/>
        <v>1.0974780555640939E-2</v>
      </c>
    </row>
    <row r="425" spans="1:3" ht="14.25" customHeight="1" x14ac:dyDescent="0.3">
      <c r="A425" s="22">
        <v>45628</v>
      </c>
      <c r="B425" s="23">
        <v>292.67099999999999</v>
      </c>
      <c r="C425" s="24">
        <f t="shared" si="6"/>
        <v>3.8518528681383184E-3</v>
      </c>
    </row>
    <row r="426" spans="1:3" ht="14.25" customHeight="1" x14ac:dyDescent="0.3">
      <c r="A426" s="22">
        <v>45625</v>
      </c>
      <c r="B426" s="23">
        <v>291.548</v>
      </c>
      <c r="C426" s="24">
        <f t="shared" si="6"/>
        <v>3.3140045081474349E-3</v>
      </c>
    </row>
    <row r="427" spans="1:3" ht="14.25" customHeight="1" x14ac:dyDescent="0.3">
      <c r="A427" s="22">
        <v>45624</v>
      </c>
      <c r="B427" s="23">
        <v>290.58499999999998</v>
      </c>
      <c r="C427" s="24">
        <f t="shared" si="6"/>
        <v>-8.066277974247988E-3</v>
      </c>
    </row>
    <row r="428" spans="1:3" ht="14.25" customHeight="1" x14ac:dyDescent="0.3">
      <c r="A428" s="22">
        <v>45623</v>
      </c>
      <c r="B428" s="23">
        <v>292.94799999999998</v>
      </c>
      <c r="C428" s="24">
        <f t="shared" si="6"/>
        <v>6.1098537275602709E-3</v>
      </c>
    </row>
    <row r="429" spans="1:3" ht="14.25" customHeight="1" x14ac:dyDescent="0.3">
      <c r="A429" s="22">
        <v>45622</v>
      </c>
      <c r="B429" s="23">
        <v>291.16899999999998</v>
      </c>
      <c r="C429" s="24">
        <f t="shared" si="6"/>
        <v>-8.2419563657096527E-5</v>
      </c>
    </row>
    <row r="430" spans="1:3" ht="14.25" customHeight="1" x14ac:dyDescent="0.3">
      <c r="A430" s="22">
        <v>45621</v>
      </c>
      <c r="B430" s="23">
        <v>291.19299999999998</v>
      </c>
      <c r="C430" s="24">
        <f t="shared" si="6"/>
        <v>1.4397686894725776E-2</v>
      </c>
    </row>
    <row r="431" spans="1:3" ht="14.25" customHeight="1" x14ac:dyDescent="0.3">
      <c r="A431" s="22">
        <v>45618</v>
      </c>
      <c r="B431" s="23">
        <v>287.06</v>
      </c>
      <c r="C431" s="24">
        <f t="shared" si="6"/>
        <v>1.6371850613944482E-2</v>
      </c>
    </row>
    <row r="432" spans="1:3" ht="14.25" customHeight="1" x14ac:dyDescent="0.3">
      <c r="A432" s="22">
        <v>45617</v>
      </c>
      <c r="B432" s="23">
        <v>282.43599999999998</v>
      </c>
      <c r="C432" s="24">
        <f t="shared" si="6"/>
        <v>6.3771895017291692E-4</v>
      </c>
    </row>
    <row r="433" spans="1:3" ht="14.25" customHeight="1" x14ac:dyDescent="0.3">
      <c r="A433" s="22">
        <v>45614</v>
      </c>
      <c r="B433" s="23">
        <v>282.25599999999997</v>
      </c>
      <c r="C433" s="24">
        <f t="shared" si="6"/>
        <v>-4.8127606912041392E-3</v>
      </c>
    </row>
    <row r="434" spans="1:3" ht="14.25" customHeight="1" x14ac:dyDescent="0.3">
      <c r="A434" s="22">
        <v>45610</v>
      </c>
      <c r="B434" s="23">
        <v>283.62099999999998</v>
      </c>
      <c r="C434" s="24">
        <f t="shared" si="6"/>
        <v>4.789757288260402E-3</v>
      </c>
    </row>
    <row r="435" spans="1:3" ht="14.25" customHeight="1" x14ac:dyDescent="0.3">
      <c r="A435" s="22">
        <v>45609</v>
      </c>
      <c r="B435" s="23">
        <v>282.26900000000001</v>
      </c>
      <c r="C435" s="24">
        <f t="shared" si="6"/>
        <v>-2.1078769676812919E-2</v>
      </c>
    </row>
    <row r="436" spans="1:3" ht="14.25" customHeight="1" x14ac:dyDescent="0.3">
      <c r="A436" s="22">
        <v>45608</v>
      </c>
      <c r="B436" s="23">
        <v>288.34699999999998</v>
      </c>
      <c r="C436" s="24">
        <f t="shared" si="6"/>
        <v>-1.1321828636477481E-2</v>
      </c>
    </row>
    <row r="437" spans="1:3" ht="14.25" customHeight="1" x14ac:dyDescent="0.3">
      <c r="A437" s="22">
        <v>45607</v>
      </c>
      <c r="B437" s="23">
        <v>291.649</v>
      </c>
      <c r="C437" s="24">
        <f t="shared" si="6"/>
        <v>-8.5303770495181064E-4</v>
      </c>
    </row>
    <row r="438" spans="1:3" ht="14.25" customHeight="1" x14ac:dyDescent="0.3">
      <c r="A438" s="22">
        <v>45604</v>
      </c>
      <c r="B438" s="23">
        <v>291.89800000000002</v>
      </c>
      <c r="C438" s="24">
        <f t="shared" si="6"/>
        <v>-7.2239492282889272E-3</v>
      </c>
    </row>
    <row r="439" spans="1:3" ht="14.25" customHeight="1" x14ac:dyDescent="0.3">
      <c r="A439" s="22">
        <v>45603</v>
      </c>
      <c r="B439" s="23">
        <v>294.02199999999999</v>
      </c>
      <c r="C439" s="24">
        <f t="shared" si="6"/>
        <v>-4.7423524911737085E-3</v>
      </c>
    </row>
    <row r="440" spans="1:3" ht="14.25" customHeight="1" x14ac:dyDescent="0.3">
      <c r="A440" s="22">
        <v>45602</v>
      </c>
      <c r="B440" s="23">
        <v>295.423</v>
      </c>
      <c r="C440" s="24">
        <f t="shared" si="6"/>
        <v>1.3089579775450461E-2</v>
      </c>
    </row>
    <row r="441" spans="1:3" ht="14.25" customHeight="1" x14ac:dyDescent="0.3">
      <c r="A441" s="22">
        <v>45601</v>
      </c>
      <c r="B441" s="23">
        <v>291.60599999999999</v>
      </c>
      <c r="C441" s="24">
        <f t="shared" si="6"/>
        <v>5.6523673383523298E-3</v>
      </c>
    </row>
    <row r="442" spans="1:3" ht="14.25" customHeight="1" x14ac:dyDescent="0.3">
      <c r="A442" s="22">
        <v>45600</v>
      </c>
      <c r="B442" s="23">
        <v>289.96699999999998</v>
      </c>
      <c r="C442" s="24">
        <f t="shared" si="6"/>
        <v>-7.1323403526794274E-3</v>
      </c>
    </row>
    <row r="443" spans="1:3" ht="14.25" customHeight="1" x14ac:dyDescent="0.3">
      <c r="A443" s="22">
        <v>45597</v>
      </c>
      <c r="B443" s="23">
        <v>292.05</v>
      </c>
      <c r="C443" s="24">
        <f t="shared" si="6"/>
        <v>0</v>
      </c>
    </row>
    <row r="444" spans="1:3" ht="14.25" customHeight="1" x14ac:dyDescent="0.3">
      <c r="A444" s="22">
        <v>45596</v>
      </c>
      <c r="B444" s="23">
        <v>292.05</v>
      </c>
      <c r="C444" s="24">
        <f t="shared" si="6"/>
        <v>2.932732592480614E-3</v>
      </c>
    </row>
    <row r="445" spans="1:3" ht="14.25" customHeight="1" x14ac:dyDescent="0.3">
      <c r="A445" s="22">
        <v>45595</v>
      </c>
      <c r="B445" s="23">
        <v>291.19600000000003</v>
      </c>
      <c r="C445" s="24">
        <f t="shared" si="6"/>
        <v>-6.3490756089087984E-4</v>
      </c>
    </row>
    <row r="446" spans="1:3" ht="14.25" customHeight="1" x14ac:dyDescent="0.3">
      <c r="A446" s="22">
        <v>45594</v>
      </c>
      <c r="B446" s="23">
        <v>291.38099999999997</v>
      </c>
      <c r="C446" s="24">
        <f t="shared" si="6"/>
        <v>7.3812602421467919E-3</v>
      </c>
    </row>
    <row r="447" spans="1:3" ht="14.25" customHeight="1" x14ac:dyDescent="0.3">
      <c r="A447" s="22">
        <v>45593</v>
      </c>
      <c r="B447" s="23">
        <v>289.24599999999998</v>
      </c>
      <c r="C447" s="24">
        <f t="shared" si="6"/>
        <v>2.4398527770654109E-3</v>
      </c>
    </row>
    <row r="448" spans="1:3" ht="14.25" customHeight="1" x14ac:dyDescent="0.3">
      <c r="A448" s="22">
        <v>45590</v>
      </c>
      <c r="B448" s="23">
        <v>288.54199999999997</v>
      </c>
      <c r="C448" s="24">
        <f t="shared" si="6"/>
        <v>-1.3555231156861311E-2</v>
      </c>
    </row>
    <row r="449" spans="1:3" ht="14.25" customHeight="1" x14ac:dyDescent="0.3">
      <c r="A449" s="22">
        <v>45589</v>
      </c>
      <c r="B449" s="23">
        <v>292.50700000000001</v>
      </c>
      <c r="C449" s="24">
        <f t="shared" si="6"/>
        <v>-2.7479177533896665E-3</v>
      </c>
    </row>
    <row r="450" spans="1:3" ht="14.25" customHeight="1" x14ac:dyDescent="0.3">
      <c r="A450" s="22">
        <v>45588</v>
      </c>
      <c r="B450" s="23">
        <v>293.31299999999999</v>
      </c>
      <c r="C450" s="24">
        <f t="shared" ref="C450:C513" si="7">(B450-B451)/B451</f>
        <v>2.135379653419341E-3</v>
      </c>
    </row>
    <row r="451" spans="1:3" ht="14.25" customHeight="1" x14ac:dyDescent="0.3">
      <c r="A451" s="22">
        <v>45587</v>
      </c>
      <c r="B451" s="23">
        <v>292.68799999999999</v>
      </c>
      <c r="C451" s="24">
        <f t="shared" si="7"/>
        <v>-2.2800041399987338E-2</v>
      </c>
    </row>
    <row r="452" spans="1:3" ht="14.25" customHeight="1" x14ac:dyDescent="0.3">
      <c r="A452" s="22">
        <v>45586</v>
      </c>
      <c r="B452" s="23">
        <v>299.517</v>
      </c>
      <c r="C452" s="24">
        <f t="shared" si="7"/>
        <v>-9.6483541918098315E-3</v>
      </c>
    </row>
    <row r="453" spans="1:3" ht="14.25" customHeight="1" x14ac:dyDescent="0.3">
      <c r="A453" s="22">
        <v>45583</v>
      </c>
      <c r="B453" s="23">
        <v>302.435</v>
      </c>
      <c r="C453" s="24">
        <f t="shared" si="7"/>
        <v>7.312698948427394E-4</v>
      </c>
    </row>
    <row r="454" spans="1:3" ht="14.25" customHeight="1" x14ac:dyDescent="0.3">
      <c r="A454" s="22">
        <v>45582</v>
      </c>
      <c r="B454" s="23">
        <v>302.214</v>
      </c>
      <c r="C454" s="24">
        <f t="shared" si="7"/>
        <v>-1.3027305415035046E-2</v>
      </c>
    </row>
    <row r="455" spans="1:3" ht="14.25" customHeight="1" x14ac:dyDescent="0.3">
      <c r="A455" s="22">
        <v>45581</v>
      </c>
      <c r="B455" s="23">
        <v>306.20299999999997</v>
      </c>
      <c r="C455" s="24">
        <f t="shared" si="7"/>
        <v>1.8518700288249594E-3</v>
      </c>
    </row>
    <row r="456" spans="1:3" ht="14.25" customHeight="1" x14ac:dyDescent="0.3">
      <c r="A456" s="22">
        <v>45580</v>
      </c>
      <c r="B456" s="23">
        <v>305.637</v>
      </c>
      <c r="C456" s="24">
        <f t="shared" si="7"/>
        <v>4.9914671559487308E-3</v>
      </c>
    </row>
    <row r="457" spans="1:3" ht="14.25" customHeight="1" x14ac:dyDescent="0.3">
      <c r="A457" s="22">
        <v>45579</v>
      </c>
      <c r="B457" s="23">
        <v>304.11900000000003</v>
      </c>
      <c r="C457" s="24">
        <f t="shared" si="7"/>
        <v>2.8523943624816457E-3</v>
      </c>
    </row>
    <row r="458" spans="1:3" ht="14.25" customHeight="1" x14ac:dyDescent="0.3">
      <c r="A458" s="22">
        <v>45576</v>
      </c>
      <c r="B458" s="23">
        <v>303.25400000000002</v>
      </c>
      <c r="C458" s="24">
        <f t="shared" si="7"/>
        <v>-7.2541183608301871E-5</v>
      </c>
    </row>
    <row r="459" spans="1:3" ht="14.25" customHeight="1" x14ac:dyDescent="0.3">
      <c r="A459" s="22">
        <v>45575</v>
      </c>
      <c r="B459" s="23">
        <v>303.27600000000001</v>
      </c>
      <c r="C459" s="24">
        <f t="shared" si="7"/>
        <v>4.903974870442346E-3</v>
      </c>
    </row>
    <row r="460" spans="1:3" ht="14.25" customHeight="1" x14ac:dyDescent="0.3">
      <c r="A460" s="22">
        <v>45574</v>
      </c>
      <c r="B460" s="23">
        <v>301.79599999999999</v>
      </c>
      <c r="C460" s="24">
        <f t="shared" si="7"/>
        <v>1.0693127664490924E-2</v>
      </c>
    </row>
    <row r="461" spans="1:3" ht="14.25" customHeight="1" x14ac:dyDescent="0.3">
      <c r="A461" s="22">
        <v>45573</v>
      </c>
      <c r="B461" s="23">
        <v>298.60300000000001</v>
      </c>
      <c r="C461" s="24">
        <f t="shared" si="7"/>
        <v>1.8594449295928468E-2</v>
      </c>
    </row>
    <row r="462" spans="1:3" ht="14.25" customHeight="1" x14ac:dyDescent="0.3">
      <c r="A462" s="22">
        <v>45572</v>
      </c>
      <c r="B462" s="23">
        <v>293.15199999999999</v>
      </c>
      <c r="C462" s="24">
        <f t="shared" si="7"/>
        <v>-1.7771463800359284E-2</v>
      </c>
    </row>
    <row r="463" spans="1:3" ht="14.25" customHeight="1" x14ac:dyDescent="0.3">
      <c r="A463" s="22">
        <v>45569</v>
      </c>
      <c r="B463" s="23">
        <v>298.45600000000002</v>
      </c>
      <c r="C463" s="24">
        <f t="shared" si="7"/>
        <v>-8.0036162518611689E-3</v>
      </c>
    </row>
    <row r="464" spans="1:3" ht="14.25" customHeight="1" x14ac:dyDescent="0.3">
      <c r="A464" s="22">
        <v>45568</v>
      </c>
      <c r="B464" s="23">
        <v>300.86399999999998</v>
      </c>
      <c r="C464" s="24">
        <f t="shared" si="7"/>
        <v>-1.7548442714490114E-2</v>
      </c>
    </row>
    <row r="465" spans="1:3" ht="14.25" customHeight="1" x14ac:dyDescent="0.3">
      <c r="A465" s="22">
        <v>45565</v>
      </c>
      <c r="B465" s="23">
        <v>306.238</v>
      </c>
      <c r="C465" s="24">
        <f t="shared" si="7"/>
        <v>-8.4314957162561609E-3</v>
      </c>
    </row>
    <row r="466" spans="1:3" ht="14.25" customHeight="1" x14ac:dyDescent="0.3">
      <c r="A466" s="22">
        <v>45562</v>
      </c>
      <c r="B466" s="23">
        <v>308.84199999999998</v>
      </c>
      <c r="C466" s="24">
        <f t="shared" si="7"/>
        <v>-4.8868420967468666E-4</v>
      </c>
    </row>
    <row r="467" spans="1:3" ht="14.25" customHeight="1" x14ac:dyDescent="0.3">
      <c r="A467" s="22">
        <v>45561</v>
      </c>
      <c r="B467" s="23">
        <v>308.99299999999999</v>
      </c>
      <c r="C467" s="24">
        <f t="shared" si="7"/>
        <v>6.3796163162736156E-4</v>
      </c>
    </row>
    <row r="468" spans="1:3" ht="14.25" customHeight="1" x14ac:dyDescent="0.3">
      <c r="A468" s="22">
        <v>45560</v>
      </c>
      <c r="B468" s="23">
        <v>308.79599999999999</v>
      </c>
      <c r="C468" s="24">
        <f t="shared" si="7"/>
        <v>1.547098946221204E-3</v>
      </c>
    </row>
    <row r="469" spans="1:3" ht="14.25" customHeight="1" x14ac:dyDescent="0.3">
      <c r="A469" s="22">
        <v>45559</v>
      </c>
      <c r="B469" s="23">
        <v>308.31900000000002</v>
      </c>
      <c r="C469" s="24">
        <f t="shared" si="7"/>
        <v>1.2892875468462511E-3</v>
      </c>
    </row>
    <row r="470" spans="1:3" ht="14.25" customHeight="1" x14ac:dyDescent="0.3">
      <c r="A470" s="22">
        <v>45558</v>
      </c>
      <c r="B470" s="23">
        <v>307.92200000000003</v>
      </c>
      <c r="C470" s="24">
        <f t="shared" si="7"/>
        <v>1.0212953029602142E-2</v>
      </c>
    </row>
    <row r="471" spans="1:3" ht="14.25" customHeight="1" x14ac:dyDescent="0.3">
      <c r="A471" s="22">
        <v>45555</v>
      </c>
      <c r="B471" s="23">
        <v>304.80900000000003</v>
      </c>
      <c r="C471" s="24">
        <f t="shared" si="7"/>
        <v>7.663037908566009E-3</v>
      </c>
    </row>
    <row r="472" spans="1:3" ht="14.25" customHeight="1" x14ac:dyDescent="0.3">
      <c r="A472" s="22">
        <v>45554</v>
      </c>
      <c r="B472" s="23">
        <v>302.49099999999999</v>
      </c>
      <c r="C472" s="24">
        <f t="shared" si="7"/>
        <v>-3.3573852591348079E-3</v>
      </c>
    </row>
    <row r="473" spans="1:3" ht="14.25" customHeight="1" x14ac:dyDescent="0.3">
      <c r="A473" s="22">
        <v>45553</v>
      </c>
      <c r="B473" s="23">
        <v>303.51</v>
      </c>
      <c r="C473" s="24">
        <f t="shared" si="7"/>
        <v>-2.1411512805730949E-4</v>
      </c>
    </row>
    <row r="474" spans="1:3" ht="14.25" customHeight="1" x14ac:dyDescent="0.3">
      <c r="A474" s="22">
        <v>45552</v>
      </c>
      <c r="B474" s="23">
        <v>303.57499999999999</v>
      </c>
      <c r="C474" s="24">
        <f t="shared" si="7"/>
        <v>-1.8117490776848667E-3</v>
      </c>
    </row>
    <row r="475" spans="1:3" ht="14.25" customHeight="1" x14ac:dyDescent="0.3">
      <c r="A475" s="22">
        <v>45551</v>
      </c>
      <c r="B475" s="23">
        <v>304.12599999999998</v>
      </c>
      <c r="C475" s="24">
        <f t="shared" si="7"/>
        <v>-5.9150986178388475E-4</v>
      </c>
    </row>
    <row r="476" spans="1:3" ht="14.25" customHeight="1" x14ac:dyDescent="0.3">
      <c r="A476" s="22">
        <v>45548</v>
      </c>
      <c r="B476" s="23">
        <v>304.30599999999998</v>
      </c>
      <c r="C476" s="24">
        <f t="shared" si="7"/>
        <v>2.9233502186745077E-3</v>
      </c>
    </row>
    <row r="477" spans="1:3" ht="14.25" customHeight="1" x14ac:dyDescent="0.3">
      <c r="A477" s="22">
        <v>45547</v>
      </c>
      <c r="B477" s="23">
        <v>303.41899999999998</v>
      </c>
      <c r="C477" s="24">
        <f t="shared" si="7"/>
        <v>1.1211277932378983E-2</v>
      </c>
    </row>
    <row r="478" spans="1:3" ht="14.25" customHeight="1" x14ac:dyDescent="0.3">
      <c r="A478" s="22">
        <v>45546</v>
      </c>
      <c r="B478" s="23">
        <v>300.05500000000001</v>
      </c>
      <c r="C478" s="24">
        <f t="shared" si="7"/>
        <v>-4.1519252852580974E-3</v>
      </c>
    </row>
    <row r="479" spans="1:3" ht="14.25" customHeight="1" x14ac:dyDescent="0.3">
      <c r="A479" s="22">
        <v>45545</v>
      </c>
      <c r="B479" s="23">
        <v>301.30599999999998</v>
      </c>
      <c r="C479" s="24">
        <f t="shared" si="7"/>
        <v>1.2555029068790503E-2</v>
      </c>
    </row>
    <row r="480" spans="1:3" ht="14.25" customHeight="1" x14ac:dyDescent="0.3">
      <c r="A480" s="22">
        <v>45544</v>
      </c>
      <c r="B480" s="23">
        <v>297.57</v>
      </c>
      <c r="C480" s="24">
        <f t="shared" si="7"/>
        <v>3.4625689572291595E-4</v>
      </c>
    </row>
    <row r="481" spans="1:3" ht="14.25" customHeight="1" x14ac:dyDescent="0.3">
      <c r="A481" s="22">
        <v>45541</v>
      </c>
      <c r="B481" s="23">
        <v>297.46699999999998</v>
      </c>
      <c r="C481" s="24">
        <f t="shared" si="7"/>
        <v>-1.1418962256940061E-2</v>
      </c>
    </row>
    <row r="482" spans="1:3" ht="14.25" customHeight="1" x14ac:dyDescent="0.3">
      <c r="A482" s="22">
        <v>45540</v>
      </c>
      <c r="B482" s="23">
        <v>300.90300000000002</v>
      </c>
      <c r="C482" s="24">
        <f t="shared" si="7"/>
        <v>6.9471634089289854E-3</v>
      </c>
    </row>
    <row r="483" spans="1:3" ht="14.25" customHeight="1" x14ac:dyDescent="0.3">
      <c r="A483" s="22">
        <v>45539</v>
      </c>
      <c r="B483" s="23">
        <v>298.827</v>
      </c>
      <c r="C483" s="24">
        <f t="shared" si="7"/>
        <v>-3.5280190739783342E-3</v>
      </c>
    </row>
    <row r="484" spans="1:3" ht="14.25" customHeight="1" x14ac:dyDescent="0.3">
      <c r="A484" s="22">
        <v>45538</v>
      </c>
      <c r="B484" s="23">
        <v>299.88499999999999</v>
      </c>
      <c r="C484" s="24">
        <f t="shared" si="7"/>
        <v>3.5270771774011853E-3</v>
      </c>
    </row>
    <row r="485" spans="1:3" ht="14.25" customHeight="1" x14ac:dyDescent="0.3">
      <c r="A485" s="22">
        <v>45537</v>
      </c>
      <c r="B485" s="23">
        <v>298.83100000000002</v>
      </c>
      <c r="C485" s="24">
        <f t="shared" si="7"/>
        <v>-7.5905008393012537E-4</v>
      </c>
    </row>
    <row r="486" spans="1:3" ht="14.25" customHeight="1" x14ac:dyDescent="0.3">
      <c r="A486" s="22">
        <v>45534</v>
      </c>
      <c r="B486" s="23">
        <v>299.05799999999999</v>
      </c>
      <c r="C486" s="24">
        <f t="shared" si="7"/>
        <v>9.2706649432522398E-3</v>
      </c>
    </row>
    <row r="487" spans="1:3" ht="14.25" customHeight="1" x14ac:dyDescent="0.3">
      <c r="A487" s="22">
        <v>45533</v>
      </c>
      <c r="B487" s="23">
        <v>296.31099999999998</v>
      </c>
      <c r="C487" s="24">
        <f t="shared" si="7"/>
        <v>-2.8067105285298532E-3</v>
      </c>
    </row>
    <row r="488" spans="1:3" ht="14.25" customHeight="1" x14ac:dyDescent="0.3">
      <c r="A488" s="22">
        <v>45532</v>
      </c>
      <c r="B488" s="23">
        <v>297.14499999999998</v>
      </c>
      <c r="C488" s="24">
        <f t="shared" si="7"/>
        <v>-1.8039384309432029E-3</v>
      </c>
    </row>
    <row r="489" spans="1:3" ht="14.25" customHeight="1" x14ac:dyDescent="0.3">
      <c r="A489" s="22">
        <v>45531</v>
      </c>
      <c r="B489" s="23">
        <v>297.68200000000002</v>
      </c>
      <c r="C489" s="24">
        <f t="shared" si="7"/>
        <v>5.3088379318496593E-3</v>
      </c>
    </row>
    <row r="490" spans="1:3" ht="14.25" customHeight="1" x14ac:dyDescent="0.3">
      <c r="A490" s="22">
        <v>45530</v>
      </c>
      <c r="B490" s="23">
        <v>296.11</v>
      </c>
      <c r="C490" s="24">
        <f t="shared" si="7"/>
        <v>4.0349925403499179E-3</v>
      </c>
    </row>
    <row r="491" spans="1:3" ht="14.25" customHeight="1" x14ac:dyDescent="0.3">
      <c r="A491" s="22">
        <v>45527</v>
      </c>
      <c r="B491" s="23">
        <v>294.92</v>
      </c>
      <c r="C491" s="24">
        <f t="shared" si="7"/>
        <v>-7.217085178545451E-4</v>
      </c>
    </row>
    <row r="492" spans="1:3" ht="14.25" customHeight="1" x14ac:dyDescent="0.3">
      <c r="A492" s="22">
        <v>45526</v>
      </c>
      <c r="B492" s="23">
        <v>295.13299999999998</v>
      </c>
      <c r="C492" s="24">
        <f t="shared" si="7"/>
        <v>1.5168688027256223E-3</v>
      </c>
    </row>
    <row r="493" spans="1:3" ht="14.25" customHeight="1" x14ac:dyDescent="0.3">
      <c r="A493" s="22">
        <v>45525</v>
      </c>
      <c r="B493" s="23">
        <v>294.68599999999998</v>
      </c>
      <c r="C493" s="24">
        <f t="shared" si="7"/>
        <v>5.0682128240108803E-3</v>
      </c>
    </row>
    <row r="494" spans="1:3" ht="14.25" customHeight="1" x14ac:dyDescent="0.3">
      <c r="A494" s="22">
        <v>45524</v>
      </c>
      <c r="B494" s="23">
        <v>293.2</v>
      </c>
      <c r="C494" s="24">
        <f t="shared" si="7"/>
        <v>5.8319039451114529E-3</v>
      </c>
    </row>
    <row r="495" spans="1:3" ht="14.25" customHeight="1" x14ac:dyDescent="0.3">
      <c r="A495" s="22">
        <v>45523</v>
      </c>
      <c r="B495" s="23">
        <v>291.5</v>
      </c>
      <c r="C495" s="24">
        <f t="shared" si="7"/>
        <v>4.2651122089698255E-3</v>
      </c>
    </row>
    <row r="496" spans="1:3" ht="14.25" customHeight="1" x14ac:dyDescent="0.3">
      <c r="A496" s="22">
        <v>45520</v>
      </c>
      <c r="B496" s="23">
        <v>290.262</v>
      </c>
      <c r="C496" s="24">
        <f t="shared" si="7"/>
        <v>1.5946462447410915E-2</v>
      </c>
    </row>
    <row r="497" spans="1:3" ht="14.25" customHeight="1" x14ac:dyDescent="0.3">
      <c r="A497" s="22">
        <v>45518</v>
      </c>
      <c r="B497" s="23">
        <v>285.70600000000002</v>
      </c>
      <c r="C497" s="24">
        <f t="shared" si="7"/>
        <v>-3.3697047496791038E-3</v>
      </c>
    </row>
    <row r="498" spans="1:3" ht="14.25" customHeight="1" x14ac:dyDescent="0.3">
      <c r="A498" s="22">
        <v>45517</v>
      </c>
      <c r="B498" s="23">
        <v>286.67200000000003</v>
      </c>
      <c r="C498" s="24">
        <f t="shared" si="7"/>
        <v>-1.3207852424537583E-2</v>
      </c>
    </row>
    <row r="499" spans="1:3" ht="14.25" customHeight="1" x14ac:dyDescent="0.3">
      <c r="A499" s="22">
        <v>45516</v>
      </c>
      <c r="B499" s="23">
        <v>290.50900000000001</v>
      </c>
      <c r="C499" s="24">
        <f t="shared" si="7"/>
        <v>1.3580821398411162E-3</v>
      </c>
    </row>
    <row r="500" spans="1:3" ht="14.25" customHeight="1" x14ac:dyDescent="0.3">
      <c r="A500" s="22">
        <v>45513</v>
      </c>
      <c r="B500" s="23">
        <v>290.11500000000001</v>
      </c>
      <c r="C500" s="24">
        <f t="shared" si="7"/>
        <v>9.4151540139662208E-3</v>
      </c>
    </row>
    <row r="501" spans="1:3" ht="14.25" customHeight="1" x14ac:dyDescent="0.3">
      <c r="A501" s="22">
        <v>45512</v>
      </c>
      <c r="B501" s="23">
        <v>287.40899999999999</v>
      </c>
      <c r="C501" s="24">
        <f t="shared" si="7"/>
        <v>-4.4062477267294746E-3</v>
      </c>
    </row>
    <row r="502" spans="1:3" ht="14.25" customHeight="1" x14ac:dyDescent="0.3">
      <c r="A502" s="22">
        <v>45511</v>
      </c>
      <c r="B502" s="23">
        <v>288.68099999999998</v>
      </c>
      <c r="C502" s="24">
        <f t="shared" si="7"/>
        <v>1.3815773300508764E-2</v>
      </c>
    </row>
    <row r="503" spans="1:3" ht="14.25" customHeight="1" x14ac:dyDescent="0.3">
      <c r="A503" s="22">
        <v>45510</v>
      </c>
      <c r="B503" s="23">
        <v>284.74700000000001</v>
      </c>
      <c r="C503" s="24">
        <f t="shared" si="7"/>
        <v>-6.8570312472751773E-3</v>
      </c>
    </row>
    <row r="504" spans="1:3" ht="14.25" customHeight="1" x14ac:dyDescent="0.3">
      <c r="A504" s="22">
        <v>45509</v>
      </c>
      <c r="B504" s="23">
        <v>286.71300000000002</v>
      </c>
      <c r="C504" s="24">
        <f t="shared" si="7"/>
        <v>-2.9479862704876424E-2</v>
      </c>
    </row>
    <row r="505" spans="1:3" ht="14.25" customHeight="1" x14ac:dyDescent="0.3">
      <c r="A505" s="22">
        <v>45506</v>
      </c>
      <c r="B505" s="23">
        <v>295.42200000000003</v>
      </c>
      <c r="C505" s="24">
        <f t="shared" si="7"/>
        <v>-4.8306249494703465E-3</v>
      </c>
    </row>
    <row r="506" spans="1:3" ht="14.25" customHeight="1" x14ac:dyDescent="0.3">
      <c r="A506" s="22">
        <v>45505</v>
      </c>
      <c r="B506" s="23">
        <v>296.85599999999999</v>
      </c>
      <c r="C506" s="24">
        <f t="shared" si="7"/>
        <v>-1.6503595426139059E-4</v>
      </c>
    </row>
    <row r="507" spans="1:3" ht="14.25" customHeight="1" x14ac:dyDescent="0.3">
      <c r="A507" s="22">
        <v>45504</v>
      </c>
      <c r="B507" s="23">
        <v>296.90499999999997</v>
      </c>
      <c r="C507" s="24">
        <f t="shared" si="7"/>
        <v>3.1692722499467446E-3</v>
      </c>
    </row>
    <row r="508" spans="1:3" ht="14.25" customHeight="1" x14ac:dyDescent="0.3">
      <c r="A508" s="22">
        <v>45503</v>
      </c>
      <c r="B508" s="23">
        <v>295.96699999999998</v>
      </c>
      <c r="C508" s="24">
        <f t="shared" si="7"/>
        <v>3.6794378768455842E-3</v>
      </c>
    </row>
    <row r="509" spans="1:3" ht="14.25" customHeight="1" x14ac:dyDescent="0.3">
      <c r="A509" s="22">
        <v>45502</v>
      </c>
      <c r="B509" s="23">
        <v>294.88200000000001</v>
      </c>
      <c r="C509" s="24">
        <f t="shared" si="7"/>
        <v>4.4075370927966493E-3</v>
      </c>
    </row>
    <row r="510" spans="1:3" ht="14.25" customHeight="1" x14ac:dyDescent="0.3">
      <c r="A510" s="22">
        <v>45499</v>
      </c>
      <c r="B510" s="23">
        <v>293.58800000000002</v>
      </c>
      <c r="C510" s="24">
        <f t="shared" si="7"/>
        <v>1.4748324525354175E-2</v>
      </c>
    </row>
    <row r="511" spans="1:3" ht="14.25" customHeight="1" x14ac:dyDescent="0.3">
      <c r="A511" s="22">
        <v>45498</v>
      </c>
      <c r="B511" s="23">
        <v>289.32100000000003</v>
      </c>
      <c r="C511" s="24">
        <f t="shared" si="7"/>
        <v>-3.1097643144170395E-4</v>
      </c>
    </row>
    <row r="512" spans="1:3" ht="14.25" customHeight="1" x14ac:dyDescent="0.3">
      <c r="A512" s="22">
        <v>45497</v>
      </c>
      <c r="B512" s="23">
        <v>289.411</v>
      </c>
      <c r="C512" s="24">
        <f t="shared" si="7"/>
        <v>9.9666730645076671E-3</v>
      </c>
    </row>
    <row r="513" spans="1:3" ht="14.25" customHeight="1" x14ac:dyDescent="0.3">
      <c r="A513" s="22">
        <v>45496</v>
      </c>
      <c r="B513" s="23">
        <v>286.55500000000001</v>
      </c>
      <c r="C513" s="24">
        <f t="shared" si="7"/>
        <v>-3.2314841869459645E-3</v>
      </c>
    </row>
    <row r="514" spans="1:3" ht="14.25" customHeight="1" x14ac:dyDescent="0.3">
      <c r="A514" s="22">
        <v>45495</v>
      </c>
      <c r="B514" s="23">
        <v>287.48399999999998</v>
      </c>
      <c r="C514" s="24">
        <f t="shared" ref="C514:C577" si="8">(B514-B515)/B515</f>
        <v>3.6587579773492227E-3</v>
      </c>
    </row>
    <row r="515" spans="1:3" ht="14.25" customHeight="1" x14ac:dyDescent="0.3">
      <c r="A515" s="22">
        <v>45492</v>
      </c>
      <c r="B515" s="23">
        <v>286.43599999999998</v>
      </c>
      <c r="C515" s="24">
        <f t="shared" si="8"/>
        <v>-1.9521529135103601E-2</v>
      </c>
    </row>
    <row r="516" spans="1:3" ht="14.25" customHeight="1" x14ac:dyDescent="0.3">
      <c r="A516" s="22">
        <v>45491</v>
      </c>
      <c r="B516" s="23">
        <v>292.13900000000001</v>
      </c>
      <c r="C516" s="24">
        <f t="shared" si="8"/>
        <v>-3.9414241633850076E-3</v>
      </c>
    </row>
    <row r="517" spans="1:3" ht="14.25" customHeight="1" x14ac:dyDescent="0.3">
      <c r="A517" s="22">
        <v>45489</v>
      </c>
      <c r="B517" s="23">
        <v>293.29500000000002</v>
      </c>
      <c r="C517" s="24">
        <f t="shared" si="8"/>
        <v>-3.2624764235101513E-3</v>
      </c>
    </row>
    <row r="518" spans="1:3" ht="14.25" customHeight="1" x14ac:dyDescent="0.3">
      <c r="A518" s="22">
        <v>45488</v>
      </c>
      <c r="B518" s="23">
        <v>294.255</v>
      </c>
      <c r="C518" s="24">
        <f t="shared" si="8"/>
        <v>3.2594724155214213E-3</v>
      </c>
    </row>
    <row r="519" spans="1:3" ht="14.25" customHeight="1" x14ac:dyDescent="0.3">
      <c r="A519" s="22">
        <v>45485</v>
      </c>
      <c r="B519" s="23">
        <v>293.29899999999998</v>
      </c>
      <c r="C519" s="24">
        <f t="shared" si="8"/>
        <v>-2.0279351469062205E-3</v>
      </c>
    </row>
    <row r="520" spans="1:3" ht="14.25" customHeight="1" x14ac:dyDescent="0.3">
      <c r="A520" s="22">
        <v>45484</v>
      </c>
      <c r="B520" s="23">
        <v>293.89499999999998</v>
      </c>
      <c r="C520" s="24">
        <f t="shared" si="8"/>
        <v>5.6855321930484378E-4</v>
      </c>
    </row>
    <row r="521" spans="1:3" ht="14.25" customHeight="1" x14ac:dyDescent="0.3">
      <c r="A521" s="22">
        <v>45483</v>
      </c>
      <c r="B521" s="23">
        <v>293.72800000000001</v>
      </c>
      <c r="C521" s="24">
        <f t="shared" si="8"/>
        <v>-3.4876304468779711E-3</v>
      </c>
    </row>
    <row r="522" spans="1:3" ht="14.25" customHeight="1" x14ac:dyDescent="0.3">
      <c r="A522" s="22">
        <v>45482</v>
      </c>
      <c r="B522" s="23">
        <v>294.75599999999997</v>
      </c>
      <c r="C522" s="24">
        <f t="shared" si="8"/>
        <v>1.6549483635719914E-3</v>
      </c>
    </row>
    <row r="523" spans="1:3" ht="14.25" customHeight="1" x14ac:dyDescent="0.3">
      <c r="A523" s="22">
        <v>45481</v>
      </c>
      <c r="B523" s="23">
        <v>294.26900000000001</v>
      </c>
      <c r="C523" s="24">
        <f t="shared" si="8"/>
        <v>9.4220250891176218E-4</v>
      </c>
    </row>
    <row r="524" spans="1:3" ht="14.25" customHeight="1" x14ac:dyDescent="0.3">
      <c r="A524" s="22">
        <v>45478</v>
      </c>
      <c r="B524" s="23">
        <v>293.99200000000002</v>
      </c>
      <c r="C524" s="24">
        <f t="shared" si="8"/>
        <v>1.588837363594274E-2</v>
      </c>
    </row>
    <row r="525" spans="1:3" ht="14.25" customHeight="1" x14ac:dyDescent="0.3">
      <c r="A525" s="22">
        <v>45475</v>
      </c>
      <c r="B525" s="23">
        <v>289.39400000000001</v>
      </c>
      <c r="C525" s="24">
        <f t="shared" si="8"/>
        <v>3.3875338753392093E-4</v>
      </c>
    </row>
    <row r="526" spans="1:3" ht="14.25" customHeight="1" x14ac:dyDescent="0.3">
      <c r="A526" s="22">
        <v>45474</v>
      </c>
      <c r="B526" s="23">
        <v>289.29599999999999</v>
      </c>
      <c r="C526" s="24">
        <f t="shared" si="8"/>
        <v>1.2186289636930456E-2</v>
      </c>
    </row>
    <row r="527" spans="1:3" ht="14.25" customHeight="1" x14ac:dyDescent="0.3">
      <c r="A527" s="22">
        <v>45471</v>
      </c>
      <c r="B527" s="23">
        <v>285.81299999999999</v>
      </c>
      <c r="C527" s="24">
        <f t="shared" si="8"/>
        <v>-3.5664979291303201E-3</v>
      </c>
    </row>
    <row r="528" spans="1:3" ht="14.25" customHeight="1" x14ac:dyDescent="0.3">
      <c r="A528" s="22">
        <v>45469</v>
      </c>
      <c r="B528" s="23">
        <v>286.83600000000001</v>
      </c>
      <c r="C528" s="24">
        <f t="shared" si="8"/>
        <v>9.8760089756525123E-4</v>
      </c>
    </row>
    <row r="529" spans="1:3" ht="14.25" customHeight="1" x14ac:dyDescent="0.3">
      <c r="A529" s="22">
        <v>45468</v>
      </c>
      <c r="B529" s="23">
        <v>286.553</v>
      </c>
      <c r="C529" s="24">
        <f t="shared" si="8"/>
        <v>4.9907059937572404E-3</v>
      </c>
    </row>
    <row r="530" spans="1:3" ht="14.25" customHeight="1" x14ac:dyDescent="0.3">
      <c r="A530" s="22">
        <v>45467</v>
      </c>
      <c r="B530" s="23">
        <v>285.13</v>
      </c>
      <c r="C530" s="24">
        <f t="shared" si="8"/>
        <v>2.2989637087135516E-3</v>
      </c>
    </row>
    <row r="531" spans="1:3" ht="14.25" customHeight="1" x14ac:dyDescent="0.3">
      <c r="A531" s="22">
        <v>45464</v>
      </c>
      <c r="B531" s="23">
        <v>284.476</v>
      </c>
      <c r="C531" s="24">
        <f t="shared" si="8"/>
        <v>-4.0471655836881231E-3</v>
      </c>
    </row>
    <row r="532" spans="1:3" ht="14.25" customHeight="1" x14ac:dyDescent="0.3">
      <c r="A532" s="22">
        <v>45463</v>
      </c>
      <c r="B532" s="23">
        <v>285.63200000000001</v>
      </c>
      <c r="C532" s="24">
        <f t="shared" si="8"/>
        <v>3.2219653988927832E-4</v>
      </c>
    </row>
    <row r="533" spans="1:3" ht="14.25" customHeight="1" x14ac:dyDescent="0.3">
      <c r="A533" s="22">
        <v>45462</v>
      </c>
      <c r="B533" s="23">
        <v>285.54000000000002</v>
      </c>
      <c r="C533" s="24">
        <f t="shared" si="8"/>
        <v>-5.8526361234031744E-3</v>
      </c>
    </row>
    <row r="534" spans="1:3" ht="14.25" customHeight="1" x14ac:dyDescent="0.3">
      <c r="A534" s="22">
        <v>45461</v>
      </c>
      <c r="B534" s="23">
        <v>287.221</v>
      </c>
      <c r="C534" s="24">
        <f t="shared" si="8"/>
        <v>7.1922011431777098E-3</v>
      </c>
    </row>
    <row r="535" spans="1:3" ht="14.25" customHeight="1" x14ac:dyDescent="0.3">
      <c r="A535" s="22">
        <v>45457</v>
      </c>
      <c r="B535" s="23">
        <v>285.17</v>
      </c>
      <c r="C535" s="24">
        <f t="shared" si="8"/>
        <v>9.2941276402968512E-3</v>
      </c>
    </row>
    <row r="536" spans="1:3" ht="14.25" customHeight="1" x14ac:dyDescent="0.3">
      <c r="A536" s="22">
        <v>45456</v>
      </c>
      <c r="B536" s="23">
        <v>282.54399999999998</v>
      </c>
      <c r="C536" s="24">
        <f t="shared" si="8"/>
        <v>5.7452034314597082E-3</v>
      </c>
    </row>
    <row r="537" spans="1:3" ht="14.25" customHeight="1" x14ac:dyDescent="0.3">
      <c r="A537" s="22">
        <v>45455</v>
      </c>
      <c r="B537" s="23">
        <v>280.93</v>
      </c>
      <c r="C537" s="24">
        <f t="shared" si="8"/>
        <v>1.310878306496688E-2</v>
      </c>
    </row>
    <row r="538" spans="1:3" ht="14.25" customHeight="1" x14ac:dyDescent="0.3">
      <c r="A538" s="22">
        <v>45453</v>
      </c>
      <c r="B538" s="23">
        <v>277.29500000000002</v>
      </c>
      <c r="C538" s="24">
        <f t="shared" si="8"/>
        <v>7.1332323639546526E-3</v>
      </c>
    </row>
    <row r="539" spans="1:3" ht="14.25" customHeight="1" x14ac:dyDescent="0.3">
      <c r="A539" s="22">
        <v>45450</v>
      </c>
      <c r="B539" s="23">
        <v>275.33100000000002</v>
      </c>
      <c r="C539" s="24">
        <f t="shared" si="8"/>
        <v>1.5576818094633921E-2</v>
      </c>
    </row>
    <row r="540" spans="1:3" ht="14.25" customHeight="1" x14ac:dyDescent="0.3">
      <c r="A540" s="22">
        <v>45449</v>
      </c>
      <c r="B540" s="23">
        <v>271.108</v>
      </c>
      <c r="C540" s="24">
        <f t="shared" si="8"/>
        <v>1.66880423613767E-2</v>
      </c>
    </row>
    <row r="541" spans="1:3" ht="14.25" customHeight="1" x14ac:dyDescent="0.3">
      <c r="A541" s="22">
        <v>45448</v>
      </c>
      <c r="B541" s="23">
        <v>266.65800000000002</v>
      </c>
      <c r="C541" s="24">
        <f t="shared" si="8"/>
        <v>3.3145682150149382E-2</v>
      </c>
    </row>
    <row r="542" spans="1:3" ht="14.25" customHeight="1" x14ac:dyDescent="0.3">
      <c r="A542" s="22">
        <v>45447</v>
      </c>
      <c r="B542" s="23">
        <v>258.10300000000001</v>
      </c>
      <c r="C542" s="24">
        <f t="shared" si="8"/>
        <v>-4.1158026911160502E-2</v>
      </c>
    </row>
    <row r="543" spans="1:3" ht="14.25" customHeight="1" x14ac:dyDescent="0.3">
      <c r="A543" s="22">
        <v>45443</v>
      </c>
      <c r="B543" s="23">
        <v>269.18200000000002</v>
      </c>
      <c r="C543" s="24">
        <f t="shared" si="8"/>
        <v>5.5886374334109291E-3</v>
      </c>
    </row>
    <row r="544" spans="1:3" ht="14.25" customHeight="1" x14ac:dyDescent="0.3">
      <c r="A544" s="22">
        <v>45442</v>
      </c>
      <c r="B544" s="23">
        <v>267.68599999999998</v>
      </c>
      <c r="C544" s="24">
        <f t="shared" si="8"/>
        <v>-5.5095497624169359E-3</v>
      </c>
    </row>
    <row r="545" spans="1:3" ht="14.25" customHeight="1" x14ac:dyDescent="0.3">
      <c r="A545" s="22">
        <v>45441</v>
      </c>
      <c r="B545" s="23">
        <v>269.16899999999998</v>
      </c>
      <c r="C545" s="24">
        <f t="shared" si="8"/>
        <v>-4.9904073281360007E-3</v>
      </c>
    </row>
    <row r="546" spans="1:3" ht="14.25" customHeight="1" x14ac:dyDescent="0.3">
      <c r="A546" s="22">
        <v>45440</v>
      </c>
      <c r="B546" s="23">
        <v>270.51900000000001</v>
      </c>
      <c r="C546" s="24">
        <f t="shared" si="8"/>
        <v>-6.0003233487168255E-3</v>
      </c>
    </row>
    <row r="547" spans="1:3" ht="14.25" customHeight="1" x14ac:dyDescent="0.3">
      <c r="A547" s="22">
        <v>45439</v>
      </c>
      <c r="B547" s="23">
        <v>272.15199999999999</v>
      </c>
      <c r="C547" s="24">
        <f t="shared" si="8"/>
        <v>-1.343030552110266E-3</v>
      </c>
    </row>
    <row r="548" spans="1:3" ht="14.25" customHeight="1" x14ac:dyDescent="0.3">
      <c r="A548" s="22">
        <v>45436</v>
      </c>
      <c r="B548" s="23">
        <v>272.51799999999997</v>
      </c>
      <c r="C548" s="24">
        <f t="shared" si="8"/>
        <v>-3.3381142955664779E-4</v>
      </c>
    </row>
    <row r="549" spans="1:3" ht="14.25" customHeight="1" x14ac:dyDescent="0.3">
      <c r="A549" s="22">
        <v>45435</v>
      </c>
      <c r="B549" s="23">
        <v>272.60899999999998</v>
      </c>
      <c r="C549" s="24">
        <f t="shared" si="8"/>
        <v>4.484288409385629E-3</v>
      </c>
    </row>
    <row r="550" spans="1:3" ht="14.25" customHeight="1" x14ac:dyDescent="0.3">
      <c r="A550" s="22">
        <v>45434</v>
      </c>
      <c r="B550" s="23">
        <v>271.392</v>
      </c>
      <c r="C550" s="24">
        <f t="shared" si="8"/>
        <v>1.5167115037585711E-3</v>
      </c>
    </row>
    <row r="551" spans="1:3" ht="14.25" customHeight="1" x14ac:dyDescent="0.3">
      <c r="A551" s="22">
        <v>45433</v>
      </c>
      <c r="B551" s="23">
        <v>270.98099999999999</v>
      </c>
      <c r="C551" s="24">
        <f t="shared" si="8"/>
        <v>8.5941222010480021E-3</v>
      </c>
    </row>
    <row r="552" spans="1:3" ht="14.25" customHeight="1" x14ac:dyDescent="0.3">
      <c r="A552" s="22">
        <v>45429</v>
      </c>
      <c r="B552" s="23">
        <v>268.67200000000003</v>
      </c>
      <c r="C552" s="24">
        <f t="shared" si="8"/>
        <v>1.0424971793907667E-2</v>
      </c>
    </row>
    <row r="553" spans="1:3" ht="14.25" customHeight="1" x14ac:dyDescent="0.3">
      <c r="A553" s="22">
        <v>45428</v>
      </c>
      <c r="B553" s="23">
        <v>265.89999999999998</v>
      </c>
      <c r="C553" s="24">
        <f t="shared" si="8"/>
        <v>2.3511116585576173E-2</v>
      </c>
    </row>
    <row r="554" spans="1:3" ht="14.25" customHeight="1" x14ac:dyDescent="0.3">
      <c r="A554" s="22">
        <v>45426</v>
      </c>
      <c r="B554" s="23">
        <v>259.79199999999997</v>
      </c>
      <c r="C554" s="24">
        <f t="shared" si="8"/>
        <v>1.0140599726265813E-2</v>
      </c>
    </row>
    <row r="555" spans="1:3" ht="14.25" customHeight="1" x14ac:dyDescent="0.3">
      <c r="A555" s="22">
        <v>45425</v>
      </c>
      <c r="B555" s="23">
        <v>257.18400000000003</v>
      </c>
      <c r="C555" s="24">
        <f t="shared" si="8"/>
        <v>1.237998889934238E-2</v>
      </c>
    </row>
    <row r="556" spans="1:3" ht="14.25" customHeight="1" x14ac:dyDescent="0.3">
      <c r="A556" s="22">
        <v>45421</v>
      </c>
      <c r="B556" s="23">
        <v>254.03899999999999</v>
      </c>
      <c r="C556" s="24">
        <f t="shared" si="8"/>
        <v>-1.6876934984520087E-2</v>
      </c>
    </row>
    <row r="557" spans="1:3" ht="14.25" customHeight="1" x14ac:dyDescent="0.3">
      <c r="A557" s="22">
        <v>45420</v>
      </c>
      <c r="B557" s="23">
        <v>258.39999999999998</v>
      </c>
      <c r="C557" s="24">
        <f t="shared" si="8"/>
        <v>4.6441785222225706E-5</v>
      </c>
    </row>
    <row r="558" spans="1:3" ht="14.25" customHeight="1" x14ac:dyDescent="0.3">
      <c r="A558" s="22">
        <v>45419</v>
      </c>
      <c r="B558" s="23">
        <v>258.38799999999998</v>
      </c>
      <c r="C558" s="24">
        <f t="shared" si="8"/>
        <v>-1.8659253098165261E-2</v>
      </c>
    </row>
    <row r="559" spans="1:3" ht="14.25" customHeight="1" x14ac:dyDescent="0.3">
      <c r="A559" s="22">
        <v>45415</v>
      </c>
      <c r="B559" s="23">
        <v>263.30099999999999</v>
      </c>
      <c r="C559" s="24">
        <f t="shared" si="8"/>
        <v>-4.0473425602656618E-3</v>
      </c>
    </row>
    <row r="560" spans="1:3" ht="14.25" customHeight="1" x14ac:dyDescent="0.3">
      <c r="A560" s="22">
        <v>45414</v>
      </c>
      <c r="B560" s="23">
        <v>264.37099999999998</v>
      </c>
      <c r="C560" s="24">
        <f t="shared" si="8"/>
        <v>3.6292542186282498E-3</v>
      </c>
    </row>
    <row r="561" spans="1:3" ht="14.25" customHeight="1" x14ac:dyDescent="0.3">
      <c r="A561" s="22">
        <v>45412</v>
      </c>
      <c r="B561" s="23">
        <v>263.41500000000002</v>
      </c>
      <c r="C561" s="24">
        <f t="shared" si="8"/>
        <v>1.2912553786285329E-2</v>
      </c>
    </row>
    <row r="562" spans="1:3" ht="14.25" customHeight="1" x14ac:dyDescent="0.3">
      <c r="A562" s="22">
        <v>45408</v>
      </c>
      <c r="B562" s="23">
        <v>260.05700000000002</v>
      </c>
      <c r="C562" s="24">
        <f t="shared" si="8"/>
        <v>-8.2221991693273017E-4</v>
      </c>
    </row>
    <row r="563" spans="1:3" ht="14.25" customHeight="1" x14ac:dyDescent="0.3">
      <c r="A563" s="22">
        <v>45407</v>
      </c>
      <c r="B563" s="23">
        <v>260.27100000000002</v>
      </c>
      <c r="C563" s="24">
        <f t="shared" si="8"/>
        <v>1.1464280023783477E-2</v>
      </c>
    </row>
    <row r="564" spans="1:3" ht="14.25" customHeight="1" x14ac:dyDescent="0.3">
      <c r="A564" s="22">
        <v>45406</v>
      </c>
      <c r="B564" s="23">
        <v>257.32100000000003</v>
      </c>
      <c r="C564" s="24">
        <f t="shared" si="8"/>
        <v>4.7009765068308923E-3</v>
      </c>
    </row>
    <row r="565" spans="1:3" ht="14.25" customHeight="1" x14ac:dyDescent="0.3">
      <c r="A565" s="22">
        <v>45405</v>
      </c>
      <c r="B565" s="23">
        <v>256.11700000000002</v>
      </c>
      <c r="C565" s="24">
        <f t="shared" si="8"/>
        <v>7.0302639494513441E-3</v>
      </c>
    </row>
    <row r="566" spans="1:3" ht="14.25" customHeight="1" x14ac:dyDescent="0.3">
      <c r="A566" s="22">
        <v>45404</v>
      </c>
      <c r="B566" s="23">
        <v>254.32900000000001</v>
      </c>
      <c r="C566" s="24">
        <f t="shared" si="8"/>
        <v>1.1373171245759969E-2</v>
      </c>
    </row>
    <row r="567" spans="1:3" ht="14.25" customHeight="1" x14ac:dyDescent="0.3">
      <c r="A567" s="22">
        <v>45401</v>
      </c>
      <c r="B567" s="23">
        <v>251.46899999999999</v>
      </c>
      <c r="C567" s="24">
        <f t="shared" si="8"/>
        <v>4.9434125131877409E-3</v>
      </c>
    </row>
    <row r="568" spans="1:3" ht="14.25" customHeight="1" x14ac:dyDescent="0.3">
      <c r="A568" s="22">
        <v>45400</v>
      </c>
      <c r="B568" s="23">
        <v>250.232</v>
      </c>
      <c r="C568" s="24">
        <f t="shared" si="8"/>
        <v>-1.7313875834776057E-3</v>
      </c>
    </row>
    <row r="569" spans="1:3" ht="14.25" customHeight="1" x14ac:dyDescent="0.3">
      <c r="A569" s="22">
        <v>45398</v>
      </c>
      <c r="B569" s="23">
        <v>250.666</v>
      </c>
      <c r="C569" s="24">
        <f t="shared" si="8"/>
        <v>3.1655827913956852E-3</v>
      </c>
    </row>
    <row r="570" spans="1:3" ht="14.25" customHeight="1" x14ac:dyDescent="0.3">
      <c r="A570" s="22">
        <v>45397</v>
      </c>
      <c r="B570" s="23">
        <v>249.875</v>
      </c>
      <c r="C570" s="24">
        <f t="shared" si="8"/>
        <v>-1.3502043072306945E-2</v>
      </c>
    </row>
    <row r="571" spans="1:3" ht="14.25" customHeight="1" x14ac:dyDescent="0.3">
      <c r="A571" s="22">
        <v>45394</v>
      </c>
      <c r="B571" s="23">
        <v>253.29499999999999</v>
      </c>
      <c r="C571" s="24">
        <f t="shared" si="8"/>
        <v>-8.3468075027307419E-3</v>
      </c>
    </row>
    <row r="572" spans="1:3" ht="14.25" customHeight="1" x14ac:dyDescent="0.3">
      <c r="A572" s="22">
        <v>45392</v>
      </c>
      <c r="B572" s="23">
        <v>255.42699999999999</v>
      </c>
      <c r="C572" s="24">
        <f t="shared" si="8"/>
        <v>3.709481576372443E-3</v>
      </c>
    </row>
    <row r="573" spans="1:3" ht="14.25" customHeight="1" x14ac:dyDescent="0.3">
      <c r="A573" s="22">
        <v>45391</v>
      </c>
      <c r="B573" s="23">
        <v>254.483</v>
      </c>
      <c r="C573" s="24">
        <f t="shared" si="8"/>
        <v>-9.8141976108317335E-4</v>
      </c>
    </row>
    <row r="574" spans="1:3" ht="14.25" customHeight="1" x14ac:dyDescent="0.3">
      <c r="A574" s="22">
        <v>45390</v>
      </c>
      <c r="B574" s="23">
        <v>254.733</v>
      </c>
      <c r="C574" s="24">
        <f t="shared" si="8"/>
        <v>7.8935498421290207E-3</v>
      </c>
    </row>
    <row r="575" spans="1:3" ht="14.25" customHeight="1" x14ac:dyDescent="0.3">
      <c r="A575" s="22">
        <v>45387</v>
      </c>
      <c r="B575" s="23">
        <v>252.738</v>
      </c>
      <c r="C575" s="24">
        <f t="shared" si="8"/>
        <v>1.0297926948090166E-3</v>
      </c>
    </row>
    <row r="576" spans="1:3" ht="14.25" customHeight="1" x14ac:dyDescent="0.3">
      <c r="A576" s="22">
        <v>45386</v>
      </c>
      <c r="B576" s="23">
        <v>252.47800000000001</v>
      </c>
      <c r="C576" s="24">
        <f t="shared" si="8"/>
        <v>2.9276121092710154E-3</v>
      </c>
    </row>
    <row r="577" spans="1:3" ht="14.25" customHeight="1" x14ac:dyDescent="0.3">
      <c r="A577" s="22">
        <v>45385</v>
      </c>
      <c r="B577" s="23">
        <v>251.74100000000001</v>
      </c>
      <c r="C577" s="24">
        <f t="shared" si="8"/>
        <v>6.5251550324058908E-3</v>
      </c>
    </row>
    <row r="578" spans="1:3" ht="14.25" customHeight="1" x14ac:dyDescent="0.3">
      <c r="A578" s="22">
        <v>45384</v>
      </c>
      <c r="B578" s="23">
        <v>250.10900000000001</v>
      </c>
      <c r="C578" s="24">
        <f t="shared" ref="C578:C641" si="9">(B578-B579)/B579</f>
        <v>2.934409969585847E-2</v>
      </c>
    </row>
    <row r="579" spans="1:3" ht="14.25" customHeight="1" x14ac:dyDescent="0.3">
      <c r="A579" s="22">
        <v>45378</v>
      </c>
      <c r="B579" s="23">
        <v>242.97900000000001</v>
      </c>
      <c r="C579" s="24">
        <f t="shared" si="9"/>
        <v>6.3867592788180829E-3</v>
      </c>
    </row>
    <row r="580" spans="1:3" ht="14.25" customHeight="1" x14ac:dyDescent="0.3">
      <c r="A580" s="22">
        <v>45373</v>
      </c>
      <c r="B580" s="23">
        <v>241.43700000000001</v>
      </c>
      <c r="C580" s="24">
        <f t="shared" si="9"/>
        <v>4.6479693741678539E-3</v>
      </c>
    </row>
    <row r="581" spans="1:3" ht="14.25" customHeight="1" x14ac:dyDescent="0.3">
      <c r="A581" s="22">
        <v>45372</v>
      </c>
      <c r="B581" s="23">
        <v>240.32</v>
      </c>
      <c r="C581" s="24">
        <f t="shared" si="9"/>
        <v>1.5400866166684193E-2</v>
      </c>
    </row>
    <row r="582" spans="1:3" ht="14.25" customHeight="1" x14ac:dyDescent="0.3">
      <c r="A582" s="22">
        <v>45371</v>
      </c>
      <c r="B582" s="23">
        <v>236.67500000000001</v>
      </c>
      <c r="C582" s="24">
        <f t="shared" si="9"/>
        <v>-4.9832554171785057E-4</v>
      </c>
    </row>
    <row r="583" spans="1:3" ht="14.25" customHeight="1" x14ac:dyDescent="0.3">
      <c r="A583" s="22">
        <v>45370</v>
      </c>
      <c r="B583" s="23">
        <v>236.79300000000001</v>
      </c>
      <c r="C583" s="24">
        <f t="shared" si="9"/>
        <v>-8.5415332052103023E-3</v>
      </c>
    </row>
    <row r="584" spans="1:3" ht="14.25" customHeight="1" x14ac:dyDescent="0.3">
      <c r="A584" s="22">
        <v>45369</v>
      </c>
      <c r="B584" s="23">
        <v>238.833</v>
      </c>
      <c r="C584" s="24">
        <f t="shared" si="9"/>
        <v>3.947136119448128E-3</v>
      </c>
    </row>
    <row r="585" spans="1:3" ht="14.25" customHeight="1" x14ac:dyDescent="0.3">
      <c r="A585" s="22">
        <v>45366</v>
      </c>
      <c r="B585" s="23">
        <v>237.89400000000001</v>
      </c>
      <c r="C585" s="24">
        <f t="shared" si="9"/>
        <v>-3.1636420014330481E-3</v>
      </c>
    </row>
    <row r="586" spans="1:3" ht="14.25" customHeight="1" x14ac:dyDescent="0.3">
      <c r="A586" s="22">
        <v>45365</v>
      </c>
      <c r="B586" s="23">
        <v>238.649</v>
      </c>
      <c r="C586" s="24">
        <f t="shared" si="9"/>
        <v>1.5652995476037455E-2</v>
      </c>
    </row>
    <row r="587" spans="1:3" ht="14.25" customHeight="1" x14ac:dyDescent="0.3">
      <c r="A587" s="22">
        <v>45364</v>
      </c>
      <c r="B587" s="23">
        <v>234.971</v>
      </c>
      <c r="C587" s="24">
        <f t="shared" si="9"/>
        <v>-2.729297411866002E-2</v>
      </c>
    </row>
    <row r="588" spans="1:3" ht="14.25" customHeight="1" x14ac:dyDescent="0.3">
      <c r="A588" s="22">
        <v>45363</v>
      </c>
      <c r="B588" s="23">
        <v>241.56399999999999</v>
      </c>
      <c r="C588" s="24">
        <f t="shared" si="9"/>
        <v>-6.3715227075475458E-3</v>
      </c>
    </row>
    <row r="589" spans="1:3" ht="14.25" customHeight="1" x14ac:dyDescent="0.3">
      <c r="A589" s="22">
        <v>45362</v>
      </c>
      <c r="B589" s="23">
        <v>243.113</v>
      </c>
      <c r="C589" s="24">
        <f t="shared" si="9"/>
        <v>-6.164638358930794E-3</v>
      </c>
    </row>
    <row r="590" spans="1:3" ht="14.25" customHeight="1" x14ac:dyDescent="0.3">
      <c r="A590" s="22">
        <v>45358</v>
      </c>
      <c r="B590" s="23">
        <v>244.62100000000001</v>
      </c>
      <c r="C590" s="24">
        <f t="shared" si="9"/>
        <v>6.5423752525398133E-3</v>
      </c>
    </row>
    <row r="591" spans="1:3" ht="14.25" customHeight="1" x14ac:dyDescent="0.3">
      <c r="A591" s="22">
        <v>45357</v>
      </c>
      <c r="B591" s="23">
        <v>243.03100000000001</v>
      </c>
      <c r="C591" s="24">
        <f t="shared" si="9"/>
        <v>-3.5057362866256765E-3</v>
      </c>
    </row>
    <row r="592" spans="1:3" ht="14.25" customHeight="1" x14ac:dyDescent="0.3">
      <c r="A592" s="22">
        <v>45356</v>
      </c>
      <c r="B592" s="23">
        <v>243.886</v>
      </c>
      <c r="C592" s="24">
        <f t="shared" si="9"/>
        <v>-2.8283904818518507E-4</v>
      </c>
    </row>
    <row r="593" spans="1:3" ht="14.25" customHeight="1" x14ac:dyDescent="0.3">
      <c r="A593" s="22">
        <v>45355</v>
      </c>
      <c r="B593" s="23">
        <v>243.95500000000001</v>
      </c>
      <c r="C593" s="24">
        <f t="shared" si="9"/>
        <v>4.3268122385799173E-3</v>
      </c>
    </row>
    <row r="594" spans="1:3" ht="14.25" customHeight="1" x14ac:dyDescent="0.3">
      <c r="A594" s="22">
        <v>45352</v>
      </c>
      <c r="B594" s="23">
        <v>242.904</v>
      </c>
      <c r="C594" s="24">
        <f t="shared" si="9"/>
        <v>1.1370970092391712E-2</v>
      </c>
    </row>
    <row r="595" spans="1:3" ht="14.25" customHeight="1" x14ac:dyDescent="0.3">
      <c r="A595" s="22">
        <v>45351</v>
      </c>
      <c r="B595" s="23">
        <v>240.173</v>
      </c>
      <c r="C595" s="24">
        <f t="shared" si="9"/>
        <v>4.6053071877927947E-3</v>
      </c>
    </row>
    <row r="596" spans="1:3" ht="14.25" customHeight="1" x14ac:dyDescent="0.3">
      <c r="A596" s="22">
        <v>45350</v>
      </c>
      <c r="B596" s="23">
        <v>239.072</v>
      </c>
      <c r="C596" s="24">
        <f t="shared" si="9"/>
        <v>-9.0074405687164578E-3</v>
      </c>
    </row>
    <row r="597" spans="1:3" ht="14.25" customHeight="1" x14ac:dyDescent="0.3">
      <c r="A597" s="22">
        <v>45349</v>
      </c>
      <c r="B597" s="23">
        <v>241.245</v>
      </c>
      <c r="C597" s="24">
        <f t="shared" si="9"/>
        <v>9.9582996203402053E-4</v>
      </c>
    </row>
    <row r="598" spans="1:3" ht="14.25" customHeight="1" x14ac:dyDescent="0.3">
      <c r="A598" s="22">
        <v>45348</v>
      </c>
      <c r="B598" s="23">
        <v>241.005</v>
      </c>
      <c r="C598" s="24">
        <f t="shared" si="9"/>
        <v>-1.5122011849028839E-3</v>
      </c>
    </row>
    <row r="599" spans="1:3" ht="14.25" customHeight="1" x14ac:dyDescent="0.3">
      <c r="A599" s="22">
        <v>45345</v>
      </c>
      <c r="B599" s="23">
        <v>241.37</v>
      </c>
      <c r="C599" s="24">
        <f t="shared" si="9"/>
        <v>3.1919934165135812E-3</v>
      </c>
    </row>
    <row r="600" spans="1:3" ht="14.25" customHeight="1" x14ac:dyDescent="0.3">
      <c r="A600" s="22">
        <v>45344</v>
      </c>
      <c r="B600" s="23">
        <v>240.602</v>
      </c>
      <c r="C600" s="24">
        <f t="shared" si="9"/>
        <v>4.0353036910301624E-3</v>
      </c>
    </row>
    <row r="601" spans="1:3" ht="14.25" customHeight="1" x14ac:dyDescent="0.3">
      <c r="A601" s="22">
        <v>45343</v>
      </c>
      <c r="B601" s="23">
        <v>239.63499999999999</v>
      </c>
      <c r="C601" s="24">
        <f t="shared" si="9"/>
        <v>-6.3854047890536765E-3</v>
      </c>
    </row>
    <row r="602" spans="1:3" ht="14.25" customHeight="1" x14ac:dyDescent="0.3">
      <c r="A602" s="22">
        <v>45342</v>
      </c>
      <c r="B602" s="23">
        <v>241.17500000000001</v>
      </c>
      <c r="C602" s="24">
        <f t="shared" si="9"/>
        <v>1.3119709041389464E-3</v>
      </c>
    </row>
    <row r="603" spans="1:3" ht="14.25" customHeight="1" x14ac:dyDescent="0.3">
      <c r="A603" s="22">
        <v>45341</v>
      </c>
      <c r="B603" s="23">
        <v>240.85900000000001</v>
      </c>
      <c r="C603" s="24">
        <f t="shared" si="9"/>
        <v>2.8186958223348165E-3</v>
      </c>
    </row>
    <row r="604" spans="1:3" ht="14.25" customHeight="1" x14ac:dyDescent="0.3">
      <c r="A604" s="22">
        <v>45338</v>
      </c>
      <c r="B604" s="23">
        <v>240.18199999999999</v>
      </c>
      <c r="C604" s="24">
        <f t="shared" si="9"/>
        <v>3.9584508955628327E-3</v>
      </c>
    </row>
    <row r="605" spans="1:3" ht="14.25" customHeight="1" x14ac:dyDescent="0.3">
      <c r="A605" s="22">
        <v>45337</v>
      </c>
      <c r="B605" s="23">
        <v>239.23500000000001</v>
      </c>
      <c r="C605" s="24">
        <f t="shared" si="9"/>
        <v>3.9657560115826159E-3</v>
      </c>
    </row>
    <row r="606" spans="1:3" ht="14.25" customHeight="1" x14ac:dyDescent="0.3">
      <c r="A606" s="22">
        <v>45336</v>
      </c>
      <c r="B606" s="23">
        <v>238.29</v>
      </c>
      <c r="C606" s="24">
        <f t="shared" si="9"/>
        <v>6.479244454205983E-3</v>
      </c>
    </row>
    <row r="607" spans="1:3" ht="14.25" customHeight="1" x14ac:dyDescent="0.3">
      <c r="A607" s="22">
        <v>45335</v>
      </c>
      <c r="B607" s="23">
        <v>236.756</v>
      </c>
      <c r="C607" s="24">
        <f t="shared" si="9"/>
        <v>4.5825625010608318E-3</v>
      </c>
    </row>
    <row r="608" spans="1:3" ht="14.25" customHeight="1" x14ac:dyDescent="0.3">
      <c r="A608" s="22">
        <v>45334</v>
      </c>
      <c r="B608" s="23">
        <v>235.67599999999999</v>
      </c>
      <c r="C608" s="24">
        <f t="shared" si="9"/>
        <v>-1.7439412321405581E-2</v>
      </c>
    </row>
    <row r="609" spans="1:3" ht="14.25" customHeight="1" x14ac:dyDescent="0.3">
      <c r="A609" s="22">
        <v>45331</v>
      </c>
      <c r="B609" s="23">
        <v>239.85900000000001</v>
      </c>
      <c r="C609" s="24">
        <f t="shared" si="9"/>
        <v>-3.0217884664943255E-3</v>
      </c>
    </row>
    <row r="610" spans="1:3" ht="14.25" customHeight="1" x14ac:dyDescent="0.3">
      <c r="A610" s="22">
        <v>45330</v>
      </c>
      <c r="B610" s="23">
        <v>240.58600000000001</v>
      </c>
      <c r="C610" s="24">
        <f t="shared" si="9"/>
        <v>-4.213506398900683E-3</v>
      </c>
    </row>
    <row r="611" spans="1:3" ht="14.25" customHeight="1" x14ac:dyDescent="0.3">
      <c r="A611" s="22">
        <v>45329</v>
      </c>
      <c r="B611" s="23">
        <v>241.60400000000001</v>
      </c>
      <c r="C611" s="24">
        <f t="shared" si="9"/>
        <v>1.6082092690722569E-2</v>
      </c>
    </row>
    <row r="612" spans="1:3" ht="14.25" customHeight="1" x14ac:dyDescent="0.3">
      <c r="A612" s="22">
        <v>45328</v>
      </c>
      <c r="B612" s="23">
        <v>237.78</v>
      </c>
      <c r="C612" s="24">
        <f t="shared" si="9"/>
        <v>1.1907295026853129E-2</v>
      </c>
    </row>
    <row r="613" spans="1:3" ht="14.25" customHeight="1" x14ac:dyDescent="0.3">
      <c r="A613" s="22">
        <v>45327</v>
      </c>
      <c r="B613" s="23">
        <v>234.982</v>
      </c>
      <c r="C613" s="24">
        <f t="shared" si="9"/>
        <v>-2.0173534870485663E-3</v>
      </c>
    </row>
    <row r="614" spans="1:3" ht="14.25" customHeight="1" x14ac:dyDescent="0.3">
      <c r="A614" s="22">
        <v>45324</v>
      </c>
      <c r="B614" s="23">
        <v>235.45699999999999</v>
      </c>
      <c r="C614" s="24">
        <f t="shared" si="9"/>
        <v>2.9006372031212015E-3</v>
      </c>
    </row>
    <row r="615" spans="1:3" ht="14.25" customHeight="1" x14ac:dyDescent="0.3">
      <c r="A615" s="22">
        <v>45323</v>
      </c>
      <c r="B615" s="23">
        <v>234.77600000000001</v>
      </c>
      <c r="C615" s="24">
        <f t="shared" si="9"/>
        <v>-1.4291061281431162E-3</v>
      </c>
    </row>
    <row r="616" spans="1:3" ht="14.25" customHeight="1" x14ac:dyDescent="0.3">
      <c r="A616" s="22">
        <v>45322</v>
      </c>
      <c r="B616" s="23">
        <v>235.11199999999999</v>
      </c>
      <c r="C616" s="24">
        <f t="shared" si="9"/>
        <v>1.2222686235593456E-2</v>
      </c>
    </row>
    <row r="617" spans="1:3" ht="14.25" customHeight="1" x14ac:dyDescent="0.3">
      <c r="A617" s="22">
        <v>45321</v>
      </c>
      <c r="B617" s="23">
        <v>232.273</v>
      </c>
      <c r="C617" s="24">
        <f t="shared" si="9"/>
        <v>-6.4419815295642478E-3</v>
      </c>
    </row>
    <row r="618" spans="1:3" ht="14.25" customHeight="1" x14ac:dyDescent="0.3">
      <c r="A618" s="22">
        <v>45320</v>
      </c>
      <c r="B618" s="23">
        <v>233.779</v>
      </c>
      <c r="C618" s="24">
        <f t="shared" si="9"/>
        <v>1.4498476813719996E-2</v>
      </c>
    </row>
    <row r="619" spans="1:3" ht="14.25" customHeight="1" x14ac:dyDescent="0.3">
      <c r="A619" s="22">
        <v>45316</v>
      </c>
      <c r="B619" s="23">
        <v>230.43799999999999</v>
      </c>
      <c r="C619" s="24">
        <f t="shared" si="9"/>
        <v>-1.3131606433188106E-3</v>
      </c>
    </row>
    <row r="620" spans="1:3" ht="14.25" customHeight="1" x14ac:dyDescent="0.3">
      <c r="A620" s="22">
        <v>45315</v>
      </c>
      <c r="B620" s="23">
        <v>230.74100000000001</v>
      </c>
      <c r="C620" s="24">
        <f t="shared" si="9"/>
        <v>-1.0158337944909871E-2</v>
      </c>
    </row>
    <row r="621" spans="1:3" ht="14.25" customHeight="1" x14ac:dyDescent="0.3">
      <c r="A621" s="22">
        <v>45310</v>
      </c>
      <c r="B621" s="23">
        <v>233.10900000000001</v>
      </c>
      <c r="C621" s="24">
        <f t="shared" si="9"/>
        <v>1.1261837727156401E-2</v>
      </c>
    </row>
    <row r="622" spans="1:3" ht="14.25" customHeight="1" x14ac:dyDescent="0.3">
      <c r="A622" s="22">
        <v>45309</v>
      </c>
      <c r="B622" s="23">
        <v>230.51300000000001</v>
      </c>
      <c r="C622" s="24">
        <f t="shared" si="9"/>
        <v>-2.6824382498388567E-3</v>
      </c>
    </row>
    <row r="623" spans="1:3" ht="14.25" customHeight="1" x14ac:dyDescent="0.3">
      <c r="A623" s="22">
        <v>45308</v>
      </c>
      <c r="B623" s="23">
        <v>231.13300000000001</v>
      </c>
      <c r="C623" s="24">
        <f t="shared" si="9"/>
        <v>-1.72665969369966E-2</v>
      </c>
    </row>
    <row r="624" spans="1:3" ht="14.25" customHeight="1" x14ac:dyDescent="0.3">
      <c r="A624" s="22">
        <v>45307</v>
      </c>
      <c r="B624" s="23">
        <v>235.19399999999999</v>
      </c>
      <c r="C624" s="24">
        <f t="shared" si="9"/>
        <v>-2.5488241905044597E-3</v>
      </c>
    </row>
    <row r="625" spans="1:3" ht="14.25" customHeight="1" x14ac:dyDescent="0.3">
      <c r="A625" s="22">
        <v>45306</v>
      </c>
      <c r="B625" s="23">
        <v>235.79499999999999</v>
      </c>
      <c r="C625" s="24">
        <f t="shared" si="9"/>
        <v>5.3294676927668466E-3</v>
      </c>
    </row>
    <row r="626" spans="1:3" ht="14.25" customHeight="1" x14ac:dyDescent="0.3">
      <c r="A626" s="22">
        <v>45303</v>
      </c>
      <c r="B626" s="23">
        <v>234.54499999999999</v>
      </c>
      <c r="C626" s="24">
        <f t="shared" si="9"/>
        <v>3.3409763693296548E-3</v>
      </c>
    </row>
    <row r="627" spans="1:3" ht="14.25" customHeight="1" x14ac:dyDescent="0.3">
      <c r="A627" s="22">
        <v>45302</v>
      </c>
      <c r="B627" s="23">
        <v>233.76400000000001</v>
      </c>
      <c r="C627" s="24">
        <f t="shared" si="9"/>
        <v>4.9006121466401353E-3</v>
      </c>
    </row>
    <row r="628" spans="1:3" ht="14.25" customHeight="1" x14ac:dyDescent="0.3">
      <c r="A628" s="22">
        <v>45301</v>
      </c>
      <c r="B628" s="23">
        <v>232.624</v>
      </c>
      <c r="C628" s="24">
        <f t="shared" si="9"/>
        <v>1.2266558778336681E-3</v>
      </c>
    </row>
    <row r="629" spans="1:3" ht="14.25" customHeight="1" x14ac:dyDescent="0.3">
      <c r="A629" s="22">
        <v>45300</v>
      </c>
      <c r="B629" s="23">
        <v>232.339</v>
      </c>
      <c r="C629" s="24">
        <f t="shared" si="9"/>
        <v>2.4939485072984799E-3</v>
      </c>
    </row>
    <row r="630" spans="1:3" ht="14.25" customHeight="1" x14ac:dyDescent="0.3">
      <c r="A630" s="22">
        <v>45299</v>
      </c>
      <c r="B630" s="23">
        <v>231.761</v>
      </c>
      <c r="C630" s="24">
        <f t="shared" si="9"/>
        <v>-9.0517278239081508E-3</v>
      </c>
    </row>
    <row r="631" spans="1:3" ht="14.25" customHeight="1" x14ac:dyDescent="0.3">
      <c r="A631" s="22">
        <v>45296</v>
      </c>
      <c r="B631" s="23">
        <v>233.87799999999999</v>
      </c>
      <c r="C631" s="24">
        <f t="shared" si="9"/>
        <v>8.6872793409639249E-4</v>
      </c>
    </row>
    <row r="632" spans="1:3" ht="14.25" customHeight="1" x14ac:dyDescent="0.3">
      <c r="A632" s="22">
        <v>45295</v>
      </c>
      <c r="B632" s="23">
        <v>233.67500000000001</v>
      </c>
      <c r="C632" s="24">
        <f t="shared" si="9"/>
        <v>1.0722503849547628E-2</v>
      </c>
    </row>
    <row r="633" spans="1:3" ht="14.25" customHeight="1" x14ac:dyDescent="0.3">
      <c r="A633" s="22">
        <v>45294</v>
      </c>
      <c r="B633" s="23">
        <v>231.196</v>
      </c>
      <c r="C633" s="24">
        <f t="shared" si="9"/>
        <v>9.9581756622182374E-4</v>
      </c>
    </row>
    <row r="634" spans="1:3" ht="14.25" customHeight="1" x14ac:dyDescent="0.3">
      <c r="A634" s="22">
        <v>45293</v>
      </c>
      <c r="B634" s="23">
        <v>230.96600000000001</v>
      </c>
      <c r="C634" s="24">
        <f t="shared" si="9"/>
        <v>5.8443368289029587E-3</v>
      </c>
    </row>
    <row r="635" spans="1:3" ht="14.25" customHeight="1" x14ac:dyDescent="0.3">
      <c r="A635" s="22">
        <v>45289</v>
      </c>
      <c r="B635" s="23">
        <v>229.624</v>
      </c>
      <c r="C635" s="24">
        <f t="shared" si="9"/>
        <v>5.1433799228711129E-3</v>
      </c>
    </row>
    <row r="636" spans="1:3" ht="14.25" customHeight="1" x14ac:dyDescent="0.3">
      <c r="A636" s="22">
        <v>45288</v>
      </c>
      <c r="B636" s="23">
        <v>228.44900000000001</v>
      </c>
      <c r="C636" s="24">
        <f t="shared" si="9"/>
        <v>4.5070001407063708E-3</v>
      </c>
    </row>
    <row r="637" spans="1:3" ht="14.25" customHeight="1" x14ac:dyDescent="0.3">
      <c r="A637" s="22">
        <v>45287</v>
      </c>
      <c r="B637" s="23">
        <v>227.42400000000001</v>
      </c>
      <c r="C637" s="24">
        <f t="shared" si="9"/>
        <v>7.415282392026607E-3</v>
      </c>
    </row>
    <row r="638" spans="1:3" ht="14.25" customHeight="1" x14ac:dyDescent="0.3">
      <c r="A638" s="22">
        <v>45286</v>
      </c>
      <c r="B638" s="23">
        <v>225.75</v>
      </c>
      <c r="C638" s="24">
        <f t="shared" si="9"/>
        <v>1.7616805633827433E-3</v>
      </c>
    </row>
    <row r="639" spans="1:3" ht="14.25" customHeight="1" x14ac:dyDescent="0.3">
      <c r="A639" s="22">
        <v>45282</v>
      </c>
      <c r="B639" s="23">
        <v>225.35300000000001</v>
      </c>
      <c r="C639" s="24">
        <f t="shared" si="9"/>
        <v>5.0530728748550968E-3</v>
      </c>
    </row>
    <row r="640" spans="1:3" ht="14.25" customHeight="1" x14ac:dyDescent="0.3">
      <c r="A640" s="22">
        <v>45281</v>
      </c>
      <c r="B640" s="23">
        <v>224.22</v>
      </c>
      <c r="C640" s="24">
        <f t="shared" si="9"/>
        <v>7.6759905083770693E-3</v>
      </c>
    </row>
    <row r="641" spans="1:3" ht="14.25" customHeight="1" x14ac:dyDescent="0.3">
      <c r="A641" s="22">
        <v>45280</v>
      </c>
      <c r="B641" s="23">
        <v>222.512</v>
      </c>
      <c r="C641" s="24">
        <f t="shared" si="9"/>
        <v>-2.3110424276482199E-2</v>
      </c>
    </row>
    <row r="642" spans="1:3" ht="14.25" customHeight="1" x14ac:dyDescent="0.3">
      <c r="A642" s="22">
        <v>45279</v>
      </c>
      <c r="B642" s="23">
        <v>227.77600000000001</v>
      </c>
      <c r="C642" s="24">
        <f t="shared" ref="C642:C705" si="10">(B642-B643)/B643</f>
        <v>2.9423518613672393E-4</v>
      </c>
    </row>
    <row r="643" spans="1:3" ht="14.25" customHeight="1" x14ac:dyDescent="0.3">
      <c r="A643" s="22">
        <v>45278</v>
      </c>
      <c r="B643" s="23">
        <v>227.709</v>
      </c>
      <c r="C643" s="24">
        <f t="shared" si="10"/>
        <v>1.7244640743982892E-3</v>
      </c>
    </row>
    <row r="644" spans="1:3" ht="14.25" customHeight="1" x14ac:dyDescent="0.3">
      <c r="A644" s="22">
        <v>45275</v>
      </c>
      <c r="B644" s="23">
        <v>227.31700000000001</v>
      </c>
      <c r="C644" s="24">
        <f t="shared" si="10"/>
        <v>4.1301870290040826E-3</v>
      </c>
    </row>
    <row r="645" spans="1:3" ht="14.25" customHeight="1" x14ac:dyDescent="0.3">
      <c r="A645" s="22">
        <v>45274</v>
      </c>
      <c r="B645" s="23">
        <v>226.38200000000001</v>
      </c>
      <c r="C645" s="24">
        <f t="shared" si="10"/>
        <v>6.6388307120401396E-3</v>
      </c>
    </row>
    <row r="646" spans="1:3" ht="14.25" customHeight="1" x14ac:dyDescent="0.3">
      <c r="A646" s="22">
        <v>45273</v>
      </c>
      <c r="B646" s="23">
        <v>224.88900000000001</v>
      </c>
      <c r="C646" s="24">
        <f t="shared" si="10"/>
        <v>5.5938615083304484E-3</v>
      </c>
    </row>
    <row r="647" spans="1:3" ht="14.25" customHeight="1" x14ac:dyDescent="0.3">
      <c r="A647" s="22">
        <v>45272</v>
      </c>
      <c r="B647" s="23">
        <v>223.63800000000001</v>
      </c>
      <c r="C647" s="24">
        <f t="shared" si="10"/>
        <v>-4.8414513674429919E-3</v>
      </c>
    </row>
    <row r="648" spans="1:3" ht="14.25" customHeight="1" x14ac:dyDescent="0.3">
      <c r="A648" s="22">
        <v>45271</v>
      </c>
      <c r="B648" s="23">
        <v>224.726</v>
      </c>
      <c r="C648" s="24">
        <f t="shared" si="10"/>
        <v>3.1559823050723093E-3</v>
      </c>
    </row>
    <row r="649" spans="1:3" ht="14.25" customHeight="1" x14ac:dyDescent="0.3">
      <c r="A649" s="22">
        <v>45268</v>
      </c>
      <c r="B649" s="23">
        <v>224.01900000000001</v>
      </c>
      <c r="C649" s="24">
        <f t="shared" si="10"/>
        <v>-2.0083547557835037E-4</v>
      </c>
    </row>
    <row r="650" spans="1:3" ht="14.25" customHeight="1" x14ac:dyDescent="0.3">
      <c r="A650" s="22">
        <v>45267</v>
      </c>
      <c r="B650" s="23">
        <v>224.06399999999999</v>
      </c>
      <c r="C650" s="24">
        <f t="shared" si="10"/>
        <v>5.0372071534620835E-3</v>
      </c>
    </row>
    <row r="651" spans="1:3" ht="14.25" customHeight="1" x14ac:dyDescent="0.3">
      <c r="A651" s="22">
        <v>45266</v>
      </c>
      <c r="B651" s="23">
        <v>222.941</v>
      </c>
      <c r="C651" s="24">
        <f t="shared" si="10"/>
        <v>5.5202003428803082E-4</v>
      </c>
    </row>
    <row r="652" spans="1:3" ht="14.25" customHeight="1" x14ac:dyDescent="0.3">
      <c r="A652" s="22">
        <v>45265</v>
      </c>
      <c r="B652" s="23">
        <v>222.81800000000001</v>
      </c>
      <c r="C652" s="24">
        <f t="shared" si="10"/>
        <v>2.6098147031561321E-3</v>
      </c>
    </row>
    <row r="653" spans="1:3" ht="14.25" customHeight="1" x14ac:dyDescent="0.3">
      <c r="A653" s="22">
        <v>45264</v>
      </c>
      <c r="B653" s="23">
        <v>222.238</v>
      </c>
      <c r="C653" s="24">
        <f t="shared" si="10"/>
        <v>1.3919621145414588E-2</v>
      </c>
    </row>
    <row r="654" spans="1:3" ht="14.25" customHeight="1" x14ac:dyDescent="0.3">
      <c r="A654" s="22">
        <v>45261</v>
      </c>
      <c r="B654" s="23">
        <v>219.18700000000001</v>
      </c>
      <c r="C654" s="24">
        <f t="shared" si="10"/>
        <v>9.2272415428464438E-3</v>
      </c>
    </row>
    <row r="655" spans="1:3" ht="14.25" customHeight="1" x14ac:dyDescent="0.3">
      <c r="A655" s="22">
        <v>45260</v>
      </c>
      <c r="B655" s="23">
        <v>217.18299999999999</v>
      </c>
      <c r="C655" s="24">
        <f t="shared" si="10"/>
        <v>6.9873328511285684E-3</v>
      </c>
    </row>
    <row r="656" spans="1:3" ht="14.25" customHeight="1" x14ac:dyDescent="0.3">
      <c r="A656" s="22">
        <v>45259</v>
      </c>
      <c r="B656" s="23">
        <v>215.67599999999999</v>
      </c>
      <c r="C656" s="24">
        <f t="shared" si="10"/>
        <v>3.5923016788891385E-3</v>
      </c>
    </row>
    <row r="657" spans="1:3" ht="14.25" customHeight="1" x14ac:dyDescent="0.3">
      <c r="A657" s="22">
        <v>45258</v>
      </c>
      <c r="B657" s="23">
        <v>214.904</v>
      </c>
      <c r="C657" s="24">
        <f t="shared" si="10"/>
        <v>6.3592855871802993E-3</v>
      </c>
    </row>
    <row r="658" spans="1:3" ht="14.25" customHeight="1" x14ac:dyDescent="0.3">
      <c r="A658" s="22">
        <v>45254</v>
      </c>
      <c r="B658" s="23">
        <v>213.54599999999999</v>
      </c>
      <c r="C658" s="24">
        <f t="shared" si="10"/>
        <v>4.591282185824405E-4</v>
      </c>
    </row>
    <row r="659" spans="1:3" ht="14.25" customHeight="1" x14ac:dyDescent="0.3">
      <c r="A659" s="22">
        <v>45253</v>
      </c>
      <c r="B659" s="23">
        <v>213.44800000000001</v>
      </c>
      <c r="C659" s="24">
        <f t="shared" si="10"/>
        <v>5.1537456017446269E-5</v>
      </c>
    </row>
    <row r="660" spans="1:3" ht="14.25" customHeight="1" x14ac:dyDescent="0.3">
      <c r="A660" s="22">
        <v>45252</v>
      </c>
      <c r="B660" s="23">
        <v>213.43700000000001</v>
      </c>
      <c r="C660" s="24">
        <f t="shared" si="10"/>
        <v>-2.7613209486608285E-3</v>
      </c>
    </row>
    <row r="661" spans="1:3" ht="14.25" customHeight="1" x14ac:dyDescent="0.3">
      <c r="A661" s="22">
        <v>45251</v>
      </c>
      <c r="B661" s="23">
        <v>214.02799999999999</v>
      </c>
      <c r="C661" s="24">
        <f t="shared" si="10"/>
        <v>3.6671262298002411E-3</v>
      </c>
    </row>
    <row r="662" spans="1:3" ht="14.25" customHeight="1" x14ac:dyDescent="0.3">
      <c r="A662" s="22">
        <v>45250</v>
      </c>
      <c r="B662" s="23">
        <v>213.24600000000001</v>
      </c>
      <c r="C662" s="24">
        <f t="shared" si="10"/>
        <v>2.3690667569169189E-3</v>
      </c>
    </row>
    <row r="663" spans="1:3" ht="14.25" customHeight="1" x14ac:dyDescent="0.3">
      <c r="A663" s="22">
        <v>45247</v>
      </c>
      <c r="B663" s="23">
        <v>212.74199999999999</v>
      </c>
      <c r="C663" s="24">
        <f t="shared" si="10"/>
        <v>2.7432126696832278E-3</v>
      </c>
    </row>
    <row r="664" spans="1:3" ht="14.25" customHeight="1" x14ac:dyDescent="0.3">
      <c r="A664" s="22">
        <v>45246</v>
      </c>
      <c r="B664" s="23">
        <v>212.16</v>
      </c>
      <c r="C664" s="24">
        <f t="shared" si="10"/>
        <v>3.0399447798522138E-3</v>
      </c>
    </row>
    <row r="665" spans="1:3" ht="14.25" customHeight="1" x14ac:dyDescent="0.3">
      <c r="A665" s="22">
        <v>45245</v>
      </c>
      <c r="B665" s="23">
        <v>211.517</v>
      </c>
      <c r="C665" s="24">
        <f t="shared" si="10"/>
        <v>7.6364606457883172E-3</v>
      </c>
    </row>
    <row r="666" spans="1:3" ht="14.25" customHeight="1" x14ac:dyDescent="0.3">
      <c r="A666" s="22">
        <v>45243</v>
      </c>
      <c r="B666" s="23">
        <v>209.91399999999999</v>
      </c>
      <c r="C666" s="24">
        <f t="shared" si="10"/>
        <v>2.1914014943542753E-3</v>
      </c>
    </row>
    <row r="667" spans="1:3" ht="14.25" customHeight="1" x14ac:dyDescent="0.3">
      <c r="A667" s="22">
        <v>45240</v>
      </c>
      <c r="B667" s="23">
        <v>209.45500000000001</v>
      </c>
      <c r="C667" s="24">
        <f t="shared" si="10"/>
        <v>1.5444790849798572E-3</v>
      </c>
    </row>
    <row r="668" spans="1:3" ht="14.25" customHeight="1" x14ac:dyDescent="0.3">
      <c r="A668" s="22">
        <v>45239</v>
      </c>
      <c r="B668" s="23">
        <v>209.13200000000001</v>
      </c>
      <c r="C668" s="24">
        <f t="shared" si="10"/>
        <v>-3.9056546258192026E-3</v>
      </c>
    </row>
    <row r="669" spans="1:3" ht="14.25" customHeight="1" x14ac:dyDescent="0.3">
      <c r="A669" s="22">
        <v>45238</v>
      </c>
      <c r="B669" s="23">
        <v>209.952</v>
      </c>
      <c r="C669" s="24">
        <f t="shared" si="10"/>
        <v>1.7606389831236302E-3</v>
      </c>
    </row>
    <row r="670" spans="1:3" ht="14.25" customHeight="1" x14ac:dyDescent="0.3">
      <c r="A670" s="22">
        <v>45237</v>
      </c>
      <c r="B670" s="23">
        <v>209.583</v>
      </c>
      <c r="C670" s="24">
        <f t="shared" si="10"/>
        <v>3.6827032670223524E-3</v>
      </c>
    </row>
    <row r="671" spans="1:3" ht="14.25" customHeight="1" x14ac:dyDescent="0.3">
      <c r="A671" s="22">
        <v>45236</v>
      </c>
      <c r="B671" s="23">
        <v>208.81399999999999</v>
      </c>
      <c r="C671" s="24">
        <f t="shared" si="10"/>
        <v>1.0075895729232667E-2</v>
      </c>
    </row>
    <row r="672" spans="1:3" ht="14.25" customHeight="1" x14ac:dyDescent="0.3">
      <c r="A672" s="22">
        <v>45233</v>
      </c>
      <c r="B672" s="23">
        <v>206.73099999999999</v>
      </c>
      <c r="C672" s="24">
        <f t="shared" si="10"/>
        <v>5.2907222711203097E-3</v>
      </c>
    </row>
    <row r="673" spans="1:3" ht="14.25" customHeight="1" x14ac:dyDescent="0.3">
      <c r="A673" s="22">
        <v>45232</v>
      </c>
      <c r="B673" s="23">
        <v>205.643</v>
      </c>
      <c r="C673" s="24">
        <f t="shared" si="10"/>
        <v>8.1577025085915085E-3</v>
      </c>
    </row>
    <row r="674" spans="1:3" ht="14.25" customHeight="1" x14ac:dyDescent="0.3">
      <c r="A674" s="22">
        <v>45231</v>
      </c>
      <c r="B674" s="23">
        <v>203.97900000000001</v>
      </c>
      <c r="C674" s="24">
        <f t="shared" si="10"/>
        <v>-2.9328523455486354E-3</v>
      </c>
    </row>
    <row r="675" spans="1:3" ht="14.25" customHeight="1" x14ac:dyDescent="0.3">
      <c r="A675" s="22">
        <v>45230</v>
      </c>
      <c r="B675" s="23">
        <v>204.57900000000001</v>
      </c>
      <c r="C675" s="24">
        <f t="shared" si="10"/>
        <v>7.7291472011200158E-4</v>
      </c>
    </row>
    <row r="676" spans="1:3" ht="14.25" customHeight="1" x14ac:dyDescent="0.3">
      <c r="A676" s="22">
        <v>45229</v>
      </c>
      <c r="B676" s="23">
        <v>204.42099999999999</v>
      </c>
      <c r="C676" s="24">
        <f t="shared" si="10"/>
        <v>4.5998476546181711E-3</v>
      </c>
    </row>
    <row r="677" spans="1:3" ht="14.25" customHeight="1" x14ac:dyDescent="0.3">
      <c r="A677" s="22">
        <v>45226</v>
      </c>
      <c r="B677" s="23">
        <v>203.48500000000001</v>
      </c>
      <c r="C677" s="24">
        <f t="shared" si="10"/>
        <v>1.3381607386527813E-2</v>
      </c>
    </row>
    <row r="678" spans="1:3" ht="14.25" customHeight="1" x14ac:dyDescent="0.3">
      <c r="A678" s="22">
        <v>45225</v>
      </c>
      <c r="B678" s="23">
        <v>200.798</v>
      </c>
      <c r="C678" s="24">
        <f t="shared" si="10"/>
        <v>-8.9530728683394518E-3</v>
      </c>
    </row>
    <row r="679" spans="1:3" ht="14.25" customHeight="1" x14ac:dyDescent="0.3">
      <c r="A679" s="22">
        <v>45224</v>
      </c>
      <c r="B679" s="23">
        <v>202.61199999999999</v>
      </c>
      <c r="C679" s="24">
        <f t="shared" si="10"/>
        <v>-8.0001566738149808E-3</v>
      </c>
    </row>
    <row r="680" spans="1:3" ht="14.25" customHeight="1" x14ac:dyDescent="0.3">
      <c r="A680" s="22">
        <v>45222</v>
      </c>
      <c r="B680" s="23">
        <v>204.24600000000001</v>
      </c>
      <c r="C680" s="24">
        <f t="shared" si="10"/>
        <v>-2.1688524433119027E-2</v>
      </c>
    </row>
    <row r="681" spans="1:3" ht="14.25" customHeight="1" x14ac:dyDescent="0.3">
      <c r="A681" s="22">
        <v>45219</v>
      </c>
      <c r="B681" s="23">
        <v>208.774</v>
      </c>
      <c r="C681" s="24">
        <f t="shared" si="10"/>
        <v>-9.056302864031987E-3</v>
      </c>
    </row>
    <row r="682" spans="1:3" ht="14.25" customHeight="1" x14ac:dyDescent="0.3">
      <c r="A682" s="22">
        <v>45218</v>
      </c>
      <c r="B682" s="23">
        <v>210.68199999999999</v>
      </c>
      <c r="C682" s="24">
        <f t="shared" si="10"/>
        <v>-6.6880748305459816E-4</v>
      </c>
    </row>
    <row r="683" spans="1:3" ht="14.25" customHeight="1" x14ac:dyDescent="0.3">
      <c r="A683" s="22">
        <v>45217</v>
      </c>
      <c r="B683" s="23">
        <v>210.82300000000001</v>
      </c>
      <c r="C683" s="24">
        <f t="shared" si="10"/>
        <v>-6.3674154231903955E-3</v>
      </c>
    </row>
    <row r="684" spans="1:3" ht="14.25" customHeight="1" x14ac:dyDescent="0.3">
      <c r="A684" s="22">
        <v>45216</v>
      </c>
      <c r="B684" s="23">
        <v>212.17400000000001</v>
      </c>
      <c r="C684" s="24">
        <f t="shared" si="10"/>
        <v>4.112538747308392E-3</v>
      </c>
    </row>
    <row r="685" spans="1:3" ht="14.25" customHeight="1" x14ac:dyDescent="0.3">
      <c r="A685" s="22">
        <v>45215</v>
      </c>
      <c r="B685" s="23">
        <v>211.30500000000001</v>
      </c>
      <c r="C685" s="24">
        <f t="shared" si="10"/>
        <v>1.5499246366919687E-3</v>
      </c>
    </row>
    <row r="686" spans="1:3" ht="14.25" customHeight="1" x14ac:dyDescent="0.3">
      <c r="A686" s="22">
        <v>45212</v>
      </c>
      <c r="B686" s="23">
        <v>210.97800000000001</v>
      </c>
      <c r="C686" s="24">
        <f t="shared" si="10"/>
        <v>-2.104785193663855E-3</v>
      </c>
    </row>
    <row r="687" spans="1:3" ht="14.25" customHeight="1" x14ac:dyDescent="0.3">
      <c r="A687" s="22">
        <v>45211</v>
      </c>
      <c r="B687" s="23">
        <v>211.423</v>
      </c>
      <c r="C687" s="24">
        <f t="shared" si="10"/>
        <v>9.0585848944039898E-3</v>
      </c>
    </row>
    <row r="688" spans="1:3" ht="14.25" customHeight="1" x14ac:dyDescent="0.3">
      <c r="A688" s="22">
        <v>45210</v>
      </c>
      <c r="B688" s="23">
        <v>209.52500000000001</v>
      </c>
      <c r="C688" s="24">
        <f t="shared" si="10"/>
        <v>5.750574817474487E-3</v>
      </c>
    </row>
    <row r="689" spans="1:3" ht="14.25" customHeight="1" x14ac:dyDescent="0.3">
      <c r="A689" s="22">
        <v>45209</v>
      </c>
      <c r="B689" s="23">
        <v>208.327</v>
      </c>
      <c r="C689" s="24">
        <f t="shared" si="10"/>
        <v>7.0479385504836319E-3</v>
      </c>
    </row>
    <row r="690" spans="1:3" ht="14.25" customHeight="1" x14ac:dyDescent="0.3">
      <c r="A690" s="22">
        <v>45208</v>
      </c>
      <c r="B690" s="23">
        <v>206.869</v>
      </c>
      <c r="C690" s="24">
        <f t="shared" si="10"/>
        <v>-1.300603544931892E-2</v>
      </c>
    </row>
    <row r="691" spans="1:3" ht="14.25" customHeight="1" x14ac:dyDescent="0.3">
      <c r="A691" s="22">
        <v>45205</v>
      </c>
      <c r="B691" s="23">
        <v>209.595</v>
      </c>
      <c r="C691" s="24">
        <f t="shared" si="10"/>
        <v>4.6446751603347334E-3</v>
      </c>
    </row>
    <row r="692" spans="1:3" ht="14.25" customHeight="1" x14ac:dyDescent="0.3">
      <c r="A692" s="22">
        <v>45204</v>
      </c>
      <c r="B692" s="23">
        <v>208.626</v>
      </c>
      <c r="C692" s="24">
        <f t="shared" si="10"/>
        <v>3.6851727124025358E-3</v>
      </c>
    </row>
    <row r="693" spans="1:3" ht="14.25" customHeight="1" x14ac:dyDescent="0.3">
      <c r="A693" s="22">
        <v>45203</v>
      </c>
      <c r="B693" s="23">
        <v>207.86</v>
      </c>
      <c r="C693" s="24">
        <f t="shared" si="10"/>
        <v>-1.0374263827193872E-2</v>
      </c>
    </row>
    <row r="694" spans="1:3" ht="14.25" customHeight="1" x14ac:dyDescent="0.3">
      <c r="A694" s="22">
        <v>45202</v>
      </c>
      <c r="B694" s="23">
        <v>210.03899999999999</v>
      </c>
      <c r="C694" s="24">
        <f t="shared" si="10"/>
        <v>-3.3316040721730912E-4</v>
      </c>
    </row>
    <row r="695" spans="1:3" ht="14.25" customHeight="1" x14ac:dyDescent="0.3">
      <c r="A695" s="22">
        <v>45198</v>
      </c>
      <c r="B695" s="23">
        <v>210.10900000000001</v>
      </c>
      <c r="C695" s="24">
        <f t="shared" si="10"/>
        <v>8.7173575450406882E-4</v>
      </c>
    </row>
    <row r="696" spans="1:3" ht="14.25" customHeight="1" x14ac:dyDescent="0.3">
      <c r="A696" s="22">
        <v>45197</v>
      </c>
      <c r="B696" s="23">
        <v>209.92599999999999</v>
      </c>
      <c r="C696" s="24">
        <f t="shared" si="10"/>
        <v>0</v>
      </c>
    </row>
    <row r="697" spans="1:3" ht="14.25" customHeight="1" x14ac:dyDescent="0.3">
      <c r="A697" s="22">
        <v>45196</v>
      </c>
      <c r="B697" s="23">
        <v>209.92599999999999</v>
      </c>
      <c r="C697" s="24">
        <f t="shared" si="10"/>
        <v>6.3084224150327115E-3</v>
      </c>
    </row>
    <row r="698" spans="1:3" ht="14.25" customHeight="1" x14ac:dyDescent="0.3">
      <c r="A698" s="22">
        <v>45194</v>
      </c>
      <c r="B698" s="23">
        <v>208.61</v>
      </c>
      <c r="C698" s="24">
        <f t="shared" si="10"/>
        <v>-4.0729293945700445E-4</v>
      </c>
    </row>
    <row r="699" spans="1:3" ht="14.25" customHeight="1" x14ac:dyDescent="0.3">
      <c r="A699" s="22">
        <v>45191</v>
      </c>
      <c r="B699" s="23">
        <v>208.69499999999999</v>
      </c>
      <c r="C699" s="24">
        <f t="shared" si="10"/>
        <v>-1.3207574256715547E-3</v>
      </c>
    </row>
    <row r="700" spans="1:3" ht="14.25" customHeight="1" x14ac:dyDescent="0.3">
      <c r="A700" s="22">
        <v>45190</v>
      </c>
      <c r="B700" s="23">
        <v>208.971</v>
      </c>
      <c r="C700" s="24">
        <f t="shared" si="10"/>
        <v>-9.6818220591998929E-3</v>
      </c>
    </row>
    <row r="701" spans="1:3" ht="14.25" customHeight="1" x14ac:dyDescent="0.3">
      <c r="A701" s="22">
        <v>45189</v>
      </c>
      <c r="B701" s="23">
        <v>211.01400000000001</v>
      </c>
      <c r="C701" s="24">
        <f t="shared" si="10"/>
        <v>-6.2540618436296297E-3</v>
      </c>
    </row>
    <row r="702" spans="1:3" ht="14.25" customHeight="1" x14ac:dyDescent="0.3">
      <c r="A702" s="22">
        <v>45187</v>
      </c>
      <c r="B702" s="23">
        <v>212.34200000000001</v>
      </c>
      <c r="C702" s="24">
        <f t="shared" si="10"/>
        <v>-4.1925378453918525E-3</v>
      </c>
    </row>
    <row r="703" spans="1:3" ht="14.25" customHeight="1" x14ac:dyDescent="0.3">
      <c r="A703" s="22">
        <v>45184</v>
      </c>
      <c r="B703" s="23">
        <v>213.23599999999999</v>
      </c>
      <c r="C703" s="24">
        <f t="shared" si="10"/>
        <v>3.1425238041472747E-3</v>
      </c>
    </row>
    <row r="704" spans="1:3" ht="14.25" customHeight="1" x14ac:dyDescent="0.3">
      <c r="A704" s="22">
        <v>45183</v>
      </c>
      <c r="B704" s="23">
        <v>212.56800000000001</v>
      </c>
      <c r="C704" s="24">
        <f t="shared" si="10"/>
        <v>5.9104955067931595E-3</v>
      </c>
    </row>
    <row r="705" spans="1:3" ht="14.25" customHeight="1" x14ac:dyDescent="0.3">
      <c r="A705" s="22">
        <v>45182</v>
      </c>
      <c r="B705" s="23">
        <v>211.31899999999999</v>
      </c>
      <c r="C705" s="24">
        <f t="shared" si="10"/>
        <v>2.1150170955978147E-3</v>
      </c>
    </row>
    <row r="706" spans="1:3" ht="14.25" customHeight="1" x14ac:dyDescent="0.3">
      <c r="A706" s="22">
        <v>45181</v>
      </c>
      <c r="B706" s="23">
        <v>210.87299999999999</v>
      </c>
      <c r="C706" s="24">
        <f t="shared" ref="C706:C769" si="11">(B706-B707)/B707</f>
        <v>-2.0803053591080773E-2</v>
      </c>
    </row>
    <row r="707" spans="1:3" ht="14.25" customHeight="1" x14ac:dyDescent="0.3">
      <c r="A707" s="22">
        <v>45180</v>
      </c>
      <c r="B707" s="23">
        <v>215.35300000000001</v>
      </c>
      <c r="C707" s="24">
        <f t="shared" si="11"/>
        <v>7.9049348509810796E-3</v>
      </c>
    </row>
    <row r="708" spans="1:3" ht="14.25" customHeight="1" x14ac:dyDescent="0.3">
      <c r="A708" s="22">
        <v>45177</v>
      </c>
      <c r="B708" s="23">
        <v>213.66399999999999</v>
      </c>
      <c r="C708" s="24">
        <f t="shared" si="11"/>
        <v>5.2363903251454926E-3</v>
      </c>
    </row>
    <row r="709" spans="1:3" ht="14.25" customHeight="1" x14ac:dyDescent="0.3">
      <c r="A709" s="22">
        <v>45176</v>
      </c>
      <c r="B709" s="23">
        <v>212.55099999999999</v>
      </c>
      <c r="C709" s="24">
        <f t="shared" si="11"/>
        <v>5.3590517363705141E-3</v>
      </c>
    </row>
    <row r="710" spans="1:3" ht="14.25" customHeight="1" x14ac:dyDescent="0.3">
      <c r="A710" s="22">
        <v>45175</v>
      </c>
      <c r="B710" s="23">
        <v>211.41800000000001</v>
      </c>
      <c r="C710" s="24">
        <f t="shared" si="11"/>
        <v>1.530116772069483E-3</v>
      </c>
    </row>
    <row r="711" spans="1:3" ht="14.25" customHeight="1" x14ac:dyDescent="0.3">
      <c r="A711" s="22">
        <v>45174</v>
      </c>
      <c r="B711" s="23">
        <v>211.095</v>
      </c>
      <c r="C711" s="24">
        <f t="shared" si="11"/>
        <v>2.4503867907055836E-3</v>
      </c>
    </row>
    <row r="712" spans="1:3" ht="14.25" customHeight="1" x14ac:dyDescent="0.3">
      <c r="A712" s="22">
        <v>45173</v>
      </c>
      <c r="B712" s="23">
        <v>210.57900000000001</v>
      </c>
      <c r="C712" s="24">
        <f t="shared" si="11"/>
        <v>1.3790545392294436E-3</v>
      </c>
    </row>
    <row r="713" spans="1:3" ht="14.25" customHeight="1" x14ac:dyDescent="0.3">
      <c r="A713" s="22">
        <v>45170</v>
      </c>
      <c r="B713" s="23">
        <v>210.28899999999999</v>
      </c>
      <c r="C713" s="24">
        <f t="shared" si="11"/>
        <v>8.0533438154632743E-3</v>
      </c>
    </row>
    <row r="714" spans="1:3" ht="14.25" customHeight="1" x14ac:dyDescent="0.3">
      <c r="A714" s="22">
        <v>45169</v>
      </c>
      <c r="B714" s="23">
        <v>208.60900000000001</v>
      </c>
      <c r="C714" s="24">
        <f t="shared" si="11"/>
        <v>3.7289375174418319E-3</v>
      </c>
    </row>
    <row r="715" spans="1:3" ht="14.25" customHeight="1" x14ac:dyDescent="0.3">
      <c r="A715" s="22">
        <v>45168</v>
      </c>
      <c r="B715" s="23">
        <v>207.834</v>
      </c>
      <c r="C715" s="24">
        <f t="shared" si="11"/>
        <v>3.8350077279753246E-3</v>
      </c>
    </row>
    <row r="716" spans="1:3" ht="14.25" customHeight="1" x14ac:dyDescent="0.3">
      <c r="A716" s="22">
        <v>45167</v>
      </c>
      <c r="B716" s="23">
        <v>207.04</v>
      </c>
      <c r="C716" s="24">
        <f t="shared" si="11"/>
        <v>2.7704050990952729E-3</v>
      </c>
    </row>
    <row r="717" spans="1:3" ht="14.25" customHeight="1" x14ac:dyDescent="0.3">
      <c r="A717" s="22">
        <v>45166</v>
      </c>
      <c r="B717" s="23">
        <v>206.46799999999999</v>
      </c>
      <c r="C717" s="24">
        <f t="shared" si="11"/>
        <v>5.3905074478601068E-3</v>
      </c>
    </row>
    <row r="718" spans="1:3" ht="14.25" customHeight="1" x14ac:dyDescent="0.3">
      <c r="A718" s="22">
        <v>45163</v>
      </c>
      <c r="B718" s="23">
        <v>205.36099999999999</v>
      </c>
      <c r="C718" s="24">
        <f t="shared" si="11"/>
        <v>-8.9520114276890692E-3</v>
      </c>
    </row>
    <row r="719" spans="1:3" ht="14.25" customHeight="1" x14ac:dyDescent="0.3">
      <c r="A719" s="22">
        <v>45162</v>
      </c>
      <c r="B719" s="23">
        <v>207.21600000000001</v>
      </c>
      <c r="C719" s="24">
        <f t="shared" si="11"/>
        <v>-7.6190843596587348E-4</v>
      </c>
    </row>
    <row r="720" spans="1:3" ht="14.25" customHeight="1" x14ac:dyDescent="0.3">
      <c r="A720" s="22">
        <v>45161</v>
      </c>
      <c r="B720" s="23">
        <v>207.374</v>
      </c>
      <c r="C720" s="24">
        <f t="shared" si="11"/>
        <v>8.8835697744565432E-3</v>
      </c>
    </row>
    <row r="721" spans="1:3" ht="14.25" customHeight="1" x14ac:dyDescent="0.3">
      <c r="A721" s="22">
        <v>45160</v>
      </c>
      <c r="B721" s="23">
        <v>205.548</v>
      </c>
      <c r="C721" s="24">
        <f t="shared" si="11"/>
        <v>9.1266587788246239E-3</v>
      </c>
    </row>
    <row r="722" spans="1:3" ht="14.25" customHeight="1" x14ac:dyDescent="0.3">
      <c r="A722" s="22">
        <v>45159</v>
      </c>
      <c r="B722" s="23">
        <v>203.68899999999999</v>
      </c>
      <c r="C722" s="24">
        <f t="shared" si="11"/>
        <v>7.2693465994787777E-3</v>
      </c>
    </row>
    <row r="723" spans="1:3" ht="14.25" customHeight="1" x14ac:dyDescent="0.3">
      <c r="A723" s="22">
        <v>45156</v>
      </c>
      <c r="B723" s="23">
        <v>202.21899999999999</v>
      </c>
      <c r="C723" s="24">
        <f t="shared" si="11"/>
        <v>-1.0522051849509656E-3</v>
      </c>
    </row>
    <row r="724" spans="1:3" ht="14.25" customHeight="1" x14ac:dyDescent="0.3">
      <c r="A724" s="22">
        <v>45155</v>
      </c>
      <c r="B724" s="23">
        <v>202.43199999999999</v>
      </c>
      <c r="C724" s="24">
        <f t="shared" si="11"/>
        <v>1.4891332848498632E-3</v>
      </c>
    </row>
    <row r="725" spans="1:3" ht="14.25" customHeight="1" x14ac:dyDescent="0.3">
      <c r="A725" s="22">
        <v>45154</v>
      </c>
      <c r="B725" s="23">
        <v>202.131</v>
      </c>
      <c r="C725" s="24">
        <f t="shared" si="11"/>
        <v>3.6196264188042494E-3</v>
      </c>
    </row>
    <row r="726" spans="1:3" ht="14.25" customHeight="1" x14ac:dyDescent="0.3">
      <c r="A726" s="22">
        <v>45152</v>
      </c>
      <c r="B726" s="23">
        <v>201.40199999999999</v>
      </c>
      <c r="C726" s="24">
        <f t="shared" si="11"/>
        <v>-5.9670995158209736E-3</v>
      </c>
    </row>
    <row r="727" spans="1:3" ht="14.25" customHeight="1" x14ac:dyDescent="0.3">
      <c r="A727" s="22">
        <v>45149</v>
      </c>
      <c r="B727" s="23">
        <v>202.61099999999999</v>
      </c>
      <c r="C727" s="24">
        <f t="shared" si="11"/>
        <v>-2.6483024774919439E-3</v>
      </c>
    </row>
    <row r="728" spans="1:3" ht="14.25" customHeight="1" x14ac:dyDescent="0.3">
      <c r="A728" s="22">
        <v>45148</v>
      </c>
      <c r="B728" s="23">
        <v>203.149</v>
      </c>
      <c r="C728" s="24">
        <f t="shared" si="11"/>
        <v>1.2074675708709762E-3</v>
      </c>
    </row>
    <row r="729" spans="1:3" ht="14.25" customHeight="1" x14ac:dyDescent="0.3">
      <c r="A729" s="22">
        <v>45147</v>
      </c>
      <c r="B729" s="23">
        <v>202.904</v>
      </c>
      <c r="C729" s="24">
        <f t="shared" si="11"/>
        <v>6.6729840890260364E-3</v>
      </c>
    </row>
    <row r="730" spans="1:3" ht="14.25" customHeight="1" x14ac:dyDescent="0.3">
      <c r="A730" s="22">
        <v>45146</v>
      </c>
      <c r="B730" s="23">
        <v>201.559</v>
      </c>
      <c r="C730" s="24">
        <f t="shared" si="11"/>
        <v>1.3761786945677547E-3</v>
      </c>
    </row>
    <row r="731" spans="1:3" ht="14.25" customHeight="1" x14ac:dyDescent="0.3">
      <c r="A731" s="22">
        <v>45145</v>
      </c>
      <c r="B731" s="23">
        <v>201.28200000000001</v>
      </c>
      <c r="C731" s="24">
        <f t="shared" si="11"/>
        <v>2.3404975798259008E-3</v>
      </c>
    </row>
    <row r="732" spans="1:3" ht="14.25" customHeight="1" x14ac:dyDescent="0.3">
      <c r="A732" s="22">
        <v>45142</v>
      </c>
      <c r="B732" s="23">
        <v>200.81200000000001</v>
      </c>
      <c r="C732" s="24">
        <f t="shared" si="11"/>
        <v>4.2658745042734193E-3</v>
      </c>
    </row>
    <row r="733" spans="1:3" ht="14.25" customHeight="1" x14ac:dyDescent="0.3">
      <c r="A733" s="22">
        <v>45141</v>
      </c>
      <c r="B733" s="23">
        <v>199.959</v>
      </c>
      <c r="C733" s="24">
        <f t="shared" si="11"/>
        <v>-4.9485649161737865E-4</v>
      </c>
    </row>
    <row r="734" spans="1:3" ht="14.25" customHeight="1" x14ac:dyDescent="0.3">
      <c r="A734" s="22">
        <v>45140</v>
      </c>
      <c r="B734" s="23">
        <v>200.05799999999999</v>
      </c>
      <c r="C734" s="24">
        <f t="shared" si="11"/>
        <v>-1.2264122996711837E-2</v>
      </c>
    </row>
    <row r="735" spans="1:3" ht="14.25" customHeight="1" x14ac:dyDescent="0.3">
      <c r="A735" s="22">
        <v>45139</v>
      </c>
      <c r="B735" s="23">
        <v>202.542</v>
      </c>
      <c r="C735" s="24">
        <f t="shared" si="11"/>
        <v>1.5801688805496366E-4</v>
      </c>
    </row>
    <row r="736" spans="1:3" ht="14.25" customHeight="1" x14ac:dyDescent="0.3">
      <c r="A736" s="22">
        <v>45138</v>
      </c>
      <c r="B736" s="23">
        <v>202.51</v>
      </c>
      <c r="C736" s="24">
        <f t="shared" si="11"/>
        <v>1.3036257403553679E-2</v>
      </c>
    </row>
    <row r="737" spans="1:3" ht="14.25" customHeight="1" x14ac:dyDescent="0.3">
      <c r="A737" s="22">
        <v>45135</v>
      </c>
      <c r="B737" s="23">
        <v>199.904</v>
      </c>
      <c r="C737" s="24">
        <f t="shared" si="11"/>
        <v>6.0492596954232879E-3</v>
      </c>
    </row>
    <row r="738" spans="1:3" ht="14.25" customHeight="1" x14ac:dyDescent="0.3">
      <c r="A738" s="22">
        <v>45134</v>
      </c>
      <c r="B738" s="23">
        <v>198.702</v>
      </c>
      <c r="C738" s="24">
        <f t="shared" si="11"/>
        <v>1.5120815314362324E-3</v>
      </c>
    </row>
    <row r="739" spans="1:3" ht="14.25" customHeight="1" x14ac:dyDescent="0.3">
      <c r="A739" s="22">
        <v>45133</v>
      </c>
      <c r="B739" s="23">
        <v>198.40199999999999</v>
      </c>
      <c r="C739" s="24">
        <f t="shared" si="11"/>
        <v>3.7386865523642556E-3</v>
      </c>
    </row>
    <row r="740" spans="1:3" ht="14.25" customHeight="1" x14ac:dyDescent="0.3">
      <c r="A740" s="22">
        <v>45132</v>
      </c>
      <c r="B740" s="23">
        <v>197.66300000000001</v>
      </c>
      <c r="C740" s="24">
        <f t="shared" si="11"/>
        <v>3.7119411776655037E-3</v>
      </c>
    </row>
    <row r="741" spans="1:3" ht="14.25" customHeight="1" x14ac:dyDescent="0.3">
      <c r="A741" s="22">
        <v>45131</v>
      </c>
      <c r="B741" s="23">
        <v>196.93199999999999</v>
      </c>
      <c r="C741" s="24">
        <f t="shared" si="11"/>
        <v>-6.6983315065159037E-4</v>
      </c>
    </row>
    <row r="742" spans="1:3" ht="14.25" customHeight="1" x14ac:dyDescent="0.3">
      <c r="A742" s="22">
        <v>45128</v>
      </c>
      <c r="B742" s="23">
        <v>197.06399999999999</v>
      </c>
      <c r="C742" s="24">
        <f t="shared" si="11"/>
        <v>-4.2746703046839659E-3</v>
      </c>
    </row>
    <row r="743" spans="1:3" ht="14.25" customHeight="1" x14ac:dyDescent="0.3">
      <c r="A743" s="22">
        <v>45127</v>
      </c>
      <c r="B743" s="23">
        <v>197.91</v>
      </c>
      <c r="C743" s="24">
        <f t="shared" si="11"/>
        <v>7.6165650106408377E-3</v>
      </c>
    </row>
    <row r="744" spans="1:3" ht="14.25" customHeight="1" x14ac:dyDescent="0.3">
      <c r="A744" s="22">
        <v>45126</v>
      </c>
      <c r="B744" s="23">
        <v>196.41399999999999</v>
      </c>
      <c r="C744" s="24">
        <f t="shared" si="11"/>
        <v>7.6595133413023481E-3</v>
      </c>
    </row>
    <row r="745" spans="1:3" ht="14.25" customHeight="1" x14ac:dyDescent="0.3">
      <c r="A745" s="22">
        <v>45125</v>
      </c>
      <c r="B745" s="23">
        <v>194.92099999999999</v>
      </c>
      <c r="C745" s="24">
        <f t="shared" si="11"/>
        <v>-2.5840983287791566E-3</v>
      </c>
    </row>
    <row r="746" spans="1:3" ht="14.25" customHeight="1" x14ac:dyDescent="0.3">
      <c r="A746" s="22">
        <v>45124</v>
      </c>
      <c r="B746" s="23">
        <v>195.42599999999999</v>
      </c>
      <c r="C746" s="24">
        <f t="shared" si="11"/>
        <v>7.5322867527645929E-3</v>
      </c>
    </row>
    <row r="747" spans="1:3" ht="14.25" customHeight="1" x14ac:dyDescent="0.3">
      <c r="A747" s="22">
        <v>45121</v>
      </c>
      <c r="B747" s="23">
        <v>193.965</v>
      </c>
      <c r="C747" s="24">
        <f t="shared" si="11"/>
        <v>7.9769266746349144E-3</v>
      </c>
    </row>
    <row r="748" spans="1:3" ht="14.25" customHeight="1" x14ac:dyDescent="0.3">
      <c r="A748" s="22">
        <v>45120</v>
      </c>
      <c r="B748" s="23">
        <v>192.43</v>
      </c>
      <c r="C748" s="24">
        <f t="shared" si="11"/>
        <v>-2.8707043070928264E-3</v>
      </c>
    </row>
    <row r="749" spans="1:3" ht="14.25" customHeight="1" x14ac:dyDescent="0.3">
      <c r="A749" s="22">
        <v>45119</v>
      </c>
      <c r="B749" s="23">
        <v>192.98400000000001</v>
      </c>
      <c r="C749" s="24">
        <f t="shared" si="11"/>
        <v>2.7018039737302054E-3</v>
      </c>
    </row>
    <row r="750" spans="1:3" ht="14.25" customHeight="1" x14ac:dyDescent="0.3">
      <c r="A750" s="22">
        <v>45118</v>
      </c>
      <c r="B750" s="23">
        <v>192.464</v>
      </c>
      <c r="C750" s="24">
        <f t="shared" si="11"/>
        <v>7.2114126623613753E-3</v>
      </c>
    </row>
    <row r="751" spans="1:3" ht="14.25" customHeight="1" x14ac:dyDescent="0.3">
      <c r="A751" s="22">
        <v>45117</v>
      </c>
      <c r="B751" s="23">
        <v>191.08600000000001</v>
      </c>
      <c r="C751" s="24">
        <f t="shared" si="11"/>
        <v>-7.0076351846033952E-4</v>
      </c>
    </row>
    <row r="752" spans="1:3" ht="14.25" customHeight="1" x14ac:dyDescent="0.3">
      <c r="A752" s="22">
        <v>45114</v>
      </c>
      <c r="B752" s="23">
        <v>191.22</v>
      </c>
      <c r="C752" s="24">
        <f t="shared" si="11"/>
        <v>-3.5227414849709621E-3</v>
      </c>
    </row>
    <row r="753" spans="1:3" ht="14.25" customHeight="1" x14ac:dyDescent="0.3">
      <c r="A753" s="22">
        <v>45113</v>
      </c>
      <c r="B753" s="23">
        <v>191.89599999999999</v>
      </c>
      <c r="C753" s="24">
        <f t="shared" si="11"/>
        <v>4.5911663237687408E-3</v>
      </c>
    </row>
    <row r="754" spans="1:3" ht="14.25" customHeight="1" x14ac:dyDescent="0.3">
      <c r="A754" s="22">
        <v>45112</v>
      </c>
      <c r="B754" s="23">
        <v>191.01900000000001</v>
      </c>
      <c r="C754" s="24">
        <f t="shared" si="11"/>
        <v>1.1845298307589854E-3</v>
      </c>
    </row>
    <row r="755" spans="1:3" ht="14.25" customHeight="1" x14ac:dyDescent="0.3">
      <c r="A755" s="22">
        <v>45111</v>
      </c>
      <c r="B755" s="23">
        <v>190.79300000000001</v>
      </c>
      <c r="C755" s="24">
        <f t="shared" si="11"/>
        <v>-1.3033783147161108E-3</v>
      </c>
    </row>
    <row r="756" spans="1:3" ht="14.25" customHeight="1" x14ac:dyDescent="0.3">
      <c r="A756" s="22">
        <v>45110</v>
      </c>
      <c r="B756" s="23">
        <v>191.042</v>
      </c>
      <c r="C756" s="24">
        <f t="shared" si="11"/>
        <v>5.3307653042430642E-3</v>
      </c>
    </row>
    <row r="757" spans="1:3" ht="14.25" customHeight="1" x14ac:dyDescent="0.3">
      <c r="A757" s="22">
        <v>45107</v>
      </c>
      <c r="B757" s="23">
        <v>190.029</v>
      </c>
      <c r="C757" s="24">
        <f t="shared" si="11"/>
        <v>9.9384031590304192E-3</v>
      </c>
    </row>
    <row r="758" spans="1:3" ht="14.25" customHeight="1" x14ac:dyDescent="0.3">
      <c r="A758" s="22">
        <v>45105</v>
      </c>
      <c r="B758" s="23">
        <v>188.15899999999999</v>
      </c>
      <c r="C758" s="24">
        <f t="shared" si="11"/>
        <v>4.9296075541028538E-3</v>
      </c>
    </row>
    <row r="759" spans="1:3" ht="14.25" customHeight="1" x14ac:dyDescent="0.3">
      <c r="A759" s="22">
        <v>45104</v>
      </c>
      <c r="B759" s="23">
        <v>187.23599999999999</v>
      </c>
      <c r="C759" s="24">
        <f t="shared" si="11"/>
        <v>5.7421562360675544E-3</v>
      </c>
    </row>
    <row r="760" spans="1:3" ht="14.25" customHeight="1" x14ac:dyDescent="0.3">
      <c r="A760" s="22">
        <v>45103</v>
      </c>
      <c r="B760" s="23">
        <v>186.167</v>
      </c>
      <c r="C760" s="24">
        <f t="shared" si="11"/>
        <v>3.590277141363102E-3</v>
      </c>
    </row>
    <row r="761" spans="1:3" ht="14.25" customHeight="1" x14ac:dyDescent="0.3">
      <c r="A761" s="22">
        <v>45100</v>
      </c>
      <c r="B761" s="23">
        <v>185.501</v>
      </c>
      <c r="C761" s="24">
        <f t="shared" si="11"/>
        <v>-7.0655868451619096E-3</v>
      </c>
    </row>
    <row r="762" spans="1:3" ht="14.25" customHeight="1" x14ac:dyDescent="0.3">
      <c r="A762" s="22">
        <v>45099</v>
      </c>
      <c r="B762" s="23">
        <v>186.821</v>
      </c>
      <c r="C762" s="24">
        <f t="shared" si="11"/>
        <v>-7.8702941535716345E-3</v>
      </c>
    </row>
    <row r="763" spans="1:3" ht="14.25" customHeight="1" x14ac:dyDescent="0.3">
      <c r="A763" s="22">
        <v>45098</v>
      </c>
      <c r="B763" s="23">
        <v>188.303</v>
      </c>
      <c r="C763" s="24">
        <f t="shared" si="11"/>
        <v>6.6234016165590617E-3</v>
      </c>
    </row>
    <row r="764" spans="1:3" ht="14.25" customHeight="1" x14ac:dyDescent="0.3">
      <c r="A764" s="22">
        <v>45097</v>
      </c>
      <c r="B764" s="23">
        <v>187.06399999999999</v>
      </c>
      <c r="C764" s="24">
        <f t="shared" si="11"/>
        <v>3.4384169335328319E-3</v>
      </c>
    </row>
    <row r="765" spans="1:3" ht="14.25" customHeight="1" x14ac:dyDescent="0.3">
      <c r="A765" s="22">
        <v>45096</v>
      </c>
      <c r="B765" s="23">
        <v>186.423</v>
      </c>
      <c r="C765" s="24">
        <f t="shared" si="11"/>
        <v>6.2262824263185966E-4</v>
      </c>
    </row>
    <row r="766" spans="1:3" ht="14.25" customHeight="1" x14ac:dyDescent="0.3">
      <c r="A766" s="22">
        <v>45093</v>
      </c>
      <c r="B766" s="23">
        <v>186.30699999999999</v>
      </c>
      <c r="C766" s="24">
        <f t="shared" si="11"/>
        <v>8.0129419021133103E-3</v>
      </c>
    </row>
    <row r="767" spans="1:3" ht="14.25" customHeight="1" x14ac:dyDescent="0.3">
      <c r="A767" s="22">
        <v>45092</v>
      </c>
      <c r="B767" s="23">
        <v>184.82599999999999</v>
      </c>
      <c r="C767" s="24">
        <f t="shared" si="11"/>
        <v>-3.3432913085211036E-3</v>
      </c>
    </row>
    <row r="768" spans="1:3" ht="14.25" customHeight="1" x14ac:dyDescent="0.3">
      <c r="A768" s="22">
        <v>45091</v>
      </c>
      <c r="B768" s="23">
        <v>185.446</v>
      </c>
      <c r="C768" s="24">
        <f t="shared" si="11"/>
        <v>3.5608372838062375E-3</v>
      </c>
    </row>
    <row r="769" spans="1:3" ht="14.25" customHeight="1" x14ac:dyDescent="0.3">
      <c r="A769" s="22">
        <v>45090</v>
      </c>
      <c r="B769" s="23">
        <v>184.78800000000001</v>
      </c>
      <c r="C769" s="24">
        <f t="shared" si="11"/>
        <v>1.0184501845018448E-2</v>
      </c>
    </row>
    <row r="770" spans="1:3" ht="14.25" customHeight="1" x14ac:dyDescent="0.3">
      <c r="A770" s="22">
        <v>45089</v>
      </c>
      <c r="B770" s="23">
        <v>182.92500000000001</v>
      </c>
      <c r="C770" s="24">
        <f t="shared" ref="C770:C833" si="12">(B770-B771)/B771</f>
        <v>4.3925875085793348E-3</v>
      </c>
    </row>
    <row r="771" spans="1:3" ht="14.25" customHeight="1" x14ac:dyDescent="0.3">
      <c r="A771" s="22">
        <v>45086</v>
      </c>
      <c r="B771" s="23">
        <v>182.125</v>
      </c>
      <c r="C771" s="24">
        <f t="shared" si="12"/>
        <v>-2.093070402779099E-3</v>
      </c>
    </row>
    <row r="772" spans="1:3" ht="14.25" customHeight="1" x14ac:dyDescent="0.3">
      <c r="A772" s="22">
        <v>45085</v>
      </c>
      <c r="B772" s="23">
        <v>182.50700000000001</v>
      </c>
      <c r="C772" s="24">
        <f t="shared" si="12"/>
        <v>-5.6173653412372685E-3</v>
      </c>
    </row>
    <row r="773" spans="1:3" ht="14.25" customHeight="1" x14ac:dyDescent="0.3">
      <c r="A773" s="22">
        <v>45084</v>
      </c>
      <c r="B773" s="23">
        <v>183.53800000000001</v>
      </c>
      <c r="C773" s="24">
        <f t="shared" si="12"/>
        <v>7.1611618093320459E-3</v>
      </c>
    </row>
    <row r="774" spans="1:3" ht="14.25" customHeight="1" x14ac:dyDescent="0.3">
      <c r="A774" s="22">
        <v>45083</v>
      </c>
      <c r="B774" s="23">
        <v>182.233</v>
      </c>
      <c r="C774" s="24">
        <f t="shared" si="12"/>
        <v>2.1502183213998479E-3</v>
      </c>
    </row>
    <row r="775" spans="1:3" ht="14.25" customHeight="1" x14ac:dyDescent="0.3">
      <c r="A775" s="22">
        <v>45082</v>
      </c>
      <c r="B775" s="23">
        <v>181.84200000000001</v>
      </c>
      <c r="C775" s="24">
        <f t="shared" si="12"/>
        <v>5.3740255432078755E-3</v>
      </c>
    </row>
    <row r="776" spans="1:3" ht="14.25" customHeight="1" x14ac:dyDescent="0.3">
      <c r="A776" s="22">
        <v>45079</v>
      </c>
      <c r="B776" s="23">
        <v>180.87</v>
      </c>
      <c r="C776" s="24">
        <f t="shared" si="12"/>
        <v>4.7775123604244969E-3</v>
      </c>
    </row>
    <row r="777" spans="1:3" ht="14.25" customHeight="1" x14ac:dyDescent="0.3">
      <c r="A777" s="22">
        <v>45078</v>
      </c>
      <c r="B777" s="23">
        <v>180.01</v>
      </c>
      <c r="C777" s="24">
        <f t="shared" si="12"/>
        <v>2.5563767397564102E-3</v>
      </c>
    </row>
    <row r="778" spans="1:3" ht="14.25" customHeight="1" x14ac:dyDescent="0.3">
      <c r="A778" s="22">
        <v>45077</v>
      </c>
      <c r="B778" s="23">
        <v>179.55099999999999</v>
      </c>
      <c r="C778" s="24">
        <f t="shared" si="12"/>
        <v>-3.8970944377339842E-4</v>
      </c>
    </row>
    <row r="779" spans="1:3" ht="14.25" customHeight="1" x14ac:dyDescent="0.3">
      <c r="A779" s="22">
        <v>45076</v>
      </c>
      <c r="B779" s="23">
        <v>179.62100000000001</v>
      </c>
      <c r="C779" s="24">
        <f t="shared" si="12"/>
        <v>4.4119620649549062E-3</v>
      </c>
    </row>
    <row r="780" spans="1:3" ht="14.25" customHeight="1" x14ac:dyDescent="0.3">
      <c r="A780" s="22">
        <v>45075</v>
      </c>
      <c r="B780" s="23">
        <v>178.83199999999999</v>
      </c>
      <c r="C780" s="24">
        <f t="shared" si="12"/>
        <v>2.0227375876192208E-3</v>
      </c>
    </row>
    <row r="781" spans="1:3" ht="14.25" customHeight="1" x14ac:dyDescent="0.3">
      <c r="A781" s="22">
        <v>45072</v>
      </c>
      <c r="B781" s="23">
        <v>178.471</v>
      </c>
      <c r="C781" s="24">
        <f t="shared" si="12"/>
        <v>8.1626427756374374E-3</v>
      </c>
    </row>
    <row r="782" spans="1:3" ht="14.25" customHeight="1" x14ac:dyDescent="0.3">
      <c r="A782" s="22">
        <v>45071</v>
      </c>
      <c r="B782" s="23">
        <v>177.02600000000001</v>
      </c>
      <c r="C782" s="24">
        <f t="shared" si="12"/>
        <v>3.3724232136075794E-3</v>
      </c>
    </row>
    <row r="783" spans="1:3" ht="14.25" customHeight="1" x14ac:dyDescent="0.3">
      <c r="A783" s="22">
        <v>45070</v>
      </c>
      <c r="B783" s="23">
        <v>176.43100000000001</v>
      </c>
      <c r="C783" s="24">
        <f t="shared" si="12"/>
        <v>3.2012645848023325E-3</v>
      </c>
    </row>
    <row r="784" spans="1:3" ht="14.25" customHeight="1" x14ac:dyDescent="0.3">
      <c r="A784" s="22">
        <v>45069</v>
      </c>
      <c r="B784" s="23">
        <v>175.86799999999999</v>
      </c>
      <c r="C784" s="24">
        <f t="shared" si="12"/>
        <v>1.1556086869894571E-3</v>
      </c>
    </row>
    <row r="785" spans="1:3" ht="14.25" customHeight="1" x14ac:dyDescent="0.3">
      <c r="A785" s="22">
        <v>45068</v>
      </c>
      <c r="B785" s="23">
        <v>175.66499999999999</v>
      </c>
      <c r="C785" s="24">
        <f t="shared" si="12"/>
        <v>6.8928587704496246E-4</v>
      </c>
    </row>
    <row r="786" spans="1:3" ht="14.25" customHeight="1" x14ac:dyDescent="0.3">
      <c r="A786" s="22">
        <v>45065</v>
      </c>
      <c r="B786" s="23">
        <v>175.54400000000001</v>
      </c>
      <c r="C786" s="24">
        <f t="shared" si="12"/>
        <v>-7.1725394205030088E-4</v>
      </c>
    </row>
    <row r="787" spans="1:3" ht="14.25" customHeight="1" x14ac:dyDescent="0.3">
      <c r="A787" s="22">
        <v>45064</v>
      </c>
      <c r="B787" s="23">
        <v>175.67</v>
      </c>
      <c r="C787" s="24">
        <f t="shared" si="12"/>
        <v>4.2711922321244132E-4</v>
      </c>
    </row>
    <row r="788" spans="1:3" ht="14.25" customHeight="1" x14ac:dyDescent="0.3">
      <c r="A788" s="22">
        <v>45063</v>
      </c>
      <c r="B788" s="23">
        <v>175.595</v>
      </c>
      <c r="C788" s="24">
        <f t="shared" si="12"/>
        <v>3.9310415550965899E-4</v>
      </c>
    </row>
    <row r="789" spans="1:3" ht="14.25" customHeight="1" x14ac:dyDescent="0.3">
      <c r="A789" s="22">
        <v>45062</v>
      </c>
      <c r="B789" s="23">
        <v>175.52600000000001</v>
      </c>
      <c r="C789" s="24">
        <f t="shared" si="12"/>
        <v>1.2606599925843738E-3</v>
      </c>
    </row>
    <row r="790" spans="1:3" ht="14.25" customHeight="1" x14ac:dyDescent="0.3">
      <c r="A790" s="22">
        <v>45061</v>
      </c>
      <c r="B790" s="23">
        <v>175.30500000000001</v>
      </c>
      <c r="C790" s="24">
        <f t="shared" si="12"/>
        <v>4.8780767422930919E-3</v>
      </c>
    </row>
    <row r="791" spans="1:3" ht="14.25" customHeight="1" x14ac:dyDescent="0.3">
      <c r="A791" s="22">
        <v>45058</v>
      </c>
      <c r="B791" s="23">
        <v>174.45400000000001</v>
      </c>
      <c r="C791" s="24">
        <f t="shared" si="12"/>
        <v>1.4905863737479339E-4</v>
      </c>
    </row>
    <row r="792" spans="1:3" ht="14.25" customHeight="1" x14ac:dyDescent="0.3">
      <c r="A792" s="22">
        <v>45057</v>
      </c>
      <c r="B792" s="23">
        <v>174.428</v>
      </c>
      <c r="C792" s="24">
        <f t="shared" si="12"/>
        <v>3.5556066969679246E-3</v>
      </c>
    </row>
    <row r="793" spans="1:3" ht="14.25" customHeight="1" x14ac:dyDescent="0.3">
      <c r="A793" s="22">
        <v>45056</v>
      </c>
      <c r="B793" s="23">
        <v>173.81</v>
      </c>
      <c r="C793" s="24">
        <f t="shared" si="12"/>
        <v>2.8734305760708457E-3</v>
      </c>
    </row>
    <row r="794" spans="1:3" ht="14.25" customHeight="1" x14ac:dyDescent="0.3">
      <c r="A794" s="22">
        <v>45055</v>
      </c>
      <c r="B794" s="23">
        <v>173.31200000000001</v>
      </c>
      <c r="C794" s="24">
        <f t="shared" si="12"/>
        <v>-6.4005351077994267E-4</v>
      </c>
    </row>
    <row r="795" spans="1:3" ht="14.25" customHeight="1" x14ac:dyDescent="0.3">
      <c r="A795" s="22">
        <v>45054</v>
      </c>
      <c r="B795" s="23">
        <v>173.423</v>
      </c>
      <c r="C795" s="24">
        <f t="shared" si="12"/>
        <v>1.0299729107803447E-2</v>
      </c>
    </row>
    <row r="796" spans="1:3" ht="14.25" customHeight="1" x14ac:dyDescent="0.3">
      <c r="A796" s="22">
        <v>45051</v>
      </c>
      <c r="B796" s="23">
        <v>171.655</v>
      </c>
      <c r="C796" s="24">
        <f t="shared" si="12"/>
        <v>-4.2751403777437167E-3</v>
      </c>
    </row>
    <row r="797" spans="1:3" ht="14.25" customHeight="1" x14ac:dyDescent="0.3">
      <c r="A797" s="22">
        <v>45050</v>
      </c>
      <c r="B797" s="23">
        <v>172.392</v>
      </c>
      <c r="C797" s="24">
        <f t="shared" si="12"/>
        <v>9.2026694766420957E-3</v>
      </c>
    </row>
    <row r="798" spans="1:3" ht="14.25" customHeight="1" x14ac:dyDescent="0.3">
      <c r="A798" s="22">
        <v>45049</v>
      </c>
      <c r="B798" s="23">
        <v>170.82</v>
      </c>
      <c r="C798" s="24">
        <f t="shared" si="12"/>
        <v>2.1766041455214221E-3</v>
      </c>
    </row>
    <row r="799" spans="1:3" ht="14.25" customHeight="1" x14ac:dyDescent="0.3">
      <c r="A799" s="22">
        <v>45048</v>
      </c>
      <c r="B799" s="23">
        <v>170.44900000000001</v>
      </c>
      <c r="C799" s="24">
        <f t="shared" si="12"/>
        <v>5.0947902231919346E-3</v>
      </c>
    </row>
    <row r="800" spans="1:3" ht="14.25" customHeight="1" x14ac:dyDescent="0.3">
      <c r="A800" s="22">
        <v>45044</v>
      </c>
      <c r="B800" s="23">
        <v>169.58500000000001</v>
      </c>
      <c r="C800" s="24">
        <f t="shared" si="12"/>
        <v>1.010792909558755E-2</v>
      </c>
    </row>
    <row r="801" spans="1:3" ht="14.25" customHeight="1" x14ac:dyDescent="0.3">
      <c r="A801" s="22">
        <v>45043</v>
      </c>
      <c r="B801" s="23">
        <v>167.88800000000001</v>
      </c>
      <c r="C801" s="24">
        <f t="shared" si="12"/>
        <v>7.2413772415571877E-3</v>
      </c>
    </row>
    <row r="802" spans="1:3" ht="14.25" customHeight="1" x14ac:dyDescent="0.3">
      <c r="A802" s="22">
        <v>45042</v>
      </c>
      <c r="B802" s="23">
        <v>166.68100000000001</v>
      </c>
      <c r="C802" s="24">
        <f t="shared" si="12"/>
        <v>5.5440933386422166E-3</v>
      </c>
    </row>
    <row r="803" spans="1:3" ht="14.25" customHeight="1" x14ac:dyDescent="0.3">
      <c r="A803" s="22">
        <v>45041</v>
      </c>
      <c r="B803" s="23">
        <v>165.762</v>
      </c>
      <c r="C803" s="24">
        <f t="shared" si="12"/>
        <v>-4.5225130700620873E-4</v>
      </c>
    </row>
    <row r="804" spans="1:3" ht="14.25" customHeight="1" x14ac:dyDescent="0.3">
      <c r="A804" s="22">
        <v>45040</v>
      </c>
      <c r="B804" s="23">
        <v>165.83699999999999</v>
      </c>
      <c r="C804" s="24">
        <f t="shared" si="12"/>
        <v>3.4003932839206377E-3</v>
      </c>
    </row>
    <row r="805" spans="1:3" ht="14.25" customHeight="1" x14ac:dyDescent="0.3">
      <c r="A805" s="22">
        <v>45037</v>
      </c>
      <c r="B805" s="23">
        <v>165.27500000000001</v>
      </c>
      <c r="C805" s="24">
        <f t="shared" si="12"/>
        <v>-3.3768504839147479E-3</v>
      </c>
    </row>
    <row r="806" spans="1:3" ht="14.25" customHeight="1" x14ac:dyDescent="0.3">
      <c r="A806" s="22">
        <v>45036</v>
      </c>
      <c r="B806" s="23">
        <v>165.83500000000001</v>
      </c>
      <c r="C806" s="24">
        <f t="shared" si="12"/>
        <v>1.7094326858027415E-3</v>
      </c>
    </row>
    <row r="807" spans="1:3" ht="14.25" customHeight="1" x14ac:dyDescent="0.3">
      <c r="A807" s="22">
        <v>45035</v>
      </c>
      <c r="B807" s="23">
        <v>165.55199999999999</v>
      </c>
      <c r="C807" s="24">
        <f t="shared" si="12"/>
        <v>-1.5559978288402978E-3</v>
      </c>
    </row>
    <row r="808" spans="1:3" ht="14.25" customHeight="1" x14ac:dyDescent="0.3">
      <c r="A808" s="22">
        <v>45034</v>
      </c>
      <c r="B808" s="23">
        <v>165.81</v>
      </c>
      <c r="C808" s="24">
        <f t="shared" si="12"/>
        <v>-3.8583503140934052E-4</v>
      </c>
    </row>
    <row r="809" spans="1:3" ht="14.25" customHeight="1" x14ac:dyDescent="0.3">
      <c r="A809" s="22">
        <v>45033</v>
      </c>
      <c r="B809" s="23">
        <v>165.874</v>
      </c>
      <c r="C809" s="24">
        <f t="shared" si="12"/>
        <v>-3.9272674865487873E-3</v>
      </c>
    </row>
    <row r="810" spans="1:3" ht="14.25" customHeight="1" x14ac:dyDescent="0.3">
      <c r="A810" s="22">
        <v>45029</v>
      </c>
      <c r="B810" s="23">
        <v>166.52799999999999</v>
      </c>
      <c r="C810" s="24">
        <f t="shared" si="12"/>
        <v>2.2388598666312721E-3</v>
      </c>
    </row>
    <row r="811" spans="1:3" ht="14.25" customHeight="1" x14ac:dyDescent="0.3">
      <c r="A811" s="22">
        <v>45028</v>
      </c>
      <c r="B811" s="23">
        <v>166.15600000000001</v>
      </c>
      <c r="C811" s="24">
        <f t="shared" si="12"/>
        <v>2.3224810129637836E-3</v>
      </c>
    </row>
    <row r="812" spans="1:3" ht="14.25" customHeight="1" x14ac:dyDescent="0.3">
      <c r="A812" s="22">
        <v>45027</v>
      </c>
      <c r="B812" s="23">
        <v>165.77099999999999</v>
      </c>
      <c r="C812" s="24">
        <f t="shared" si="12"/>
        <v>3.2377932169744888E-3</v>
      </c>
    </row>
    <row r="813" spans="1:3" ht="14.25" customHeight="1" x14ac:dyDescent="0.3">
      <c r="A813" s="22">
        <v>45026</v>
      </c>
      <c r="B813" s="23">
        <v>165.23599999999999</v>
      </c>
      <c r="C813" s="24">
        <f t="shared" si="12"/>
        <v>1.5699158064456629E-3</v>
      </c>
    </row>
    <row r="814" spans="1:3" ht="14.25" customHeight="1" x14ac:dyDescent="0.3">
      <c r="A814" s="22">
        <v>45022</v>
      </c>
      <c r="B814" s="23">
        <v>164.977</v>
      </c>
      <c r="C814" s="24">
        <f t="shared" si="12"/>
        <v>4.1327344215997888E-3</v>
      </c>
    </row>
    <row r="815" spans="1:3" ht="14.25" customHeight="1" x14ac:dyDescent="0.3">
      <c r="A815" s="22">
        <v>45021</v>
      </c>
      <c r="B815" s="23">
        <v>164.298</v>
      </c>
      <c r="C815" s="24">
        <f t="shared" si="12"/>
        <v>4.886880042079809E-3</v>
      </c>
    </row>
    <row r="816" spans="1:3" ht="14.25" customHeight="1" x14ac:dyDescent="0.3">
      <c r="A816" s="22">
        <v>45019</v>
      </c>
      <c r="B816" s="23">
        <v>163.499</v>
      </c>
      <c r="C816" s="24">
        <f t="shared" si="12"/>
        <v>3.652457889309034E-3</v>
      </c>
    </row>
    <row r="817" spans="1:3" ht="14.25" customHeight="1" x14ac:dyDescent="0.3">
      <c r="A817" s="22">
        <v>45016</v>
      </c>
      <c r="B817" s="23">
        <v>162.904</v>
      </c>
      <c r="C817" s="24">
        <f t="shared" si="12"/>
        <v>1.3387080720613035E-2</v>
      </c>
    </row>
    <row r="818" spans="1:3" ht="14.25" customHeight="1" x14ac:dyDescent="0.3">
      <c r="A818" s="22">
        <v>45014</v>
      </c>
      <c r="B818" s="23">
        <v>160.75200000000001</v>
      </c>
      <c r="C818" s="24">
        <f t="shared" si="12"/>
        <v>1.4630697956246842E-2</v>
      </c>
    </row>
    <row r="819" spans="1:3" ht="14.25" customHeight="1" x14ac:dyDescent="0.3">
      <c r="A819" s="22">
        <v>45013</v>
      </c>
      <c r="B819" s="23">
        <v>158.434</v>
      </c>
      <c r="C819" s="24">
        <f t="shared" si="12"/>
        <v>-2.9326620516048345E-3</v>
      </c>
    </row>
    <row r="820" spans="1:3" ht="14.25" customHeight="1" x14ac:dyDescent="0.3">
      <c r="A820" s="22">
        <v>45012</v>
      </c>
      <c r="B820" s="23">
        <v>158.9</v>
      </c>
      <c r="C820" s="24">
        <f t="shared" si="12"/>
        <v>-4.1800622935820164E-3</v>
      </c>
    </row>
    <row r="821" spans="1:3" ht="14.25" customHeight="1" x14ac:dyDescent="0.3">
      <c r="A821" s="22">
        <v>45009</v>
      </c>
      <c r="B821" s="23">
        <v>159.56700000000001</v>
      </c>
      <c r="C821" s="24">
        <f t="shared" si="12"/>
        <v>-9.5342731047839031E-3</v>
      </c>
    </row>
    <row r="822" spans="1:3" ht="14.25" customHeight="1" x14ac:dyDescent="0.3">
      <c r="A822" s="22">
        <v>45008</v>
      </c>
      <c r="B822" s="23">
        <v>161.10300000000001</v>
      </c>
      <c r="C822" s="24">
        <f t="shared" si="12"/>
        <v>-2.5137918010759617E-3</v>
      </c>
    </row>
    <row r="823" spans="1:3" ht="14.25" customHeight="1" x14ac:dyDescent="0.3">
      <c r="A823" s="22">
        <v>45007</v>
      </c>
      <c r="B823" s="23">
        <v>161.50899999999999</v>
      </c>
      <c r="C823" s="24">
        <f t="shared" si="12"/>
        <v>4.8591409088645258E-3</v>
      </c>
    </row>
    <row r="824" spans="1:3" ht="14.25" customHeight="1" x14ac:dyDescent="0.3">
      <c r="A824" s="22">
        <v>45006</v>
      </c>
      <c r="B824" s="23">
        <v>160.72800000000001</v>
      </c>
      <c r="C824" s="24">
        <f t="shared" si="12"/>
        <v>7.3327567404957196E-3</v>
      </c>
    </row>
    <row r="825" spans="1:3" ht="14.25" customHeight="1" x14ac:dyDescent="0.3">
      <c r="A825" s="22">
        <v>45005</v>
      </c>
      <c r="B825" s="23">
        <v>159.55799999999999</v>
      </c>
      <c r="C825" s="24">
        <f t="shared" si="12"/>
        <v>-1.0333449114275771E-2</v>
      </c>
    </row>
    <row r="826" spans="1:3" ht="14.25" customHeight="1" x14ac:dyDescent="0.3">
      <c r="A826" s="22">
        <v>45002</v>
      </c>
      <c r="B826" s="23">
        <v>161.22399999999999</v>
      </c>
      <c r="C826" s="24">
        <f t="shared" si="12"/>
        <v>6.3103493474312052E-3</v>
      </c>
    </row>
    <row r="827" spans="1:3" ht="14.25" customHeight="1" x14ac:dyDescent="0.3">
      <c r="A827" s="22">
        <v>45001</v>
      </c>
      <c r="B827" s="23">
        <v>160.21299999999999</v>
      </c>
      <c r="C827" s="24">
        <f t="shared" si="12"/>
        <v>5.2457705974559999E-4</v>
      </c>
    </row>
    <row r="828" spans="1:3" ht="14.25" customHeight="1" x14ac:dyDescent="0.3">
      <c r="A828" s="22">
        <v>45000</v>
      </c>
      <c r="B828" s="23">
        <v>160.12899999999999</v>
      </c>
      <c r="C828" s="24">
        <f t="shared" si="12"/>
        <v>-1.9944032060032883E-3</v>
      </c>
    </row>
    <row r="829" spans="1:3" ht="14.25" customHeight="1" x14ac:dyDescent="0.3">
      <c r="A829" s="22">
        <v>44999</v>
      </c>
      <c r="B829" s="23">
        <v>160.44900000000001</v>
      </c>
      <c r="C829" s="24">
        <f t="shared" si="12"/>
        <v>-6.2493032243678614E-3</v>
      </c>
    </row>
    <row r="830" spans="1:3" ht="14.25" customHeight="1" x14ac:dyDescent="0.3">
      <c r="A830" s="22">
        <v>44998</v>
      </c>
      <c r="B830" s="23">
        <v>161.458</v>
      </c>
      <c r="C830" s="24">
        <f t="shared" si="12"/>
        <v>-1.9374665954035263E-2</v>
      </c>
    </row>
    <row r="831" spans="1:3" ht="14.25" customHeight="1" x14ac:dyDescent="0.3">
      <c r="A831" s="22">
        <v>44995</v>
      </c>
      <c r="B831" s="23">
        <v>164.648</v>
      </c>
      <c r="C831" s="24">
        <f t="shared" si="12"/>
        <v>-7.8517152653493939E-3</v>
      </c>
    </row>
    <row r="832" spans="1:3" ht="14.25" customHeight="1" x14ac:dyDescent="0.3">
      <c r="A832" s="22">
        <v>44994</v>
      </c>
      <c r="B832" s="23">
        <v>165.95099999999999</v>
      </c>
      <c r="C832" s="24">
        <f t="shared" si="12"/>
        <v>-3.2134834160229488E-3</v>
      </c>
    </row>
    <row r="833" spans="1:3" ht="14.25" customHeight="1" x14ac:dyDescent="0.3">
      <c r="A833" s="22">
        <v>44993</v>
      </c>
      <c r="B833" s="23">
        <v>166.48599999999999</v>
      </c>
      <c r="C833" s="24">
        <f t="shared" si="12"/>
        <v>6.2617104865518372E-3</v>
      </c>
    </row>
    <row r="834" spans="1:3" ht="14.25" customHeight="1" x14ac:dyDescent="0.3">
      <c r="A834" s="22">
        <v>44991</v>
      </c>
      <c r="B834" s="23">
        <v>165.45</v>
      </c>
      <c r="C834" s="24">
        <f t="shared" ref="C834:C897" si="13">(B834-B835)/B835</f>
        <v>5.8667963644099758E-3</v>
      </c>
    </row>
    <row r="835" spans="1:3" ht="14.25" customHeight="1" x14ac:dyDescent="0.3">
      <c r="A835" s="22">
        <v>44988</v>
      </c>
      <c r="B835" s="23">
        <v>164.48500000000001</v>
      </c>
      <c r="C835" s="24">
        <f t="shared" si="13"/>
        <v>1.013295667393377E-2</v>
      </c>
    </row>
    <row r="836" spans="1:3" ht="14.25" customHeight="1" x14ac:dyDescent="0.3">
      <c r="A836" s="22">
        <v>44987</v>
      </c>
      <c r="B836" s="23">
        <v>162.83500000000001</v>
      </c>
      <c r="C836" s="24">
        <f t="shared" si="13"/>
        <v>-6.0248318296687552E-3</v>
      </c>
    </row>
    <row r="837" spans="1:3" ht="14.25" customHeight="1" x14ac:dyDescent="0.3">
      <c r="A837" s="22">
        <v>44986</v>
      </c>
      <c r="B837" s="23">
        <v>163.822</v>
      </c>
      <c r="C837" s="24">
        <f t="shared" si="13"/>
        <v>1.1196977927015905E-2</v>
      </c>
    </row>
    <row r="838" spans="1:3" ht="14.25" customHeight="1" x14ac:dyDescent="0.3">
      <c r="A838" s="22">
        <v>44985</v>
      </c>
      <c r="B838" s="23">
        <v>162.00800000000001</v>
      </c>
      <c r="C838" s="24">
        <f t="shared" si="13"/>
        <v>-9.8663114794531959E-4</v>
      </c>
    </row>
    <row r="839" spans="1:3" ht="14.25" customHeight="1" x14ac:dyDescent="0.3">
      <c r="A839" s="22">
        <v>44984</v>
      </c>
      <c r="B839" s="23">
        <v>162.16800000000001</v>
      </c>
      <c r="C839" s="24">
        <f t="shared" si="13"/>
        <v>-7.1083518542328751E-3</v>
      </c>
    </row>
    <row r="840" spans="1:3" ht="14.25" customHeight="1" x14ac:dyDescent="0.3">
      <c r="A840" s="22">
        <v>44981</v>
      </c>
      <c r="B840" s="23">
        <v>163.32900000000001</v>
      </c>
      <c r="C840" s="24">
        <f t="shared" si="13"/>
        <v>1.3471559700453613E-4</v>
      </c>
    </row>
    <row r="841" spans="1:3" ht="14.25" customHeight="1" x14ac:dyDescent="0.3">
      <c r="A841" s="22">
        <v>44980</v>
      </c>
      <c r="B841" s="23">
        <v>163.30699999999999</v>
      </c>
      <c r="C841" s="24">
        <f t="shared" si="13"/>
        <v>2.1478058628963122E-3</v>
      </c>
    </row>
    <row r="842" spans="1:3" ht="14.25" customHeight="1" x14ac:dyDescent="0.3">
      <c r="A842" s="22">
        <v>44979</v>
      </c>
      <c r="B842" s="23">
        <v>162.95699999999999</v>
      </c>
      <c r="C842" s="24">
        <f t="shared" si="13"/>
        <v>-1.1944678554754522E-2</v>
      </c>
    </row>
    <row r="843" spans="1:3" ht="14.25" customHeight="1" x14ac:dyDescent="0.3">
      <c r="A843" s="22">
        <v>44978</v>
      </c>
      <c r="B843" s="23">
        <v>164.92699999999999</v>
      </c>
      <c r="C843" s="24">
        <f t="shared" si="13"/>
        <v>-2.3349645823377211E-3</v>
      </c>
    </row>
    <row r="844" spans="1:3" ht="14.25" customHeight="1" x14ac:dyDescent="0.3">
      <c r="A844" s="22">
        <v>44977</v>
      </c>
      <c r="B844" s="23">
        <v>165.31299999999999</v>
      </c>
      <c r="C844" s="24">
        <f t="shared" si="13"/>
        <v>-1.8174791986185718E-3</v>
      </c>
    </row>
    <row r="845" spans="1:3" ht="14.25" customHeight="1" x14ac:dyDescent="0.3">
      <c r="A845" s="22">
        <v>44974</v>
      </c>
      <c r="B845" s="23">
        <v>165.614</v>
      </c>
      <c r="C845" s="24">
        <f t="shared" si="13"/>
        <v>-5.3213213213212955E-3</v>
      </c>
    </row>
    <row r="846" spans="1:3" ht="14.25" customHeight="1" x14ac:dyDescent="0.3">
      <c r="A846" s="22">
        <v>44973</v>
      </c>
      <c r="B846" s="23">
        <v>166.5</v>
      </c>
      <c r="C846" s="24">
        <f t="shared" si="13"/>
        <v>6.4740764920298011E-3</v>
      </c>
    </row>
    <row r="847" spans="1:3" ht="14.25" customHeight="1" x14ac:dyDescent="0.3">
      <c r="A847" s="22">
        <v>44972</v>
      </c>
      <c r="B847" s="23">
        <v>165.429</v>
      </c>
      <c r="C847" s="24">
        <f t="shared" si="13"/>
        <v>5.464049109584884E-3</v>
      </c>
    </row>
    <row r="848" spans="1:3" ht="14.25" customHeight="1" x14ac:dyDescent="0.3">
      <c r="A848" s="22">
        <v>44971</v>
      </c>
      <c r="B848" s="23">
        <v>164.53</v>
      </c>
      <c r="C848" s="24">
        <f t="shared" si="13"/>
        <v>2.2477933248457294E-3</v>
      </c>
    </row>
    <row r="849" spans="1:3" ht="14.25" customHeight="1" x14ac:dyDescent="0.3">
      <c r="A849" s="22">
        <v>44970</v>
      </c>
      <c r="B849" s="23">
        <v>164.161</v>
      </c>
      <c r="C849" s="24">
        <f t="shared" si="13"/>
        <v>-1.179862871039789E-2</v>
      </c>
    </row>
    <row r="850" spans="1:3" ht="14.25" customHeight="1" x14ac:dyDescent="0.3">
      <c r="A850" s="22">
        <v>44967</v>
      </c>
      <c r="B850" s="23">
        <v>166.12100000000001</v>
      </c>
      <c r="C850" s="24">
        <f t="shared" si="13"/>
        <v>2.0085892826983763E-3</v>
      </c>
    </row>
    <row r="851" spans="1:3" ht="14.25" customHeight="1" x14ac:dyDescent="0.3">
      <c r="A851" s="22">
        <v>44966</v>
      </c>
      <c r="B851" s="23">
        <v>165.78800000000001</v>
      </c>
      <c r="C851" s="24">
        <f t="shared" si="13"/>
        <v>4.2523290890808313E-3</v>
      </c>
    </row>
    <row r="852" spans="1:3" ht="14.25" customHeight="1" x14ac:dyDescent="0.3">
      <c r="A852" s="22">
        <v>44965</v>
      </c>
      <c r="B852" s="23">
        <v>165.08600000000001</v>
      </c>
      <c r="C852" s="24">
        <f t="shared" si="13"/>
        <v>8.5776078004913478E-3</v>
      </c>
    </row>
    <row r="853" spans="1:3" ht="14.25" customHeight="1" x14ac:dyDescent="0.3">
      <c r="A853" s="22">
        <v>44964</v>
      </c>
      <c r="B853" s="23">
        <v>163.68199999999999</v>
      </c>
      <c r="C853" s="24">
        <f t="shared" si="13"/>
        <v>8.0097339667749041E-4</v>
      </c>
    </row>
    <row r="854" spans="1:3" ht="14.25" customHeight="1" x14ac:dyDescent="0.3">
      <c r="A854" s="22">
        <v>44963</v>
      </c>
      <c r="B854" s="23">
        <v>163.55099999999999</v>
      </c>
      <c r="C854" s="24">
        <f t="shared" si="13"/>
        <v>1.7333463997843241E-3</v>
      </c>
    </row>
    <row r="855" spans="1:3" ht="14.25" customHeight="1" x14ac:dyDescent="0.3">
      <c r="A855" s="22">
        <v>44960</v>
      </c>
      <c r="B855" s="23">
        <v>163.268</v>
      </c>
      <c r="C855" s="24">
        <f t="shared" si="13"/>
        <v>3.4232473526681533E-3</v>
      </c>
    </row>
    <row r="856" spans="1:3" ht="14.25" customHeight="1" x14ac:dyDescent="0.3">
      <c r="A856" s="22">
        <v>44959</v>
      </c>
      <c r="B856" s="23">
        <v>162.71100000000001</v>
      </c>
      <c r="C856" s="24">
        <f t="shared" si="13"/>
        <v>-1.0253072852071685E-3</v>
      </c>
    </row>
    <row r="857" spans="1:3" ht="14.25" customHeight="1" x14ac:dyDescent="0.3">
      <c r="A857" s="22">
        <v>44958</v>
      </c>
      <c r="B857" s="23">
        <v>162.87799999999999</v>
      </c>
      <c r="C857" s="24">
        <f t="shared" si="13"/>
        <v>-1.3427592169078678E-3</v>
      </c>
    </row>
    <row r="858" spans="1:3" ht="14.25" customHeight="1" x14ac:dyDescent="0.3">
      <c r="A858" s="22">
        <v>44957</v>
      </c>
      <c r="B858" s="23">
        <v>163.09700000000001</v>
      </c>
      <c r="C858" s="24">
        <f t="shared" si="13"/>
        <v>1.3106648362911377E-2</v>
      </c>
    </row>
    <row r="859" spans="1:3" ht="14.25" customHeight="1" x14ac:dyDescent="0.3">
      <c r="A859" s="22">
        <v>44956</v>
      </c>
      <c r="B859" s="23">
        <v>160.98699999999999</v>
      </c>
      <c r="C859" s="24">
        <f t="shared" si="13"/>
        <v>-6.9522467551005765E-4</v>
      </c>
    </row>
    <row r="860" spans="1:3" ht="14.25" customHeight="1" x14ac:dyDescent="0.3">
      <c r="A860" s="22">
        <v>44953</v>
      </c>
      <c r="B860" s="23">
        <v>161.09899999999999</v>
      </c>
      <c r="C860" s="24">
        <f t="shared" si="13"/>
        <v>-1.7371467608434513E-2</v>
      </c>
    </row>
    <row r="861" spans="1:3" ht="14.25" customHeight="1" x14ac:dyDescent="0.3">
      <c r="A861" s="22">
        <v>44951</v>
      </c>
      <c r="B861" s="23">
        <v>163.947</v>
      </c>
      <c r="C861" s="24">
        <f t="shared" si="13"/>
        <v>-1.1032960138982769E-2</v>
      </c>
    </row>
    <row r="862" spans="1:3" ht="14.25" customHeight="1" x14ac:dyDescent="0.3">
      <c r="A862" s="22">
        <v>44950</v>
      </c>
      <c r="B862" s="23">
        <v>165.77600000000001</v>
      </c>
      <c r="C862" s="24">
        <f t="shared" si="13"/>
        <v>-1.7102252198000229E-3</v>
      </c>
    </row>
    <row r="863" spans="1:3" ht="14.25" customHeight="1" x14ac:dyDescent="0.3">
      <c r="A863" s="22">
        <v>44949</v>
      </c>
      <c r="B863" s="23">
        <v>166.06</v>
      </c>
      <c r="C863" s="24">
        <f t="shared" si="13"/>
        <v>2.3782791882462633E-3</v>
      </c>
    </row>
    <row r="864" spans="1:3" ht="14.25" customHeight="1" x14ac:dyDescent="0.3">
      <c r="A864" s="22">
        <v>44946</v>
      </c>
      <c r="B864" s="23">
        <v>165.666</v>
      </c>
      <c r="C864" s="24">
        <f t="shared" si="13"/>
        <v>-4.452937676900694E-3</v>
      </c>
    </row>
    <row r="865" spans="1:3" ht="14.25" customHeight="1" x14ac:dyDescent="0.3">
      <c r="A865" s="22">
        <v>44945</v>
      </c>
      <c r="B865" s="23">
        <v>166.40700000000001</v>
      </c>
      <c r="C865" s="24">
        <f t="shared" si="13"/>
        <v>-1.9971212666426677E-3</v>
      </c>
    </row>
    <row r="866" spans="1:3" ht="14.25" customHeight="1" x14ac:dyDescent="0.3">
      <c r="A866" s="22">
        <v>44944</v>
      </c>
      <c r="B866" s="23">
        <v>166.74</v>
      </c>
      <c r="C866" s="24">
        <f t="shared" si="13"/>
        <v>4.8755205476975214E-3</v>
      </c>
    </row>
    <row r="867" spans="1:3" ht="14.25" customHeight="1" x14ac:dyDescent="0.3">
      <c r="A867" s="22">
        <v>44943</v>
      </c>
      <c r="B867" s="23">
        <v>165.93100000000001</v>
      </c>
      <c r="C867" s="24">
        <f t="shared" si="13"/>
        <v>9.7726354143420143E-4</v>
      </c>
    </row>
    <row r="868" spans="1:3" ht="14.25" customHeight="1" x14ac:dyDescent="0.3">
      <c r="A868" s="22">
        <v>44942</v>
      </c>
      <c r="B868" s="23">
        <v>165.76900000000001</v>
      </c>
      <c r="C868" s="24">
        <f t="shared" si="13"/>
        <v>-2.3471494171244793E-3</v>
      </c>
    </row>
    <row r="869" spans="1:3" ht="14.25" customHeight="1" x14ac:dyDescent="0.3">
      <c r="A869" s="22">
        <v>44939</v>
      </c>
      <c r="B869" s="23">
        <v>166.15899999999999</v>
      </c>
      <c r="C869" s="24">
        <f t="shared" si="13"/>
        <v>2.5341048274696207E-3</v>
      </c>
    </row>
    <row r="870" spans="1:3" ht="14.25" customHeight="1" x14ac:dyDescent="0.3">
      <c r="A870" s="22">
        <v>44938</v>
      </c>
      <c r="B870" s="23">
        <v>165.739</v>
      </c>
      <c r="C870" s="24">
        <f t="shared" si="13"/>
        <v>-3.5585471477338388E-4</v>
      </c>
    </row>
    <row r="871" spans="1:3" ht="14.25" customHeight="1" x14ac:dyDescent="0.3">
      <c r="A871" s="22">
        <v>44937</v>
      </c>
      <c r="B871" s="23">
        <v>165.798</v>
      </c>
      <c r="C871" s="24">
        <f t="shared" si="13"/>
        <v>1.1835605850170768E-3</v>
      </c>
    </row>
    <row r="872" spans="1:3" ht="14.25" customHeight="1" x14ac:dyDescent="0.3">
      <c r="A872" s="22">
        <v>44936</v>
      </c>
      <c r="B872" s="23">
        <v>165.602</v>
      </c>
      <c r="C872" s="24">
        <f t="shared" si="13"/>
        <v>-3.6400392281912904E-3</v>
      </c>
    </row>
    <row r="873" spans="1:3" ht="14.25" customHeight="1" x14ac:dyDescent="0.3">
      <c r="A873" s="22">
        <v>44935</v>
      </c>
      <c r="B873" s="23">
        <v>166.20699999999999</v>
      </c>
      <c r="C873" s="24">
        <f t="shared" si="13"/>
        <v>9.8612258785786607E-3</v>
      </c>
    </row>
    <row r="874" spans="1:3" ht="14.25" customHeight="1" x14ac:dyDescent="0.3">
      <c r="A874" s="22">
        <v>44932</v>
      </c>
      <c r="B874" s="23">
        <v>164.584</v>
      </c>
      <c r="C874" s="24">
        <f t="shared" si="13"/>
        <v>-5.2582590931618727E-3</v>
      </c>
    </row>
    <row r="875" spans="1:3" ht="14.25" customHeight="1" x14ac:dyDescent="0.3">
      <c r="A875" s="22">
        <v>44931</v>
      </c>
      <c r="B875" s="23">
        <v>165.45400000000001</v>
      </c>
      <c r="C875" s="24">
        <f t="shared" si="13"/>
        <v>-1.3942119081389055E-3</v>
      </c>
    </row>
    <row r="876" spans="1:3" ht="14.25" customHeight="1" x14ac:dyDescent="0.3">
      <c r="A876" s="22">
        <v>44930</v>
      </c>
      <c r="B876" s="23">
        <v>165.685</v>
      </c>
      <c r="C876" s="24">
        <f t="shared" si="13"/>
        <v>-9.9965343754108062E-3</v>
      </c>
    </row>
    <row r="877" spans="1:3" ht="14.25" customHeight="1" x14ac:dyDescent="0.3">
      <c r="A877" s="22">
        <v>44929</v>
      </c>
      <c r="B877" s="23">
        <v>167.358</v>
      </c>
      <c r="C877" s="24">
        <f t="shared" si="13"/>
        <v>9.9287047227138137E-4</v>
      </c>
    </row>
    <row r="878" spans="1:3" ht="14.25" customHeight="1" x14ac:dyDescent="0.3">
      <c r="A878" s="22">
        <v>44928</v>
      </c>
      <c r="B878" s="23">
        <v>167.19200000000001</v>
      </c>
      <c r="C878" s="24">
        <f t="shared" si="13"/>
        <v>5.7448101204907003E-3</v>
      </c>
    </row>
    <row r="879" spans="1:3" ht="14.25" customHeight="1" x14ac:dyDescent="0.3">
      <c r="A879" s="22">
        <v>44925</v>
      </c>
      <c r="B879" s="23">
        <v>166.23699999999999</v>
      </c>
      <c r="C879" s="24">
        <f t="shared" si="13"/>
        <v>1.8320647490252214E-3</v>
      </c>
    </row>
    <row r="880" spans="1:3" ht="14.25" customHeight="1" x14ac:dyDescent="0.3">
      <c r="A880" s="22">
        <v>44924</v>
      </c>
      <c r="B880" s="23">
        <v>165.93299999999999</v>
      </c>
      <c r="C880" s="24">
        <f t="shared" si="13"/>
        <v>-3.6146102546494297E-4</v>
      </c>
    </row>
    <row r="881" spans="1:3" ht="14.25" customHeight="1" x14ac:dyDescent="0.3">
      <c r="A881" s="22">
        <v>44923</v>
      </c>
      <c r="B881" s="23">
        <v>165.99299999999999</v>
      </c>
      <c r="C881" s="24">
        <f t="shared" si="13"/>
        <v>3.3304723105377575E-3</v>
      </c>
    </row>
    <row r="882" spans="1:3" ht="14.25" customHeight="1" x14ac:dyDescent="0.3">
      <c r="A882" s="22">
        <v>44922</v>
      </c>
      <c r="B882" s="23">
        <v>165.44200000000001</v>
      </c>
      <c r="C882" s="24">
        <f t="shared" si="13"/>
        <v>7.4596418154027552E-3</v>
      </c>
    </row>
    <row r="883" spans="1:3" ht="14.25" customHeight="1" x14ac:dyDescent="0.3">
      <c r="A883" s="22">
        <v>44921</v>
      </c>
      <c r="B883" s="23">
        <v>164.21700000000001</v>
      </c>
      <c r="C883" s="24">
        <f t="shared" si="13"/>
        <v>2.098332525086731E-2</v>
      </c>
    </row>
    <row r="884" spans="1:3" ht="14.25" customHeight="1" x14ac:dyDescent="0.3">
      <c r="A884" s="22">
        <v>44918</v>
      </c>
      <c r="B884" s="23">
        <v>160.84200000000001</v>
      </c>
      <c r="C884" s="24">
        <f t="shared" si="13"/>
        <v>-2.3507412848938071E-2</v>
      </c>
    </row>
    <row r="885" spans="1:3" ht="14.25" customHeight="1" x14ac:dyDescent="0.3">
      <c r="A885" s="22">
        <v>44917</v>
      </c>
      <c r="B885" s="23">
        <v>164.714</v>
      </c>
      <c r="C885" s="24">
        <f t="shared" si="13"/>
        <v>-1.0839603889045734E-2</v>
      </c>
    </row>
    <row r="886" spans="1:3" ht="14.25" customHeight="1" x14ac:dyDescent="0.3">
      <c r="A886" s="22">
        <v>44916</v>
      </c>
      <c r="B886" s="23">
        <v>166.51900000000001</v>
      </c>
      <c r="C886" s="24">
        <f t="shared" si="13"/>
        <v>-1.6316066185809396E-2</v>
      </c>
    </row>
    <row r="887" spans="1:3" ht="14.25" customHeight="1" x14ac:dyDescent="0.3">
      <c r="A887" s="22">
        <v>44915</v>
      </c>
      <c r="B887" s="23">
        <v>169.28100000000001</v>
      </c>
      <c r="C887" s="24">
        <f t="shared" si="13"/>
        <v>-1.6925363276090188E-3</v>
      </c>
    </row>
    <row r="888" spans="1:3" ht="14.25" customHeight="1" x14ac:dyDescent="0.3">
      <c r="A888" s="22">
        <v>44914</v>
      </c>
      <c r="B888" s="23">
        <v>169.56800000000001</v>
      </c>
      <c r="C888" s="24">
        <f t="shared" si="13"/>
        <v>4.9843830566536958E-3</v>
      </c>
    </row>
    <row r="889" spans="1:3" ht="14.25" customHeight="1" x14ac:dyDescent="0.3">
      <c r="A889" s="22">
        <v>44911</v>
      </c>
      <c r="B889" s="23">
        <v>168.727</v>
      </c>
      <c r="C889" s="24">
        <f t="shared" si="13"/>
        <v>-9.0678976455179257E-3</v>
      </c>
    </row>
    <row r="890" spans="1:3" ht="14.25" customHeight="1" x14ac:dyDescent="0.3">
      <c r="A890" s="22">
        <v>44910</v>
      </c>
      <c r="B890" s="23">
        <v>170.27099999999999</v>
      </c>
      <c r="C890" s="24">
        <f t="shared" si="13"/>
        <v>-8.6228981321907344E-3</v>
      </c>
    </row>
    <row r="891" spans="1:3" ht="14.25" customHeight="1" x14ac:dyDescent="0.3">
      <c r="A891" s="22">
        <v>44909</v>
      </c>
      <c r="B891" s="23">
        <v>171.75200000000001</v>
      </c>
      <c r="C891" s="24">
        <f t="shared" si="13"/>
        <v>7.1422707495280577E-3</v>
      </c>
    </row>
    <row r="892" spans="1:3" ht="14.25" customHeight="1" x14ac:dyDescent="0.3">
      <c r="A892" s="22">
        <v>44908</v>
      </c>
      <c r="B892" s="23">
        <v>170.53399999999999</v>
      </c>
      <c r="C892" s="24">
        <f t="shared" si="13"/>
        <v>4.5534604532253943E-3</v>
      </c>
    </row>
    <row r="893" spans="1:3" ht="14.25" customHeight="1" x14ac:dyDescent="0.3">
      <c r="A893" s="22">
        <v>44907</v>
      </c>
      <c r="B893" s="23">
        <v>169.761</v>
      </c>
      <c r="C893" s="24">
        <f t="shared" si="13"/>
        <v>9.0208009056171631E-4</v>
      </c>
    </row>
    <row r="894" spans="1:3" ht="14.25" customHeight="1" x14ac:dyDescent="0.3">
      <c r="A894" s="22">
        <v>44904</v>
      </c>
      <c r="B894" s="23">
        <v>169.608</v>
      </c>
      <c r="C894" s="24">
        <f t="shared" si="13"/>
        <v>-8.0417351432598566E-3</v>
      </c>
    </row>
    <row r="895" spans="1:3" ht="14.25" customHeight="1" x14ac:dyDescent="0.3">
      <c r="A895" s="22">
        <v>44903</v>
      </c>
      <c r="B895" s="23">
        <v>170.983</v>
      </c>
      <c r="C895" s="24">
        <f t="shared" si="13"/>
        <v>5.3624662640897403E-3</v>
      </c>
    </row>
    <row r="896" spans="1:3" ht="14.25" customHeight="1" x14ac:dyDescent="0.3">
      <c r="A896" s="22">
        <v>44902</v>
      </c>
      <c r="B896" s="23">
        <v>170.071</v>
      </c>
      <c r="C896" s="24">
        <f t="shared" si="13"/>
        <v>-1.6319438329546495E-3</v>
      </c>
    </row>
    <row r="897" spans="1:3" ht="14.25" customHeight="1" x14ac:dyDescent="0.3">
      <c r="A897" s="22">
        <v>44901</v>
      </c>
      <c r="B897" s="23">
        <v>170.34899999999999</v>
      </c>
      <c r="C897" s="24">
        <f t="shared" si="13"/>
        <v>-3.1949442640218885E-3</v>
      </c>
    </row>
    <row r="898" spans="1:3" ht="14.25" customHeight="1" x14ac:dyDescent="0.3">
      <c r="A898" s="22">
        <v>44900</v>
      </c>
      <c r="B898" s="23">
        <v>170.89500000000001</v>
      </c>
      <c r="C898" s="24">
        <f t="shared" ref="C898:C961" si="14">(B898-B899)/B899</f>
        <v>1.1703229506238112E-5</v>
      </c>
    </row>
    <row r="899" spans="1:3" ht="14.25" customHeight="1" x14ac:dyDescent="0.3">
      <c r="A899" s="22">
        <v>44897</v>
      </c>
      <c r="B899" s="23">
        <v>170.893</v>
      </c>
      <c r="C899" s="24">
        <f t="shared" si="14"/>
        <v>-9.061783826762145E-4</v>
      </c>
    </row>
    <row r="900" spans="1:3" ht="14.25" customHeight="1" x14ac:dyDescent="0.3">
      <c r="A900" s="22">
        <v>44896</v>
      </c>
      <c r="B900" s="23">
        <v>171.048</v>
      </c>
      <c r="C900" s="24">
        <f t="shared" si="14"/>
        <v>3.7203516143040748E-3</v>
      </c>
    </row>
    <row r="901" spans="1:3" ht="14.25" customHeight="1" x14ac:dyDescent="0.3">
      <c r="A901" s="22">
        <v>44895</v>
      </c>
      <c r="B901" s="23">
        <v>170.41399999999999</v>
      </c>
      <c r="C901" s="24">
        <f t="shared" si="14"/>
        <v>7.1927989266948262E-3</v>
      </c>
    </row>
    <row r="902" spans="1:3" ht="14.25" customHeight="1" x14ac:dyDescent="0.3">
      <c r="A902" s="22">
        <v>44894</v>
      </c>
      <c r="B902" s="23">
        <v>169.197</v>
      </c>
      <c r="C902" s="24">
        <f t="shared" si="14"/>
        <v>1.3595469753033051E-4</v>
      </c>
    </row>
    <row r="903" spans="1:3" ht="14.25" customHeight="1" x14ac:dyDescent="0.3">
      <c r="A903" s="22">
        <v>44893</v>
      </c>
      <c r="B903" s="23">
        <v>169.17400000000001</v>
      </c>
      <c r="C903" s="24">
        <f t="shared" si="14"/>
        <v>1.2310168909721387E-3</v>
      </c>
    </row>
    <row r="904" spans="1:3" ht="14.25" customHeight="1" x14ac:dyDescent="0.3">
      <c r="A904" s="22">
        <v>44890</v>
      </c>
      <c r="B904" s="23">
        <v>168.96600000000001</v>
      </c>
      <c r="C904" s="24">
        <f t="shared" si="14"/>
        <v>6.0374392683624489E-3</v>
      </c>
    </row>
    <row r="905" spans="1:3" ht="14.25" customHeight="1" x14ac:dyDescent="0.3">
      <c r="A905" s="22">
        <v>44889</v>
      </c>
      <c r="B905" s="23">
        <v>167.952</v>
      </c>
      <c r="C905" s="24">
        <f t="shared" si="14"/>
        <v>9.9156359175721475E-3</v>
      </c>
    </row>
    <row r="906" spans="1:3" ht="14.25" customHeight="1" x14ac:dyDescent="0.3">
      <c r="A906" s="22">
        <v>44888</v>
      </c>
      <c r="B906" s="23">
        <v>166.303</v>
      </c>
      <c r="C906" s="24">
        <f t="shared" si="14"/>
        <v>1.6804799306124197E-3</v>
      </c>
    </row>
    <row r="907" spans="1:3" ht="14.25" customHeight="1" x14ac:dyDescent="0.3">
      <c r="A907" s="22">
        <v>44887</v>
      </c>
      <c r="B907" s="23">
        <v>166.024</v>
      </c>
      <c r="C907" s="24">
        <f t="shared" si="14"/>
        <v>-1.233238484259741E-3</v>
      </c>
    </row>
    <row r="908" spans="1:3" ht="14.25" customHeight="1" x14ac:dyDescent="0.3">
      <c r="A908" s="22">
        <v>44883</v>
      </c>
      <c r="B908" s="23">
        <v>166.22900000000001</v>
      </c>
      <c r="C908" s="24">
        <f t="shared" si="14"/>
        <v>-3.2439887269892472E-3</v>
      </c>
    </row>
    <row r="909" spans="1:3" ht="14.25" customHeight="1" x14ac:dyDescent="0.3">
      <c r="A909" s="22">
        <v>44882</v>
      </c>
      <c r="B909" s="23">
        <v>166.77</v>
      </c>
      <c r="C909" s="24">
        <f t="shared" si="14"/>
        <v>-4.2749841777819028E-3</v>
      </c>
    </row>
    <row r="910" spans="1:3" ht="14.25" customHeight="1" x14ac:dyDescent="0.3">
      <c r="A910" s="22">
        <v>44881</v>
      </c>
      <c r="B910" s="23">
        <v>167.48599999999999</v>
      </c>
      <c r="C910" s="24">
        <f t="shared" si="14"/>
        <v>-3.0773260001309261E-3</v>
      </c>
    </row>
    <row r="911" spans="1:3" ht="14.25" customHeight="1" x14ac:dyDescent="0.3">
      <c r="A911" s="22">
        <v>44880</v>
      </c>
      <c r="B911" s="23">
        <v>168.00299999999999</v>
      </c>
      <c r="C911" s="24">
        <f t="shared" si="14"/>
        <v>2.033853824957234E-3</v>
      </c>
    </row>
    <row r="912" spans="1:3" ht="14.25" customHeight="1" x14ac:dyDescent="0.3">
      <c r="A912" s="22">
        <v>44879</v>
      </c>
      <c r="B912" s="23">
        <v>167.66200000000001</v>
      </c>
      <c r="C912" s="24">
        <f t="shared" si="14"/>
        <v>-1.0545820697215338E-3</v>
      </c>
    </row>
    <row r="913" spans="1:3" ht="14.25" customHeight="1" x14ac:dyDescent="0.3">
      <c r="A913" s="22">
        <v>44876</v>
      </c>
      <c r="B913" s="23">
        <v>167.839</v>
      </c>
      <c r="C913" s="24">
        <f t="shared" si="14"/>
        <v>9.2361532864710886E-3</v>
      </c>
    </row>
    <row r="914" spans="1:3" ht="14.25" customHeight="1" x14ac:dyDescent="0.3">
      <c r="A914" s="22">
        <v>44875</v>
      </c>
      <c r="B914" s="23">
        <v>166.303</v>
      </c>
      <c r="C914" s="24">
        <f t="shared" si="14"/>
        <v>-9.2342704628455338E-3</v>
      </c>
    </row>
    <row r="915" spans="1:3" ht="14.25" customHeight="1" x14ac:dyDescent="0.3">
      <c r="A915" s="22">
        <v>44874</v>
      </c>
      <c r="B915" s="23">
        <v>167.85300000000001</v>
      </c>
      <c r="C915" s="24">
        <f t="shared" si="14"/>
        <v>-3.4908365540455939E-3</v>
      </c>
    </row>
    <row r="916" spans="1:3" ht="14.25" customHeight="1" x14ac:dyDescent="0.3">
      <c r="A916" s="22">
        <v>44872</v>
      </c>
      <c r="B916" s="23">
        <v>168.441</v>
      </c>
      <c r="C916" s="24">
        <f t="shared" si="14"/>
        <v>4.1551411674933397E-3</v>
      </c>
    </row>
    <row r="917" spans="1:3" ht="14.25" customHeight="1" x14ac:dyDescent="0.3">
      <c r="A917" s="22">
        <v>44869</v>
      </c>
      <c r="B917" s="23">
        <v>167.744</v>
      </c>
      <c r="C917" s="24">
        <f t="shared" si="14"/>
        <v>-1.9073049780666296E-4</v>
      </c>
    </row>
    <row r="918" spans="1:3" ht="14.25" customHeight="1" x14ac:dyDescent="0.3">
      <c r="A918" s="22">
        <v>44868</v>
      </c>
      <c r="B918" s="23">
        <v>167.77600000000001</v>
      </c>
      <c r="C918" s="24">
        <f t="shared" si="14"/>
        <v>-3.932269634537392E-4</v>
      </c>
    </row>
    <row r="919" spans="1:3" ht="14.25" customHeight="1" x14ac:dyDescent="0.3">
      <c r="A919" s="22">
        <v>44867</v>
      </c>
      <c r="B919" s="23">
        <v>167.84200000000001</v>
      </c>
      <c r="C919" s="24">
        <f t="shared" si="14"/>
        <v>-9.7020921996358736E-4</v>
      </c>
    </row>
    <row r="920" spans="1:3" ht="14.25" customHeight="1" x14ac:dyDescent="0.3">
      <c r="A920" s="22">
        <v>44866</v>
      </c>
      <c r="B920" s="23">
        <v>168.005</v>
      </c>
      <c r="C920" s="24">
        <f t="shared" si="14"/>
        <v>3.9859446150904256E-3</v>
      </c>
    </row>
    <row r="921" spans="1:3" ht="14.25" customHeight="1" x14ac:dyDescent="0.3">
      <c r="A921" s="22">
        <v>44865</v>
      </c>
      <c r="B921" s="23">
        <v>167.33799999999999</v>
      </c>
      <c r="C921" s="24">
        <f t="shared" si="14"/>
        <v>1.0788151154924141E-2</v>
      </c>
    </row>
    <row r="922" spans="1:3" ht="14.25" customHeight="1" x14ac:dyDescent="0.3">
      <c r="A922" s="22">
        <v>44862</v>
      </c>
      <c r="B922" s="23">
        <v>165.55199999999999</v>
      </c>
      <c r="C922" s="24">
        <f t="shared" si="14"/>
        <v>-4.6056349883958408E-3</v>
      </c>
    </row>
    <row r="923" spans="1:3" ht="14.25" customHeight="1" x14ac:dyDescent="0.3">
      <c r="A923" s="22">
        <v>44861</v>
      </c>
      <c r="B923" s="23">
        <v>166.31800000000001</v>
      </c>
      <c r="C923" s="24">
        <f t="shared" si="14"/>
        <v>5.1065732778157085E-3</v>
      </c>
    </row>
    <row r="924" spans="1:3" ht="14.25" customHeight="1" x14ac:dyDescent="0.3">
      <c r="A924" s="22">
        <v>44859</v>
      </c>
      <c r="B924" s="23">
        <v>165.47300000000001</v>
      </c>
      <c r="C924" s="24">
        <f t="shared" si="14"/>
        <v>5.4137147440182984E-3</v>
      </c>
    </row>
    <row r="925" spans="1:3" ht="14.25" customHeight="1" x14ac:dyDescent="0.3">
      <c r="A925" s="22">
        <v>44858</v>
      </c>
      <c r="B925" s="23">
        <v>164.58199999999999</v>
      </c>
      <c r="C925" s="24">
        <f t="shared" si="14"/>
        <v>0</v>
      </c>
    </row>
    <row r="926" spans="1:3" ht="14.25" customHeight="1" x14ac:dyDescent="0.3">
      <c r="A926" s="22">
        <v>44855</v>
      </c>
      <c r="B926" s="23">
        <v>164.58199999999999</v>
      </c>
      <c r="C926" s="24">
        <f t="shared" si="14"/>
        <v>9.852815959129433E-4</v>
      </c>
    </row>
    <row r="927" spans="1:3" ht="14.25" customHeight="1" x14ac:dyDescent="0.3">
      <c r="A927" s="22">
        <v>44854</v>
      </c>
      <c r="B927" s="23">
        <v>164.42</v>
      </c>
      <c r="C927" s="24">
        <f t="shared" si="14"/>
        <v>-4.4443368008041514E-3</v>
      </c>
    </row>
    <row r="928" spans="1:3" ht="14.25" customHeight="1" x14ac:dyDescent="0.3">
      <c r="A928" s="22">
        <v>44853</v>
      </c>
      <c r="B928" s="23">
        <v>165.154</v>
      </c>
      <c r="C928" s="24">
        <f t="shared" si="14"/>
        <v>1.5160335710473973E-3</v>
      </c>
    </row>
    <row r="929" spans="1:3" ht="14.25" customHeight="1" x14ac:dyDescent="0.3">
      <c r="A929" s="22">
        <v>44852</v>
      </c>
      <c r="B929" s="23">
        <v>164.904</v>
      </c>
      <c r="C929" s="24">
        <f t="shared" si="14"/>
        <v>1.0955326544750125E-2</v>
      </c>
    </row>
    <row r="930" spans="1:3" ht="14.25" customHeight="1" x14ac:dyDescent="0.3">
      <c r="A930" s="22">
        <v>44851</v>
      </c>
      <c r="B930" s="23">
        <v>163.11699999999999</v>
      </c>
      <c r="C930" s="24">
        <f t="shared" si="14"/>
        <v>3.2968182013888548E-3</v>
      </c>
    </row>
    <row r="931" spans="1:3" ht="14.25" customHeight="1" x14ac:dyDescent="0.3">
      <c r="A931" s="22">
        <v>44848</v>
      </c>
      <c r="B931" s="23">
        <v>162.58099999999999</v>
      </c>
      <c r="C931" s="24">
        <f t="shared" si="14"/>
        <v>2.4972868981846955E-3</v>
      </c>
    </row>
    <row r="932" spans="1:3" ht="14.25" customHeight="1" x14ac:dyDescent="0.3">
      <c r="A932" s="22">
        <v>44847</v>
      </c>
      <c r="B932" s="23">
        <v>162.17599999999999</v>
      </c>
      <c r="C932" s="24">
        <f t="shared" si="14"/>
        <v>-7.6305048860932307E-3</v>
      </c>
    </row>
    <row r="933" spans="1:3" ht="14.25" customHeight="1" x14ac:dyDescent="0.3">
      <c r="A933" s="22">
        <v>44846</v>
      </c>
      <c r="B933" s="23">
        <v>163.423</v>
      </c>
      <c r="C933" s="24">
        <f t="shared" si="14"/>
        <v>5.6428685710066184E-3</v>
      </c>
    </row>
    <row r="934" spans="1:3" ht="14.25" customHeight="1" x14ac:dyDescent="0.3">
      <c r="A934" s="22">
        <v>44845</v>
      </c>
      <c r="B934" s="23">
        <v>162.506</v>
      </c>
      <c r="C934" s="24">
        <f t="shared" si="14"/>
        <v>-1.4135261714674054E-2</v>
      </c>
    </row>
    <row r="935" spans="1:3" ht="14.25" customHeight="1" x14ac:dyDescent="0.3">
      <c r="A935" s="22">
        <v>44844</v>
      </c>
      <c r="B935" s="23">
        <v>164.83600000000001</v>
      </c>
      <c r="C935" s="24">
        <f t="shared" si="14"/>
        <v>-4.9680367501915325E-3</v>
      </c>
    </row>
    <row r="936" spans="1:3" ht="14.25" customHeight="1" x14ac:dyDescent="0.3">
      <c r="A936" s="22">
        <v>44841</v>
      </c>
      <c r="B936" s="23">
        <v>165.65899999999999</v>
      </c>
      <c r="C936" s="24">
        <f t="shared" si="14"/>
        <v>-1.5850821470329748E-3</v>
      </c>
    </row>
    <row r="937" spans="1:3" ht="14.25" customHeight="1" x14ac:dyDescent="0.3">
      <c r="A937" s="22">
        <v>44840</v>
      </c>
      <c r="B937" s="23">
        <v>165.922</v>
      </c>
      <c r="C937" s="24">
        <f t="shared" si="14"/>
        <v>6.1366806136680645E-3</v>
      </c>
    </row>
    <row r="938" spans="1:3" ht="14.25" customHeight="1" x14ac:dyDescent="0.3">
      <c r="A938" s="22">
        <v>44838</v>
      </c>
      <c r="B938" s="23">
        <v>164.91</v>
      </c>
      <c r="C938" s="24">
        <f t="shared" si="14"/>
        <v>1.9422877206864125E-2</v>
      </c>
    </row>
    <row r="939" spans="1:3" ht="14.25" customHeight="1" x14ac:dyDescent="0.3">
      <c r="A939" s="22">
        <v>44837</v>
      </c>
      <c r="B939" s="23">
        <v>161.768</v>
      </c>
      <c r="C939" s="24">
        <f t="shared" si="14"/>
        <v>-6.930759928052639E-3</v>
      </c>
    </row>
    <row r="940" spans="1:3" ht="14.25" customHeight="1" x14ac:dyDescent="0.3">
      <c r="A940" s="22">
        <v>44834</v>
      </c>
      <c r="B940" s="23">
        <v>162.89699999999999</v>
      </c>
      <c r="C940" s="24">
        <f t="shared" si="14"/>
        <v>1.8144430416140552E-2</v>
      </c>
    </row>
    <row r="941" spans="1:3" ht="14.25" customHeight="1" x14ac:dyDescent="0.3">
      <c r="A941" s="22">
        <v>44833</v>
      </c>
      <c r="B941" s="23">
        <v>159.994</v>
      </c>
      <c r="C941" s="24">
        <f t="shared" si="14"/>
        <v>2.6822756727623506E-3</v>
      </c>
    </row>
    <row r="942" spans="1:3" ht="14.25" customHeight="1" x14ac:dyDescent="0.3">
      <c r="A942" s="22">
        <v>44832</v>
      </c>
      <c r="B942" s="23">
        <v>159.566</v>
      </c>
      <c r="C942" s="24">
        <f t="shared" si="14"/>
        <v>-5.0444271239282771E-3</v>
      </c>
    </row>
    <row r="943" spans="1:3" ht="14.25" customHeight="1" x14ac:dyDescent="0.3">
      <c r="A943" s="22">
        <v>44831</v>
      </c>
      <c r="B943" s="23">
        <v>160.375</v>
      </c>
      <c r="C943" s="24">
        <f t="shared" si="14"/>
        <v>-2.2442351210329319E-4</v>
      </c>
    </row>
    <row r="944" spans="1:3" ht="14.25" customHeight="1" x14ac:dyDescent="0.3">
      <c r="A944" s="22">
        <v>44830</v>
      </c>
      <c r="B944" s="23">
        <v>160.411</v>
      </c>
      <c r="C944" s="24">
        <f t="shared" si="14"/>
        <v>-2.3408581726086102E-2</v>
      </c>
    </row>
    <row r="945" spans="1:3" ht="14.25" customHeight="1" x14ac:dyDescent="0.3">
      <c r="A945" s="22">
        <v>44827</v>
      </c>
      <c r="B945" s="23">
        <v>164.256</v>
      </c>
      <c r="C945" s="24">
        <f t="shared" si="14"/>
        <v>-1.4997871153834649E-2</v>
      </c>
    </row>
    <row r="946" spans="1:3" ht="14.25" customHeight="1" x14ac:dyDescent="0.3">
      <c r="A946" s="22">
        <v>44826</v>
      </c>
      <c r="B946" s="23">
        <v>166.75700000000001</v>
      </c>
      <c r="C946" s="24">
        <f t="shared" si="14"/>
        <v>-1.9630726875542563E-3</v>
      </c>
    </row>
    <row r="947" spans="1:3" ht="14.25" customHeight="1" x14ac:dyDescent="0.3">
      <c r="A947" s="22">
        <v>44825</v>
      </c>
      <c r="B947" s="23">
        <v>167.08500000000001</v>
      </c>
      <c r="C947" s="24">
        <f t="shared" si="14"/>
        <v>-2.4061425296140115E-3</v>
      </c>
    </row>
    <row r="948" spans="1:3" ht="14.25" customHeight="1" x14ac:dyDescent="0.3">
      <c r="A948" s="22">
        <v>44824</v>
      </c>
      <c r="B948" s="23">
        <v>167.488</v>
      </c>
      <c r="C948" s="24">
        <f t="shared" si="14"/>
        <v>1.3432727448749902E-2</v>
      </c>
    </row>
    <row r="949" spans="1:3" ht="14.25" customHeight="1" x14ac:dyDescent="0.3">
      <c r="A949" s="22">
        <v>44823</v>
      </c>
      <c r="B949" s="23">
        <v>165.268</v>
      </c>
      <c r="C949" s="24">
        <f t="shared" si="14"/>
        <v>5.4694011644531564E-3</v>
      </c>
    </row>
    <row r="950" spans="1:3" ht="14.25" customHeight="1" x14ac:dyDescent="0.3">
      <c r="A950" s="22">
        <v>44820</v>
      </c>
      <c r="B950" s="23">
        <v>164.369</v>
      </c>
      <c r="C950" s="24">
        <f t="shared" si="14"/>
        <v>-1.9067341433720807E-2</v>
      </c>
    </row>
    <row r="951" spans="1:3" ht="14.25" customHeight="1" x14ac:dyDescent="0.3">
      <c r="A951" s="22">
        <v>44819</v>
      </c>
      <c r="B951" s="23">
        <v>167.56399999999999</v>
      </c>
      <c r="C951" s="24">
        <f t="shared" si="14"/>
        <v>6.6884838640323655E-4</v>
      </c>
    </row>
    <row r="952" spans="1:3" ht="14.25" customHeight="1" x14ac:dyDescent="0.3">
      <c r="A952" s="22">
        <v>44818</v>
      </c>
      <c r="B952" s="23">
        <v>167.452</v>
      </c>
      <c r="C952" s="24">
        <f t="shared" si="14"/>
        <v>9.982963206503965E-4</v>
      </c>
    </row>
    <row r="953" spans="1:3" ht="14.25" customHeight="1" x14ac:dyDescent="0.3">
      <c r="A953" s="22">
        <v>44817</v>
      </c>
      <c r="B953" s="23">
        <v>167.285</v>
      </c>
      <c r="C953" s="24">
        <f t="shared" si="14"/>
        <v>6.5040552573944598E-3</v>
      </c>
    </row>
    <row r="954" spans="1:3" ht="14.25" customHeight="1" x14ac:dyDescent="0.3">
      <c r="A954" s="22">
        <v>44816</v>
      </c>
      <c r="B954" s="23">
        <v>166.20400000000001</v>
      </c>
      <c r="C954" s="24">
        <f t="shared" si="14"/>
        <v>5.8156775173533086E-3</v>
      </c>
    </row>
    <row r="955" spans="1:3" ht="14.25" customHeight="1" x14ac:dyDescent="0.3">
      <c r="A955" s="22">
        <v>44813</v>
      </c>
      <c r="B955" s="23">
        <v>165.24299999999999</v>
      </c>
      <c r="C955" s="24">
        <f t="shared" si="14"/>
        <v>1.0894235133908721E-4</v>
      </c>
    </row>
    <row r="956" spans="1:3" ht="14.25" customHeight="1" x14ac:dyDescent="0.3">
      <c r="A956" s="22">
        <v>44812</v>
      </c>
      <c r="B956" s="23">
        <v>165.22499999999999</v>
      </c>
      <c r="C956" s="24">
        <f t="shared" si="14"/>
        <v>5.9177001333309501E-3</v>
      </c>
    </row>
    <row r="957" spans="1:3" ht="14.25" customHeight="1" x14ac:dyDescent="0.3">
      <c r="A957" s="22">
        <v>44811</v>
      </c>
      <c r="B957" s="23">
        <v>164.25299999999999</v>
      </c>
      <c r="C957" s="24">
        <f t="shared" si="14"/>
        <v>9.8555179833998158E-3</v>
      </c>
    </row>
    <row r="958" spans="1:3" ht="14.25" customHeight="1" x14ac:dyDescent="0.3">
      <c r="A958" s="22">
        <v>44810</v>
      </c>
      <c r="B958" s="23">
        <v>162.65</v>
      </c>
      <c r="C958" s="24">
        <f t="shared" si="14"/>
        <v>-2.3920510304218986E-3</v>
      </c>
    </row>
    <row r="959" spans="1:3" ht="14.25" customHeight="1" x14ac:dyDescent="0.3">
      <c r="A959" s="22">
        <v>44809</v>
      </c>
      <c r="B959" s="23">
        <v>163.04</v>
      </c>
      <c r="C959" s="24">
        <f t="shared" si="14"/>
        <v>6.8610316867268369E-3</v>
      </c>
    </row>
    <row r="960" spans="1:3" ht="14.25" customHeight="1" x14ac:dyDescent="0.3">
      <c r="A960" s="22">
        <v>44806</v>
      </c>
      <c r="B960" s="23">
        <v>161.929</v>
      </c>
      <c r="C960" s="24">
        <f t="shared" si="14"/>
        <v>4.8963634106988689E-3</v>
      </c>
    </row>
    <row r="961" spans="1:3" ht="14.25" customHeight="1" x14ac:dyDescent="0.3">
      <c r="A961" s="22">
        <v>44805</v>
      </c>
      <c r="B961" s="23">
        <v>161.13999999999999</v>
      </c>
      <c r="C961" s="24">
        <f t="shared" si="14"/>
        <v>2.6506713789712639E-3</v>
      </c>
    </row>
    <row r="962" spans="1:3" ht="14.25" customHeight="1" x14ac:dyDescent="0.3">
      <c r="A962" s="22">
        <v>44803</v>
      </c>
      <c r="B962" s="23">
        <v>160.714</v>
      </c>
      <c r="C962" s="24">
        <f t="shared" ref="C962:C1025" si="15">(B962-B963)/B963</f>
        <v>2.1469975085167958E-2</v>
      </c>
    </row>
    <row r="963" spans="1:3" ht="14.25" customHeight="1" x14ac:dyDescent="0.3">
      <c r="A963" s="22">
        <v>44802</v>
      </c>
      <c r="B963" s="23">
        <v>157.33600000000001</v>
      </c>
      <c r="C963" s="24">
        <f t="shared" si="15"/>
        <v>-1.2527301483694304E-2</v>
      </c>
    </row>
    <row r="964" spans="1:3" ht="14.25" customHeight="1" x14ac:dyDescent="0.3">
      <c r="A964" s="22">
        <v>44799</v>
      </c>
      <c r="B964" s="23">
        <v>159.33199999999999</v>
      </c>
      <c r="C964" s="24">
        <f t="shared" si="15"/>
        <v>3.9570521221896481E-3</v>
      </c>
    </row>
    <row r="965" spans="1:3" ht="14.25" customHeight="1" x14ac:dyDescent="0.3">
      <c r="A965" s="22">
        <v>44798</v>
      </c>
      <c r="B965" s="23">
        <v>158.70400000000001</v>
      </c>
      <c r="C965" s="24">
        <f t="shared" si="15"/>
        <v>-1.283761673420969E-3</v>
      </c>
    </row>
    <row r="966" spans="1:3" ht="14.25" customHeight="1" x14ac:dyDescent="0.3">
      <c r="A966" s="22">
        <v>44797</v>
      </c>
      <c r="B966" s="23">
        <v>158.90799999999999</v>
      </c>
      <c r="C966" s="24">
        <f t="shared" si="15"/>
        <v>7.5131718265565185E-3</v>
      </c>
    </row>
    <row r="967" spans="1:3" ht="14.25" customHeight="1" x14ac:dyDescent="0.3">
      <c r="A967" s="22">
        <v>44796</v>
      </c>
      <c r="B967" s="23">
        <v>157.72300000000001</v>
      </c>
      <c r="C967" s="24">
        <f t="shared" si="15"/>
        <v>7.434896748190878E-3</v>
      </c>
    </row>
    <row r="968" spans="1:3" ht="14.25" customHeight="1" x14ac:dyDescent="0.3">
      <c r="A968" s="22">
        <v>44795</v>
      </c>
      <c r="B968" s="23">
        <v>156.559</v>
      </c>
      <c r="C968" s="24">
        <f t="shared" si="15"/>
        <v>-1.3136413204490606E-2</v>
      </c>
    </row>
    <row r="969" spans="1:3" ht="14.25" customHeight="1" x14ac:dyDescent="0.3">
      <c r="A969" s="22">
        <v>44792</v>
      </c>
      <c r="B969" s="23">
        <v>158.643</v>
      </c>
      <c r="C969" s="24">
        <f t="shared" si="15"/>
        <v>-1.1046348533491204E-2</v>
      </c>
    </row>
    <row r="970" spans="1:3" ht="14.25" customHeight="1" x14ac:dyDescent="0.3">
      <c r="A970" s="22">
        <v>44791</v>
      </c>
      <c r="B970" s="23">
        <v>160.41499999999999</v>
      </c>
      <c r="C970" s="24">
        <f t="shared" si="15"/>
        <v>1.5984115784938731E-3</v>
      </c>
    </row>
    <row r="971" spans="1:3" ht="14.25" customHeight="1" x14ac:dyDescent="0.3">
      <c r="A971" s="22">
        <v>44790</v>
      </c>
      <c r="B971" s="23">
        <v>160.15899999999999</v>
      </c>
      <c r="C971" s="24">
        <f t="shared" si="15"/>
        <v>5.7143215969958786E-3</v>
      </c>
    </row>
    <row r="972" spans="1:3" ht="14.25" customHeight="1" x14ac:dyDescent="0.3">
      <c r="A972" s="22">
        <v>44789</v>
      </c>
      <c r="B972" s="23">
        <v>159.249</v>
      </c>
      <c r="C972" s="24">
        <f t="shared" si="15"/>
        <v>6.3382328779241553E-3</v>
      </c>
    </row>
    <row r="973" spans="1:3" ht="14.25" customHeight="1" x14ac:dyDescent="0.3">
      <c r="A973" s="22">
        <v>44785</v>
      </c>
      <c r="B973" s="23">
        <v>158.24600000000001</v>
      </c>
      <c r="C973" s="24">
        <f t="shared" si="15"/>
        <v>4.468649629940002E-3</v>
      </c>
    </row>
    <row r="974" spans="1:3" ht="14.25" customHeight="1" x14ac:dyDescent="0.3">
      <c r="A974" s="22">
        <v>44784</v>
      </c>
      <c r="B974" s="23">
        <v>157.542</v>
      </c>
      <c r="C974" s="24">
        <f t="shared" si="15"/>
        <v>9.3928598887721895E-3</v>
      </c>
    </row>
    <row r="975" spans="1:3" ht="14.25" customHeight="1" x14ac:dyDescent="0.3">
      <c r="A975" s="22">
        <v>44783</v>
      </c>
      <c r="B975" s="23">
        <v>156.07599999999999</v>
      </c>
      <c r="C975" s="24">
        <f t="shared" si="15"/>
        <v>-1.8577239678419245E-4</v>
      </c>
    </row>
    <row r="976" spans="1:3" ht="14.25" customHeight="1" x14ac:dyDescent="0.3">
      <c r="A976" s="22">
        <v>44781</v>
      </c>
      <c r="B976" s="23">
        <v>156.10499999999999</v>
      </c>
      <c r="C976" s="24">
        <f t="shared" si="15"/>
        <v>5.5266768439968285E-3</v>
      </c>
    </row>
    <row r="977" spans="1:3" ht="14.25" customHeight="1" x14ac:dyDescent="0.3">
      <c r="A977" s="22">
        <v>44778</v>
      </c>
      <c r="B977" s="23">
        <v>155.24700000000001</v>
      </c>
      <c r="C977" s="24">
        <f t="shared" si="15"/>
        <v>-4.8286784872708714E-4</v>
      </c>
    </row>
    <row r="978" spans="1:3" ht="14.25" customHeight="1" x14ac:dyDescent="0.3">
      <c r="A978" s="22">
        <v>44777</v>
      </c>
      <c r="B978" s="23">
        <v>155.322</v>
      </c>
      <c r="C978" s="24">
        <f t="shared" si="15"/>
        <v>-2.6775566813707651E-3</v>
      </c>
    </row>
    <row r="979" spans="1:3" ht="14.25" customHeight="1" x14ac:dyDescent="0.3">
      <c r="A979" s="22">
        <v>44776</v>
      </c>
      <c r="B979" s="23">
        <v>155.739</v>
      </c>
      <c r="C979" s="24">
        <f t="shared" si="15"/>
        <v>-2.8300497499696331E-3</v>
      </c>
    </row>
    <row r="980" spans="1:3" ht="14.25" customHeight="1" x14ac:dyDescent="0.3">
      <c r="A980" s="22">
        <v>44775</v>
      </c>
      <c r="B980" s="23">
        <v>156.18100000000001</v>
      </c>
      <c r="C980" s="24">
        <f t="shared" si="15"/>
        <v>1.0190870518261544E-3</v>
      </c>
    </row>
    <row r="981" spans="1:3" ht="14.25" customHeight="1" x14ac:dyDescent="0.3">
      <c r="A981" s="22">
        <v>44774</v>
      </c>
      <c r="B981" s="23">
        <v>156.02199999999999</v>
      </c>
      <c r="C981" s="24">
        <f t="shared" si="15"/>
        <v>1.1802700354080967E-2</v>
      </c>
    </row>
    <row r="982" spans="1:3" ht="14.25" customHeight="1" x14ac:dyDescent="0.3">
      <c r="A982" s="22">
        <v>44771</v>
      </c>
      <c r="B982" s="23">
        <v>154.202</v>
      </c>
      <c r="C982" s="24">
        <f t="shared" si="15"/>
        <v>1.0438440721058321E-2</v>
      </c>
    </row>
    <row r="983" spans="1:3" ht="14.25" customHeight="1" x14ac:dyDescent="0.3">
      <c r="A983" s="22">
        <v>44770</v>
      </c>
      <c r="B983" s="23">
        <v>152.60900000000001</v>
      </c>
      <c r="C983" s="24">
        <f t="shared" si="15"/>
        <v>1.2311529455467042E-2</v>
      </c>
    </row>
    <row r="984" spans="1:3" ht="14.25" customHeight="1" x14ac:dyDescent="0.3">
      <c r="A984" s="22">
        <v>44769</v>
      </c>
      <c r="B984" s="23">
        <v>150.75299999999999</v>
      </c>
      <c r="C984" s="24">
        <f t="shared" si="15"/>
        <v>9.8741283100770346E-3</v>
      </c>
    </row>
    <row r="985" spans="1:3" ht="14.25" customHeight="1" x14ac:dyDescent="0.3">
      <c r="A985" s="22">
        <v>44768</v>
      </c>
      <c r="B985" s="23">
        <v>149.279</v>
      </c>
      <c r="C985" s="24">
        <f t="shared" si="15"/>
        <v>-8.9163601598705212E-3</v>
      </c>
    </row>
    <row r="986" spans="1:3" ht="14.25" customHeight="1" x14ac:dyDescent="0.3">
      <c r="A986" s="22">
        <v>44767</v>
      </c>
      <c r="B986" s="23">
        <v>150.62200000000001</v>
      </c>
      <c r="C986" s="24">
        <f t="shared" si="15"/>
        <v>1.123274378045045E-3</v>
      </c>
    </row>
    <row r="987" spans="1:3" ht="14.25" customHeight="1" x14ac:dyDescent="0.3">
      <c r="A987" s="22">
        <v>44764</v>
      </c>
      <c r="B987" s="23">
        <v>150.453</v>
      </c>
      <c r="C987" s="24">
        <f t="shared" si="15"/>
        <v>3.7493912242897295E-3</v>
      </c>
    </row>
    <row r="988" spans="1:3" ht="14.25" customHeight="1" x14ac:dyDescent="0.3">
      <c r="A988" s="22">
        <v>44763</v>
      </c>
      <c r="B988" s="23">
        <v>149.89099999999999</v>
      </c>
      <c r="C988" s="24">
        <f t="shared" si="15"/>
        <v>1.098730625514286E-2</v>
      </c>
    </row>
    <row r="989" spans="1:3" ht="14.25" customHeight="1" x14ac:dyDescent="0.3">
      <c r="A989" s="22">
        <v>44762</v>
      </c>
      <c r="B989" s="23">
        <v>148.262</v>
      </c>
      <c r="C989" s="24">
        <f t="shared" si="15"/>
        <v>6.0254861780232967E-3</v>
      </c>
    </row>
    <row r="990" spans="1:3" ht="14.25" customHeight="1" x14ac:dyDescent="0.3">
      <c r="A990" s="22">
        <v>44761</v>
      </c>
      <c r="B990" s="23">
        <v>147.374</v>
      </c>
      <c r="C990" s="24">
        <f t="shared" si="15"/>
        <v>5.355108500637815E-3</v>
      </c>
    </row>
    <row r="991" spans="1:3" ht="14.25" customHeight="1" x14ac:dyDescent="0.3">
      <c r="A991" s="22">
        <v>44760</v>
      </c>
      <c r="B991" s="23">
        <v>146.589</v>
      </c>
      <c r="C991" s="24">
        <f t="shared" si="15"/>
        <v>1.5145219595296548E-2</v>
      </c>
    </row>
    <row r="992" spans="1:3" ht="14.25" customHeight="1" x14ac:dyDescent="0.3">
      <c r="A992" s="22">
        <v>44757</v>
      </c>
      <c r="B992" s="23">
        <v>144.40199999999999</v>
      </c>
      <c r="C992" s="24">
        <f t="shared" si="15"/>
        <v>5.6970135948293931E-3</v>
      </c>
    </row>
    <row r="993" spans="1:3" ht="14.25" customHeight="1" x14ac:dyDescent="0.3">
      <c r="A993" s="22">
        <v>44756</v>
      </c>
      <c r="B993" s="23">
        <v>143.584</v>
      </c>
      <c r="C993" s="24">
        <f t="shared" si="15"/>
        <v>-2.5494786420378478E-3</v>
      </c>
    </row>
    <row r="994" spans="1:3" ht="14.25" customHeight="1" x14ac:dyDescent="0.3">
      <c r="A994" s="22">
        <v>44755</v>
      </c>
      <c r="B994" s="23">
        <v>143.95099999999999</v>
      </c>
      <c r="C994" s="24">
        <f t="shared" si="15"/>
        <v>-2.0935439817542272E-3</v>
      </c>
    </row>
    <row r="995" spans="1:3" ht="14.25" customHeight="1" x14ac:dyDescent="0.3">
      <c r="A995" s="22">
        <v>44754</v>
      </c>
      <c r="B995" s="23">
        <v>144.25299999999999</v>
      </c>
      <c r="C995" s="24">
        <f t="shared" si="15"/>
        <v>-8.0045661786449698E-3</v>
      </c>
    </row>
    <row r="996" spans="1:3" ht="14.25" customHeight="1" x14ac:dyDescent="0.3">
      <c r="A996" s="22">
        <v>44753</v>
      </c>
      <c r="B996" s="23">
        <v>145.417</v>
      </c>
      <c r="C996" s="24">
        <f t="shared" si="15"/>
        <v>1.7428563555703504E-3</v>
      </c>
    </row>
    <row r="997" spans="1:3" ht="14.25" customHeight="1" x14ac:dyDescent="0.3">
      <c r="A997" s="22">
        <v>44750</v>
      </c>
      <c r="B997" s="23">
        <v>145.16399999999999</v>
      </c>
      <c r="C997" s="24">
        <f t="shared" si="15"/>
        <v>5.9247863958588149E-3</v>
      </c>
    </row>
    <row r="998" spans="1:3" ht="14.25" customHeight="1" x14ac:dyDescent="0.3">
      <c r="A998" s="22">
        <v>44749</v>
      </c>
      <c r="B998" s="23">
        <v>144.309</v>
      </c>
      <c r="C998" s="24">
        <f t="shared" si="15"/>
        <v>1.1197454996461272E-2</v>
      </c>
    </row>
    <row r="999" spans="1:3" ht="14.25" customHeight="1" x14ac:dyDescent="0.3">
      <c r="A999" s="22">
        <v>44748</v>
      </c>
      <c r="B999" s="23">
        <v>142.71100000000001</v>
      </c>
      <c r="C999" s="24">
        <f t="shared" si="15"/>
        <v>1.3205444050805558E-2</v>
      </c>
    </row>
    <row r="1000" spans="1:3" ht="14.25" customHeight="1" x14ac:dyDescent="0.3">
      <c r="A1000" s="22">
        <v>44747</v>
      </c>
      <c r="B1000" s="23">
        <v>140.851</v>
      </c>
      <c r="C1000" s="24">
        <f t="shared" si="15"/>
        <v>1.1301282233530819E-3</v>
      </c>
    </row>
    <row r="1001" spans="1:3" ht="14.25" customHeight="1" x14ac:dyDescent="0.3">
      <c r="A1001" s="22">
        <v>44746</v>
      </c>
      <c r="B1001" s="23">
        <v>140.69200000000001</v>
      </c>
      <c r="C1001" s="24">
        <f t="shared" si="15"/>
        <v>1.3733373683224576E-2</v>
      </c>
    </row>
    <row r="1002" spans="1:3" ht="14.25" customHeight="1" x14ac:dyDescent="0.3">
      <c r="A1002" s="22">
        <v>44743</v>
      </c>
      <c r="B1002" s="23">
        <v>138.786</v>
      </c>
      <c r="C1002" s="24">
        <f t="shared" si="15"/>
        <v>4.8800973123262759E-3</v>
      </c>
    </row>
    <row r="1003" spans="1:3" ht="14.25" customHeight="1" x14ac:dyDescent="0.3">
      <c r="A1003" s="22">
        <v>44742</v>
      </c>
      <c r="B1003" s="23">
        <v>138.11199999999999</v>
      </c>
      <c r="C1003" s="24">
        <f t="shared" si="15"/>
        <v>-4.3542201332219307E-3</v>
      </c>
    </row>
    <row r="1004" spans="1:3" ht="14.25" customHeight="1" x14ac:dyDescent="0.3">
      <c r="A1004" s="22">
        <v>44741</v>
      </c>
      <c r="B1004" s="23">
        <v>138.71600000000001</v>
      </c>
      <c r="C1004" s="24">
        <f t="shared" si="15"/>
        <v>-2.2369755515114233E-3</v>
      </c>
    </row>
    <row r="1005" spans="1:3" ht="14.25" customHeight="1" x14ac:dyDescent="0.3">
      <c r="A1005" s="22">
        <v>44740</v>
      </c>
      <c r="B1005" s="23">
        <v>139.02699999999999</v>
      </c>
      <c r="C1005" s="24">
        <f t="shared" si="15"/>
        <v>5.3511899166225358E-3</v>
      </c>
    </row>
    <row r="1006" spans="1:3" ht="14.25" customHeight="1" x14ac:dyDescent="0.3">
      <c r="A1006" s="22">
        <v>44739</v>
      </c>
      <c r="B1006" s="23">
        <v>138.28700000000001</v>
      </c>
      <c r="C1006" s="24">
        <f t="shared" si="15"/>
        <v>1.2075792062179392E-2</v>
      </c>
    </row>
    <row r="1007" spans="1:3" ht="14.25" customHeight="1" x14ac:dyDescent="0.3">
      <c r="A1007" s="22">
        <v>44736</v>
      </c>
      <c r="B1007" s="23">
        <v>136.637</v>
      </c>
      <c r="C1007" s="24">
        <f t="shared" si="15"/>
        <v>1.4199400255336919E-2</v>
      </c>
    </row>
    <row r="1008" spans="1:3" ht="14.25" customHeight="1" x14ac:dyDescent="0.3">
      <c r="A1008" s="22">
        <v>44735</v>
      </c>
      <c r="B1008" s="23">
        <v>134.72399999999999</v>
      </c>
      <c r="C1008" s="24">
        <f t="shared" si="15"/>
        <v>1.2285012285012217E-2</v>
      </c>
    </row>
    <row r="1009" spans="1:3" ht="14.25" customHeight="1" x14ac:dyDescent="0.3">
      <c r="A1009" s="22">
        <v>44734</v>
      </c>
      <c r="B1009" s="23">
        <v>133.089</v>
      </c>
      <c r="C1009" s="24">
        <f t="shared" si="15"/>
        <v>-1.2458447109106034E-2</v>
      </c>
    </row>
    <row r="1010" spans="1:3" ht="14.25" customHeight="1" x14ac:dyDescent="0.3">
      <c r="A1010" s="22">
        <v>44733</v>
      </c>
      <c r="B1010" s="23">
        <v>134.768</v>
      </c>
      <c r="C1010" s="24">
        <f t="shared" si="15"/>
        <v>2.5553610836313859E-2</v>
      </c>
    </row>
    <row r="1011" spans="1:3" ht="14.25" customHeight="1" x14ac:dyDescent="0.3">
      <c r="A1011" s="22">
        <v>44732</v>
      </c>
      <c r="B1011" s="23">
        <v>131.41</v>
      </c>
      <c r="C1011" s="24">
        <f t="shared" si="15"/>
        <v>-8.0617159075470034E-3</v>
      </c>
    </row>
    <row r="1012" spans="1:3" ht="14.25" customHeight="1" x14ac:dyDescent="0.3">
      <c r="A1012" s="22">
        <v>44729</v>
      </c>
      <c r="B1012" s="23">
        <v>132.47800000000001</v>
      </c>
      <c r="C1012" s="24">
        <f t="shared" si="15"/>
        <v>-9.9322158033584157E-3</v>
      </c>
    </row>
    <row r="1013" spans="1:3" ht="14.25" customHeight="1" x14ac:dyDescent="0.3">
      <c r="A1013" s="22">
        <v>44728</v>
      </c>
      <c r="B1013" s="23">
        <v>133.80699999999999</v>
      </c>
      <c r="C1013" s="24">
        <f t="shared" si="15"/>
        <v>-2.3442004393551385E-2</v>
      </c>
    </row>
    <row r="1014" spans="1:3" ht="14.25" customHeight="1" x14ac:dyDescent="0.3">
      <c r="A1014" s="22">
        <v>44727</v>
      </c>
      <c r="B1014" s="23">
        <v>137.01900000000001</v>
      </c>
      <c r="C1014" s="24">
        <f t="shared" si="15"/>
        <v>1.630164624696725E-3</v>
      </c>
    </row>
    <row r="1015" spans="1:3" ht="14.25" customHeight="1" x14ac:dyDescent="0.3">
      <c r="A1015" s="22">
        <v>44726</v>
      </c>
      <c r="B1015" s="23">
        <v>136.79599999999999</v>
      </c>
      <c r="C1015" s="24">
        <f t="shared" si="15"/>
        <v>1.4715033493172766E-3</v>
      </c>
    </row>
    <row r="1016" spans="1:3" ht="14.25" customHeight="1" x14ac:dyDescent="0.3">
      <c r="A1016" s="22">
        <v>44725</v>
      </c>
      <c r="B1016" s="23">
        <v>136.595</v>
      </c>
      <c r="C1016" s="24">
        <f t="shared" si="15"/>
        <v>-2.8609424113555847E-2</v>
      </c>
    </row>
    <row r="1017" spans="1:3" ht="14.25" customHeight="1" x14ac:dyDescent="0.3">
      <c r="A1017" s="22">
        <v>44722</v>
      </c>
      <c r="B1017" s="23">
        <v>140.61799999999999</v>
      </c>
      <c r="C1017" s="24">
        <f t="shared" si="15"/>
        <v>-9.7672617161367586E-3</v>
      </c>
    </row>
    <row r="1018" spans="1:3" ht="14.25" customHeight="1" x14ac:dyDescent="0.3">
      <c r="A1018" s="22">
        <v>44721</v>
      </c>
      <c r="B1018" s="23">
        <v>142.005</v>
      </c>
      <c r="C1018" s="24">
        <f t="shared" si="15"/>
        <v>1.3892023017037314E-3</v>
      </c>
    </row>
    <row r="1019" spans="1:3" ht="14.25" customHeight="1" x14ac:dyDescent="0.3">
      <c r="A1019" s="22">
        <v>44720</v>
      </c>
      <c r="B1019" s="23">
        <v>141.80799999999999</v>
      </c>
      <c r="C1019" s="24">
        <f t="shared" si="15"/>
        <v>-1.387275095947345E-3</v>
      </c>
    </row>
    <row r="1020" spans="1:3" ht="14.25" customHeight="1" x14ac:dyDescent="0.3">
      <c r="A1020" s="22">
        <v>44719</v>
      </c>
      <c r="B1020" s="23">
        <v>142.005</v>
      </c>
      <c r="C1020" s="24">
        <f t="shared" si="15"/>
        <v>-8.0609671763563345E-3</v>
      </c>
    </row>
    <row r="1021" spans="1:3" ht="14.25" customHeight="1" x14ac:dyDescent="0.3">
      <c r="A1021" s="22">
        <v>44718</v>
      </c>
      <c r="B1021" s="23">
        <v>143.15899999999999</v>
      </c>
      <c r="C1021" s="24">
        <f t="shared" si="15"/>
        <v>-6.1715539264690245E-3</v>
      </c>
    </row>
    <row r="1022" spans="1:3" ht="14.25" customHeight="1" x14ac:dyDescent="0.3">
      <c r="A1022" s="22">
        <v>44715</v>
      </c>
      <c r="B1022" s="23">
        <v>144.048</v>
      </c>
      <c r="C1022" s="24">
        <f t="shared" si="15"/>
        <v>-5.8799171842650365E-3</v>
      </c>
    </row>
    <row r="1023" spans="1:3" ht="14.25" customHeight="1" x14ac:dyDescent="0.3">
      <c r="A1023" s="22">
        <v>44714</v>
      </c>
      <c r="B1023" s="23">
        <v>144.9</v>
      </c>
      <c r="C1023" s="24">
        <f t="shared" si="15"/>
        <v>7.9719520848116586E-3</v>
      </c>
    </row>
    <row r="1024" spans="1:3" ht="14.25" customHeight="1" x14ac:dyDescent="0.3">
      <c r="A1024" s="22">
        <v>44713</v>
      </c>
      <c r="B1024" s="23">
        <v>143.75399999999999</v>
      </c>
      <c r="C1024" s="24">
        <f t="shared" si="15"/>
        <v>1.7351311800982213E-3</v>
      </c>
    </row>
    <row r="1025" spans="1:3" ht="14.25" customHeight="1" x14ac:dyDescent="0.3">
      <c r="A1025" s="22">
        <v>44712</v>
      </c>
      <c r="B1025" s="23">
        <v>143.505</v>
      </c>
      <c r="C1025" s="24">
        <f t="shared" si="15"/>
        <v>1.3187641296156254E-3</v>
      </c>
    </row>
    <row r="1026" spans="1:3" ht="14.25" customHeight="1" x14ac:dyDescent="0.3">
      <c r="A1026" s="22">
        <v>44711</v>
      </c>
      <c r="B1026" s="23">
        <v>143.316</v>
      </c>
      <c r="C1026" s="24">
        <f t="shared" ref="C1026:C1089" si="16">(B1026-B1027)/B1027</f>
        <v>2.3605288155930656E-2</v>
      </c>
    </row>
    <row r="1027" spans="1:3" ht="14.25" customHeight="1" x14ac:dyDescent="0.3">
      <c r="A1027" s="22">
        <v>44708</v>
      </c>
      <c r="B1027" s="23">
        <v>140.011</v>
      </c>
      <c r="C1027" s="24">
        <f t="shared" si="16"/>
        <v>1.1486696382774315E-2</v>
      </c>
    </row>
    <row r="1028" spans="1:3" ht="14.25" customHeight="1" x14ac:dyDescent="0.3">
      <c r="A1028" s="22">
        <v>44707</v>
      </c>
      <c r="B1028" s="23">
        <v>138.42099999999999</v>
      </c>
      <c r="C1028" s="24">
        <f t="shared" si="16"/>
        <v>1.2885994438753079E-2</v>
      </c>
    </row>
    <row r="1029" spans="1:3" ht="14.25" customHeight="1" x14ac:dyDescent="0.3">
      <c r="A1029" s="22">
        <v>44706</v>
      </c>
      <c r="B1029" s="23">
        <v>136.66</v>
      </c>
      <c r="C1029" s="24">
        <f t="shared" si="16"/>
        <v>-1.5332737700665866E-2</v>
      </c>
    </row>
    <row r="1030" spans="1:3" ht="14.25" customHeight="1" x14ac:dyDescent="0.3">
      <c r="A1030" s="22">
        <v>44705</v>
      </c>
      <c r="B1030" s="23">
        <v>138.78800000000001</v>
      </c>
      <c r="C1030" s="24">
        <f t="shared" si="16"/>
        <v>-7.9627167588738976E-3</v>
      </c>
    </row>
    <row r="1031" spans="1:3" ht="14.25" customHeight="1" x14ac:dyDescent="0.3">
      <c r="A1031" s="22">
        <v>44704</v>
      </c>
      <c r="B1031" s="23">
        <v>139.90199999999999</v>
      </c>
      <c r="C1031" s="24">
        <f t="shared" si="16"/>
        <v>-1.8193882574543108E-3</v>
      </c>
    </row>
    <row r="1032" spans="1:3" ht="14.25" customHeight="1" x14ac:dyDescent="0.3">
      <c r="A1032" s="22">
        <v>44701</v>
      </c>
      <c r="B1032" s="23">
        <v>140.15700000000001</v>
      </c>
      <c r="C1032" s="24">
        <f t="shared" si="16"/>
        <v>2.3096070602147672E-2</v>
      </c>
    </row>
    <row r="1033" spans="1:3" ht="14.25" customHeight="1" x14ac:dyDescent="0.3">
      <c r="A1033" s="22">
        <v>44700</v>
      </c>
      <c r="B1033" s="23">
        <v>136.99299999999999</v>
      </c>
      <c r="C1033" s="24">
        <f t="shared" si="16"/>
        <v>-2.7252522527000406E-2</v>
      </c>
    </row>
    <row r="1034" spans="1:3" ht="14.25" customHeight="1" x14ac:dyDescent="0.3">
      <c r="A1034" s="22">
        <v>44699</v>
      </c>
      <c r="B1034" s="23">
        <v>140.83099999999999</v>
      </c>
      <c r="C1034" s="24">
        <f t="shared" si="16"/>
        <v>-2.9381363012051347E-3</v>
      </c>
    </row>
    <row r="1035" spans="1:3" ht="14.25" customHeight="1" x14ac:dyDescent="0.3">
      <c r="A1035" s="22">
        <v>44698</v>
      </c>
      <c r="B1035" s="23">
        <v>141.24600000000001</v>
      </c>
      <c r="C1035" s="24">
        <f t="shared" si="16"/>
        <v>2.3143620835778242E-2</v>
      </c>
    </row>
    <row r="1036" spans="1:3" ht="14.25" customHeight="1" x14ac:dyDescent="0.3">
      <c r="A1036" s="22">
        <v>44697</v>
      </c>
      <c r="B1036" s="23">
        <v>138.05099999999999</v>
      </c>
      <c r="C1036" s="24">
        <f t="shared" si="16"/>
        <v>6.7896732788796906E-3</v>
      </c>
    </row>
    <row r="1037" spans="1:3" ht="14.25" customHeight="1" x14ac:dyDescent="0.3">
      <c r="A1037" s="22">
        <v>44694</v>
      </c>
      <c r="B1037" s="23">
        <v>137.12</v>
      </c>
      <c r="C1037" s="24">
        <f t="shared" si="16"/>
        <v>2.8450332285302624E-4</v>
      </c>
    </row>
    <row r="1038" spans="1:3" ht="14.25" customHeight="1" x14ac:dyDescent="0.3">
      <c r="A1038" s="22">
        <v>44693</v>
      </c>
      <c r="B1038" s="23">
        <v>137.08099999999999</v>
      </c>
      <c r="C1038" s="24">
        <f t="shared" si="16"/>
        <v>-1.4628080163317122E-2</v>
      </c>
    </row>
    <row r="1039" spans="1:3" ht="14.25" customHeight="1" x14ac:dyDescent="0.3">
      <c r="A1039" s="22">
        <v>44692</v>
      </c>
      <c r="B1039" s="23">
        <v>139.11600000000001</v>
      </c>
      <c r="C1039" s="24">
        <f t="shared" si="16"/>
        <v>-1.0329520232200771E-2</v>
      </c>
    </row>
    <row r="1040" spans="1:3" ht="14.25" customHeight="1" x14ac:dyDescent="0.3">
      <c r="A1040" s="22">
        <v>44691</v>
      </c>
      <c r="B1040" s="23">
        <v>140.56800000000001</v>
      </c>
      <c r="C1040" s="24">
        <f t="shared" si="16"/>
        <v>-1.1692247119122994E-2</v>
      </c>
    </row>
    <row r="1041" spans="1:3" ht="14.25" customHeight="1" x14ac:dyDescent="0.3">
      <c r="A1041" s="22">
        <v>44690</v>
      </c>
      <c r="B1041" s="23">
        <v>142.23099999999999</v>
      </c>
      <c r="C1041" s="24">
        <f t="shared" si="16"/>
        <v>-1.0140025611046112E-2</v>
      </c>
    </row>
    <row r="1042" spans="1:3" ht="14.25" customHeight="1" x14ac:dyDescent="0.3">
      <c r="A1042" s="22">
        <v>44687</v>
      </c>
      <c r="B1042" s="23">
        <v>143.68799999999999</v>
      </c>
      <c r="C1042" s="24">
        <f t="shared" si="16"/>
        <v>-1.3761814225803736E-2</v>
      </c>
    </row>
    <row r="1043" spans="1:3" ht="14.25" customHeight="1" x14ac:dyDescent="0.3">
      <c r="A1043" s="22">
        <v>44686</v>
      </c>
      <c r="B1043" s="23">
        <v>145.69300000000001</v>
      </c>
      <c r="C1043" s="24">
        <f t="shared" si="16"/>
        <v>1.181959992028817E-3</v>
      </c>
    </row>
    <row r="1044" spans="1:3" ht="14.25" customHeight="1" x14ac:dyDescent="0.3">
      <c r="A1044" s="22">
        <v>44685</v>
      </c>
      <c r="B1044" s="23">
        <v>145.52099999999999</v>
      </c>
      <c r="C1044" s="24">
        <f t="shared" si="16"/>
        <v>-2.7552056881665947E-2</v>
      </c>
    </row>
    <row r="1045" spans="1:3" ht="14.25" customHeight="1" x14ac:dyDescent="0.3">
      <c r="A1045" s="22">
        <v>44683</v>
      </c>
      <c r="B1045" s="23">
        <v>149.64400000000001</v>
      </c>
      <c r="C1045" s="24">
        <f t="shared" si="16"/>
        <v>-3.1442351248368488E-3</v>
      </c>
    </row>
    <row r="1046" spans="1:3" ht="14.25" customHeight="1" x14ac:dyDescent="0.3">
      <c r="A1046" s="22">
        <v>44680</v>
      </c>
      <c r="B1046" s="23">
        <v>150.11600000000001</v>
      </c>
      <c r="C1046" s="24">
        <f t="shared" si="16"/>
        <v>-7.3596995285295777E-3</v>
      </c>
    </row>
    <row r="1047" spans="1:3" ht="14.25" customHeight="1" x14ac:dyDescent="0.3">
      <c r="A1047" s="22">
        <v>44679</v>
      </c>
      <c r="B1047" s="23">
        <v>151.22900000000001</v>
      </c>
      <c r="C1047" s="24">
        <f t="shared" si="16"/>
        <v>1.2221976801001466E-2</v>
      </c>
    </row>
    <row r="1048" spans="1:3" ht="14.25" customHeight="1" x14ac:dyDescent="0.3">
      <c r="A1048" s="22">
        <v>44678</v>
      </c>
      <c r="B1048" s="23">
        <v>149.40299999999999</v>
      </c>
      <c r="C1048" s="24">
        <f t="shared" si="16"/>
        <v>-5.6637427289789235E-3</v>
      </c>
    </row>
    <row r="1049" spans="1:3" ht="14.25" customHeight="1" x14ac:dyDescent="0.3">
      <c r="A1049" s="22">
        <v>44677</v>
      </c>
      <c r="B1049" s="23">
        <v>150.25399999999999</v>
      </c>
      <c r="C1049" s="24">
        <f t="shared" si="16"/>
        <v>1.3032544278962471E-2</v>
      </c>
    </row>
    <row r="1050" spans="1:3" ht="14.25" customHeight="1" x14ac:dyDescent="0.3">
      <c r="A1050" s="22">
        <v>44676</v>
      </c>
      <c r="B1050" s="23">
        <v>148.321</v>
      </c>
      <c r="C1050" s="24">
        <f t="shared" si="16"/>
        <v>-1.5877755218493311E-2</v>
      </c>
    </row>
    <row r="1051" spans="1:3" ht="14.25" customHeight="1" x14ac:dyDescent="0.3">
      <c r="A1051" s="22">
        <v>44673</v>
      </c>
      <c r="B1051" s="23">
        <v>150.714</v>
      </c>
      <c r="C1051" s="24">
        <f t="shared" si="16"/>
        <v>-8.375716344160988E-3</v>
      </c>
    </row>
    <row r="1052" spans="1:3" ht="14.25" customHeight="1" x14ac:dyDescent="0.3">
      <c r="A1052" s="22">
        <v>44672</v>
      </c>
      <c r="B1052" s="23">
        <v>151.98699999999999</v>
      </c>
      <c r="C1052" s="24">
        <f t="shared" si="16"/>
        <v>1.1708869185504607E-2</v>
      </c>
    </row>
    <row r="1053" spans="1:3" ht="14.25" customHeight="1" x14ac:dyDescent="0.3">
      <c r="A1053" s="22">
        <v>44671</v>
      </c>
      <c r="B1053" s="23">
        <v>150.22800000000001</v>
      </c>
      <c r="C1053" s="24">
        <f t="shared" si="16"/>
        <v>4.0032346670766895E-3</v>
      </c>
    </row>
    <row r="1054" spans="1:3" ht="14.25" customHeight="1" x14ac:dyDescent="0.3">
      <c r="A1054" s="22">
        <v>44670</v>
      </c>
      <c r="B1054" s="23">
        <v>149.62899999999999</v>
      </c>
      <c r="C1054" s="24">
        <f t="shared" si="16"/>
        <v>-1.3606428773905331E-2</v>
      </c>
    </row>
    <row r="1055" spans="1:3" ht="14.25" customHeight="1" x14ac:dyDescent="0.3">
      <c r="A1055" s="22">
        <v>44669</v>
      </c>
      <c r="B1055" s="23">
        <v>151.69300000000001</v>
      </c>
      <c r="C1055" s="24">
        <f t="shared" si="16"/>
        <v>-1.7494203142609126E-2</v>
      </c>
    </row>
    <row r="1056" spans="1:3" ht="14.25" customHeight="1" x14ac:dyDescent="0.3">
      <c r="A1056" s="22">
        <v>44664</v>
      </c>
      <c r="B1056" s="23">
        <v>154.39400000000001</v>
      </c>
      <c r="C1056" s="24">
        <f t="shared" si="16"/>
        <v>-7.5076046857799146E-4</v>
      </c>
    </row>
    <row r="1057" spans="1:3" ht="14.25" customHeight="1" x14ac:dyDescent="0.3">
      <c r="A1057" s="22">
        <v>44663</v>
      </c>
      <c r="B1057" s="23">
        <v>154.51</v>
      </c>
      <c r="C1057" s="24">
        <f t="shared" si="16"/>
        <v>-8.4771322779164486E-3</v>
      </c>
    </row>
    <row r="1058" spans="1:3" ht="14.25" customHeight="1" x14ac:dyDescent="0.3">
      <c r="A1058" s="22">
        <v>44662</v>
      </c>
      <c r="B1058" s="23">
        <v>155.83099999999999</v>
      </c>
      <c r="C1058" s="24">
        <f t="shared" si="16"/>
        <v>-2.4517648866299421E-3</v>
      </c>
    </row>
    <row r="1059" spans="1:3" ht="14.25" customHeight="1" x14ac:dyDescent="0.3">
      <c r="A1059" s="22">
        <v>44659</v>
      </c>
      <c r="B1059" s="23">
        <v>156.214</v>
      </c>
      <c r="C1059" s="24">
        <f t="shared" si="16"/>
        <v>9.4278052405415216E-3</v>
      </c>
    </row>
    <row r="1060" spans="1:3" ht="14.25" customHeight="1" x14ac:dyDescent="0.3">
      <c r="A1060" s="22">
        <v>44658</v>
      </c>
      <c r="B1060" s="23">
        <v>154.755</v>
      </c>
      <c r="C1060" s="24">
        <f t="shared" si="16"/>
        <v>-5.9991393097778107E-3</v>
      </c>
    </row>
    <row r="1061" spans="1:3" ht="14.25" customHeight="1" x14ac:dyDescent="0.3">
      <c r="A1061" s="22">
        <v>44657</v>
      </c>
      <c r="B1061" s="23">
        <v>155.68899999999999</v>
      </c>
      <c r="C1061" s="24">
        <f t="shared" si="16"/>
        <v>1.9435345299155817E-3</v>
      </c>
    </row>
    <row r="1062" spans="1:3" ht="14.25" customHeight="1" x14ac:dyDescent="0.3">
      <c r="A1062" s="22">
        <v>44656</v>
      </c>
      <c r="B1062" s="23">
        <v>155.387</v>
      </c>
      <c r="C1062" s="24">
        <f t="shared" si="16"/>
        <v>-1.2869433165822795E-4</v>
      </c>
    </row>
    <row r="1063" spans="1:3" ht="14.25" customHeight="1" x14ac:dyDescent="0.3">
      <c r="A1063" s="22">
        <v>44655</v>
      </c>
      <c r="B1063" s="23">
        <v>155.40700000000001</v>
      </c>
      <c r="C1063" s="24">
        <f t="shared" si="16"/>
        <v>1.353933646816379E-2</v>
      </c>
    </row>
    <row r="1064" spans="1:3" ht="14.25" customHeight="1" x14ac:dyDescent="0.3">
      <c r="A1064" s="22">
        <v>44652</v>
      </c>
      <c r="B1064" s="23">
        <v>153.33099999999999</v>
      </c>
      <c r="C1064" s="24">
        <f t="shared" si="16"/>
        <v>1.3135724810529721E-2</v>
      </c>
    </row>
    <row r="1065" spans="1:3" ht="14.25" customHeight="1" x14ac:dyDescent="0.3">
      <c r="A1065" s="22">
        <v>44651</v>
      </c>
      <c r="B1065" s="23">
        <v>151.34299999999999</v>
      </c>
      <c r="C1065" s="24">
        <f t="shared" si="16"/>
        <v>2.7230805925847496E-3</v>
      </c>
    </row>
    <row r="1066" spans="1:3" ht="14.25" customHeight="1" x14ac:dyDescent="0.3">
      <c r="A1066" s="22">
        <v>44650</v>
      </c>
      <c r="B1066" s="23">
        <v>150.93199999999999</v>
      </c>
      <c r="C1066" s="24">
        <f t="shared" si="16"/>
        <v>9.5448312765458853E-3</v>
      </c>
    </row>
    <row r="1067" spans="1:3" ht="14.25" customHeight="1" x14ac:dyDescent="0.3">
      <c r="A1067" s="22">
        <v>44649</v>
      </c>
      <c r="B1067" s="23">
        <v>149.505</v>
      </c>
      <c r="C1067" s="24">
        <f t="shared" si="16"/>
        <v>9.3777849793403919E-3</v>
      </c>
    </row>
    <row r="1068" spans="1:3" ht="14.25" customHeight="1" x14ac:dyDescent="0.3">
      <c r="A1068" s="22">
        <v>44648</v>
      </c>
      <c r="B1068" s="23">
        <v>148.11600000000001</v>
      </c>
      <c r="C1068" s="24">
        <f t="shared" si="16"/>
        <v>2.66038463881725E-3</v>
      </c>
    </row>
    <row r="1069" spans="1:3" ht="14.25" customHeight="1" x14ac:dyDescent="0.3">
      <c r="A1069" s="22">
        <v>44645</v>
      </c>
      <c r="B1069" s="23">
        <v>147.72300000000001</v>
      </c>
      <c r="C1069" s="24">
        <f t="shared" si="16"/>
        <v>-6.0887743297257345E-4</v>
      </c>
    </row>
    <row r="1070" spans="1:3" ht="14.25" customHeight="1" x14ac:dyDescent="0.3">
      <c r="A1070" s="22">
        <v>44644</v>
      </c>
      <c r="B1070" s="23">
        <v>147.81299999999999</v>
      </c>
      <c r="C1070" s="24">
        <f t="shared" si="16"/>
        <v>1.8231849482186807E-3</v>
      </c>
    </row>
    <row r="1071" spans="1:3" ht="14.25" customHeight="1" x14ac:dyDescent="0.3">
      <c r="A1071" s="22">
        <v>44643</v>
      </c>
      <c r="B1071" s="23">
        <v>147.54400000000001</v>
      </c>
      <c r="C1071" s="24">
        <f t="shared" si="16"/>
        <v>2.3165288750909164E-3</v>
      </c>
    </row>
    <row r="1072" spans="1:3" ht="14.25" customHeight="1" x14ac:dyDescent="0.3">
      <c r="A1072" s="22">
        <v>44642</v>
      </c>
      <c r="B1072" s="23">
        <v>147.203</v>
      </c>
      <c r="C1072" s="24">
        <f t="shared" si="16"/>
        <v>6.5575339843002324E-3</v>
      </c>
    </row>
    <row r="1073" spans="1:3" ht="14.25" customHeight="1" x14ac:dyDescent="0.3">
      <c r="A1073" s="22">
        <v>44641</v>
      </c>
      <c r="B1073" s="23">
        <v>146.244</v>
      </c>
      <c r="C1073" s="24">
        <f t="shared" si="16"/>
        <v>-2.7548960776825893E-3</v>
      </c>
    </row>
    <row r="1074" spans="1:3" ht="14.25" customHeight="1" x14ac:dyDescent="0.3">
      <c r="A1074" s="22">
        <v>44637</v>
      </c>
      <c r="B1074" s="23">
        <v>146.648</v>
      </c>
      <c r="C1074" s="24">
        <f t="shared" si="16"/>
        <v>1.6046337610509123E-2</v>
      </c>
    </row>
    <row r="1075" spans="1:3" ht="14.25" customHeight="1" x14ac:dyDescent="0.3">
      <c r="A1075" s="22">
        <v>44636</v>
      </c>
      <c r="B1075" s="23">
        <v>144.33199999999999</v>
      </c>
      <c r="C1075" s="24">
        <f t="shared" si="16"/>
        <v>1.6236463746074542E-2</v>
      </c>
    </row>
    <row r="1076" spans="1:3" ht="14.25" customHeight="1" x14ac:dyDescent="0.3">
      <c r="A1076" s="22">
        <v>44635</v>
      </c>
      <c r="B1076" s="23">
        <v>142.02600000000001</v>
      </c>
      <c r="C1076" s="24">
        <f t="shared" si="16"/>
        <v>-3.0744609164419655E-3</v>
      </c>
    </row>
    <row r="1077" spans="1:3" ht="14.25" customHeight="1" x14ac:dyDescent="0.3">
      <c r="A1077" s="22">
        <v>44634</v>
      </c>
      <c r="B1077" s="23">
        <v>142.464</v>
      </c>
      <c r="C1077" s="24">
        <f t="shared" si="16"/>
        <v>1.133693483924559E-2</v>
      </c>
    </row>
    <row r="1078" spans="1:3" ht="14.25" customHeight="1" x14ac:dyDescent="0.3">
      <c r="A1078" s="22">
        <v>44631</v>
      </c>
      <c r="B1078" s="23">
        <v>140.86699999999999</v>
      </c>
      <c r="C1078" s="24">
        <f t="shared" si="16"/>
        <v>5.1733241997402226E-3</v>
      </c>
    </row>
    <row r="1079" spans="1:3" ht="14.25" customHeight="1" x14ac:dyDescent="0.3">
      <c r="A1079" s="22">
        <v>44630</v>
      </c>
      <c r="B1079" s="23">
        <v>140.142</v>
      </c>
      <c r="C1079" s="24">
        <f t="shared" si="16"/>
        <v>7.0638622007919297E-3</v>
      </c>
    </row>
    <row r="1080" spans="1:3" ht="14.25" customHeight="1" x14ac:dyDescent="0.3">
      <c r="A1080" s="22">
        <v>44629</v>
      </c>
      <c r="B1080" s="23">
        <v>139.15899999999999</v>
      </c>
      <c r="C1080" s="24">
        <f t="shared" si="16"/>
        <v>2.0968298104929561E-2</v>
      </c>
    </row>
    <row r="1081" spans="1:3" ht="14.25" customHeight="1" x14ac:dyDescent="0.3">
      <c r="A1081" s="22">
        <v>44628</v>
      </c>
      <c r="B1081" s="23">
        <v>136.30099999999999</v>
      </c>
      <c r="C1081" s="24">
        <f t="shared" si="16"/>
        <v>1.7232372081915321E-2</v>
      </c>
    </row>
    <row r="1082" spans="1:3" ht="14.25" customHeight="1" x14ac:dyDescent="0.3">
      <c r="A1082" s="22">
        <v>44627</v>
      </c>
      <c r="B1082" s="23">
        <v>133.99199999999999</v>
      </c>
      <c r="C1082" s="24">
        <f t="shared" si="16"/>
        <v>-1.8761808515312711E-2</v>
      </c>
    </row>
    <row r="1083" spans="1:3" ht="14.25" customHeight="1" x14ac:dyDescent="0.3">
      <c r="A1083" s="22">
        <v>44624</v>
      </c>
      <c r="B1083" s="23">
        <v>136.554</v>
      </c>
      <c r="C1083" s="24">
        <f t="shared" si="16"/>
        <v>-1.7547646284345204E-2</v>
      </c>
    </row>
    <row r="1084" spans="1:3" ht="14.25" customHeight="1" x14ac:dyDescent="0.3">
      <c r="A1084" s="22">
        <v>44623</v>
      </c>
      <c r="B1084" s="23">
        <v>138.99299999999999</v>
      </c>
      <c r="C1084" s="24">
        <f t="shared" si="16"/>
        <v>-1.587484017412068E-3</v>
      </c>
    </row>
    <row r="1085" spans="1:3" ht="14.25" customHeight="1" x14ac:dyDescent="0.3">
      <c r="A1085" s="22">
        <v>44622</v>
      </c>
      <c r="B1085" s="23">
        <v>139.214</v>
      </c>
      <c r="C1085" s="24">
        <f t="shared" si="16"/>
        <v>-9.6534847159086817E-3</v>
      </c>
    </row>
    <row r="1086" spans="1:3" ht="14.25" customHeight="1" x14ac:dyDescent="0.3">
      <c r="A1086" s="22">
        <v>44620</v>
      </c>
      <c r="B1086" s="23">
        <v>140.571</v>
      </c>
      <c r="C1086" s="24">
        <f t="shared" si="16"/>
        <v>5.9683548380171552E-3</v>
      </c>
    </row>
    <row r="1087" spans="1:3" ht="14.25" customHeight="1" x14ac:dyDescent="0.3">
      <c r="A1087" s="22">
        <v>44617</v>
      </c>
      <c r="B1087" s="23">
        <v>139.73699999999999</v>
      </c>
      <c r="C1087" s="24">
        <f t="shared" si="16"/>
        <v>3.4950895436164024E-2</v>
      </c>
    </row>
    <row r="1088" spans="1:3" ht="14.25" customHeight="1" x14ac:dyDescent="0.3">
      <c r="A1088" s="22">
        <v>44616</v>
      </c>
      <c r="B1088" s="23">
        <v>135.018</v>
      </c>
      <c r="C1088" s="24">
        <f t="shared" si="16"/>
        <v>-5.260498894853164E-2</v>
      </c>
    </row>
    <row r="1089" spans="1:3" ht="14.25" customHeight="1" x14ac:dyDescent="0.3">
      <c r="A1089" s="22">
        <v>44615</v>
      </c>
      <c r="B1089" s="23">
        <v>142.51499999999999</v>
      </c>
      <c r="C1089" s="24">
        <f t="shared" si="16"/>
        <v>2.5536045922674292E-3</v>
      </c>
    </row>
    <row r="1090" spans="1:3" ht="14.25" customHeight="1" x14ac:dyDescent="0.3">
      <c r="A1090" s="22">
        <v>44614</v>
      </c>
      <c r="B1090" s="23">
        <v>142.15199999999999</v>
      </c>
      <c r="C1090" s="24">
        <f t="shared" ref="C1090:C1153" si="17">(B1090-B1091)/B1091</f>
        <v>-1.3963167204245173E-2</v>
      </c>
    </row>
    <row r="1091" spans="1:3" ht="14.25" customHeight="1" x14ac:dyDescent="0.3">
      <c r="A1091" s="22">
        <v>44613</v>
      </c>
      <c r="B1091" s="23">
        <v>144.16499999999999</v>
      </c>
      <c r="C1091" s="24">
        <f t="shared" si="17"/>
        <v>-4.9282504710827565E-3</v>
      </c>
    </row>
    <row r="1092" spans="1:3" ht="14.25" customHeight="1" x14ac:dyDescent="0.3">
      <c r="A1092" s="22">
        <v>44610</v>
      </c>
      <c r="B1092" s="23">
        <v>144.87899999999999</v>
      </c>
      <c r="C1092" s="24">
        <f t="shared" si="17"/>
        <v>-3.7339604736560243E-3</v>
      </c>
    </row>
    <row r="1093" spans="1:3" ht="14.25" customHeight="1" x14ac:dyDescent="0.3">
      <c r="A1093" s="22">
        <v>44609</v>
      </c>
      <c r="B1093" s="23">
        <v>145.422</v>
      </c>
      <c r="C1093" s="24">
        <f t="shared" si="17"/>
        <v>4.471748866583496E-4</v>
      </c>
    </row>
    <row r="1094" spans="1:3" ht="14.25" customHeight="1" x14ac:dyDescent="0.3">
      <c r="A1094" s="22">
        <v>44608</v>
      </c>
      <c r="B1094" s="23">
        <v>145.357</v>
      </c>
      <c r="C1094" s="24">
        <f t="shared" si="17"/>
        <v>8.6069185854357165E-4</v>
      </c>
    </row>
    <row r="1095" spans="1:3" ht="14.25" customHeight="1" x14ac:dyDescent="0.3">
      <c r="A1095" s="22">
        <v>44607</v>
      </c>
      <c r="B1095" s="23">
        <v>145.232</v>
      </c>
      <c r="C1095" s="24">
        <f t="shared" si="17"/>
        <v>2.6751880549742601E-2</v>
      </c>
    </row>
    <row r="1096" spans="1:3" ht="14.25" customHeight="1" x14ac:dyDescent="0.3">
      <c r="A1096" s="22">
        <v>44606</v>
      </c>
      <c r="B1096" s="23">
        <v>141.44800000000001</v>
      </c>
      <c r="C1096" s="24">
        <f t="shared" si="17"/>
        <v>-3.6484019509005164E-2</v>
      </c>
    </row>
    <row r="1097" spans="1:3" ht="14.25" customHeight="1" x14ac:dyDescent="0.3">
      <c r="A1097" s="22">
        <v>44603</v>
      </c>
      <c r="B1097" s="23">
        <v>146.804</v>
      </c>
      <c r="C1097" s="24">
        <f t="shared" si="17"/>
        <v>-1.409642518955286E-2</v>
      </c>
    </row>
    <row r="1098" spans="1:3" ht="14.25" customHeight="1" x14ac:dyDescent="0.3">
      <c r="A1098" s="22">
        <v>44602</v>
      </c>
      <c r="B1098" s="23">
        <v>148.90299999999999</v>
      </c>
      <c r="C1098" s="24">
        <f t="shared" si="17"/>
        <v>2.2683521128655888E-3</v>
      </c>
    </row>
    <row r="1099" spans="1:3" ht="14.25" customHeight="1" x14ac:dyDescent="0.3">
      <c r="A1099" s="22">
        <v>44601</v>
      </c>
      <c r="B1099" s="23">
        <v>148.566</v>
      </c>
      <c r="C1099" s="24">
        <f t="shared" si="17"/>
        <v>8.2798311457385945E-3</v>
      </c>
    </row>
    <row r="1100" spans="1:3" ht="14.25" customHeight="1" x14ac:dyDescent="0.3">
      <c r="A1100" s="22">
        <v>44600</v>
      </c>
      <c r="B1100" s="23">
        <v>147.346</v>
      </c>
      <c r="C1100" s="24">
        <f t="shared" si="17"/>
        <v>-8.0649504523912612E-3</v>
      </c>
    </row>
    <row r="1101" spans="1:3" ht="14.25" customHeight="1" x14ac:dyDescent="0.3">
      <c r="A1101" s="22">
        <v>44599</v>
      </c>
      <c r="B1101" s="23">
        <v>148.54400000000001</v>
      </c>
      <c r="C1101" s="24">
        <f t="shared" si="17"/>
        <v>-1.074867805911091E-2</v>
      </c>
    </row>
    <row r="1102" spans="1:3" ht="14.25" customHeight="1" x14ac:dyDescent="0.3">
      <c r="A1102" s="22">
        <v>44596</v>
      </c>
      <c r="B1102" s="23">
        <v>150.15799999999999</v>
      </c>
      <c r="C1102" s="24">
        <f t="shared" si="17"/>
        <v>-5.7934358716307038E-3</v>
      </c>
    </row>
    <row r="1103" spans="1:3" ht="14.25" customHeight="1" x14ac:dyDescent="0.3">
      <c r="A1103" s="22">
        <v>44595</v>
      </c>
      <c r="B1103" s="23">
        <v>151.03299999999999</v>
      </c>
      <c r="C1103" s="24">
        <f t="shared" si="17"/>
        <v>-5.0985791169050236E-3</v>
      </c>
    </row>
    <row r="1104" spans="1:3" ht="14.25" customHeight="1" x14ac:dyDescent="0.3">
      <c r="A1104" s="22">
        <v>44594</v>
      </c>
      <c r="B1104" s="23">
        <v>151.80699999999999</v>
      </c>
      <c r="C1104" s="24">
        <f t="shared" si="17"/>
        <v>1.252592893969803E-2</v>
      </c>
    </row>
    <row r="1105" spans="1:3" ht="14.25" customHeight="1" x14ac:dyDescent="0.3">
      <c r="A1105" s="22">
        <v>44593</v>
      </c>
      <c r="B1105" s="23">
        <v>149.929</v>
      </c>
      <c r="C1105" s="24">
        <f t="shared" si="17"/>
        <v>1.1953455095236269E-2</v>
      </c>
    </row>
    <row r="1106" spans="1:3" ht="14.25" customHeight="1" x14ac:dyDescent="0.3">
      <c r="A1106" s="22">
        <v>44592</v>
      </c>
      <c r="B1106" s="23">
        <v>148.15799999999999</v>
      </c>
      <c r="C1106" s="24">
        <f t="shared" si="17"/>
        <v>1.2049674166973929E-2</v>
      </c>
    </row>
    <row r="1107" spans="1:3" ht="14.25" customHeight="1" x14ac:dyDescent="0.3">
      <c r="A1107" s="22">
        <v>44589</v>
      </c>
      <c r="B1107" s="23">
        <v>146.39400000000001</v>
      </c>
      <c r="C1107" s="24">
        <f t="shared" si="17"/>
        <v>6.317236638597774E-3</v>
      </c>
    </row>
    <row r="1108" spans="1:3" ht="14.25" customHeight="1" x14ac:dyDescent="0.3">
      <c r="A1108" s="22">
        <v>44588</v>
      </c>
      <c r="B1108" s="23">
        <v>145.47499999999999</v>
      </c>
      <c r="C1108" s="24">
        <f t="shared" si="17"/>
        <v>-8.3098149890247323E-3</v>
      </c>
    </row>
    <row r="1109" spans="1:3" ht="14.25" customHeight="1" x14ac:dyDescent="0.3">
      <c r="A1109" s="22">
        <v>44586</v>
      </c>
      <c r="B1109" s="23">
        <v>146.69399999999999</v>
      </c>
      <c r="C1109" s="24">
        <f t="shared" si="17"/>
        <v>1.6020113449830575E-2</v>
      </c>
    </row>
    <row r="1110" spans="1:3" ht="14.25" customHeight="1" x14ac:dyDescent="0.3">
      <c r="A1110" s="22">
        <v>44585</v>
      </c>
      <c r="B1110" s="23">
        <v>144.381</v>
      </c>
      <c r="C1110" s="24">
        <f t="shared" si="17"/>
        <v>-3.4253722358229384E-2</v>
      </c>
    </row>
    <row r="1111" spans="1:3" ht="14.25" customHeight="1" x14ac:dyDescent="0.3">
      <c r="A1111" s="22">
        <v>44582</v>
      </c>
      <c r="B1111" s="23">
        <v>149.50200000000001</v>
      </c>
      <c r="C1111" s="24">
        <f t="shared" si="17"/>
        <v>-8.725748915911909E-3</v>
      </c>
    </row>
    <row r="1112" spans="1:3" ht="14.25" customHeight="1" x14ac:dyDescent="0.3">
      <c r="A1112" s="22">
        <v>44581</v>
      </c>
      <c r="B1112" s="23">
        <v>150.81800000000001</v>
      </c>
      <c r="C1112" s="24">
        <f t="shared" si="17"/>
        <v>-2.1634853948195318E-3</v>
      </c>
    </row>
    <row r="1113" spans="1:3" ht="14.25" customHeight="1" x14ac:dyDescent="0.3">
      <c r="A1113" s="22">
        <v>44580</v>
      </c>
      <c r="B1113" s="23">
        <v>151.14500000000001</v>
      </c>
      <c r="C1113" s="24">
        <f t="shared" si="17"/>
        <v>-5.1930443482037418E-3</v>
      </c>
    </row>
    <row r="1114" spans="1:3" ht="14.25" customHeight="1" x14ac:dyDescent="0.3">
      <c r="A1114" s="22">
        <v>44579</v>
      </c>
      <c r="B1114" s="23">
        <v>151.934</v>
      </c>
      <c r="C1114" s="24">
        <f t="shared" si="17"/>
        <v>-9.8342707063861796E-3</v>
      </c>
    </row>
    <row r="1115" spans="1:3" ht="14.25" customHeight="1" x14ac:dyDescent="0.3">
      <c r="A1115" s="22">
        <v>44578</v>
      </c>
      <c r="B1115" s="23">
        <v>153.44300000000001</v>
      </c>
      <c r="C1115" s="24">
        <f t="shared" si="17"/>
        <v>4.1074455600480247E-4</v>
      </c>
    </row>
    <row r="1116" spans="1:3" ht="14.25" customHeight="1" x14ac:dyDescent="0.3">
      <c r="A1116" s="22">
        <v>44575</v>
      </c>
      <c r="B1116" s="23">
        <v>153.38</v>
      </c>
      <c r="C1116" s="24">
        <f t="shared" si="17"/>
        <v>4.2493010587241684E-3</v>
      </c>
    </row>
    <row r="1117" spans="1:3" ht="14.25" customHeight="1" x14ac:dyDescent="0.3">
      <c r="A1117" s="22">
        <v>44574</v>
      </c>
      <c r="B1117" s="23">
        <v>152.73099999999999</v>
      </c>
      <c r="C1117" s="24">
        <f t="shared" si="17"/>
        <v>2.513981148423224E-3</v>
      </c>
    </row>
    <row r="1118" spans="1:3" ht="14.25" customHeight="1" x14ac:dyDescent="0.3">
      <c r="A1118" s="22">
        <v>44573</v>
      </c>
      <c r="B1118" s="23">
        <v>152.34800000000001</v>
      </c>
      <c r="C1118" s="24">
        <f t="shared" si="17"/>
        <v>8.8202574561637315E-3</v>
      </c>
    </row>
    <row r="1119" spans="1:3" ht="14.25" customHeight="1" x14ac:dyDescent="0.3">
      <c r="A1119" s="22">
        <v>44572</v>
      </c>
      <c r="B1119" s="23">
        <v>151.01599999999999</v>
      </c>
      <c r="C1119" s="24">
        <f t="shared" si="17"/>
        <v>5.5264804975163071E-3</v>
      </c>
    </row>
    <row r="1120" spans="1:3" ht="14.25" customHeight="1" x14ac:dyDescent="0.3">
      <c r="A1120" s="22">
        <v>44571</v>
      </c>
      <c r="B1120" s="23">
        <v>150.18600000000001</v>
      </c>
      <c r="C1120" s="24">
        <f t="shared" si="17"/>
        <v>1.0482547030169424E-2</v>
      </c>
    </row>
    <row r="1121" spans="1:3" ht="14.25" customHeight="1" x14ac:dyDescent="0.3">
      <c r="A1121" s="22">
        <v>44568</v>
      </c>
      <c r="B1121" s="23">
        <v>148.62799999999999</v>
      </c>
      <c r="C1121" s="24">
        <f t="shared" si="17"/>
        <v>2.4145140621836896E-3</v>
      </c>
    </row>
    <row r="1122" spans="1:3" ht="14.25" customHeight="1" x14ac:dyDescent="0.3">
      <c r="A1122" s="22">
        <v>44567</v>
      </c>
      <c r="B1122" s="23">
        <v>148.27000000000001</v>
      </c>
      <c r="C1122" s="24">
        <f t="shared" si="17"/>
        <v>-3.3541934139504547E-3</v>
      </c>
    </row>
    <row r="1123" spans="1:3" ht="14.25" customHeight="1" x14ac:dyDescent="0.3">
      <c r="A1123" s="22">
        <v>44566</v>
      </c>
      <c r="B1123" s="23">
        <v>148.76900000000001</v>
      </c>
      <c r="C1123" s="24">
        <f t="shared" si="17"/>
        <v>2.4392380413322469E-3</v>
      </c>
    </row>
    <row r="1124" spans="1:3" ht="14.25" customHeight="1" x14ac:dyDescent="0.3">
      <c r="A1124" s="22">
        <v>44565</v>
      </c>
      <c r="B1124" s="23">
        <v>148.40700000000001</v>
      </c>
      <c r="C1124" s="24">
        <f t="shared" si="17"/>
        <v>6.6200459876145385E-3</v>
      </c>
    </row>
    <row r="1125" spans="1:3" ht="14.25" customHeight="1" x14ac:dyDescent="0.3">
      <c r="A1125" s="22">
        <v>44564</v>
      </c>
      <c r="B1125" s="23">
        <v>147.43100000000001</v>
      </c>
      <c r="C1125" s="24">
        <f t="shared" si="17"/>
        <v>1.2123708509250812E-2</v>
      </c>
    </row>
    <row r="1126" spans="1:3" ht="14.25" customHeight="1" x14ac:dyDescent="0.3">
      <c r="A1126" s="22">
        <v>44561</v>
      </c>
      <c r="B1126" s="23">
        <v>145.66499999999999</v>
      </c>
      <c r="C1126" s="24">
        <f t="shared" si="17"/>
        <v>1.1295630319776593E-2</v>
      </c>
    </row>
    <row r="1127" spans="1:3" ht="14.25" customHeight="1" x14ac:dyDescent="0.3">
      <c r="A1127" s="22">
        <v>44560</v>
      </c>
      <c r="B1127" s="23">
        <v>144.03800000000001</v>
      </c>
      <c r="C1127" s="24">
        <f t="shared" si="17"/>
        <v>-1.1303666410079161E-3</v>
      </c>
    </row>
    <row r="1128" spans="1:3" ht="14.25" customHeight="1" x14ac:dyDescent="0.3">
      <c r="A1128" s="22">
        <v>44559</v>
      </c>
      <c r="B1128" s="23">
        <v>144.20099999999999</v>
      </c>
      <c r="C1128" s="24">
        <f t="shared" si="17"/>
        <v>-6.3066559476622529E-4</v>
      </c>
    </row>
    <row r="1129" spans="1:3" ht="14.25" customHeight="1" x14ac:dyDescent="0.3">
      <c r="A1129" s="22">
        <v>44558</v>
      </c>
      <c r="B1129" s="23">
        <v>144.292</v>
      </c>
      <c r="C1129" s="24">
        <f t="shared" si="17"/>
        <v>9.2184593002924455E-3</v>
      </c>
    </row>
    <row r="1130" spans="1:3" ht="14.25" customHeight="1" x14ac:dyDescent="0.3">
      <c r="A1130" s="22">
        <v>44557</v>
      </c>
      <c r="B1130" s="23">
        <v>142.97399999999999</v>
      </c>
      <c r="C1130" s="24">
        <f t="shared" si="17"/>
        <v>1.1203383421793144E-3</v>
      </c>
    </row>
    <row r="1131" spans="1:3" ht="14.25" customHeight="1" x14ac:dyDescent="0.3">
      <c r="A1131" s="22">
        <v>44554</v>
      </c>
      <c r="B1131" s="23">
        <v>142.81399999999999</v>
      </c>
      <c r="C1131" s="24">
        <f t="shared" si="17"/>
        <v>-7.588286798326775E-3</v>
      </c>
    </row>
    <row r="1132" spans="1:3" ht="14.25" customHeight="1" x14ac:dyDescent="0.3">
      <c r="A1132" s="22">
        <v>44553</v>
      </c>
      <c r="B1132" s="23">
        <v>143.90600000000001</v>
      </c>
      <c r="C1132" s="24">
        <f t="shared" si="17"/>
        <v>6.4834696004307793E-3</v>
      </c>
    </row>
    <row r="1133" spans="1:3" ht="14.25" customHeight="1" x14ac:dyDescent="0.3">
      <c r="A1133" s="22">
        <v>44552</v>
      </c>
      <c r="B1133" s="23">
        <v>142.97900000000001</v>
      </c>
      <c r="C1133" s="24">
        <f t="shared" si="17"/>
        <v>1.2721078316794662E-2</v>
      </c>
    </row>
    <row r="1134" spans="1:3" ht="14.25" customHeight="1" x14ac:dyDescent="0.3">
      <c r="A1134" s="22">
        <v>44551</v>
      </c>
      <c r="B1134" s="23">
        <v>141.18299999999999</v>
      </c>
      <c r="C1134" s="24">
        <f t="shared" si="17"/>
        <v>1.221689286559252E-2</v>
      </c>
    </row>
    <row r="1135" spans="1:3" ht="14.25" customHeight="1" x14ac:dyDescent="0.3">
      <c r="A1135" s="22">
        <v>44550</v>
      </c>
      <c r="B1135" s="23">
        <v>139.47900000000001</v>
      </c>
      <c r="C1135" s="24">
        <f t="shared" si="17"/>
        <v>-3.0345374155334812E-2</v>
      </c>
    </row>
    <row r="1136" spans="1:3" ht="14.25" customHeight="1" x14ac:dyDescent="0.3">
      <c r="A1136" s="22">
        <v>44547</v>
      </c>
      <c r="B1136" s="23">
        <v>143.84399999999999</v>
      </c>
      <c r="C1136" s="24">
        <f t="shared" si="17"/>
        <v>-1.9374718787069065E-2</v>
      </c>
    </row>
    <row r="1137" spans="1:3" ht="14.25" customHeight="1" x14ac:dyDescent="0.3">
      <c r="A1137" s="22">
        <v>44546</v>
      </c>
      <c r="B1137" s="23">
        <v>146.68600000000001</v>
      </c>
      <c r="C1137" s="24">
        <f t="shared" si="17"/>
        <v>-6.340518350923351E-3</v>
      </c>
    </row>
    <row r="1138" spans="1:3" ht="14.25" customHeight="1" x14ac:dyDescent="0.3">
      <c r="A1138" s="22">
        <v>44545</v>
      </c>
      <c r="B1138" s="23">
        <v>147.62200000000001</v>
      </c>
      <c r="C1138" s="24">
        <f t="shared" si="17"/>
        <v>-3.5975836117578689E-3</v>
      </c>
    </row>
    <row r="1139" spans="1:3" ht="14.25" customHeight="1" x14ac:dyDescent="0.3">
      <c r="A1139" s="22">
        <v>44544</v>
      </c>
      <c r="B1139" s="23">
        <v>148.155</v>
      </c>
      <c r="C1139" s="24">
        <f t="shared" si="17"/>
        <v>-4.1539795527413912E-3</v>
      </c>
    </row>
    <row r="1140" spans="1:3" ht="14.25" customHeight="1" x14ac:dyDescent="0.3">
      <c r="A1140" s="22">
        <v>44543</v>
      </c>
      <c r="B1140" s="23">
        <v>148.773</v>
      </c>
      <c r="C1140" s="24">
        <f t="shared" si="17"/>
        <v>1.8923578374592969E-3</v>
      </c>
    </row>
    <row r="1141" spans="1:3" ht="14.25" customHeight="1" x14ac:dyDescent="0.3">
      <c r="A1141" s="22">
        <v>44540</v>
      </c>
      <c r="B1141" s="23">
        <v>148.49199999999999</v>
      </c>
      <c r="C1141" s="24">
        <f t="shared" si="17"/>
        <v>1.4364812279553671E-3</v>
      </c>
    </row>
    <row r="1142" spans="1:3" ht="14.25" customHeight="1" x14ac:dyDescent="0.3">
      <c r="A1142" s="22">
        <v>44539</v>
      </c>
      <c r="B1142" s="23">
        <v>148.279</v>
      </c>
      <c r="C1142" s="24">
        <f t="shared" si="17"/>
        <v>3.0237025813085309E-3</v>
      </c>
    </row>
    <row r="1143" spans="1:3" ht="14.25" customHeight="1" x14ac:dyDescent="0.3">
      <c r="A1143" s="22">
        <v>44538</v>
      </c>
      <c r="B1143" s="23">
        <v>147.83199999999999</v>
      </c>
      <c r="C1143" s="24">
        <f t="shared" si="17"/>
        <v>3.3457768829607271E-2</v>
      </c>
    </row>
    <row r="1144" spans="1:3" ht="14.25" customHeight="1" x14ac:dyDescent="0.3">
      <c r="A1144" s="22">
        <v>44536</v>
      </c>
      <c r="B1144" s="23">
        <v>143.04599999999999</v>
      </c>
      <c r="C1144" s="24">
        <f t="shared" si="17"/>
        <v>-1.5864934779019287E-2</v>
      </c>
    </row>
    <row r="1145" spans="1:3" ht="14.25" customHeight="1" x14ac:dyDescent="0.3">
      <c r="A1145" s="22">
        <v>44533</v>
      </c>
      <c r="B1145" s="23">
        <v>145.352</v>
      </c>
      <c r="C1145" s="24">
        <f t="shared" si="17"/>
        <v>-1.9911838617980532E-3</v>
      </c>
    </row>
    <row r="1146" spans="1:3" ht="14.25" customHeight="1" x14ac:dyDescent="0.3">
      <c r="A1146" s="22">
        <v>44532</v>
      </c>
      <c r="B1146" s="23">
        <v>145.642</v>
      </c>
      <c r="C1146" s="24">
        <f t="shared" si="17"/>
        <v>7.6729881757107996E-3</v>
      </c>
    </row>
    <row r="1147" spans="1:3" ht="14.25" customHeight="1" x14ac:dyDescent="0.3">
      <c r="A1147" s="22">
        <v>44531</v>
      </c>
      <c r="B1147" s="23">
        <v>144.53299999999999</v>
      </c>
      <c r="C1147" s="24">
        <f t="shared" si="17"/>
        <v>1.0868728974184835E-2</v>
      </c>
    </row>
    <row r="1148" spans="1:3" ht="14.25" customHeight="1" x14ac:dyDescent="0.3">
      <c r="A1148" s="22">
        <v>44530</v>
      </c>
      <c r="B1148" s="23">
        <v>142.97900000000001</v>
      </c>
      <c r="C1148" s="24">
        <f t="shared" si="17"/>
        <v>1.4779222234675329E-3</v>
      </c>
    </row>
    <row r="1149" spans="1:3" ht="14.25" customHeight="1" x14ac:dyDescent="0.3">
      <c r="A1149" s="22">
        <v>44529</v>
      </c>
      <c r="B1149" s="23">
        <v>142.768</v>
      </c>
      <c r="C1149" s="24">
        <f t="shared" si="17"/>
        <v>-7.4527252502781059E-3</v>
      </c>
    </row>
    <row r="1150" spans="1:3" ht="14.25" customHeight="1" x14ac:dyDescent="0.3">
      <c r="A1150" s="22">
        <v>44526</v>
      </c>
      <c r="B1150" s="23">
        <v>143.84</v>
      </c>
      <c r="C1150" s="24">
        <f t="shared" si="17"/>
        <v>-3.3424274597820026E-2</v>
      </c>
    </row>
    <row r="1151" spans="1:3" ht="14.25" customHeight="1" x14ac:dyDescent="0.3">
      <c r="A1151" s="22">
        <v>44525</v>
      </c>
      <c r="B1151" s="23">
        <v>148.81399999999999</v>
      </c>
      <c r="C1151" s="24">
        <f t="shared" si="17"/>
        <v>5.9553987278024526E-3</v>
      </c>
    </row>
    <row r="1152" spans="1:3" ht="14.25" customHeight="1" x14ac:dyDescent="0.3">
      <c r="A1152" s="22">
        <v>44524</v>
      </c>
      <c r="B1152" s="23">
        <v>147.93299999999999</v>
      </c>
      <c r="C1152" s="24">
        <f t="shared" si="17"/>
        <v>-1.2692325868716562E-3</v>
      </c>
    </row>
    <row r="1153" spans="1:3" ht="14.25" customHeight="1" x14ac:dyDescent="0.3">
      <c r="A1153" s="22">
        <v>44523</v>
      </c>
      <c r="B1153" s="23">
        <v>148.12100000000001</v>
      </c>
      <c r="C1153" s="24">
        <f t="shared" si="17"/>
        <v>1.1720911171066618E-2</v>
      </c>
    </row>
    <row r="1154" spans="1:3" ht="14.25" customHeight="1" x14ac:dyDescent="0.3">
      <c r="A1154" s="22">
        <v>44522</v>
      </c>
      <c r="B1154" s="23">
        <v>146.405</v>
      </c>
      <c r="C1154" s="24">
        <f t="shared" ref="C1154:C1205" si="18">(B1154-B1155)/B1155</f>
        <v>-2.5765752576907882E-2</v>
      </c>
    </row>
    <row r="1155" spans="1:3" ht="14.25" customHeight="1" x14ac:dyDescent="0.3">
      <c r="A1155" s="22">
        <v>44518</v>
      </c>
      <c r="B1155" s="23">
        <v>150.27699999999999</v>
      </c>
      <c r="C1155" s="24">
        <f t="shared" si="18"/>
        <v>-1.1589131735936179E-2</v>
      </c>
    </row>
    <row r="1156" spans="1:3" ht="14.25" customHeight="1" x14ac:dyDescent="0.3">
      <c r="A1156" s="22">
        <v>44517</v>
      </c>
      <c r="B1156" s="23">
        <v>152.03899999999999</v>
      </c>
      <c r="C1156" s="24">
        <f t="shared" si="18"/>
        <v>-5.8261949911725596E-3</v>
      </c>
    </row>
    <row r="1157" spans="1:3" ht="14.25" customHeight="1" x14ac:dyDescent="0.3">
      <c r="A1157" s="22">
        <v>44516</v>
      </c>
      <c r="B1157" s="23">
        <v>152.93</v>
      </c>
      <c r="C1157" s="24">
        <f t="shared" si="18"/>
        <v>-3.7522963271793505E-3</v>
      </c>
    </row>
    <row r="1158" spans="1:3" ht="14.25" customHeight="1" x14ac:dyDescent="0.3">
      <c r="A1158" s="22">
        <v>44515</v>
      </c>
      <c r="B1158" s="23">
        <v>153.506</v>
      </c>
      <c r="C1158" s="24">
        <f t="shared" si="18"/>
        <v>-3.0588984069049507E-3</v>
      </c>
    </row>
    <row r="1159" spans="1:3" ht="14.25" customHeight="1" x14ac:dyDescent="0.3">
      <c r="A1159" s="22">
        <v>44512</v>
      </c>
      <c r="B1159" s="23">
        <v>153.977</v>
      </c>
      <c r="C1159" s="24">
        <f t="shared" si="18"/>
        <v>5.9582530297586393E-3</v>
      </c>
    </row>
    <row r="1160" spans="1:3" ht="14.25" customHeight="1" x14ac:dyDescent="0.3">
      <c r="A1160" s="22">
        <v>44511</v>
      </c>
      <c r="B1160" s="23">
        <v>153.065</v>
      </c>
      <c r="C1160" s="24">
        <f t="shared" si="18"/>
        <v>-5.2252240542279603E-3</v>
      </c>
    </row>
    <row r="1161" spans="1:3" ht="14.25" customHeight="1" x14ac:dyDescent="0.3">
      <c r="A1161" s="22">
        <v>44510</v>
      </c>
      <c r="B1161" s="23">
        <v>153.869</v>
      </c>
      <c r="C1161" s="24">
        <f t="shared" si="18"/>
        <v>-3.8971716373947464E-3</v>
      </c>
    </row>
    <row r="1162" spans="1:3" ht="14.25" customHeight="1" x14ac:dyDescent="0.3">
      <c r="A1162" s="22">
        <v>44509</v>
      </c>
      <c r="B1162" s="23">
        <v>154.471</v>
      </c>
      <c r="C1162" s="24">
        <f t="shared" si="18"/>
        <v>1.3782150146681417E-2</v>
      </c>
    </row>
    <row r="1163" spans="1:3" ht="14.25" customHeight="1" x14ac:dyDescent="0.3">
      <c r="A1163" s="22">
        <v>44508</v>
      </c>
      <c r="B1163" s="23">
        <v>152.37100000000001</v>
      </c>
      <c r="C1163" s="24">
        <f t="shared" si="18"/>
        <v>1.8400192490208495E-2</v>
      </c>
    </row>
    <row r="1164" spans="1:3" ht="14.25" customHeight="1" x14ac:dyDescent="0.3">
      <c r="A1164" s="22">
        <v>44503</v>
      </c>
      <c r="B1164" s="23">
        <v>149.61799999999999</v>
      </c>
      <c r="C1164" s="24">
        <f t="shared" si="18"/>
        <v>-5.1437923778348098E-4</v>
      </c>
    </row>
    <row r="1165" spans="1:3" ht="14.25" customHeight="1" x14ac:dyDescent="0.3">
      <c r="A1165" s="22">
        <v>44502</v>
      </c>
      <c r="B1165" s="23">
        <v>149.69499999999999</v>
      </c>
      <c r="C1165" s="24">
        <f t="shared" si="18"/>
        <v>1.2266619782122064E-2</v>
      </c>
    </row>
    <row r="1166" spans="1:3" ht="14.25" customHeight="1" x14ac:dyDescent="0.3">
      <c r="A1166" s="22">
        <v>44501</v>
      </c>
      <c r="B1166" s="23">
        <v>147.881</v>
      </c>
      <c r="C1166" s="24">
        <f t="shared" si="18"/>
        <v>2.0671424430241739E-2</v>
      </c>
    </row>
    <row r="1167" spans="1:3" ht="14.25" customHeight="1" x14ac:dyDescent="0.3">
      <c r="A1167" s="22">
        <v>44498</v>
      </c>
      <c r="B1167" s="23">
        <v>144.886</v>
      </c>
      <c r="C1167" s="24">
        <f t="shared" si="18"/>
        <v>-7.4805792653688426E-3</v>
      </c>
    </row>
    <row r="1168" spans="1:3" ht="14.25" customHeight="1" x14ac:dyDescent="0.3">
      <c r="A1168" s="22">
        <v>44497</v>
      </c>
      <c r="B1168" s="23">
        <v>145.97800000000001</v>
      </c>
      <c r="C1168" s="24">
        <f t="shared" si="18"/>
        <v>-1.6334011671001594E-2</v>
      </c>
    </row>
    <row r="1169" spans="1:3" ht="14.25" customHeight="1" x14ac:dyDescent="0.3">
      <c r="A1169" s="22">
        <v>44496</v>
      </c>
      <c r="B1169" s="23">
        <v>148.40199999999999</v>
      </c>
      <c r="C1169" s="24">
        <f t="shared" si="18"/>
        <v>-1.0030225309826317E-3</v>
      </c>
    </row>
    <row r="1170" spans="1:3" ht="14.25" customHeight="1" x14ac:dyDescent="0.3">
      <c r="A1170" s="22">
        <v>44495</v>
      </c>
      <c r="B1170" s="23">
        <v>148.55099999999999</v>
      </c>
      <c r="C1170" s="24">
        <f t="shared" si="18"/>
        <v>1.0276115342763846E-2</v>
      </c>
    </row>
    <row r="1171" spans="1:3" ht="14.25" customHeight="1" x14ac:dyDescent="0.3">
      <c r="A1171" s="22">
        <v>44494</v>
      </c>
      <c r="B1171" s="23">
        <v>147.04</v>
      </c>
      <c r="C1171" s="24">
        <f t="shared" si="18"/>
        <v>-6.6542813713900599E-3</v>
      </c>
    </row>
    <row r="1172" spans="1:3" ht="14.25" customHeight="1" x14ac:dyDescent="0.3">
      <c r="A1172" s="22">
        <v>44491</v>
      </c>
      <c r="B1172" s="23">
        <v>148.02500000000001</v>
      </c>
      <c r="C1172" s="24">
        <f t="shared" si="18"/>
        <v>-4.1777108028469047E-3</v>
      </c>
    </row>
    <row r="1173" spans="1:3" ht="14.25" customHeight="1" x14ac:dyDescent="0.3">
      <c r="A1173" s="22">
        <v>44490</v>
      </c>
      <c r="B1173" s="23">
        <v>148.64599999999999</v>
      </c>
      <c r="C1173" s="24">
        <f t="shared" si="18"/>
        <v>-6.1046142325103196E-3</v>
      </c>
    </row>
    <row r="1174" spans="1:3" ht="14.25" customHeight="1" x14ac:dyDescent="0.3">
      <c r="A1174" s="22">
        <v>44489</v>
      </c>
      <c r="B1174" s="23">
        <v>149.559</v>
      </c>
      <c r="C1174" s="24">
        <f t="shared" si="18"/>
        <v>-4.5791263719077019E-3</v>
      </c>
    </row>
    <row r="1175" spans="1:3" ht="14.25" customHeight="1" x14ac:dyDescent="0.3">
      <c r="A1175" s="22">
        <v>44488</v>
      </c>
      <c r="B1175" s="23">
        <v>150.24700000000001</v>
      </c>
      <c r="C1175" s="24">
        <f t="shared" si="18"/>
        <v>-1.2903141034485014E-2</v>
      </c>
    </row>
    <row r="1176" spans="1:3" ht="14.25" customHeight="1" x14ac:dyDescent="0.3">
      <c r="A1176" s="22">
        <v>44487</v>
      </c>
      <c r="B1176" s="23">
        <v>152.21100000000001</v>
      </c>
      <c r="C1176" s="24">
        <f t="shared" si="18"/>
        <v>2.0078206259134387E-3</v>
      </c>
    </row>
    <row r="1177" spans="1:3" ht="14.25" customHeight="1" x14ac:dyDescent="0.3">
      <c r="A1177" s="22">
        <v>44483</v>
      </c>
      <c r="B1177" s="23">
        <v>151.90600000000001</v>
      </c>
      <c r="C1177" s="24">
        <f t="shared" si="18"/>
        <v>5.0083030651873646E-3</v>
      </c>
    </row>
    <row r="1178" spans="1:3" ht="14.25" customHeight="1" x14ac:dyDescent="0.3">
      <c r="A1178" s="22">
        <v>44482</v>
      </c>
      <c r="B1178" s="23">
        <v>151.149</v>
      </c>
      <c r="C1178" s="24">
        <f t="shared" si="18"/>
        <v>8.6552064703840931E-3</v>
      </c>
    </row>
    <row r="1179" spans="1:3" ht="14.25" customHeight="1" x14ac:dyDescent="0.3">
      <c r="A1179" s="22">
        <v>44481</v>
      </c>
      <c r="B1179" s="23">
        <v>149.852</v>
      </c>
      <c r="C1179" s="24">
        <f t="shared" si="18"/>
        <v>4.6714938770095779E-5</v>
      </c>
    </row>
    <row r="1180" spans="1:3" ht="14.25" customHeight="1" x14ac:dyDescent="0.3">
      <c r="A1180" s="22">
        <v>44480</v>
      </c>
      <c r="B1180" s="23">
        <v>149.845</v>
      </c>
      <c r="C1180" s="24">
        <f t="shared" si="18"/>
        <v>5.9006753218854681E-3</v>
      </c>
    </row>
    <row r="1181" spans="1:3" ht="14.25" customHeight="1" x14ac:dyDescent="0.3">
      <c r="A1181" s="22">
        <v>44477</v>
      </c>
      <c r="B1181" s="23">
        <v>148.96600000000001</v>
      </c>
      <c r="C1181" s="24">
        <f t="shared" si="18"/>
        <v>5.8338172340684415E-3</v>
      </c>
    </row>
    <row r="1182" spans="1:3" ht="14.25" customHeight="1" x14ac:dyDescent="0.3">
      <c r="A1182" s="22">
        <v>44476</v>
      </c>
      <c r="B1182" s="23">
        <v>148.102</v>
      </c>
      <c r="C1182" s="24">
        <f t="shared" si="18"/>
        <v>1.3973613764112231E-2</v>
      </c>
    </row>
    <row r="1183" spans="1:3" ht="14.25" customHeight="1" x14ac:dyDescent="0.3">
      <c r="A1183" s="22">
        <v>44475</v>
      </c>
      <c r="B1183" s="23">
        <v>146.06100000000001</v>
      </c>
      <c r="C1183" s="24">
        <f t="shared" si="18"/>
        <v>-1.5117698225929281E-2</v>
      </c>
    </row>
    <row r="1184" spans="1:3" ht="14.25" customHeight="1" x14ac:dyDescent="0.3">
      <c r="A1184" s="22">
        <v>44474</v>
      </c>
      <c r="B1184" s="23">
        <v>148.303</v>
      </c>
      <c r="C1184" s="24">
        <f t="shared" si="18"/>
        <v>9.536970225048064E-3</v>
      </c>
    </row>
    <row r="1185" spans="1:3" ht="14.25" customHeight="1" x14ac:dyDescent="0.3">
      <c r="A1185" s="22">
        <v>44473</v>
      </c>
      <c r="B1185" s="23">
        <v>146.90199999999999</v>
      </c>
      <c r="C1185" s="24">
        <f t="shared" si="18"/>
        <v>1.2481821753244367E-2</v>
      </c>
    </row>
    <row r="1186" spans="1:3" ht="14.25" customHeight="1" x14ac:dyDescent="0.3">
      <c r="A1186" s="22">
        <v>44470</v>
      </c>
      <c r="B1186" s="23">
        <v>145.09100000000001</v>
      </c>
      <c r="C1186" s="24">
        <f t="shared" si="18"/>
        <v>-1.7887733830519977E-3</v>
      </c>
    </row>
    <row r="1187" spans="1:3" ht="14.25" customHeight="1" x14ac:dyDescent="0.3">
      <c r="A1187" s="22">
        <v>44469</v>
      </c>
      <c r="B1187" s="23">
        <v>145.351</v>
      </c>
      <c r="C1187" s="24">
        <f t="shared" si="18"/>
        <v>2.0129740312562583E-3</v>
      </c>
    </row>
    <row r="1188" spans="1:3" ht="14.25" customHeight="1" x14ac:dyDescent="0.3">
      <c r="A1188" s="22">
        <v>44468</v>
      </c>
      <c r="B1188" s="23">
        <v>145.059</v>
      </c>
      <c r="C1188" s="24">
        <f t="shared" si="18"/>
        <v>4.5497984792455147E-3</v>
      </c>
    </row>
    <row r="1189" spans="1:3" ht="14.25" customHeight="1" x14ac:dyDescent="0.3">
      <c r="A1189" s="22">
        <v>44467</v>
      </c>
      <c r="B1189" s="23">
        <v>144.40199999999999</v>
      </c>
      <c r="C1189" s="24">
        <f t="shared" si="18"/>
        <v>-1.4428458325370638E-2</v>
      </c>
    </row>
    <row r="1190" spans="1:3" ht="14.25" customHeight="1" x14ac:dyDescent="0.3">
      <c r="A1190" s="22">
        <v>44466</v>
      </c>
      <c r="B1190" s="23">
        <v>146.51599999999999</v>
      </c>
      <c r="C1190" s="24">
        <f t="shared" si="18"/>
        <v>4.5525601294462009E-3</v>
      </c>
    </row>
    <row r="1191" spans="1:3" ht="14.25" customHeight="1" x14ac:dyDescent="0.3">
      <c r="A1191" s="22">
        <v>44463</v>
      </c>
      <c r="B1191" s="23">
        <v>145.852</v>
      </c>
      <c r="C1191" s="24">
        <f t="shared" si="18"/>
        <v>-5.3533555651029182E-3</v>
      </c>
    </row>
    <row r="1192" spans="1:3" ht="14.25" customHeight="1" x14ac:dyDescent="0.3">
      <c r="A1192" s="22">
        <v>44462</v>
      </c>
      <c r="B1192" s="23">
        <v>146.637</v>
      </c>
      <c r="C1192" s="24">
        <f t="shared" si="18"/>
        <v>1.3820711016468668E-2</v>
      </c>
    </row>
    <row r="1193" spans="1:3" ht="14.25" customHeight="1" x14ac:dyDescent="0.3">
      <c r="A1193" s="22">
        <v>44461</v>
      </c>
      <c r="B1193" s="23">
        <v>144.63800000000001</v>
      </c>
      <c r="C1193" s="24">
        <f t="shared" si="18"/>
        <v>1.6787346221441162E-2</v>
      </c>
    </row>
    <row r="1194" spans="1:3" ht="14.25" customHeight="1" x14ac:dyDescent="0.3">
      <c r="A1194" s="22">
        <v>44460</v>
      </c>
      <c r="B1194" s="23">
        <v>142.25</v>
      </c>
      <c r="C1194" s="24">
        <f t="shared" si="18"/>
        <v>8.2359945565888392E-3</v>
      </c>
    </row>
    <row r="1195" spans="1:3" ht="14.25" customHeight="1" x14ac:dyDescent="0.3">
      <c r="A1195" s="22">
        <v>44459</v>
      </c>
      <c r="B1195" s="23">
        <v>141.08799999999999</v>
      </c>
      <c r="C1195" s="24">
        <f t="shared" si="18"/>
        <v>-1.4080766999993114E-2</v>
      </c>
    </row>
    <row r="1196" spans="1:3" ht="14.25" customHeight="1" x14ac:dyDescent="0.3">
      <c r="A1196" s="22">
        <v>44456</v>
      </c>
      <c r="B1196" s="23">
        <v>143.10300000000001</v>
      </c>
      <c r="C1196" s="24">
        <f t="shared" si="18"/>
        <v>-8.6593281746828957E-3</v>
      </c>
    </row>
    <row r="1197" spans="1:3" ht="14.25" customHeight="1" x14ac:dyDescent="0.3">
      <c r="A1197" s="22">
        <v>44455</v>
      </c>
      <c r="B1197" s="23">
        <v>144.35300000000001</v>
      </c>
      <c r="C1197" s="24">
        <f t="shared" si="18"/>
        <v>-4.0163145466753035E-4</v>
      </c>
    </row>
    <row r="1198" spans="1:3" ht="14.25" customHeight="1" x14ac:dyDescent="0.3">
      <c r="A1198" s="22">
        <v>44454</v>
      </c>
      <c r="B1198" s="23">
        <v>144.411</v>
      </c>
      <c r="C1198" s="24">
        <f t="shared" si="18"/>
        <v>1.3111924906343391E-2</v>
      </c>
    </row>
    <row r="1199" spans="1:3" ht="14.25" customHeight="1" x14ac:dyDescent="0.3">
      <c r="A1199" s="22">
        <v>44453</v>
      </c>
      <c r="B1199" s="23">
        <v>142.542</v>
      </c>
      <c r="C1199" s="24">
        <f t="shared" si="18"/>
        <v>3.5200856084819983E-3</v>
      </c>
    </row>
    <row r="1200" spans="1:3" ht="14.25" customHeight="1" x14ac:dyDescent="0.3">
      <c r="A1200" s="22">
        <v>44452</v>
      </c>
      <c r="B1200" s="23">
        <v>142.042</v>
      </c>
      <c r="C1200" s="24">
        <f t="shared" si="18"/>
        <v>5.0805241855593477E-3</v>
      </c>
    </row>
    <row r="1201" spans="1:3" ht="14.25" customHeight="1" x14ac:dyDescent="0.3">
      <c r="A1201" s="22">
        <v>44448</v>
      </c>
      <c r="B1201" s="23">
        <v>141.32400000000001</v>
      </c>
      <c r="C1201" s="24">
        <f t="shared" si="18"/>
        <v>3.5291527903030962E-3</v>
      </c>
    </row>
    <row r="1202" spans="1:3" ht="14.25" customHeight="1" x14ac:dyDescent="0.3">
      <c r="A1202" s="22">
        <v>44447</v>
      </c>
      <c r="B1202" s="23">
        <v>140.827</v>
      </c>
      <c r="C1202" s="24">
        <f t="shared" si="18"/>
        <v>2.8627381164321652E-3</v>
      </c>
    </row>
    <row r="1203" spans="1:3" ht="14.25" customHeight="1" x14ac:dyDescent="0.3">
      <c r="A1203" s="22">
        <v>44446</v>
      </c>
      <c r="B1203" s="23">
        <v>140.42500000000001</v>
      </c>
      <c r="C1203" s="24">
        <f t="shared" si="18"/>
        <v>1.2120780007843994E-3</v>
      </c>
    </row>
    <row r="1204" spans="1:3" ht="14.25" customHeight="1" x14ac:dyDescent="0.3">
      <c r="A1204" s="22">
        <v>44445</v>
      </c>
      <c r="B1204" s="23">
        <v>140.255</v>
      </c>
      <c r="C1204" s="24">
        <f t="shared" si="18"/>
        <v>5.350263946353876E-4</v>
      </c>
    </row>
    <row r="1205" spans="1:3" ht="14.25" customHeight="1" x14ac:dyDescent="0.3">
      <c r="A1205" s="22">
        <v>44442</v>
      </c>
      <c r="B1205" s="23">
        <v>140.18</v>
      </c>
      <c r="C1205" s="24">
        <f t="shared" si="18"/>
        <v>7.6193214491086991E-3</v>
      </c>
    </row>
    <row r="1206" spans="1:3" ht="14.25" customHeight="1" x14ac:dyDescent="0.3">
      <c r="A1206" s="22">
        <v>44441</v>
      </c>
      <c r="B1206" s="23">
        <v>139.12</v>
      </c>
      <c r="C1206" s="24" t="s">
        <v>31</v>
      </c>
    </row>
    <row r="1208" spans="1:3" ht="54.75" customHeight="1" x14ac:dyDescent="0.3">
      <c r="A1208" s="33" t="s">
        <v>52</v>
      </c>
      <c r="B1208" s="33"/>
      <c r="C1208" s="33"/>
    </row>
  </sheetData>
  <mergeCells count="1">
    <mergeCell ref="A1208:C1208"/>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Assumptions</vt:lpstr>
      <vt:lpstr>Comparison</vt:lpstr>
      <vt:lpstr>Raw Data</vt:lpstr>
      <vt:lpstr>ICICI PRUDENTIAL MULTICAP FUND</vt:lpstr>
      <vt:lpstr>QUANT ACTIVE FUND</vt:lpstr>
      <vt:lpstr>NIFTY500 TRI</vt:lpstr>
      <vt:lpstr>NIPPON INDIA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KANISHKA SHARMA</dc:creator>
  <dc:description/>
  <cp:lastModifiedBy>KANISHKA SHARMA</cp:lastModifiedBy>
  <cp:revision>3</cp:revision>
  <dcterms:created xsi:type="dcterms:W3CDTF">2026-09-04T05:56:56Z</dcterms:created>
  <dcterms:modified xsi:type="dcterms:W3CDTF">2026-09-04T10:14:47Z</dcterms:modified>
  <dc:language>en-US</dc:language>
</cp:coreProperties>
</file>